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sultaBonosLIPU versión 2\ConsultaBonosLIPU\historico\"/>
    </mc:Choice>
  </mc:AlternateContent>
  <xr:revisionPtr revIDLastSave="0" documentId="13_ncr:1_{95C08E9B-A108-49B4-B612-066B0E430B4B}" xr6:coauthVersionLast="47" xr6:coauthVersionMax="47" xr10:uidLastSave="{00000000-0000-0000-0000-000000000000}"/>
  <bookViews>
    <workbookView xWindow="3645" yWindow="585" windowWidth="19575" windowHeight="10905" tabRatio="717" activeTab="1" xr2:uid="{00000000-000D-0000-FFFF-FFFF00000000}"/>
  </bookViews>
  <sheets>
    <sheet name="PUNTUALIDAD" sheetId="15" r:id="rId1"/>
    <sheet name="ACUMULADO" sheetId="17" r:id="rId2"/>
    <sheet name="DMAS" sheetId="19" r:id="rId3"/>
    <sheet name="RENDIMIENTO" sheetId="11" r:id="rId4"/>
    <sheet name="CONSULTA" sheetId="10" r:id="rId5"/>
    <sheet name="BONOS" sheetId="13" r:id="rId6"/>
  </sheets>
  <definedNames>
    <definedName name="_xlnm._FilterDatabase" localSheetId="0" hidden="1">PUNTUALIDAD!$A$1:$BE$1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9" l="1"/>
  <c r="Y4" i="19"/>
  <c r="Y5" i="19"/>
  <c r="Y6" i="19"/>
  <c r="Y7" i="19"/>
  <c r="Y8" i="19"/>
  <c r="Y9" i="19"/>
  <c r="Y10" i="19"/>
  <c r="Y11" i="19"/>
  <c r="Y12" i="19"/>
  <c r="Y13" i="19"/>
  <c r="Y14" i="19"/>
  <c r="Y15" i="19"/>
  <c r="Y16" i="19"/>
  <c r="Y17" i="19"/>
  <c r="Y18" i="19"/>
  <c r="Y19" i="19"/>
  <c r="Y20" i="19"/>
  <c r="Y21" i="19"/>
  <c r="Y22" i="19"/>
  <c r="Y23" i="19"/>
  <c r="Y24" i="19"/>
  <c r="Y25" i="19"/>
  <c r="Y26" i="19"/>
  <c r="Y27" i="19"/>
  <c r="Y28" i="19"/>
  <c r="Y29" i="19"/>
  <c r="Y30" i="19"/>
  <c r="Y31" i="19"/>
  <c r="Y32" i="19"/>
  <c r="Y33" i="19"/>
  <c r="Y34" i="19"/>
  <c r="Y35" i="19"/>
  <c r="Y36" i="19"/>
  <c r="Y37" i="19"/>
  <c r="Y38" i="19"/>
  <c r="Y39" i="19"/>
  <c r="Y40" i="19"/>
  <c r="Y41" i="19"/>
  <c r="Y42" i="19"/>
  <c r="Y43" i="19"/>
  <c r="Y44" i="19"/>
  <c r="Y45" i="19"/>
  <c r="Y46" i="19"/>
  <c r="Y47" i="19"/>
  <c r="Y48" i="19"/>
  <c r="Y49" i="19"/>
  <c r="Y50" i="19"/>
  <c r="Y51" i="19"/>
  <c r="Y52" i="19"/>
  <c r="Y53" i="19"/>
  <c r="Y54" i="19"/>
  <c r="Y55" i="19"/>
  <c r="Y56" i="19"/>
  <c r="Y57" i="19"/>
  <c r="Y58" i="19"/>
  <c r="Y59" i="19"/>
  <c r="Y60" i="19"/>
  <c r="Y61" i="19"/>
  <c r="Y62" i="19"/>
  <c r="Y63" i="19"/>
  <c r="Y64" i="19"/>
  <c r="Y65" i="19"/>
  <c r="Y66" i="19"/>
  <c r="Y67" i="19"/>
  <c r="Y68" i="19"/>
  <c r="Y69" i="19"/>
  <c r="Y70" i="19"/>
  <c r="Y71" i="19"/>
  <c r="Y72" i="19"/>
  <c r="Y73" i="19"/>
  <c r="Y74" i="19"/>
  <c r="Y75" i="19"/>
  <c r="Y76" i="19"/>
  <c r="Y77" i="19"/>
  <c r="Y78" i="19"/>
  <c r="Y79" i="19"/>
  <c r="Y80" i="19"/>
  <c r="Y81" i="19"/>
  <c r="Y82" i="19"/>
  <c r="Y83" i="19"/>
  <c r="Y84" i="19"/>
  <c r="Y85" i="19"/>
  <c r="Y86" i="19"/>
  <c r="Y87" i="19"/>
  <c r="Y88" i="19"/>
  <c r="Y89" i="19"/>
  <c r="Y90" i="19"/>
  <c r="Y91" i="19"/>
  <c r="Y92" i="19"/>
  <c r="Y93" i="19"/>
  <c r="Y94" i="19"/>
  <c r="Y95" i="19"/>
  <c r="Y96" i="19"/>
  <c r="Y97" i="19"/>
  <c r="Y98" i="19"/>
  <c r="Y99" i="19"/>
  <c r="Y100" i="19"/>
  <c r="Y101" i="19"/>
  <c r="Y102" i="19"/>
  <c r="Y103" i="19"/>
  <c r="Y104" i="19"/>
  <c r="Y105" i="19"/>
  <c r="Y106" i="19"/>
  <c r="Y107" i="19"/>
  <c r="Y108" i="19"/>
  <c r="Y109" i="19"/>
  <c r="Y110" i="19"/>
  <c r="Y111" i="19"/>
  <c r="Y112" i="19"/>
  <c r="Y113" i="19"/>
  <c r="Y114" i="19"/>
  <c r="Y115" i="19"/>
  <c r="Y116" i="19"/>
  <c r="Y117" i="19"/>
  <c r="Y118" i="19"/>
  <c r="Y119" i="19"/>
  <c r="Y120" i="19"/>
  <c r="Y121" i="19"/>
  <c r="Y122" i="19"/>
  <c r="Y123" i="19"/>
  <c r="Y124" i="19"/>
  <c r="Y125" i="19"/>
  <c r="Y126" i="19"/>
  <c r="Y127" i="19"/>
  <c r="Y128" i="19"/>
  <c r="Y129" i="19"/>
  <c r="Y130" i="19"/>
  <c r="Y131" i="19"/>
  <c r="Y132" i="19"/>
  <c r="Y133" i="19"/>
  <c r="Y134" i="19"/>
  <c r="Y135" i="19"/>
  <c r="Y136" i="19"/>
  <c r="Y137" i="19"/>
  <c r="Y138" i="19"/>
  <c r="Y139" i="19"/>
  <c r="Y140" i="19"/>
  <c r="Y141" i="19"/>
  <c r="Y142" i="19"/>
  <c r="Y143" i="19"/>
  <c r="Y144" i="19"/>
  <c r="Y145" i="19"/>
  <c r="Y146" i="19"/>
  <c r="Y147" i="19"/>
  <c r="Y148" i="19"/>
  <c r="Y149" i="19"/>
  <c r="Y150" i="19"/>
  <c r="Y151" i="19"/>
  <c r="Y152" i="19"/>
  <c r="Y153" i="19"/>
  <c r="Y154" i="19"/>
  <c r="Y155" i="19"/>
  <c r="Y156" i="19"/>
  <c r="Y157" i="19"/>
  <c r="Y158" i="19"/>
  <c r="Y159" i="19"/>
  <c r="Y160" i="19"/>
  <c r="Y161" i="19"/>
  <c r="Y162" i="19"/>
  <c r="Y163" i="19"/>
  <c r="Y164" i="19"/>
  <c r="Y165" i="19"/>
  <c r="Y166" i="19"/>
  <c r="Y167" i="19"/>
  <c r="Y168" i="19"/>
  <c r="Y169" i="19"/>
  <c r="Y170" i="19"/>
  <c r="Y171" i="19"/>
  <c r="Y172" i="19"/>
  <c r="Y173" i="19"/>
  <c r="Y174" i="19"/>
  <c r="Y175" i="19"/>
  <c r="Y176" i="19"/>
  <c r="Y177" i="19"/>
  <c r="Y178" i="19"/>
  <c r="Y179" i="19"/>
  <c r="Y180" i="19"/>
  <c r="Y181" i="19"/>
  <c r="Y182" i="19"/>
  <c r="Y183" i="19"/>
  <c r="Y184" i="19"/>
  <c r="Y185" i="19"/>
  <c r="Y186" i="19"/>
  <c r="Y187" i="19"/>
  <c r="Y188" i="19"/>
  <c r="Y189" i="19"/>
  <c r="Y190" i="19"/>
  <c r="Y191" i="19"/>
  <c r="Y192" i="19"/>
  <c r="Y193" i="19"/>
  <c r="Y194" i="19"/>
  <c r="Y195" i="19"/>
  <c r="Y196" i="19"/>
  <c r="Y197" i="19"/>
  <c r="Y198" i="19"/>
  <c r="Y199" i="19"/>
  <c r="Y200" i="19"/>
  <c r="Y201" i="19"/>
  <c r="Y202" i="19"/>
  <c r="Y203" i="19"/>
  <c r="Y204" i="19"/>
  <c r="Y205" i="19"/>
  <c r="Y206" i="19"/>
  <c r="Y207" i="19"/>
  <c r="Y208" i="19"/>
  <c r="Y209" i="19"/>
  <c r="Y210" i="19"/>
  <c r="Y211" i="19"/>
  <c r="Y212" i="19"/>
  <c r="Y213" i="19"/>
  <c r="Y214" i="19"/>
  <c r="Y215" i="19"/>
  <c r="Y216" i="19"/>
  <c r="Y217" i="19"/>
  <c r="Y218" i="19"/>
  <c r="Y219" i="19"/>
  <c r="Y220" i="19"/>
  <c r="Y221" i="19"/>
  <c r="Y222" i="19"/>
  <c r="Y223" i="19"/>
  <c r="Y224" i="19"/>
  <c r="Y225" i="19"/>
  <c r="Y226" i="19"/>
  <c r="Y227" i="19"/>
  <c r="Y228" i="19"/>
  <c r="Y229" i="19"/>
  <c r="Y230" i="19"/>
  <c r="Y231" i="19"/>
  <c r="Y232" i="19"/>
  <c r="Y233" i="19"/>
  <c r="Y234" i="19"/>
  <c r="Y235" i="19"/>
  <c r="Y236" i="19"/>
  <c r="Y237" i="19"/>
  <c r="Y238" i="19"/>
  <c r="Y239" i="19"/>
  <c r="Y240" i="19"/>
  <c r="Y241" i="19"/>
  <c r="Y242" i="19"/>
  <c r="Y243" i="19"/>
  <c r="Y244" i="19"/>
  <c r="Y245" i="19"/>
  <c r="Y246" i="19"/>
  <c r="Y247" i="19"/>
  <c r="Y248" i="19"/>
  <c r="Y249" i="19"/>
  <c r="Y250" i="19"/>
  <c r="Y251" i="19"/>
  <c r="Y252" i="19"/>
  <c r="Y253" i="19"/>
  <c r="Y254" i="19"/>
  <c r="Y255" i="19"/>
  <c r="Y256" i="19"/>
  <c r="Y257" i="19"/>
  <c r="Y258" i="19"/>
  <c r="Y259" i="19"/>
  <c r="Y260" i="19"/>
  <c r="Y261" i="19"/>
  <c r="Y262" i="19"/>
  <c r="Y263" i="19"/>
  <c r="Y264" i="19"/>
  <c r="Y265" i="19"/>
  <c r="Y266" i="19"/>
  <c r="Y267" i="19"/>
  <c r="Y268" i="19"/>
  <c r="Y269" i="19"/>
  <c r="Y270" i="19"/>
  <c r="Y271" i="19"/>
  <c r="Y272" i="19"/>
  <c r="Y273" i="19"/>
  <c r="Y274" i="19"/>
  <c r="Y275" i="19"/>
  <c r="Y276" i="19"/>
  <c r="Y277" i="19"/>
  <c r="Y278" i="19"/>
  <c r="Y279" i="19"/>
  <c r="Y280" i="19"/>
  <c r="Y281" i="19"/>
  <c r="Y282" i="19"/>
  <c r="Y283" i="19"/>
  <c r="Y284" i="19"/>
  <c r="Y285" i="19"/>
  <c r="Y286" i="19"/>
  <c r="Y287" i="19"/>
  <c r="Y288" i="19"/>
  <c r="Y289" i="19"/>
  <c r="Y290" i="19"/>
  <c r="Y291" i="19"/>
  <c r="Y292" i="19"/>
  <c r="Y293" i="19"/>
  <c r="Y294" i="19"/>
  <c r="Y295" i="19"/>
  <c r="Y296" i="19"/>
  <c r="Y297" i="19"/>
  <c r="Y298" i="19"/>
  <c r="Y299" i="19"/>
  <c r="Y300" i="19"/>
  <c r="Y301" i="19"/>
  <c r="Y302" i="19"/>
  <c r="Y303" i="19"/>
  <c r="Y304" i="19"/>
  <c r="Y305" i="19"/>
  <c r="Y306" i="19"/>
  <c r="Y307" i="19"/>
  <c r="Y308" i="19"/>
  <c r="Y309" i="19"/>
  <c r="Y310" i="19"/>
  <c r="Y311" i="19"/>
  <c r="Y312" i="19"/>
  <c r="Y313" i="19"/>
  <c r="Y314" i="19"/>
  <c r="Y315" i="19"/>
  <c r="Y316" i="19"/>
  <c r="Y317" i="19"/>
  <c r="Y318" i="19"/>
  <c r="Y319" i="19"/>
  <c r="Y320" i="19"/>
  <c r="Y321" i="19"/>
  <c r="Y322" i="19"/>
  <c r="Y323" i="19"/>
  <c r="Y324" i="19"/>
  <c r="Y325" i="19"/>
  <c r="Y326" i="19"/>
  <c r="Y327" i="19"/>
  <c r="Y328" i="19"/>
  <c r="Y329" i="19"/>
  <c r="Y330" i="19"/>
  <c r="Y331" i="19"/>
  <c r="Y332" i="19"/>
  <c r="Y333" i="19"/>
  <c r="Y334" i="19"/>
  <c r="Y335" i="19"/>
  <c r="Y336" i="19"/>
  <c r="Y337" i="19"/>
  <c r="Y338" i="19"/>
  <c r="Y339" i="19"/>
  <c r="Y340" i="19"/>
  <c r="Y341" i="19"/>
  <c r="Y342" i="19"/>
  <c r="Y343" i="19"/>
  <c r="Y344" i="19"/>
  <c r="Y345" i="19"/>
  <c r="Y346" i="19"/>
  <c r="Y347" i="19"/>
  <c r="Y348" i="19"/>
  <c r="Y349" i="19"/>
  <c r="Y350" i="19"/>
  <c r="Y351" i="19"/>
  <c r="Y352" i="19"/>
  <c r="Y353" i="19"/>
  <c r="Y354" i="19"/>
  <c r="Y355" i="19"/>
  <c r="Y356" i="19"/>
  <c r="Y357" i="19"/>
  <c r="Y358" i="19"/>
  <c r="Y359" i="19"/>
  <c r="Y360" i="19"/>
  <c r="Y361" i="19"/>
  <c r="Y362" i="19"/>
  <c r="Y363" i="19"/>
  <c r="Y364" i="19"/>
  <c r="Y365" i="19"/>
  <c r="Y366" i="19"/>
  <c r="Y367" i="19"/>
  <c r="Y368" i="19"/>
  <c r="Y369" i="19"/>
  <c r="Y370" i="19"/>
  <c r="Y371" i="19"/>
  <c r="Y372" i="19"/>
  <c r="Y373" i="19"/>
  <c r="Y374" i="19"/>
  <c r="Y375" i="19"/>
  <c r="Y376" i="19"/>
  <c r="Y377" i="19"/>
  <c r="Y378" i="19"/>
  <c r="Y379" i="19"/>
  <c r="Y380" i="19"/>
  <c r="Y381" i="19"/>
  <c r="Y382" i="19"/>
  <c r="Y383" i="19"/>
  <c r="Y384" i="19"/>
  <c r="Y385" i="19"/>
  <c r="Y386" i="19"/>
  <c r="Y387" i="19"/>
  <c r="Y388" i="19"/>
  <c r="Y389" i="19"/>
  <c r="Y390" i="19"/>
  <c r="Y391" i="19"/>
  <c r="Y392" i="19"/>
  <c r="Y393" i="19"/>
  <c r="Y394" i="19"/>
  <c r="Y395" i="19"/>
  <c r="Y396" i="19"/>
  <c r="Y397" i="19"/>
  <c r="Y398" i="19"/>
  <c r="Y399" i="19"/>
  <c r="Y400" i="19"/>
  <c r="Y401" i="19"/>
  <c r="Y402" i="19"/>
  <c r="Y403" i="19"/>
  <c r="Y404" i="19"/>
  <c r="Y405" i="19"/>
  <c r="Y406" i="19"/>
  <c r="Y407" i="19"/>
  <c r="Y408" i="19"/>
  <c r="Y409" i="19"/>
  <c r="Y410" i="19"/>
  <c r="Y411" i="19"/>
  <c r="Y412" i="19"/>
  <c r="Y413" i="19"/>
  <c r="Y414" i="19"/>
  <c r="Y415" i="19"/>
  <c r="Y416" i="19"/>
  <c r="Y417" i="19"/>
  <c r="Y418" i="19"/>
  <c r="Y419" i="19"/>
  <c r="Y420" i="19"/>
  <c r="Y421" i="19"/>
  <c r="Y422" i="19"/>
  <c r="Y423" i="19"/>
  <c r="Y424" i="19"/>
  <c r="Y425" i="19"/>
  <c r="Y426" i="19"/>
  <c r="Y427" i="19"/>
  <c r="Y428" i="19"/>
  <c r="Y429" i="19"/>
  <c r="Y430" i="19"/>
  <c r="Y431" i="19"/>
  <c r="Y432" i="19"/>
  <c r="Y433" i="19"/>
  <c r="Y434" i="19"/>
  <c r="Y435" i="19"/>
  <c r="Y436" i="19"/>
  <c r="Y437" i="19"/>
  <c r="Y438" i="19"/>
  <c r="Y439" i="19"/>
  <c r="Y440" i="19"/>
  <c r="Y441" i="19"/>
  <c r="Y442" i="19"/>
  <c r="Y443" i="19"/>
  <c r="Y444" i="19"/>
  <c r="Y445" i="19"/>
  <c r="Y446" i="19"/>
  <c r="Y447" i="19"/>
  <c r="Y448" i="19"/>
  <c r="Y449" i="19"/>
  <c r="Y450" i="19"/>
  <c r="Y451" i="19"/>
  <c r="Y452" i="19"/>
  <c r="Y453" i="19"/>
  <c r="Y454" i="19"/>
  <c r="Y455" i="19"/>
  <c r="Y456" i="19"/>
  <c r="Y457" i="19"/>
  <c r="Y458" i="19"/>
  <c r="Y459" i="19"/>
  <c r="Y460" i="19"/>
  <c r="Y461" i="19"/>
  <c r="Y462" i="19"/>
  <c r="Y463" i="19"/>
  <c r="Y464" i="19"/>
  <c r="Y465" i="19"/>
  <c r="Y466" i="19"/>
  <c r="Y467" i="19"/>
  <c r="Y468" i="19"/>
  <c r="Y469" i="19"/>
  <c r="Y470" i="19"/>
  <c r="Y471" i="19"/>
  <c r="Y472" i="19"/>
  <c r="Y473" i="19"/>
  <c r="Y474" i="19"/>
  <c r="Y475" i="19"/>
  <c r="Y476" i="19"/>
  <c r="Y477" i="19"/>
  <c r="Y478" i="19"/>
  <c r="Y479" i="19"/>
  <c r="Y480" i="19"/>
  <c r="Y481" i="19"/>
  <c r="Y482" i="19"/>
  <c r="Y483" i="19"/>
  <c r="Y484" i="19"/>
  <c r="Y485" i="19"/>
  <c r="Y486" i="19"/>
  <c r="Y487" i="19"/>
  <c r="Y488" i="19"/>
  <c r="Y489" i="19"/>
  <c r="Y490" i="19"/>
  <c r="Y491" i="19"/>
  <c r="Y492" i="19"/>
  <c r="Y493" i="19"/>
  <c r="Y494" i="19"/>
  <c r="Y495" i="19"/>
  <c r="Y496" i="19"/>
  <c r="Y497" i="19"/>
  <c r="Y498" i="19"/>
  <c r="Y499" i="19"/>
  <c r="Y500" i="19"/>
  <c r="Y501" i="19"/>
  <c r="Y502" i="19"/>
  <c r="Y503" i="19"/>
  <c r="Y504" i="19"/>
  <c r="Y505" i="19"/>
  <c r="Y506" i="19"/>
  <c r="Y507" i="19"/>
  <c r="Y508" i="19"/>
  <c r="Y509" i="19"/>
  <c r="Y510" i="19"/>
  <c r="Y511" i="19"/>
  <c r="Y512" i="19"/>
  <c r="Y513" i="19"/>
  <c r="Y514" i="19"/>
  <c r="Y515" i="19"/>
  <c r="Y516" i="19"/>
  <c r="Y517" i="19"/>
  <c r="Y518" i="19"/>
  <c r="Y519" i="19"/>
  <c r="Y520" i="19"/>
  <c r="Y521" i="19"/>
  <c r="Y522" i="19"/>
  <c r="Y523" i="19"/>
  <c r="Y524" i="19"/>
  <c r="Y525" i="19"/>
  <c r="Y526" i="19"/>
  <c r="Y527" i="19"/>
  <c r="Y528" i="19"/>
  <c r="Y529" i="19"/>
  <c r="Y530" i="19"/>
  <c r="Y531" i="19"/>
  <c r="Y532" i="19"/>
  <c r="Y533" i="19"/>
  <c r="Y534" i="19"/>
  <c r="Y535" i="19"/>
  <c r="Y536" i="19"/>
  <c r="Y537" i="19"/>
  <c r="Y538" i="19"/>
  <c r="Y539" i="19"/>
  <c r="Y540" i="19"/>
  <c r="Y541" i="19"/>
  <c r="Y542" i="19"/>
  <c r="Y543" i="19"/>
  <c r="Y544" i="19"/>
  <c r="Y545" i="19"/>
  <c r="Y546" i="19"/>
  <c r="Y547" i="19"/>
  <c r="Y548" i="19"/>
  <c r="Y549" i="19"/>
  <c r="Y550" i="19"/>
  <c r="Y551" i="19"/>
  <c r="Y552" i="19"/>
  <c r="Y553" i="19"/>
  <c r="Y554" i="19"/>
  <c r="Y555" i="19"/>
  <c r="Y556" i="19"/>
  <c r="Y557" i="19"/>
  <c r="Y558" i="19"/>
  <c r="Y559" i="19"/>
  <c r="Y560" i="19"/>
  <c r="Y561" i="19"/>
  <c r="Y562" i="19"/>
  <c r="Y563" i="19"/>
  <c r="Y564" i="19"/>
  <c r="Y565" i="19"/>
  <c r="Y566" i="19"/>
  <c r="Y567" i="19"/>
  <c r="Y568" i="19"/>
  <c r="Y569" i="19"/>
  <c r="Y570" i="19"/>
  <c r="Y571" i="19"/>
  <c r="Y572" i="19"/>
  <c r="Y573" i="19"/>
  <c r="Y574" i="19"/>
  <c r="Y575" i="19"/>
  <c r="Y576" i="19"/>
  <c r="Y577" i="19"/>
  <c r="Y578" i="19"/>
  <c r="Y579" i="19"/>
  <c r="Y580" i="19"/>
  <c r="Y581" i="19"/>
  <c r="Y582" i="19"/>
  <c r="Y583" i="19"/>
  <c r="Y584" i="19"/>
  <c r="Y585" i="19"/>
  <c r="Y586" i="19"/>
  <c r="Y587" i="19"/>
  <c r="Y588" i="19"/>
  <c r="Y589" i="19"/>
  <c r="Y590" i="19"/>
  <c r="Y591" i="19"/>
  <c r="Y592" i="19"/>
  <c r="Y593" i="19"/>
  <c r="Y594" i="19"/>
  <c r="Y595" i="19"/>
  <c r="Y596" i="19"/>
  <c r="Y597" i="19"/>
  <c r="Y598" i="19"/>
  <c r="Y599" i="19"/>
  <c r="Y600" i="19"/>
  <c r="Y601" i="19"/>
  <c r="Y602" i="19"/>
  <c r="Y603" i="19"/>
  <c r="Y604" i="19"/>
  <c r="Y605" i="19"/>
  <c r="Y606" i="19"/>
  <c r="Y607" i="19"/>
  <c r="Y608" i="19"/>
  <c r="Y609" i="19"/>
  <c r="Y610" i="19"/>
  <c r="Y611" i="19"/>
  <c r="Y612" i="19"/>
  <c r="Y613" i="19"/>
  <c r="Y614" i="19"/>
  <c r="Y615" i="19"/>
  <c r="Y616" i="19"/>
  <c r="Y617" i="19"/>
  <c r="Y618" i="19"/>
  <c r="Y619" i="19"/>
  <c r="Y620" i="19"/>
  <c r="Y621" i="19"/>
  <c r="Y622" i="19"/>
  <c r="Y623" i="19"/>
  <c r="Y624" i="19"/>
  <c r="Y625" i="19"/>
  <c r="Y626" i="19"/>
  <c r="Y627" i="19"/>
  <c r="Y628" i="19"/>
  <c r="Y629" i="19"/>
  <c r="Y630" i="19"/>
  <c r="Y631" i="19"/>
  <c r="Y632" i="19"/>
  <c r="Y633" i="19"/>
  <c r="Y634" i="19"/>
  <c r="Y635" i="19"/>
  <c r="Y636" i="19"/>
  <c r="Y637" i="19"/>
  <c r="Y638" i="19"/>
  <c r="Y639" i="19"/>
  <c r="Y640" i="19"/>
  <c r="Y641" i="19"/>
  <c r="Y642" i="19"/>
  <c r="Y643" i="19"/>
  <c r="Y644" i="19"/>
  <c r="Y645" i="19"/>
  <c r="Y646" i="19"/>
  <c r="Y647" i="19"/>
  <c r="Y648" i="19"/>
  <c r="Y649" i="19"/>
  <c r="Y650" i="19"/>
  <c r="Y651" i="19"/>
  <c r="Y652" i="19"/>
  <c r="Y653" i="19"/>
  <c r="Y654" i="19"/>
  <c r="Y655" i="19"/>
  <c r="Y656" i="19"/>
  <c r="Y657" i="19"/>
  <c r="Y658" i="19"/>
  <c r="Y659" i="19"/>
  <c r="Y660" i="19"/>
  <c r="Y661" i="19"/>
  <c r="Y662" i="19"/>
  <c r="Y663" i="19"/>
  <c r="Y664" i="19"/>
  <c r="Y665" i="19"/>
  <c r="Y666" i="19"/>
  <c r="Y667" i="19"/>
  <c r="Y668" i="19"/>
  <c r="Y669" i="19"/>
  <c r="Y670" i="19"/>
  <c r="Y671" i="19"/>
  <c r="Y672" i="19"/>
  <c r="Y673" i="19"/>
  <c r="Y674" i="19"/>
  <c r="Y675" i="19"/>
  <c r="Y676" i="19"/>
  <c r="Y677" i="19"/>
  <c r="Y678" i="19"/>
  <c r="Y679" i="19"/>
  <c r="Y680" i="19"/>
  <c r="Y681" i="19"/>
  <c r="Y682" i="19"/>
  <c r="Y683" i="19"/>
  <c r="Y684" i="19"/>
  <c r="Y685" i="19"/>
  <c r="Y686" i="19"/>
  <c r="Y687" i="19"/>
  <c r="Y688" i="19"/>
  <c r="Y689" i="19"/>
  <c r="Y690" i="19"/>
  <c r="Y691" i="19"/>
  <c r="Y692" i="19"/>
  <c r="Y693" i="19"/>
  <c r="Y694" i="19"/>
  <c r="Y695" i="19"/>
  <c r="Y696" i="19"/>
  <c r="Y697" i="19"/>
  <c r="Y698" i="19"/>
  <c r="Y699" i="19"/>
  <c r="Y700" i="19"/>
  <c r="Y701" i="19"/>
  <c r="Y702" i="19"/>
  <c r="Y703" i="19"/>
  <c r="Y704" i="19"/>
  <c r="Y705" i="19"/>
  <c r="Y706" i="19"/>
  <c r="Y707" i="19"/>
  <c r="Y708" i="19"/>
  <c r="Y709" i="19"/>
  <c r="Y710" i="19"/>
  <c r="Y711" i="19"/>
  <c r="Y712" i="19"/>
  <c r="Y713" i="19"/>
  <c r="Y714" i="19"/>
  <c r="Y715" i="19"/>
  <c r="Y716" i="19"/>
  <c r="Y717" i="19"/>
  <c r="Y718" i="19"/>
  <c r="Y719" i="19"/>
  <c r="Y720" i="19"/>
  <c r="Y721" i="19"/>
  <c r="Y722" i="19"/>
  <c r="Y723" i="19"/>
  <c r="Y724" i="19"/>
  <c r="Y725" i="19"/>
  <c r="Y726" i="19"/>
  <c r="Y727" i="19"/>
  <c r="Y728" i="19"/>
  <c r="Y729" i="19"/>
  <c r="Y730" i="19"/>
  <c r="Y731" i="19"/>
  <c r="Y732" i="19"/>
  <c r="Y733" i="19"/>
  <c r="Y734" i="19"/>
  <c r="Y735" i="19"/>
  <c r="Y736" i="19"/>
  <c r="Y737" i="19"/>
  <c r="Y738" i="19"/>
  <c r="Y739" i="19"/>
  <c r="Y740" i="19"/>
  <c r="Y741" i="19"/>
  <c r="Y742" i="19"/>
  <c r="Y743" i="19"/>
  <c r="Y744" i="19"/>
  <c r="Y745" i="19"/>
  <c r="Y746" i="19"/>
  <c r="Y747" i="19"/>
  <c r="Y748" i="19"/>
  <c r="Y749" i="19"/>
  <c r="Y750" i="19"/>
  <c r="Y751" i="19"/>
  <c r="Y752" i="19"/>
  <c r="Y753" i="19"/>
  <c r="Y754" i="19"/>
  <c r="Y755" i="19"/>
  <c r="Y756" i="19"/>
  <c r="Y757" i="19"/>
  <c r="Y758" i="19"/>
  <c r="Y759" i="19"/>
  <c r="Y760" i="19"/>
  <c r="Y761" i="19"/>
  <c r="Y762" i="19"/>
  <c r="Y763" i="19"/>
  <c r="Y764" i="19"/>
  <c r="Y765" i="19"/>
  <c r="Y766" i="19"/>
  <c r="Y767" i="19"/>
  <c r="Y768" i="19"/>
  <c r="Y769" i="19"/>
  <c r="Y770" i="19"/>
  <c r="Y771" i="19"/>
  <c r="Y772" i="19"/>
  <c r="Y773" i="19"/>
  <c r="Y774" i="19"/>
  <c r="Y775" i="19"/>
  <c r="Y776" i="19"/>
  <c r="Y777" i="19"/>
  <c r="Y778" i="19"/>
  <c r="Y779" i="19"/>
  <c r="Y780" i="19"/>
  <c r="Y781" i="19"/>
  <c r="Y782" i="19"/>
  <c r="Y783" i="19"/>
  <c r="Y784" i="19"/>
  <c r="Y785" i="19"/>
  <c r="Y786" i="19"/>
  <c r="Y787" i="19"/>
  <c r="Y788" i="19"/>
  <c r="Y789" i="19"/>
  <c r="Y790" i="19"/>
  <c r="Y791" i="19"/>
  <c r="Y792" i="19"/>
  <c r="Y793" i="19"/>
  <c r="Y794" i="19"/>
  <c r="Y795" i="19"/>
  <c r="Y796" i="19"/>
  <c r="Y797" i="19"/>
  <c r="Y798" i="19"/>
  <c r="Y799" i="19"/>
  <c r="Y800" i="19"/>
  <c r="Y801" i="19"/>
  <c r="Y802" i="19"/>
  <c r="Y803" i="19"/>
  <c r="Y804" i="19"/>
  <c r="Y805" i="19"/>
  <c r="Y806" i="19"/>
  <c r="Y807" i="19"/>
  <c r="Y808" i="19"/>
  <c r="Y809" i="19"/>
  <c r="Y810" i="19"/>
  <c r="Y811" i="19"/>
  <c r="Y812" i="19"/>
  <c r="Y813" i="19"/>
  <c r="Y814" i="19"/>
  <c r="Y815" i="19"/>
  <c r="Y816" i="19"/>
  <c r="Y817" i="19"/>
  <c r="Y818" i="19"/>
  <c r="Y819" i="19"/>
  <c r="Y820" i="19"/>
  <c r="Y821" i="19"/>
  <c r="Y822" i="19"/>
  <c r="Y823" i="19"/>
  <c r="Y824" i="19"/>
  <c r="Y825" i="19"/>
  <c r="Y826" i="19"/>
  <c r="Y827" i="19"/>
  <c r="Y828" i="19"/>
  <c r="Y829" i="19"/>
  <c r="Y830" i="19"/>
  <c r="Y831" i="19"/>
  <c r="Y832" i="19"/>
  <c r="Y833" i="19"/>
  <c r="Y834" i="19"/>
  <c r="Y835" i="19"/>
  <c r="Y836" i="19"/>
  <c r="Y837" i="19"/>
  <c r="Y838" i="19"/>
  <c r="Y839" i="19"/>
  <c r="Y840" i="19"/>
  <c r="Y841" i="19"/>
  <c r="Y842" i="19"/>
  <c r="Y843" i="19"/>
  <c r="Y844" i="19"/>
  <c r="Y845" i="19"/>
  <c r="Y846" i="19"/>
  <c r="Y847" i="19"/>
  <c r="Y848" i="19"/>
  <c r="Y849" i="19"/>
  <c r="Y850" i="19"/>
  <c r="Y851" i="19"/>
  <c r="Y852" i="19"/>
  <c r="Y853" i="19"/>
  <c r="Y854" i="19"/>
  <c r="Y855" i="19"/>
  <c r="Y856" i="19"/>
  <c r="Y857" i="19"/>
  <c r="Y858" i="19"/>
  <c r="Y859" i="19"/>
  <c r="Y860" i="19"/>
  <c r="Y861" i="19"/>
  <c r="Y862" i="19"/>
  <c r="Y863" i="19"/>
  <c r="Y864" i="19"/>
  <c r="Y865" i="19"/>
  <c r="Y866" i="19"/>
  <c r="Y867" i="19"/>
  <c r="Y868" i="19"/>
  <c r="Y869" i="19"/>
  <c r="Y870" i="19"/>
  <c r="Y871" i="19"/>
  <c r="Y872" i="19"/>
  <c r="Y873" i="19"/>
  <c r="Y874" i="19"/>
  <c r="Y875" i="19"/>
  <c r="Y876" i="19"/>
  <c r="Y877" i="19"/>
  <c r="Y2" i="19"/>
  <c r="X3" i="19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X71" i="19"/>
  <c r="X72" i="19"/>
  <c r="X73" i="19"/>
  <c r="X74" i="19"/>
  <c r="X75" i="19"/>
  <c r="X76" i="19"/>
  <c r="X77" i="19"/>
  <c r="X78" i="19"/>
  <c r="X79" i="19"/>
  <c r="X80" i="19"/>
  <c r="X81" i="19"/>
  <c r="X82" i="19"/>
  <c r="X83" i="19"/>
  <c r="X84" i="19"/>
  <c r="X85" i="19"/>
  <c r="X86" i="19"/>
  <c r="X87" i="19"/>
  <c r="X88" i="19"/>
  <c r="X89" i="19"/>
  <c r="X90" i="19"/>
  <c r="X91" i="19"/>
  <c r="X92" i="19"/>
  <c r="X93" i="19"/>
  <c r="X94" i="19"/>
  <c r="X95" i="19"/>
  <c r="X96" i="19"/>
  <c r="X97" i="19"/>
  <c r="X98" i="19"/>
  <c r="X99" i="19"/>
  <c r="X100" i="19"/>
  <c r="X101" i="19"/>
  <c r="X102" i="19"/>
  <c r="X103" i="19"/>
  <c r="X104" i="19"/>
  <c r="X105" i="19"/>
  <c r="X106" i="19"/>
  <c r="X107" i="19"/>
  <c r="X108" i="19"/>
  <c r="X109" i="19"/>
  <c r="X110" i="19"/>
  <c r="X111" i="19"/>
  <c r="X112" i="19"/>
  <c r="X113" i="19"/>
  <c r="X114" i="19"/>
  <c r="X115" i="19"/>
  <c r="X116" i="19"/>
  <c r="X117" i="19"/>
  <c r="X118" i="19"/>
  <c r="X119" i="19"/>
  <c r="X120" i="19"/>
  <c r="X121" i="19"/>
  <c r="X122" i="19"/>
  <c r="X123" i="19"/>
  <c r="X124" i="19"/>
  <c r="X125" i="19"/>
  <c r="X126" i="19"/>
  <c r="X127" i="19"/>
  <c r="X128" i="19"/>
  <c r="X129" i="19"/>
  <c r="X130" i="19"/>
  <c r="X131" i="19"/>
  <c r="X132" i="19"/>
  <c r="X133" i="19"/>
  <c r="X134" i="19"/>
  <c r="X135" i="19"/>
  <c r="X136" i="19"/>
  <c r="X137" i="19"/>
  <c r="X138" i="19"/>
  <c r="X139" i="19"/>
  <c r="X140" i="19"/>
  <c r="X141" i="19"/>
  <c r="X142" i="19"/>
  <c r="X143" i="19"/>
  <c r="X144" i="19"/>
  <c r="X145" i="19"/>
  <c r="X146" i="19"/>
  <c r="X147" i="19"/>
  <c r="X148" i="19"/>
  <c r="X149" i="19"/>
  <c r="X150" i="19"/>
  <c r="X151" i="19"/>
  <c r="X152" i="19"/>
  <c r="X153" i="19"/>
  <c r="X154" i="19"/>
  <c r="X155" i="19"/>
  <c r="X156" i="19"/>
  <c r="X157" i="19"/>
  <c r="X158" i="19"/>
  <c r="X159" i="19"/>
  <c r="X160" i="19"/>
  <c r="X161" i="19"/>
  <c r="X162" i="19"/>
  <c r="X163" i="19"/>
  <c r="X164" i="19"/>
  <c r="X165" i="19"/>
  <c r="X166" i="19"/>
  <c r="X167" i="19"/>
  <c r="X168" i="19"/>
  <c r="X169" i="19"/>
  <c r="X170" i="19"/>
  <c r="X171" i="19"/>
  <c r="X172" i="19"/>
  <c r="X173" i="19"/>
  <c r="X174" i="19"/>
  <c r="X175" i="19"/>
  <c r="X176" i="19"/>
  <c r="X177" i="19"/>
  <c r="X178" i="19"/>
  <c r="X179" i="19"/>
  <c r="X180" i="19"/>
  <c r="X181" i="19"/>
  <c r="X182" i="19"/>
  <c r="X183" i="19"/>
  <c r="X184" i="19"/>
  <c r="X185" i="19"/>
  <c r="X186" i="19"/>
  <c r="X187" i="19"/>
  <c r="X188" i="19"/>
  <c r="X189" i="19"/>
  <c r="X190" i="19"/>
  <c r="X191" i="19"/>
  <c r="X192" i="19"/>
  <c r="X193" i="19"/>
  <c r="X194" i="19"/>
  <c r="X195" i="19"/>
  <c r="X196" i="19"/>
  <c r="X197" i="19"/>
  <c r="X198" i="19"/>
  <c r="X199" i="19"/>
  <c r="X200" i="19"/>
  <c r="X201" i="19"/>
  <c r="X202" i="19"/>
  <c r="X203" i="19"/>
  <c r="X204" i="19"/>
  <c r="X205" i="19"/>
  <c r="X206" i="19"/>
  <c r="X207" i="19"/>
  <c r="X208" i="19"/>
  <c r="X209" i="19"/>
  <c r="X210" i="19"/>
  <c r="X211" i="19"/>
  <c r="X212" i="19"/>
  <c r="X213" i="19"/>
  <c r="X214" i="19"/>
  <c r="X215" i="19"/>
  <c r="X216" i="19"/>
  <c r="X217" i="19"/>
  <c r="X218" i="19"/>
  <c r="X219" i="19"/>
  <c r="X220" i="19"/>
  <c r="X221" i="19"/>
  <c r="X222" i="19"/>
  <c r="X223" i="19"/>
  <c r="X224" i="19"/>
  <c r="X225" i="19"/>
  <c r="X226" i="19"/>
  <c r="X227" i="19"/>
  <c r="X228" i="19"/>
  <c r="X229" i="19"/>
  <c r="X230" i="19"/>
  <c r="X231" i="19"/>
  <c r="X232" i="19"/>
  <c r="X233" i="19"/>
  <c r="X234" i="19"/>
  <c r="X235" i="19"/>
  <c r="X236" i="19"/>
  <c r="X237" i="19"/>
  <c r="X238" i="19"/>
  <c r="X239" i="19"/>
  <c r="X240" i="19"/>
  <c r="X241" i="19"/>
  <c r="X242" i="19"/>
  <c r="X243" i="19"/>
  <c r="X244" i="19"/>
  <c r="X245" i="19"/>
  <c r="X246" i="19"/>
  <c r="X247" i="19"/>
  <c r="X248" i="19"/>
  <c r="X249" i="19"/>
  <c r="X250" i="19"/>
  <c r="X251" i="19"/>
  <c r="X252" i="19"/>
  <c r="X253" i="19"/>
  <c r="X254" i="19"/>
  <c r="X255" i="19"/>
  <c r="X256" i="19"/>
  <c r="X257" i="19"/>
  <c r="X258" i="19"/>
  <c r="X259" i="19"/>
  <c r="X260" i="19"/>
  <c r="X261" i="19"/>
  <c r="X262" i="19"/>
  <c r="X263" i="19"/>
  <c r="X264" i="19"/>
  <c r="X265" i="19"/>
  <c r="X266" i="19"/>
  <c r="X267" i="19"/>
  <c r="X268" i="19"/>
  <c r="X269" i="19"/>
  <c r="X270" i="19"/>
  <c r="X271" i="19"/>
  <c r="X272" i="19"/>
  <c r="X273" i="19"/>
  <c r="X274" i="19"/>
  <c r="X275" i="19"/>
  <c r="X276" i="19"/>
  <c r="X277" i="19"/>
  <c r="X278" i="19"/>
  <c r="X279" i="19"/>
  <c r="X280" i="19"/>
  <c r="X281" i="19"/>
  <c r="X282" i="19"/>
  <c r="X283" i="19"/>
  <c r="X284" i="19"/>
  <c r="X285" i="19"/>
  <c r="X286" i="19"/>
  <c r="X287" i="19"/>
  <c r="X288" i="19"/>
  <c r="X289" i="19"/>
  <c r="X290" i="19"/>
  <c r="X291" i="19"/>
  <c r="X292" i="19"/>
  <c r="X293" i="19"/>
  <c r="X294" i="19"/>
  <c r="X295" i="19"/>
  <c r="X296" i="19"/>
  <c r="X297" i="19"/>
  <c r="X298" i="19"/>
  <c r="X299" i="19"/>
  <c r="X300" i="19"/>
  <c r="X301" i="19"/>
  <c r="X302" i="19"/>
  <c r="X303" i="19"/>
  <c r="X304" i="19"/>
  <c r="X305" i="19"/>
  <c r="X306" i="19"/>
  <c r="X307" i="19"/>
  <c r="X308" i="19"/>
  <c r="X309" i="19"/>
  <c r="X310" i="19"/>
  <c r="X311" i="19"/>
  <c r="X312" i="19"/>
  <c r="X313" i="19"/>
  <c r="X314" i="19"/>
  <c r="X315" i="19"/>
  <c r="X316" i="19"/>
  <c r="X317" i="19"/>
  <c r="X318" i="19"/>
  <c r="X319" i="19"/>
  <c r="X320" i="19"/>
  <c r="X321" i="19"/>
  <c r="X322" i="19"/>
  <c r="X323" i="19"/>
  <c r="X324" i="19"/>
  <c r="X325" i="19"/>
  <c r="X326" i="19"/>
  <c r="X327" i="19"/>
  <c r="X328" i="19"/>
  <c r="X329" i="19"/>
  <c r="X330" i="19"/>
  <c r="X331" i="19"/>
  <c r="X332" i="19"/>
  <c r="X333" i="19"/>
  <c r="X334" i="19"/>
  <c r="X335" i="19"/>
  <c r="X336" i="19"/>
  <c r="X337" i="19"/>
  <c r="X338" i="19"/>
  <c r="X339" i="19"/>
  <c r="X340" i="19"/>
  <c r="X341" i="19"/>
  <c r="X342" i="19"/>
  <c r="X343" i="19"/>
  <c r="X344" i="19"/>
  <c r="X345" i="19"/>
  <c r="X346" i="19"/>
  <c r="X347" i="19"/>
  <c r="X348" i="19"/>
  <c r="X349" i="19"/>
  <c r="X350" i="19"/>
  <c r="X351" i="19"/>
  <c r="X352" i="19"/>
  <c r="X353" i="19"/>
  <c r="X354" i="19"/>
  <c r="X355" i="19"/>
  <c r="X356" i="19"/>
  <c r="X357" i="19"/>
  <c r="X358" i="19"/>
  <c r="X359" i="19"/>
  <c r="X360" i="19"/>
  <c r="X361" i="19"/>
  <c r="X362" i="19"/>
  <c r="X363" i="19"/>
  <c r="X364" i="19"/>
  <c r="X365" i="19"/>
  <c r="X366" i="19"/>
  <c r="X367" i="19"/>
  <c r="X368" i="19"/>
  <c r="X369" i="19"/>
  <c r="X370" i="19"/>
  <c r="X371" i="19"/>
  <c r="X372" i="19"/>
  <c r="X373" i="19"/>
  <c r="X374" i="19"/>
  <c r="X375" i="19"/>
  <c r="X376" i="19"/>
  <c r="X377" i="19"/>
  <c r="X378" i="19"/>
  <c r="X379" i="19"/>
  <c r="X380" i="19"/>
  <c r="X381" i="19"/>
  <c r="X382" i="19"/>
  <c r="X383" i="19"/>
  <c r="X384" i="19"/>
  <c r="X385" i="19"/>
  <c r="X386" i="19"/>
  <c r="X387" i="19"/>
  <c r="X388" i="19"/>
  <c r="X389" i="19"/>
  <c r="X390" i="19"/>
  <c r="X391" i="19"/>
  <c r="X392" i="19"/>
  <c r="X393" i="19"/>
  <c r="X394" i="19"/>
  <c r="X395" i="19"/>
  <c r="X396" i="19"/>
  <c r="X397" i="19"/>
  <c r="X398" i="19"/>
  <c r="X399" i="19"/>
  <c r="X400" i="19"/>
  <c r="X401" i="19"/>
  <c r="X402" i="19"/>
  <c r="X403" i="19"/>
  <c r="X404" i="19"/>
  <c r="X405" i="19"/>
  <c r="X406" i="19"/>
  <c r="X407" i="19"/>
  <c r="X408" i="19"/>
  <c r="X409" i="19"/>
  <c r="X410" i="19"/>
  <c r="X411" i="19"/>
  <c r="X412" i="19"/>
  <c r="X413" i="19"/>
  <c r="X414" i="19"/>
  <c r="X415" i="19"/>
  <c r="X416" i="19"/>
  <c r="X417" i="19"/>
  <c r="X418" i="19"/>
  <c r="X419" i="19"/>
  <c r="X420" i="19"/>
  <c r="X421" i="19"/>
  <c r="X422" i="19"/>
  <c r="X423" i="19"/>
  <c r="X424" i="19"/>
  <c r="X425" i="19"/>
  <c r="X426" i="19"/>
  <c r="X427" i="19"/>
  <c r="X428" i="19"/>
  <c r="X429" i="19"/>
  <c r="X430" i="19"/>
  <c r="X431" i="19"/>
  <c r="X432" i="19"/>
  <c r="X433" i="19"/>
  <c r="X434" i="19"/>
  <c r="X435" i="19"/>
  <c r="X436" i="19"/>
  <c r="X437" i="19"/>
  <c r="X438" i="19"/>
  <c r="X439" i="19"/>
  <c r="X440" i="19"/>
  <c r="X441" i="19"/>
  <c r="X442" i="19"/>
  <c r="X443" i="19"/>
  <c r="X444" i="19"/>
  <c r="X445" i="19"/>
  <c r="X446" i="19"/>
  <c r="X447" i="19"/>
  <c r="X448" i="19"/>
  <c r="X449" i="19"/>
  <c r="X450" i="19"/>
  <c r="X451" i="19"/>
  <c r="X452" i="19"/>
  <c r="X453" i="19"/>
  <c r="X454" i="19"/>
  <c r="X455" i="19"/>
  <c r="X456" i="19"/>
  <c r="X457" i="19"/>
  <c r="X458" i="19"/>
  <c r="X459" i="19"/>
  <c r="X460" i="19"/>
  <c r="X461" i="19"/>
  <c r="X462" i="19"/>
  <c r="X463" i="19"/>
  <c r="X464" i="19"/>
  <c r="X465" i="19"/>
  <c r="X466" i="19"/>
  <c r="X467" i="19"/>
  <c r="X468" i="19"/>
  <c r="X469" i="19"/>
  <c r="X470" i="19"/>
  <c r="X471" i="19"/>
  <c r="X472" i="19"/>
  <c r="X473" i="19"/>
  <c r="X474" i="19"/>
  <c r="X475" i="19"/>
  <c r="X476" i="19"/>
  <c r="X477" i="19"/>
  <c r="X478" i="19"/>
  <c r="X479" i="19"/>
  <c r="X480" i="19"/>
  <c r="X481" i="19"/>
  <c r="X482" i="19"/>
  <c r="X483" i="19"/>
  <c r="X484" i="19"/>
  <c r="X485" i="19"/>
  <c r="X486" i="19"/>
  <c r="X487" i="19"/>
  <c r="X488" i="19"/>
  <c r="X489" i="19"/>
  <c r="X490" i="19"/>
  <c r="X491" i="19"/>
  <c r="X492" i="19"/>
  <c r="X493" i="19"/>
  <c r="X494" i="19"/>
  <c r="X495" i="19"/>
  <c r="X496" i="19"/>
  <c r="X497" i="19"/>
  <c r="X498" i="19"/>
  <c r="X499" i="19"/>
  <c r="X500" i="19"/>
  <c r="X501" i="19"/>
  <c r="X502" i="19"/>
  <c r="X503" i="19"/>
  <c r="X504" i="19"/>
  <c r="X505" i="19"/>
  <c r="X506" i="19"/>
  <c r="X507" i="19"/>
  <c r="X508" i="19"/>
  <c r="X509" i="19"/>
  <c r="X510" i="19"/>
  <c r="X511" i="19"/>
  <c r="X512" i="19"/>
  <c r="X513" i="19"/>
  <c r="X514" i="19"/>
  <c r="X515" i="19"/>
  <c r="X516" i="19"/>
  <c r="X517" i="19"/>
  <c r="X518" i="19"/>
  <c r="X519" i="19"/>
  <c r="X520" i="19"/>
  <c r="X521" i="19"/>
  <c r="X522" i="19"/>
  <c r="X523" i="19"/>
  <c r="X524" i="19"/>
  <c r="X525" i="19"/>
  <c r="X526" i="19"/>
  <c r="X527" i="19"/>
  <c r="X528" i="19"/>
  <c r="X529" i="19"/>
  <c r="X530" i="19"/>
  <c r="X531" i="19"/>
  <c r="X532" i="19"/>
  <c r="X533" i="19"/>
  <c r="X534" i="19"/>
  <c r="X535" i="19"/>
  <c r="X536" i="19"/>
  <c r="X537" i="19"/>
  <c r="X538" i="19"/>
  <c r="X539" i="19"/>
  <c r="X540" i="19"/>
  <c r="X541" i="19"/>
  <c r="X542" i="19"/>
  <c r="X543" i="19"/>
  <c r="X544" i="19"/>
  <c r="X545" i="19"/>
  <c r="X546" i="19"/>
  <c r="X547" i="19"/>
  <c r="X548" i="19"/>
  <c r="X549" i="19"/>
  <c r="X550" i="19"/>
  <c r="X551" i="19"/>
  <c r="X552" i="19"/>
  <c r="X553" i="19"/>
  <c r="X554" i="19"/>
  <c r="X555" i="19"/>
  <c r="X556" i="19"/>
  <c r="X557" i="19"/>
  <c r="X558" i="19"/>
  <c r="X559" i="19"/>
  <c r="X560" i="19"/>
  <c r="X561" i="19"/>
  <c r="X562" i="19"/>
  <c r="X563" i="19"/>
  <c r="X564" i="19"/>
  <c r="X565" i="19"/>
  <c r="X566" i="19"/>
  <c r="X567" i="19"/>
  <c r="X568" i="19"/>
  <c r="X569" i="19"/>
  <c r="X570" i="19"/>
  <c r="X571" i="19"/>
  <c r="X572" i="19"/>
  <c r="X573" i="19"/>
  <c r="X574" i="19"/>
  <c r="X575" i="19"/>
  <c r="X576" i="19"/>
  <c r="X577" i="19"/>
  <c r="X578" i="19"/>
  <c r="X579" i="19"/>
  <c r="X580" i="19"/>
  <c r="X581" i="19"/>
  <c r="X582" i="19"/>
  <c r="X583" i="19"/>
  <c r="X584" i="19"/>
  <c r="X585" i="19"/>
  <c r="X586" i="19"/>
  <c r="X587" i="19"/>
  <c r="X588" i="19"/>
  <c r="X589" i="19"/>
  <c r="X590" i="19"/>
  <c r="X591" i="19"/>
  <c r="X592" i="19"/>
  <c r="X593" i="19"/>
  <c r="X594" i="19"/>
  <c r="X595" i="19"/>
  <c r="X596" i="19"/>
  <c r="X597" i="19"/>
  <c r="X598" i="19"/>
  <c r="X599" i="19"/>
  <c r="X600" i="19"/>
  <c r="X601" i="19"/>
  <c r="X602" i="19"/>
  <c r="X603" i="19"/>
  <c r="X604" i="19"/>
  <c r="X605" i="19"/>
  <c r="X606" i="19"/>
  <c r="X607" i="19"/>
  <c r="X608" i="19"/>
  <c r="X609" i="19"/>
  <c r="X610" i="19"/>
  <c r="X611" i="19"/>
  <c r="X612" i="19"/>
  <c r="X613" i="19"/>
  <c r="X614" i="19"/>
  <c r="X615" i="19"/>
  <c r="X616" i="19"/>
  <c r="X617" i="19"/>
  <c r="X618" i="19"/>
  <c r="X619" i="19"/>
  <c r="X620" i="19"/>
  <c r="X621" i="19"/>
  <c r="X622" i="19"/>
  <c r="X623" i="19"/>
  <c r="X624" i="19"/>
  <c r="X625" i="19"/>
  <c r="X626" i="19"/>
  <c r="X627" i="19"/>
  <c r="X628" i="19"/>
  <c r="X629" i="19"/>
  <c r="X630" i="19"/>
  <c r="X631" i="19"/>
  <c r="X632" i="19"/>
  <c r="X633" i="19"/>
  <c r="X634" i="19"/>
  <c r="X635" i="19"/>
  <c r="X636" i="19"/>
  <c r="X637" i="19"/>
  <c r="X638" i="19"/>
  <c r="X639" i="19"/>
  <c r="X640" i="19"/>
  <c r="X641" i="19"/>
  <c r="X642" i="19"/>
  <c r="X643" i="19"/>
  <c r="X644" i="19"/>
  <c r="X645" i="19"/>
  <c r="X646" i="19"/>
  <c r="X647" i="19"/>
  <c r="X648" i="19"/>
  <c r="X649" i="19"/>
  <c r="X650" i="19"/>
  <c r="X651" i="19"/>
  <c r="X652" i="19"/>
  <c r="X653" i="19"/>
  <c r="X654" i="19"/>
  <c r="X655" i="19"/>
  <c r="X656" i="19"/>
  <c r="X657" i="19"/>
  <c r="X658" i="19"/>
  <c r="X659" i="19"/>
  <c r="X660" i="19"/>
  <c r="X661" i="19"/>
  <c r="X662" i="19"/>
  <c r="X663" i="19"/>
  <c r="X664" i="19"/>
  <c r="X665" i="19"/>
  <c r="X666" i="19"/>
  <c r="X667" i="19"/>
  <c r="X668" i="19"/>
  <c r="X669" i="19"/>
  <c r="X670" i="19"/>
  <c r="X671" i="19"/>
  <c r="X672" i="19"/>
  <c r="X673" i="19"/>
  <c r="X674" i="19"/>
  <c r="X675" i="19"/>
  <c r="X676" i="19"/>
  <c r="X677" i="19"/>
  <c r="X678" i="19"/>
  <c r="X679" i="19"/>
  <c r="X680" i="19"/>
  <c r="X681" i="19"/>
  <c r="X682" i="19"/>
  <c r="X683" i="19"/>
  <c r="X684" i="19"/>
  <c r="X685" i="19"/>
  <c r="X686" i="19"/>
  <c r="X687" i="19"/>
  <c r="X688" i="19"/>
  <c r="X689" i="19"/>
  <c r="X690" i="19"/>
  <c r="X691" i="19"/>
  <c r="X692" i="19"/>
  <c r="X693" i="19"/>
  <c r="X694" i="19"/>
  <c r="X695" i="19"/>
  <c r="X696" i="19"/>
  <c r="X697" i="19"/>
  <c r="X698" i="19"/>
  <c r="X699" i="19"/>
  <c r="X700" i="19"/>
  <c r="X701" i="19"/>
  <c r="X702" i="19"/>
  <c r="X703" i="19"/>
  <c r="X704" i="19"/>
  <c r="X705" i="19"/>
  <c r="X706" i="19"/>
  <c r="X707" i="19"/>
  <c r="X708" i="19"/>
  <c r="X709" i="19"/>
  <c r="X710" i="19"/>
  <c r="X711" i="19"/>
  <c r="X712" i="19"/>
  <c r="X713" i="19"/>
  <c r="X714" i="19"/>
  <c r="X715" i="19"/>
  <c r="X716" i="19"/>
  <c r="X717" i="19"/>
  <c r="X718" i="19"/>
  <c r="X719" i="19"/>
  <c r="X720" i="19"/>
  <c r="X721" i="19"/>
  <c r="X722" i="19"/>
  <c r="X723" i="19"/>
  <c r="X724" i="19"/>
  <c r="X725" i="19"/>
  <c r="X726" i="19"/>
  <c r="X727" i="19"/>
  <c r="X728" i="19"/>
  <c r="X729" i="19"/>
  <c r="X730" i="19"/>
  <c r="X731" i="19"/>
  <c r="X732" i="19"/>
  <c r="X733" i="19"/>
  <c r="X734" i="19"/>
  <c r="X735" i="19"/>
  <c r="X736" i="19"/>
  <c r="X737" i="19"/>
  <c r="X738" i="19"/>
  <c r="X739" i="19"/>
  <c r="X740" i="19"/>
  <c r="X741" i="19"/>
  <c r="X742" i="19"/>
  <c r="X743" i="19"/>
  <c r="X744" i="19"/>
  <c r="X745" i="19"/>
  <c r="X746" i="19"/>
  <c r="X747" i="19"/>
  <c r="X748" i="19"/>
  <c r="X749" i="19"/>
  <c r="X750" i="19"/>
  <c r="X751" i="19"/>
  <c r="X752" i="19"/>
  <c r="X753" i="19"/>
  <c r="X754" i="19"/>
  <c r="X755" i="19"/>
  <c r="X756" i="19"/>
  <c r="X757" i="19"/>
  <c r="X758" i="19"/>
  <c r="X759" i="19"/>
  <c r="X760" i="19"/>
  <c r="X761" i="19"/>
  <c r="X762" i="19"/>
  <c r="X763" i="19"/>
  <c r="X764" i="19"/>
  <c r="X765" i="19"/>
  <c r="X766" i="19"/>
  <c r="X767" i="19"/>
  <c r="X768" i="19"/>
  <c r="X769" i="19"/>
  <c r="X770" i="19"/>
  <c r="X771" i="19"/>
  <c r="X772" i="19"/>
  <c r="X773" i="19"/>
  <c r="X774" i="19"/>
  <c r="X775" i="19"/>
  <c r="X776" i="19"/>
  <c r="X777" i="19"/>
  <c r="X778" i="19"/>
  <c r="X779" i="19"/>
  <c r="X780" i="19"/>
  <c r="X781" i="19"/>
  <c r="X782" i="19"/>
  <c r="X783" i="19"/>
  <c r="X784" i="19"/>
  <c r="X785" i="19"/>
  <c r="X786" i="19"/>
  <c r="X787" i="19"/>
  <c r="X788" i="19"/>
  <c r="X789" i="19"/>
  <c r="X790" i="19"/>
  <c r="X791" i="19"/>
  <c r="X792" i="19"/>
  <c r="X793" i="19"/>
  <c r="X794" i="19"/>
  <c r="X795" i="19"/>
  <c r="X796" i="19"/>
  <c r="X797" i="19"/>
  <c r="X798" i="19"/>
  <c r="X799" i="19"/>
  <c r="X800" i="19"/>
  <c r="X801" i="19"/>
  <c r="X802" i="19"/>
  <c r="X803" i="19"/>
  <c r="X804" i="19"/>
  <c r="X805" i="19"/>
  <c r="X806" i="19"/>
  <c r="X807" i="19"/>
  <c r="X808" i="19"/>
  <c r="X809" i="19"/>
  <c r="X810" i="19"/>
  <c r="X811" i="19"/>
  <c r="X812" i="19"/>
  <c r="X813" i="19"/>
  <c r="X814" i="19"/>
  <c r="X815" i="19"/>
  <c r="X816" i="19"/>
  <c r="X817" i="19"/>
  <c r="X818" i="19"/>
  <c r="X819" i="19"/>
  <c r="X820" i="19"/>
  <c r="X821" i="19"/>
  <c r="X822" i="19"/>
  <c r="X823" i="19"/>
  <c r="X824" i="19"/>
  <c r="X825" i="19"/>
  <c r="X826" i="19"/>
  <c r="X827" i="19"/>
  <c r="X828" i="19"/>
  <c r="X829" i="19"/>
  <c r="X830" i="19"/>
  <c r="X831" i="19"/>
  <c r="X832" i="19"/>
  <c r="X833" i="19"/>
  <c r="X834" i="19"/>
  <c r="X835" i="19"/>
  <c r="X836" i="19"/>
  <c r="X837" i="19"/>
  <c r="X838" i="19"/>
  <c r="X839" i="19"/>
  <c r="X840" i="19"/>
  <c r="X841" i="19"/>
  <c r="X842" i="19"/>
  <c r="X843" i="19"/>
  <c r="X844" i="19"/>
  <c r="X845" i="19"/>
  <c r="X846" i="19"/>
  <c r="X847" i="19"/>
  <c r="X848" i="19"/>
  <c r="X849" i="19"/>
  <c r="X850" i="19"/>
  <c r="X851" i="19"/>
  <c r="X852" i="19"/>
  <c r="X853" i="19"/>
  <c r="X854" i="19"/>
  <c r="X855" i="19"/>
  <c r="X856" i="19"/>
  <c r="X857" i="19"/>
  <c r="X858" i="19"/>
  <c r="X859" i="19"/>
  <c r="X860" i="19"/>
  <c r="X861" i="19"/>
  <c r="X862" i="19"/>
  <c r="X863" i="19"/>
  <c r="X864" i="19"/>
  <c r="X865" i="19"/>
  <c r="X866" i="19"/>
  <c r="X867" i="19"/>
  <c r="X868" i="19"/>
  <c r="X869" i="19"/>
  <c r="X870" i="19"/>
  <c r="X871" i="19"/>
  <c r="X872" i="19"/>
  <c r="X873" i="19"/>
  <c r="X874" i="19"/>
  <c r="X875" i="19"/>
  <c r="X876" i="19"/>
  <c r="X877" i="19"/>
  <c r="X2" i="19"/>
  <c r="G579" i="11"/>
  <c r="G562" i="11"/>
  <c r="G549" i="11"/>
  <c r="G305" i="11"/>
  <c r="G106" i="11"/>
  <c r="H3" i="10"/>
  <c r="C3" i="10" s="1"/>
  <c r="H12" i="10"/>
  <c r="G12" i="10" s="1"/>
  <c r="G15" i="10" s="1"/>
  <c r="H11" i="10"/>
  <c r="G11" i="10" s="1"/>
  <c r="H10" i="10"/>
  <c r="G10" i="10" s="1"/>
  <c r="H9" i="10"/>
  <c r="H8" i="10"/>
  <c r="D9" i="10"/>
  <c r="C9" i="10" s="1"/>
  <c r="D8" i="10"/>
  <c r="C8" i="10" s="1"/>
  <c r="H14" i="10"/>
  <c r="H6" i="10"/>
  <c r="G6" i="10" s="1"/>
  <c r="H5" i="10"/>
  <c r="G5" i="10" s="1"/>
  <c r="H4" i="10"/>
  <c r="G4" i="10" s="1"/>
  <c r="D4" i="10"/>
  <c r="C4" i="10" s="1"/>
  <c r="D6" i="10"/>
  <c r="D5" i="10"/>
  <c r="G14" i="10" l="1"/>
  <c r="G8" i="10"/>
  <c r="G9" i="10"/>
  <c r="C6" i="10"/>
  <c r="C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2" authorId="0" shapeId="0" xr:uid="{8E5F68BA-AFDB-4AC7-A18B-5D7A12B53140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OBJETIVO REQUERIDO POR CORPORATIVO 
</t>
        </r>
      </text>
    </comment>
    <comment ref="F2" authorId="0" shapeId="0" xr:uid="{051366A7-C7BB-42CE-8E02-97B21C3FB6A1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RENDIMIENTO OBTENIDO 
</t>
        </r>
      </text>
    </comment>
    <comment ref="H2" authorId="0" shapeId="0" xr:uid="{7A0374CC-1AF2-4FE4-8CB7-F93283E2C994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SEMANA DE RETROACTIVOS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5" authorId="0" shapeId="0" xr:uid="{18B3F132-8E04-4533-9829-055D3159191E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O SIN SINIESTRO
</t>
        </r>
      </text>
    </comment>
    <comment ref="F5" authorId="0" shapeId="0" xr:uid="{63D39F9A-E819-46D0-91AB-1DF58E48084C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CON O SIN QUEJA 
</t>
        </r>
      </text>
    </comment>
    <comment ref="G5" authorId="0" shapeId="0" xr:uid="{784FABEF-DFAA-40C6-9541-AAFDB506606F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AGREGAR SCORE OBTENIDO 
</t>
        </r>
      </text>
    </comment>
  </commentList>
</comments>
</file>

<file path=xl/sharedStrings.xml><?xml version="1.0" encoding="utf-8"?>
<sst xmlns="http://schemas.openxmlformats.org/spreadsheetml/2006/main" count="46060" uniqueCount="3726">
  <si>
    <t>NOMBRE</t>
  </si>
  <si>
    <t>TOTAL</t>
  </si>
  <si>
    <t>SINIESTROS</t>
  </si>
  <si>
    <t>LIPU</t>
  </si>
  <si>
    <t>Este documento es de carácter informativo. Su contenido carece de valor oficial, por lo que de requerir su “recibo de nómina”, favor de solicitarlo en oficinas de Transportes LIPU.</t>
  </si>
  <si>
    <t>NÓMINA</t>
  </si>
  <si>
    <t>OLVERA BARAJAS ISMAEL</t>
  </si>
  <si>
    <t>RAMIREZ RODRIGUEZ JESUS</t>
  </si>
  <si>
    <t>AMBRIZ MERCADO MARTIN</t>
  </si>
  <si>
    <t>MARTINEZ OCHOA PAULO</t>
  </si>
  <si>
    <t>GUTIERREZ VELEZ FRANCISCO</t>
  </si>
  <si>
    <t>ORTIZ GARCIA LUIS ALBERTO</t>
  </si>
  <si>
    <t>NAJAR LOPEZ JOSE SERGIO</t>
  </si>
  <si>
    <t>GUZMAN MUNGUIA LUIS JAVIER</t>
  </si>
  <si>
    <t>ALONZO PEREZ JOSE REYES</t>
  </si>
  <si>
    <t>LARIOS ALCARAZ EDUARDO</t>
  </si>
  <si>
    <t>TABARES FLORES OSCAR ALEJANDRO</t>
  </si>
  <si>
    <t>ROBLES DEADEL LAZARO</t>
  </si>
  <si>
    <t>LINARES CISNEROS JOSE ANTONIO</t>
  </si>
  <si>
    <t>OLIVARES HERNANDEZ GABRIEL</t>
  </si>
  <si>
    <t>GONZALEZ MANZO JAVIER OSWALDO</t>
  </si>
  <si>
    <t>YEPEZ VAZQUEZ JOAN</t>
  </si>
  <si>
    <t>BALTAZAR MENDOZA HORACIO</t>
  </si>
  <si>
    <t>CARRILLO REYNOSO JESUS ALEJANDRO</t>
  </si>
  <si>
    <t>OSORIO HERNANDEZ DOMINGO</t>
  </si>
  <si>
    <t>BECERRA LUNA GUILLERMO</t>
  </si>
  <si>
    <t>MARTINEZ ZAVALA FRANCISCO ESPIRIDION</t>
  </si>
  <si>
    <t>MORALES AGUILAR ALBERTO</t>
  </si>
  <si>
    <t>TABARES VAZQUEZ MARTIN</t>
  </si>
  <si>
    <t>OLEA SANCHEZ JOSE LUIS</t>
  </si>
  <si>
    <t>RAMOS ANGUIANO SERGIO DAVID</t>
  </si>
  <si>
    <t>ORTIZ HERNANDEZ JESUS GUADALUPE</t>
  </si>
  <si>
    <t>ESTRADA ALVAREZ FERNANDO</t>
  </si>
  <si>
    <t>LARIOS SANCHEZ HECTOR ALEXANDER</t>
  </si>
  <si>
    <t>GONZALEZ VALENCIA BARTOLO</t>
  </si>
  <si>
    <t>CORTES ARMENTA HERNAN</t>
  </si>
  <si>
    <t>HERNANDEZ RON BLANCA HERLINDA</t>
  </si>
  <si>
    <t>RIVERA MARTINEZ GUSTAVO</t>
  </si>
  <si>
    <t>BAUTISTA SOLORIO JAIME</t>
  </si>
  <si>
    <t>HERNANDEZ ORTEGA RAUL</t>
  </si>
  <si>
    <t>COBIAN AYALA EDGAR</t>
  </si>
  <si>
    <t>TORRES GUARDADO JOSE LUIS</t>
  </si>
  <si>
    <t>HERNANDEZ CRUZ ERNESTO</t>
  </si>
  <si>
    <t>MARROQUIN ACEVES MARCOS GUILLERMO</t>
  </si>
  <si>
    <t>GAYTAN HERNANDEZ PEDRO</t>
  </si>
  <si>
    <t>VAZQUEZ SALAS GILBERTO</t>
  </si>
  <si>
    <t>RANGEL RAMIREZ RODOLFO IVAN</t>
  </si>
  <si>
    <t>RAMIREZ FLORES JOSE DE JESUS</t>
  </si>
  <si>
    <t>HERNANDEZ PEREZ FRANCISCO JAVIER</t>
  </si>
  <si>
    <t>TAMAYO GONZALEZ CHRISTIAN JESUS</t>
  </si>
  <si>
    <t>PLASCENCIA ESQUIVEL FRANCISCO</t>
  </si>
  <si>
    <t>SANTANA ARAIZA SANTIAGO</t>
  </si>
  <si>
    <t>GAYTAN PINEDO CARLOS ENRIQUE</t>
  </si>
  <si>
    <t>CABALLERO ANGUIANO SERGIO</t>
  </si>
  <si>
    <t>SOTELO AVIÑA MICHEL ALEJANDRO</t>
  </si>
  <si>
    <t>LOPEZ GODOY ENRIQUE</t>
  </si>
  <si>
    <t>RAMIREZ RUIZ RAUL</t>
  </si>
  <si>
    <t>MENDEZ RUIZ BENJAMIN FRANCISCO</t>
  </si>
  <si>
    <t>ANGUIANO OCAMPO JOSE GUADALUPE</t>
  </si>
  <si>
    <t>HERNANDEZ CHAVEZ FERNANDO</t>
  </si>
  <si>
    <t>GARCIA PEREZ ALFONSO</t>
  </si>
  <si>
    <t>PEREZ CASTILLO GABRIEL</t>
  </si>
  <si>
    <t>GUERRERO CORTES SERGIO RICARDO</t>
  </si>
  <si>
    <t>LOPEZ VELASCO MARIO</t>
  </si>
  <si>
    <t>PACHECO SALCEDO FERNANDO</t>
  </si>
  <si>
    <t>ZEPEDA GUERRERO JUAN CARLOS</t>
  </si>
  <si>
    <t>GARCIA DE LA TORRE LEONARDO</t>
  </si>
  <si>
    <t>CONTRERAS DAVILA DANIEL</t>
  </si>
  <si>
    <t>VAZQUEZ FLORES FABIAN</t>
  </si>
  <si>
    <t>LIRA LOPEZ LUIS ANGEL</t>
  </si>
  <si>
    <t>LUNA SANDOVAL DAVID</t>
  </si>
  <si>
    <t>IBARRA PEREZ MARTIN</t>
  </si>
  <si>
    <t>TELLES PADILLA JOSE MANUEL</t>
  </si>
  <si>
    <t>MUÑOZ SANTACRUZ JUAN PABLO</t>
  </si>
  <si>
    <t>DE LA ROSA OCEGUEDA JUAN GUADALUPE</t>
  </si>
  <si>
    <t>VILLEGAS HUIZAR FERNANDO</t>
  </si>
  <si>
    <t>ROSALES SANDOVAL LUIS AARON</t>
  </si>
  <si>
    <t>ZAVALA NAVARRO SAUL</t>
  </si>
  <si>
    <t>BELTRAN OLIVARES NESTOR ARMANDO</t>
  </si>
  <si>
    <t>LOPEZ LARA GERARDO</t>
  </si>
  <si>
    <t>RAMOS DELGADO FRANCISCO</t>
  </si>
  <si>
    <t>GARCIA PRECIADO ANTONIO</t>
  </si>
  <si>
    <t>VAZQUEZ CERVANTES JOSE MAURICIO</t>
  </si>
  <si>
    <t>GONZALEZ FLOREZ SALVADOR</t>
  </si>
  <si>
    <t>RENTERIA GUTIERREZ JUAN MANUEL</t>
  </si>
  <si>
    <t>GODINEZ CONTRERAS SERGIO ALEJANDRO</t>
  </si>
  <si>
    <t>NAVARRO MEZA JULIAN</t>
  </si>
  <si>
    <t>DE LA CRUZ CHAVEZ LUIS DAVID</t>
  </si>
  <si>
    <t>LOPEZ ARIAS FERNANDO</t>
  </si>
  <si>
    <t>MEDINA ALVAREZ CUAUHTEMOC</t>
  </si>
  <si>
    <t>ALVARADO LOPEZ GERARDO</t>
  </si>
  <si>
    <t>BARRERA HERNANDEZ JOSE SALVADOR</t>
  </si>
  <si>
    <t>MARTINEZ RAMIREZ CARLOS ENRIQUE</t>
  </si>
  <si>
    <t>JIMENEZ LOPEZ ARMANDO</t>
  </si>
  <si>
    <t>DIAZ DE SANDI DIAZ MARTIN ALEJANDRO</t>
  </si>
  <si>
    <t>RUIZ JARA OCTAVIO JAVIER</t>
  </si>
  <si>
    <t>AGUILERA MEDRANO VICTOR MANUEL</t>
  </si>
  <si>
    <t>VILLANUEVA LOPEZ SANTIAGO</t>
  </si>
  <si>
    <t>AQUINO PUGA SEBASTIAN ANTONIO</t>
  </si>
  <si>
    <t>VACA BRAVO CARLOS GONZALO</t>
  </si>
  <si>
    <t>RIVERA ALCARAZ GILDARDO</t>
  </si>
  <si>
    <t>NOVOA MORFIN MARTIN</t>
  </si>
  <si>
    <t>VELEZ GARCIA ALEJANDRO</t>
  </si>
  <si>
    <t>MARTINEZ PEREZ OSCAR IVAN</t>
  </si>
  <si>
    <t>GONZALEZ BARRON DAVID</t>
  </si>
  <si>
    <t>SIGALA VILLALOBOS ARMANDO</t>
  </si>
  <si>
    <t>PEREZ QUEZADA MARIO</t>
  </si>
  <si>
    <t>GARCIA LEJA CARLOS</t>
  </si>
  <si>
    <t>SOTO CARRILLO MIGUEL ANGEL</t>
  </si>
  <si>
    <t>CHAVEZ MEDINA JOSE ALBERTO</t>
  </si>
  <si>
    <t>RAMIREZ ANGULO JOSE</t>
  </si>
  <si>
    <t>VALADEZ SANDOVAL ROBERTO</t>
  </si>
  <si>
    <t>LOERA GOMEZ FRANCISCO</t>
  </si>
  <si>
    <t>CASTORENA ROJAS JOSE</t>
  </si>
  <si>
    <t>AGRIPINO ROBLES MARIO ALFONSO</t>
  </si>
  <si>
    <t>PEDRO MONTALVO IGNACIO</t>
  </si>
  <si>
    <t>MARTINEZ GONZALEZ FRANCISCO JAVIER</t>
  </si>
  <si>
    <t>BRECEDA RUIZ MANUEL</t>
  </si>
  <si>
    <t>MARTINEZ ZUÑIGA FRANCISCO JAVIER</t>
  </si>
  <si>
    <t>CORTES ARMENTA EDMUNDO</t>
  </si>
  <si>
    <t>LEYVA MENDOZA MARCO ANTONIO</t>
  </si>
  <si>
    <t>NUÑO AZUA JOSE MANUEL</t>
  </si>
  <si>
    <t>GONZALEZ PARTIDA MAURICIO</t>
  </si>
  <si>
    <t>OCEGUEDA MELGOZA HECTOR GERARDO</t>
  </si>
  <si>
    <t>ROSAS MARTINEZ VICTOR FELIPE</t>
  </si>
  <si>
    <t>HORTA MARTINEZ PEDRO</t>
  </si>
  <si>
    <t>JUAREZ GARCIA EDGAR DAVID</t>
  </si>
  <si>
    <t>AGUAYO AGUIRRE BRIAN EDUARDO</t>
  </si>
  <si>
    <t>SANCHEZ MARQUEZ ALEJANDRO</t>
  </si>
  <si>
    <t>PALACIOS ZAMORA JOEL IVAN</t>
  </si>
  <si>
    <t>DIAZ BLANQUET LIZETTE ALEJANDRA</t>
  </si>
  <si>
    <t>MONTAÑO CASTILLO PABLO</t>
  </si>
  <si>
    <t>PETREARCE SILVA SERGIO</t>
  </si>
  <si>
    <t>DOMINGUEZ PEREZ JUAN GABRIEL</t>
  </si>
  <si>
    <t>RUVALCABA DISTANCIA MARCO ANTONIO</t>
  </si>
  <si>
    <t>PATIÑO ESCOBEDO JOSE CRUZ</t>
  </si>
  <si>
    <t>GOMEZ DELGADILLO MARCO ANTONIO</t>
  </si>
  <si>
    <t>NUÑEZ AVILA JOSE DE JESUS</t>
  </si>
  <si>
    <t>GUILLEN ARMENDARIZ ABRAHAM</t>
  </si>
  <si>
    <t>GARCIA GARCIA RUBEN</t>
  </si>
  <si>
    <t>MEDINA SALAZAR CARLOS ERNESTO</t>
  </si>
  <si>
    <t>ANDALON ALVAREZ JOSE EUGENIO</t>
  </si>
  <si>
    <t>SANTOS MARTINEZ ARTURO</t>
  </si>
  <si>
    <t>GONZALEZ DAVALOS FEDERICO</t>
  </si>
  <si>
    <t>VILLAGRAN PEREZ ARMANDO</t>
  </si>
  <si>
    <t>APOLINAR GONZALEZ MARIO ALBERTO</t>
  </si>
  <si>
    <t>PEREZ PLASCENCIA JOSE GUADALUPE</t>
  </si>
  <si>
    <t>MEJIA IÑIGUEZ GABRIEL</t>
  </si>
  <si>
    <t>VICTORIA CONTRERAS VICTOR MANUEL</t>
  </si>
  <si>
    <t>CASILLAS GONZALEZ LINA SELENE</t>
  </si>
  <si>
    <t>GODINEZ GONZALEZ TOMAS JUNIOR</t>
  </si>
  <si>
    <t>VAZQUEZ CORTES MIGUEL ALEJANDRO</t>
  </si>
  <si>
    <t>COMPARAN SIORDIA PABLO DANIEL</t>
  </si>
  <si>
    <t>SEGURA CERVANTES VICTOR DANIEL</t>
  </si>
  <si>
    <t>GUERRERO GONZALEZ EDUARDO FLORENTINO</t>
  </si>
  <si>
    <t>ROMERO ARCE AMAURI MICHEL</t>
  </si>
  <si>
    <t>MARTINEZ LOPEZ JORGE ANTONIO</t>
  </si>
  <si>
    <t>GARCIA ARELLANO LUIS ANTONIO</t>
  </si>
  <si>
    <t>DIAZ VICENTE LUIS</t>
  </si>
  <si>
    <t>NUÑO CARBAJAL SAID DE JESUS</t>
  </si>
  <si>
    <t>ARCINIEGA DIAZ JAVIER</t>
  </si>
  <si>
    <t>DIAZ RAMOS ISMAEL</t>
  </si>
  <si>
    <t>SEDANO RUELAS LUIS ALBERTO</t>
  </si>
  <si>
    <t>JARAMILLO SANCHEZ MARCO ESTEBAN</t>
  </si>
  <si>
    <t>MEDINA RIVAS JOSE ASCENCION</t>
  </si>
  <si>
    <t>GUERRERO MARTINEZ HUGO</t>
  </si>
  <si>
    <t>DIAZ MARTINEZ ERNESTO</t>
  </si>
  <si>
    <t>RIOS GOMEZ RICARDO ADRIAN</t>
  </si>
  <si>
    <t>CARBAJAL SOLIS CHRISTIAN DANIEL</t>
  </si>
  <si>
    <t>LOPEZ GARCIA SERGIO</t>
  </si>
  <si>
    <t>HERMOSILLO COLAZO ARNULFO</t>
  </si>
  <si>
    <t>MOLINA RODRIGUEZ MARCELINO</t>
  </si>
  <si>
    <t>TINOCO GUZMAN PEDRO ALBERTO</t>
  </si>
  <si>
    <t>AVIÑA GARIBAY CARLOS ENRIQUE</t>
  </si>
  <si>
    <t>GAETA MONTES LUIS ALBERTO</t>
  </si>
  <si>
    <t>GUERRERO NIETO ROBERTO CESAREO</t>
  </si>
  <si>
    <t>SALDIVAR TOSTADO JOSE DE JESUS</t>
  </si>
  <si>
    <t>VAZQUEZ MORALES MILTON</t>
  </si>
  <si>
    <t>CORTES GUTIERREZ SAUL ULISES</t>
  </si>
  <si>
    <t>JEUDY WANDY</t>
  </si>
  <si>
    <t>PELAYO PELAYO JOSE MARIA</t>
  </si>
  <si>
    <t>RAMIREZ MARTINEZ HUMBERTO</t>
  </si>
  <si>
    <t>PARRA COBIAN OSCAR</t>
  </si>
  <si>
    <t>DELGADO DOMINGUEZ ALBERTO</t>
  </si>
  <si>
    <t>FLORES CAMPOS JORGE EDUARDO</t>
  </si>
  <si>
    <t>CAUDILLO CORONADO MARTIN</t>
  </si>
  <si>
    <t>JIMENEZ GARCIA RAYMUNDO</t>
  </si>
  <si>
    <t>NAVA QUIROZ JUAN IGNACIO</t>
  </si>
  <si>
    <t>GALLEGOS PEREZ BERNARDO CRUZ</t>
  </si>
  <si>
    <t>GONZALEZ CEJA ENRIQUE</t>
  </si>
  <si>
    <t>PEREZ ALVAREZ FELIPE</t>
  </si>
  <si>
    <t>RODRIGUEZ LOPEZ ELEUTERIO</t>
  </si>
  <si>
    <t>SANDOVAL FLORES JUAN ANTONIO</t>
  </si>
  <si>
    <t>DE LA ROSA AREVALO SAUL</t>
  </si>
  <si>
    <t>ESTRADA ALVAREZ ISRAEL</t>
  </si>
  <si>
    <t>REYES GOMEZ LUIS GERARDO</t>
  </si>
  <si>
    <t>MAGAÑA CONTRERAS JOSE LUIS</t>
  </si>
  <si>
    <t>TABARES GUZMAN OSCAR ALEJANDRO</t>
  </si>
  <si>
    <t>GOMEZ FLORES MIGUEL ANGEL</t>
  </si>
  <si>
    <t>MENDEZ BARAJAS FRANCISCO CHRISTOPHER</t>
  </si>
  <si>
    <t>HERNANDEZ CRUZ DANIEL</t>
  </si>
  <si>
    <t>BARBOSA HERNANDEZ LUIS EDUARDO</t>
  </si>
  <si>
    <t>FLORES RAMOS ENRIQUE</t>
  </si>
  <si>
    <t>RUVALCABA CORTEZ NOE</t>
  </si>
  <si>
    <t>RODRIGUEZ BECERRA J JESUS</t>
  </si>
  <si>
    <t>CASTAÑEDA ESPINOZA ISMAEL</t>
  </si>
  <si>
    <t>SAHAGUN GARCIA LUIS GERARDO</t>
  </si>
  <si>
    <t>CANDELAS HIDALGO MARCOS RAMIRO</t>
  </si>
  <si>
    <t>BAUTISTA OROZCO CARLOS ALBERTO</t>
  </si>
  <si>
    <t>CUEVA CHAVEZ EARVIN MICHAEL</t>
  </si>
  <si>
    <t>DIAZ DAVILA CHRISTIAN FERNANDO</t>
  </si>
  <si>
    <t>CISNEROS ARELLANO JUAN GERARDO</t>
  </si>
  <si>
    <t>ESPINOZA CARRASCO VICTOR HUGO</t>
  </si>
  <si>
    <t>MARTINEZ ACOSTA MARIO EDUARDO</t>
  </si>
  <si>
    <t>SANCHEZ CANDELARIO GUSTAVO</t>
  </si>
  <si>
    <t>OLMEDO LORETO SERGIO MOISES ANGELO</t>
  </si>
  <si>
    <t>ESTRADA SANDOVAL IVAN</t>
  </si>
  <si>
    <t>MARES ARREDONDO MIGUEL ANGEL</t>
  </si>
  <si>
    <t>GARCIA IÑIGUEZ RAFAEL</t>
  </si>
  <si>
    <t>RENTERIA BELTRAN JUAN CARLOS</t>
  </si>
  <si>
    <t>HUERTA ARREOLA JUAN MIGUEL</t>
  </si>
  <si>
    <t>ROLDAN CASTILLO HECTOR MISAEL</t>
  </si>
  <si>
    <t>PINEDA VELAZQUEZ PASCUAL</t>
  </si>
  <si>
    <t>LOPEZ RAYMUNDO ROBERTO</t>
  </si>
  <si>
    <t>GARCIA ROMERO JOSE ALFREDO</t>
  </si>
  <si>
    <t>PEREYRA BAUTISTA DAVID RANGEL</t>
  </si>
  <si>
    <t>CASTRO GUIZAR DANIEL HUMBERTO</t>
  </si>
  <si>
    <t>BARAJAS SALDAÑA JUAN</t>
  </si>
  <si>
    <t>MARTINEZ GUTIERREZ EUGENIO</t>
  </si>
  <si>
    <t>OROZCO GOMEZ ROBERTO</t>
  </si>
  <si>
    <t>NUNGARAY BUENROSTRO SALVADOR</t>
  </si>
  <si>
    <t>MONROY ANAYA RODO LEV</t>
  </si>
  <si>
    <t>AYALA MIJARES JUAN JESUS</t>
  </si>
  <si>
    <t>HERNANDEZ AGUILAR LUIS ENRIQUE</t>
  </si>
  <si>
    <t>LOPEZ GODINEZ MIGUEL DE JESUS</t>
  </si>
  <si>
    <t>VALENCIA IBARRA ESLI JAVIER</t>
  </si>
  <si>
    <t>LOPEZ HERNANDEZ JOSE MANUEL</t>
  </si>
  <si>
    <t>VALLE SANCHEZ RAFAEL</t>
  </si>
  <si>
    <t>GARCIA GARCIA JUAN ANTONIO</t>
  </si>
  <si>
    <t>REYES MARTINEZ MIGUEL ANGEL</t>
  </si>
  <si>
    <t>ZARATE HERNANDEZ FRANCISCO JAVIER</t>
  </si>
  <si>
    <t>ALVARADO OLIVERA DANIEL JOEL</t>
  </si>
  <si>
    <t>MELCHOR LOPEZ FRANCIS DAVID</t>
  </si>
  <si>
    <t>GONZALEZ VACA EDGAR ARTURO</t>
  </si>
  <si>
    <t>MOJICA ISLAS LUIS MANUEL</t>
  </si>
  <si>
    <t>DE LOS SANTOS VEGA SALVADOR</t>
  </si>
  <si>
    <t>CRUZ RODRIGUEZ OLGA MARIA</t>
  </si>
  <si>
    <t>RAMIREZ GUTIERREZ JUAN RAMON</t>
  </si>
  <si>
    <t>COSME SANDOVAL PASTOR</t>
  </si>
  <si>
    <t>MORALES FELICIANO JUAN PABLO</t>
  </si>
  <si>
    <t>CRUZ GUTIERREZ ALFREDO</t>
  </si>
  <si>
    <t>SANTOS GOMEZ ARTURO</t>
  </si>
  <si>
    <t>JIMENEZ QUIROZ JAVIER DE JESUS</t>
  </si>
  <si>
    <t>MORENO ROJAS CAMILO</t>
  </si>
  <si>
    <t>PEREZ RAMIREZ JUAN</t>
  </si>
  <si>
    <t>LOPEZ LEPE JUAN CARLOS</t>
  </si>
  <si>
    <t>HERNANDEZ FLORES OSCAR</t>
  </si>
  <si>
    <t>NUÑEZ CABRERA ERICK NAZARET</t>
  </si>
  <si>
    <t>MARTINEZ MUÑOZ CARLOS</t>
  </si>
  <si>
    <t>GARCIA BECERRA HERIBERTO</t>
  </si>
  <si>
    <t>ZERMEÑO LOPEZ JOSE GUADALUPE</t>
  </si>
  <si>
    <t>PALESTINA VELAZQUEZ EDWIN</t>
  </si>
  <si>
    <t>REYNAGA SANCHEZ MARIO</t>
  </si>
  <si>
    <t>RAMIREZ MEDINA JULIAN</t>
  </si>
  <si>
    <t>ANGULO FLORES RICARDO</t>
  </si>
  <si>
    <t>MALDONADO HUERTA OSWALDO</t>
  </si>
  <si>
    <t>ROMERO SANDOVAL CARLOS ANTONIO</t>
  </si>
  <si>
    <t>BAUTISTA DIAZ VICTORIANO</t>
  </si>
  <si>
    <t>ROBLES MEDINA LEONARDO DE JESUS</t>
  </si>
  <si>
    <t>BAUTISTA CAZARES JAVIER</t>
  </si>
  <si>
    <t>CASTAÑEDA AGUILAR LUIS ANTONIO</t>
  </si>
  <si>
    <t>MARTINEZ PATRICIO ANGEL ULISES</t>
  </si>
  <si>
    <t>VILLANUEVA CARABEZ JOSE SAUL</t>
  </si>
  <si>
    <t>GARCIA LOPEZ JOSE DE JESUS</t>
  </si>
  <si>
    <t>SALMERON CORTES DAVID</t>
  </si>
  <si>
    <t>FLORES ENRIQUEZ JUAN PABLO</t>
  </si>
  <si>
    <t>SANCHEZ DEL CARMEN HERIBERTO</t>
  </si>
  <si>
    <t>RODRIGUEZ GARCIA MONICA ALEJANDRA</t>
  </si>
  <si>
    <t>SAUCEDO ROJAS LEOBARDO EFRAIN</t>
  </si>
  <si>
    <t>ARMENTA GUTIERREZ RICARDO</t>
  </si>
  <si>
    <t>ALENCASTRO GARCIA FELIPE</t>
  </si>
  <si>
    <t>CASTILLO FUENTES MIGUEL</t>
  </si>
  <si>
    <t>CRUZ RAMOS OSCAR EFRAIN</t>
  </si>
  <si>
    <t>ESTRADA ABUNDIS JUAN ANTONIO</t>
  </si>
  <si>
    <t>TORRES CAMPOS VICTOR MANUEL</t>
  </si>
  <si>
    <t>BARAJAS LOPEZ ADOLFO</t>
  </si>
  <si>
    <t>LEDESMA REYES JESUS ARMANDO</t>
  </si>
  <si>
    <t>HERNANDEZ MOLINA LUIS FERNANDO</t>
  </si>
  <si>
    <t>GRAJEDA MARTINEZ OSCAR EDUARDO</t>
  </si>
  <si>
    <t>MARIANO BARON JUAN JOSE</t>
  </si>
  <si>
    <t>RICO LEYVA JESUS GUADALUPE</t>
  </si>
  <si>
    <t>MORALES ESPINOSA JUAN IGNACIO</t>
  </si>
  <si>
    <t>BARAJAS BECERRA SERGIO ALBERTO</t>
  </si>
  <si>
    <t>MALDONADO MEDINA CESAR ALEXIS</t>
  </si>
  <si>
    <t>GUTIERREZ GALINDO CARLOS DE JESUS</t>
  </si>
  <si>
    <t>MONROY PUENTE GENARO ISAAC</t>
  </si>
  <si>
    <t>LOSADA VALENZUELA SERGIO TULIO</t>
  </si>
  <si>
    <t>YAÑEZ DE LUNA CARLOS</t>
  </si>
  <si>
    <t>MARIN HERRERA ANGEL</t>
  </si>
  <si>
    <t>CASTAÑEDA GOMEZ ALEJANDRO</t>
  </si>
  <si>
    <t>BAUTISTA MUÑOZ FELIX ANTONIO</t>
  </si>
  <si>
    <t>VELAZQUEZ JUAREZ JONATHAN GERARDO</t>
  </si>
  <si>
    <t>VILLEGAS HERNANDEZ JORGE ANGEL</t>
  </si>
  <si>
    <t>CRUZ CERVANTES JORGE ALEJANDRO</t>
  </si>
  <si>
    <t>MARTINEZ AGUIRRE BRAYAN ALEJANDRO</t>
  </si>
  <si>
    <t>ROMERO ESPINOZA OMAR ALEJANDRO</t>
  </si>
  <si>
    <t>CLARO ROSALES JOSE MARIA</t>
  </si>
  <si>
    <t>GOMEZ GONZALEZ OSCAR IVAN</t>
  </si>
  <si>
    <t>RODRIGUEZ ORTIZ JOSE MANUEL</t>
  </si>
  <si>
    <t>RODRIGUEZ LOPEZ ANGEL ALBERTO</t>
  </si>
  <si>
    <t>MARTINEZ VAZQUEZ CESAR ARCADIO</t>
  </si>
  <si>
    <t>RAMIREZ RAMIREZ ADRIAN</t>
  </si>
  <si>
    <t>RAMIREZ LOPEZ JORGE ALBERTO</t>
  </si>
  <si>
    <t>SOLIS GOMEZ JUAN ENRIQUE</t>
  </si>
  <si>
    <t>ZUÑIGA HERNANDEZ OSCAR FRANCISCO</t>
  </si>
  <si>
    <t>ROBLES RECENDIZ RAMIRO</t>
  </si>
  <si>
    <t>LOPEZ RAMOS EDGAR MARTIN</t>
  </si>
  <si>
    <t>RAMIREZ GONZALEZ JOSE DE JESUS</t>
  </si>
  <si>
    <t>ROSALES GUTIERREZ JOSE LUIS</t>
  </si>
  <si>
    <t>DEL TORO NORIEGA ALEJANDRO</t>
  </si>
  <si>
    <t>CONTRERAS CRUZ LUCINO</t>
  </si>
  <si>
    <t>GARCIA RODRIGUEZ GUSTAVO</t>
  </si>
  <si>
    <t>CHAVEZ CADENA ALBERTO</t>
  </si>
  <si>
    <t>FREGOSO ALDANA LUIS FERNANDO</t>
  </si>
  <si>
    <t>GARIBAY GARCIA REYES MARTIN</t>
  </si>
  <si>
    <t>FLORES GARCIA PEDRO</t>
  </si>
  <si>
    <t>DIAZ RAMIREZ JUAN JOSE</t>
  </si>
  <si>
    <t>OCAMPO MEDINA ANGEL ALFREDO</t>
  </si>
  <si>
    <t>MEDRANO HERRERA LUIS AGUSTIN</t>
  </si>
  <si>
    <t>PRECIADO SEGURA JUAN CARLOS</t>
  </si>
  <si>
    <t>FRANCO YAÑEZ JOSE MANUEL</t>
  </si>
  <si>
    <t>LUNA CASTRO ARTURO</t>
  </si>
  <si>
    <t>BAUTISTA CUEVAS DAVID</t>
  </si>
  <si>
    <t>GONZALEZ GERARDO URIEL</t>
  </si>
  <si>
    <t>SERRANO MACHUCA MARTIN DE JESUS</t>
  </si>
  <si>
    <t>GALLARDO REGALADO EDGAR ALEJANDRO</t>
  </si>
  <si>
    <t>DIAZ BLANQUET ROSA JANNET</t>
  </si>
  <si>
    <t>PROCOPIO MENDOZA JUAN FERNANDO</t>
  </si>
  <si>
    <t>CHAVEZ MORA CESAR ADRIAN</t>
  </si>
  <si>
    <t>ESPARZA OCHOA ARMANDO</t>
  </si>
  <si>
    <t>GUILLEN VEGA GUILLERMO</t>
  </si>
  <si>
    <t>GONZALEZ GARCIA ANGEL SALVADOR</t>
  </si>
  <si>
    <t>VILLALOBOS CURIEL ANDRES ALEJANDRO</t>
  </si>
  <si>
    <t>VILLAVICENCIO PEREZ JORGE LUIS</t>
  </si>
  <si>
    <t>JASSO MENDEZ IGNACIO MISAEL</t>
  </si>
  <si>
    <t>PEDROZA DELGADO JOSE CRUZ</t>
  </si>
  <si>
    <t>SERRANO MACHUCA MARIA ELIZABETH</t>
  </si>
  <si>
    <t>ACEVEDO MARTINEZ JORGE</t>
  </si>
  <si>
    <t>HERNANDEZ CONTRERAS EDUARDO</t>
  </si>
  <si>
    <t>DE LA ROSA PORTUGAL ALBERTO</t>
  </si>
  <si>
    <t>RODRIGUEZ ACOSTA RODRIGO MARGARITO</t>
  </si>
  <si>
    <t>LEDON QUINTANA MARTE DAMIAN</t>
  </si>
  <si>
    <t>AGUIÑAGA GUERRERO JOSE DAMIAN</t>
  </si>
  <si>
    <t>DE LA CRUZ PLASCENCIA ARMANDO</t>
  </si>
  <si>
    <t>SANCHEZ PONCE JOSE ALBERTO</t>
  </si>
  <si>
    <t>DIAZ DE LA VEGA HERNANDEZ VICTOR GERARDO</t>
  </si>
  <si>
    <t>FLORES CERVANTES JOSE CHRISTIAN</t>
  </si>
  <si>
    <t>SORIANO YAÑEZ MARIO ERNESTO</t>
  </si>
  <si>
    <t>PEREZ MARQUEZ MANUEL</t>
  </si>
  <si>
    <t>CHAVEZ RUIZ ARMANDO</t>
  </si>
  <si>
    <t>MARTINEZ SANDOVAL NOE GUADALUPE</t>
  </si>
  <si>
    <t>SANCHEZ SANTIAGO IRAD BLASAMIR</t>
  </si>
  <si>
    <t>GARCIA RAZO VICTOR MANUEL</t>
  </si>
  <si>
    <t>GONZALEZ CERVANTES RICARDO</t>
  </si>
  <si>
    <t>MANZANO CORDOVA SERGIO</t>
  </si>
  <si>
    <t>HERRERA GOMEZ CARLOS GILBERTO</t>
  </si>
  <si>
    <t>GARCIA FIERROS RENE OSWALDO</t>
  </si>
  <si>
    <t>MAGDALENO RAMIREZ EDGAR ANTONIO</t>
  </si>
  <si>
    <t>LOZADA MENDEZ MARIO ALBERTO</t>
  </si>
  <si>
    <t>BECERRIL MEDINA ERICK FERNANDO</t>
  </si>
  <si>
    <t>MULGADO MEDINA FIDEL</t>
  </si>
  <si>
    <t>GARCIA SALCEDO FRANCISCO JAVIER</t>
  </si>
  <si>
    <t>MENDOZA GARCIA LUIS ALBERTO</t>
  </si>
  <si>
    <t>NUÑEZ QUIJAS RICARDO</t>
  </si>
  <si>
    <t>VELAZCO RUIZ JOSE CARLOS</t>
  </si>
  <si>
    <t>SANTIAGO BONILLA ELIAZER</t>
  </si>
  <si>
    <t>ZENDEJAS SANCHEZ BRAYAN ALEJANDRO</t>
  </si>
  <si>
    <t>OLIVARES NAVARRO HECTOR AXEL</t>
  </si>
  <si>
    <t>GUTIERREZ HERNANDEZ ALDO JESUS</t>
  </si>
  <si>
    <t>MENDOZA CASTRO DULCE BELEM</t>
  </si>
  <si>
    <t>OCEGUEDA CHAVEZ GUADALUPE ALEJANDRO</t>
  </si>
  <si>
    <t>SALAMANCA SALAS JOSE VICTORIANO</t>
  </si>
  <si>
    <t>HARO CISNEROS EDGAR OMAR</t>
  </si>
  <si>
    <t>QUINTERO GONZALEZ JOSE MANUEL</t>
  </si>
  <si>
    <t>ALVARADO RAMOS JAVIER</t>
  </si>
  <si>
    <t>MUÑOZ CASTILLO RAMIRO</t>
  </si>
  <si>
    <t>HERNANDEZ FLORES JOSE MANUEL</t>
  </si>
  <si>
    <t>MARQUEZ GALLARDO GERARDO</t>
  </si>
  <si>
    <t>CAMARILLO SORIANO JULIO CESAR</t>
  </si>
  <si>
    <t>ZUÑIGA CARRILLO CHRISTIAN ALEJANDRO</t>
  </si>
  <si>
    <t>DELGADILLO SANCHEZ EDSON FABIAN</t>
  </si>
  <si>
    <t>HERNANDEZ GALLEGOS HECTOR ABRAHAM</t>
  </si>
  <si>
    <t>SEGOVIA AVILA RAUL</t>
  </si>
  <si>
    <t>ORTUÑO TORRES ABRAHAM</t>
  </si>
  <si>
    <t>TOVAR ARAIZA INES</t>
  </si>
  <si>
    <t>VALENTE IÑIGUEZ JOSE ARMANDO</t>
  </si>
  <si>
    <t>MENDOZA GARCIA JOSE ANTONIO</t>
  </si>
  <si>
    <t>REA PINEDO JUAN JOSE</t>
  </si>
  <si>
    <t>SANCHEZ PEREZ CARLOS FORTINO</t>
  </si>
  <si>
    <t>ARAMBUL ALVAREZ JOB AZAEL</t>
  </si>
  <si>
    <t>ZERMEÑO GARCIA JOSE ALFREDO</t>
  </si>
  <si>
    <t>BECERRA SAAVEDRA ALFONSO</t>
  </si>
  <si>
    <t>SAAVEDRA BARRAGAN JUAN LUIS</t>
  </si>
  <si>
    <t>CUENCA PERAL BONFILIO</t>
  </si>
  <si>
    <t>MARTINEZ BERNAL CESAR FERNANDO</t>
  </si>
  <si>
    <t>VAZQUEZ DE LUCIO MANUEL</t>
  </si>
  <si>
    <t>VILLARRUEL RAMIREZ GILBERTO</t>
  </si>
  <si>
    <t>LIZALDE VERDE FERNANDO BETZABE</t>
  </si>
  <si>
    <t>PADILLA MORENO RENE</t>
  </si>
  <si>
    <t>VELAZCO FLORES JORGE IVAN</t>
  </si>
  <si>
    <t>LIERA LOPEZ FRANCISCO JAIR</t>
  </si>
  <si>
    <t>SANCHEZ BUSTAMANTE JUAN DIEGO</t>
  </si>
  <si>
    <t>AMPARO RAMOS JOSE MANUEL</t>
  </si>
  <si>
    <t>GONZALEZ MEDINA PEDRO IVAN</t>
  </si>
  <si>
    <t>BARRON MONTES PEDRO AARON</t>
  </si>
  <si>
    <t>ALONSO GARCIA FRANCISCO ANTONIO</t>
  </si>
  <si>
    <t>HERNANDEZ LOPEZ EDUARDO FABIAN</t>
  </si>
  <si>
    <t>MENDOZA ESCOBEDO BRIAN JOSE</t>
  </si>
  <si>
    <t>PERALTA MANRIQUE MAURICIO</t>
  </si>
  <si>
    <t>LOPEZ ROSALES ALEJANDRO</t>
  </si>
  <si>
    <t>LIERA GASCA EMMANUEL</t>
  </si>
  <si>
    <t>GARCIA VARGAS JORGE ARMANDO</t>
  </si>
  <si>
    <t>JARAMILLO MARTINEZ JOSE GUADALUPE</t>
  </si>
  <si>
    <t>SOLIS HERNANDEZ IVETH PAOLA</t>
  </si>
  <si>
    <t>BECERRA ASCENCIO MARCO ANTONIO</t>
  </si>
  <si>
    <t>SOTO GOMEZ ROBERTO CARLOS</t>
  </si>
  <si>
    <t>RAMIREZ CASTILLO DIEGO ABEL</t>
  </si>
  <si>
    <t>SALAZAR LOPEZ JOVANNY</t>
  </si>
  <si>
    <t>GUTIERREZ ROSALES ABNER ABRAHAM</t>
  </si>
  <si>
    <t>MUÑOZ PLASCENCIA DAVID RAUDEL</t>
  </si>
  <si>
    <t>ZARAGOZA CONTRERAS JESUS ALEJANDRO</t>
  </si>
  <si>
    <t>CEDANO RODRIGUEZ MIGUEL</t>
  </si>
  <si>
    <t>PEREZ GARCIA CARLOS ALBERTO</t>
  </si>
  <si>
    <t>JIMENEZ CELEDON ROBERTO DE JESUS</t>
  </si>
  <si>
    <t>TEJEDA TAPIA MARCOS SEBASTIAN</t>
  </si>
  <si>
    <t>ARIAS PATIÑO JOSE MANUEL</t>
  </si>
  <si>
    <t>MENDOZA OSEGUERA CHRISTOPHER</t>
  </si>
  <si>
    <t>ZUNO DAUTO JORGE DANIEL</t>
  </si>
  <si>
    <t>CARDONA PRECIADO JOSE MANUEL</t>
  </si>
  <si>
    <t>FLORES RUIZ CLEMENTE</t>
  </si>
  <si>
    <t>PONCE REYNOSO GILBERTO</t>
  </si>
  <si>
    <t>GONZALEZ MARTINEZ OMAR</t>
  </si>
  <si>
    <t>MEJIA IBARRA IVAN ALEJANDRO</t>
  </si>
  <si>
    <t>CERPA ROSAS RICARDO</t>
  </si>
  <si>
    <t>ROSALES AVILA MAXIMILIANO</t>
  </si>
  <si>
    <t>VILLEGAS HUIZAR RAMIRO</t>
  </si>
  <si>
    <t>RUVALCABA ESTRADA GUSTAVO</t>
  </si>
  <si>
    <t>SANTANA HERNANDEZ SANTIAGO DE JESUS</t>
  </si>
  <si>
    <t>RICO PONCE FRANCISCO MANUEL</t>
  </si>
  <si>
    <t>CARRILLO CALDERA HECTOR GABRIEL</t>
  </si>
  <si>
    <t>PEREZ REYES ANDRES</t>
  </si>
  <si>
    <t>VALLADOLID MARTINEZ LUIS ALEJANDRO</t>
  </si>
  <si>
    <t>MASCORRO RUIZ FELIPE DE JESUS</t>
  </si>
  <si>
    <t>CASTILLO BARRIOS PEDRO</t>
  </si>
  <si>
    <t>PAJARITO LOPEZ RICARDO</t>
  </si>
  <si>
    <t>CUEVAS GATICA MARGARITO</t>
  </si>
  <si>
    <t>FLORES PALACIOS MOISES</t>
  </si>
  <si>
    <t>GARCIA ROSALES JUAN CARLOS</t>
  </si>
  <si>
    <t>VAZQUEZ LARA FRANCISCO JAVIER</t>
  </si>
  <si>
    <t>OROZCO GUERRERO GERARDO DANIEL</t>
  </si>
  <si>
    <t>RAMIREZ CASTELLANOS JORGE ARMANDO</t>
  </si>
  <si>
    <t>NAVARRO AYALA MIGUEL ARMANDO</t>
  </si>
  <si>
    <t>HERNANDEZ GARCIA VICTOR MANUEL</t>
  </si>
  <si>
    <t>MARTINEZ ESTRADA VICTOR</t>
  </si>
  <si>
    <t>TEJEDA MARTINEZ JOSE MANUEL</t>
  </si>
  <si>
    <t>GUERRA LOPEZ RODOLFO</t>
  </si>
  <si>
    <t>FLORES CRUZ ALONSO</t>
  </si>
  <si>
    <t>RODRIGUEZ MARTINEZ OMAR ROGELIO</t>
  </si>
  <si>
    <t>VILLALOBOS GONZALEZ JONATHAN DAVID</t>
  </si>
  <si>
    <t>VELAZQUEZ MENDEZ CESAR ARMANDO</t>
  </si>
  <si>
    <t>PASCUAL LANDEROS DANIEL ALFONSO</t>
  </si>
  <si>
    <t>JUAREZ RUIZ ISRAEL</t>
  </si>
  <si>
    <t>OROPEZA GARCIA FRANCISCO JAVIER</t>
  </si>
  <si>
    <t>SANCHEZ BRISEÑO MARCOS ENRIQUE</t>
  </si>
  <si>
    <t>TEPOSTE JIMENEZ MARCOS GUADALUPE</t>
  </si>
  <si>
    <t>JUAREZ FAVELA JULIO CESAR</t>
  </si>
  <si>
    <t>ORTIZ VAZQUEZ JESUS</t>
  </si>
  <si>
    <t>VILLARREAL VALENZUELA CRISTOPHER</t>
  </si>
  <si>
    <t>LOMELI VAZQUEZ JAVIER</t>
  </si>
  <si>
    <t>PEÑA PATIÑO URBELIN</t>
  </si>
  <si>
    <t>TORIBIO CONTRERAS SAULO</t>
  </si>
  <si>
    <t>MELCHOR DE JESUS LUIS RAFAEL</t>
  </si>
  <si>
    <t>PANTOJA PERALES ALAN KERIM</t>
  </si>
  <si>
    <t>VELAZQUEZ ENCISO JORGE ARMANDO</t>
  </si>
  <si>
    <t>NAVARRO LEMUS LUIS ANGEL</t>
  </si>
  <si>
    <t>GUERRERO MEDRANO DANIEL</t>
  </si>
  <si>
    <t>VARGAS ORTEGA CRISTIAN MARTIN</t>
  </si>
  <si>
    <t>RAMIREZ GONZALEZ CYNTHIA PATRICIA</t>
  </si>
  <si>
    <t>CIFUENTES SIERRA JORGE ALEXANDER</t>
  </si>
  <si>
    <t>SANTOS HINOJOSA MIGUEL ANGEL</t>
  </si>
  <si>
    <t>ALVAREZ AGUILAR DIEGO ARTURO</t>
  </si>
  <si>
    <t>GUTIERREZ SEGURA JUAN ARMANDO</t>
  </si>
  <si>
    <t>CASTAÑEDA VALENZUELA JUAN DANIEL</t>
  </si>
  <si>
    <t>VILLALOBOS MARTINEZ JUAN JOSE MANUEL</t>
  </si>
  <si>
    <t>HUIZAR DELGADILLO GILBERTO</t>
  </si>
  <si>
    <t>GARCIA MOTA FIDEL</t>
  </si>
  <si>
    <t>RAMIREZ DESALES DABE REYNEL</t>
  </si>
  <si>
    <t>SANCHEZ BUENROSTRO BRYAN ALEJANDRO</t>
  </si>
  <si>
    <t>CASTELLANOS ESPINOZA HECTOR HUMBERTO</t>
  </si>
  <si>
    <t>MONCADA CALDERON FRANCISCO</t>
  </si>
  <si>
    <t>BRAVO DELGADO MARTIN BALTAZAR</t>
  </si>
  <si>
    <t>VAZQUEZ FLORES DANIEL</t>
  </si>
  <si>
    <t>ROMO TAMAYO ROBERTO CANDELARIO</t>
  </si>
  <si>
    <t>MARIN GARCIA OMAR SAMUEL</t>
  </si>
  <si>
    <t>DOMINGUEZ PACHECO SERGIO JESUS</t>
  </si>
  <si>
    <t>BRISEÑO DUEÑAS MARTIN DE JESUS</t>
  </si>
  <si>
    <t>DELGADILLO MURILLO ABELARDO</t>
  </si>
  <si>
    <t>MENDOZA OLIVA JESUS DE LOS REYES</t>
  </si>
  <si>
    <t>TORRES VARGAS LAURA PATRICIA</t>
  </si>
  <si>
    <t>MURILLO BERBER RAMON</t>
  </si>
  <si>
    <t>FISCAL FERNANDO</t>
  </si>
  <si>
    <t>CHAVEZ GOMEZ ABRAHAM</t>
  </si>
  <si>
    <t>LARA SANDOVAL JOSE MIGUEL</t>
  </si>
  <si>
    <t>MENDOZA DE LUCIO NICOLAS JOSE</t>
  </si>
  <si>
    <t>GARDUÑO LOPEZ MANUEL ELIGIO</t>
  </si>
  <si>
    <t>LANGRUEN FLORES VICTOR MANUEL</t>
  </si>
  <si>
    <t>RODRIGUEZ HERNANDEZ FRANCISCO JAVIER</t>
  </si>
  <si>
    <t>MEZA ALFARO DAVID ALBERTO</t>
  </si>
  <si>
    <t>BARRERA MORENO JUAN FERNANDO</t>
  </si>
  <si>
    <t>DIAZ GONZALEZ LEONARDO RAFAEL</t>
  </si>
  <si>
    <t>TIRADO GUZMAN DARIO DAMIAN</t>
  </si>
  <si>
    <t>TINOCO BARRERA LUIS ENRIQUE</t>
  </si>
  <si>
    <t>RUVALCABA DISTANCIA NETZAHUALCOYOTL</t>
  </si>
  <si>
    <t>ENCISO GALVAN FRANCISCO JAVIER</t>
  </si>
  <si>
    <t>ZACARIAS SANCHEZ HUGO ANTONIO</t>
  </si>
  <si>
    <t>NUÑEZ ROSALES REYNALDO</t>
  </si>
  <si>
    <t>FREGOSO EVANGELISTA MOISES</t>
  </si>
  <si>
    <t>BRISEÑO TOVAR ORLANDO FABIAN</t>
  </si>
  <si>
    <t>LOPEZ LOPEZ GUSTAVO JAVIER</t>
  </si>
  <si>
    <t>CID CANCHOLA MARIO ALBERTO</t>
  </si>
  <si>
    <t>DEL TORO MARTINEZ HECTOR JOSE</t>
  </si>
  <si>
    <t>ARELLANO CASILLAS IVAN</t>
  </si>
  <si>
    <t>LOPEZ MONTOYA CHRISTIAN</t>
  </si>
  <si>
    <t>EROSA URZUA HEBER HUMBERTO</t>
  </si>
  <si>
    <t>TAPIA UBALDO DANIEL</t>
  </si>
  <si>
    <t>MARTINEZ DE LA ROSA LUIS ALONSO</t>
  </si>
  <si>
    <t>PRECIADO MARTINEZ JOSE LUIS</t>
  </si>
  <si>
    <t>INZUNZA VAZQUEZ RUBEN</t>
  </si>
  <si>
    <t>GONZALEZ GARCIA LUIS ALBERTO</t>
  </si>
  <si>
    <t>MENDOZA AMEZCUA CARLOS ALBERTO</t>
  </si>
  <si>
    <t>PEREZ SANCHEZ FRANCISCO JAVIER</t>
  </si>
  <si>
    <t>PALMA HORTA IVAN PAOLO</t>
  </si>
  <si>
    <t>RODRIGUEZ RENTERIA BRAYAN IVAN</t>
  </si>
  <si>
    <t>NORIEGA CASILLAS MAURO</t>
  </si>
  <si>
    <t>JUAREZ AMBRIZ EDGAR</t>
  </si>
  <si>
    <t>RAMIREZ MIRAMONTES MARTIN ALEJANDRO</t>
  </si>
  <si>
    <t>FONSECA LOPEZ RUBEN ALFONSO</t>
  </si>
  <si>
    <t>GUTIERREZ SANTOS CARLOS OMAR</t>
  </si>
  <si>
    <t>MEDRANO DONATO JOSE MANUEL ALEXIS</t>
  </si>
  <si>
    <t>RODRIGUEZ RAMOS MARCOS IVAN</t>
  </si>
  <si>
    <t>ESTRADA ESTRADA VICTOR MANUEL</t>
  </si>
  <si>
    <t>REOS GONZALEZ ROBERTO</t>
  </si>
  <si>
    <t>OCHOA HERRERA CARLOS GEOVANNI</t>
  </si>
  <si>
    <t>DE JESUS RUIZ SIMRI GESER</t>
  </si>
  <si>
    <t>GARCIA GAYTAN ALDO LEONARDO</t>
  </si>
  <si>
    <t>MORALES LARIOS LUIS ELIZARDO</t>
  </si>
  <si>
    <t>GONZALEZ ROMERO NESTOR IVAN</t>
  </si>
  <si>
    <t>2002 AL 2015 4.30</t>
  </si>
  <si>
    <t>QUEJAS</t>
  </si>
  <si>
    <t>PUNTUALIDAD</t>
  </si>
  <si>
    <t>SCORE</t>
  </si>
  <si>
    <t>LOGUEO</t>
  </si>
  <si>
    <t xml:space="preserve">camion </t>
  </si>
  <si>
    <t xml:space="preserve">CON/SIN </t>
  </si>
  <si>
    <t xml:space="preserve">OK/NO </t>
  </si>
  <si>
    <t>LOGUEO/NO LOGUEO</t>
  </si>
  <si>
    <t xml:space="preserve">TOTAL FORMULADO OBTENIDO </t>
  </si>
  <si>
    <t xml:space="preserve">TOTAL  FORMULADO </t>
  </si>
  <si>
    <t>CLAVE</t>
  </si>
  <si>
    <t xml:space="preserve">NOMBRE </t>
  </si>
  <si>
    <t xml:space="preserve">F.INGRESO </t>
  </si>
  <si>
    <t>UNIDAD</t>
  </si>
  <si>
    <t>SCORE OBTENIDO</t>
  </si>
  <si>
    <t>BONO SCORE</t>
  </si>
  <si>
    <t>BONO LOGUEO</t>
  </si>
  <si>
    <t>BONO SINIESTROS</t>
  </si>
  <si>
    <t>BONO QUEJAS</t>
  </si>
  <si>
    <t>TOTAL BONO</t>
  </si>
  <si>
    <t>DETALLE(FECHA DE SINIESTRO)</t>
  </si>
  <si>
    <t>OBSERVACIONES</t>
  </si>
  <si>
    <t xml:space="preserve">TOTAL B.DESEMPEÑO </t>
  </si>
  <si>
    <t>SIN SINIESTRO</t>
  </si>
  <si>
    <t>SIN QUEJA</t>
  </si>
  <si>
    <t>OK</t>
  </si>
  <si>
    <t>2017-05-01</t>
  </si>
  <si>
    <t>NO</t>
  </si>
  <si>
    <t>2021-07-08</t>
  </si>
  <si>
    <t>NO LOGUEO</t>
  </si>
  <si>
    <t>2022-09-02</t>
  </si>
  <si>
    <t>2021-11-17</t>
  </si>
  <si>
    <t>2025-10-10</t>
  </si>
  <si>
    <t>2023-05-12</t>
  </si>
  <si>
    <t>2024-08-05</t>
  </si>
  <si>
    <t>2025-03-07</t>
  </si>
  <si>
    <t>2025-06-06</t>
  </si>
  <si>
    <t>2025-05-09</t>
  </si>
  <si>
    <t>2025-12-31</t>
  </si>
  <si>
    <t>2017-05-24</t>
  </si>
  <si>
    <t>2018-11-29</t>
  </si>
  <si>
    <t>2017-07-07</t>
  </si>
  <si>
    <t>2017-08-15</t>
  </si>
  <si>
    <t>2017-11-06</t>
  </si>
  <si>
    <t>2017-11-13</t>
  </si>
  <si>
    <t>2026-06-20</t>
  </si>
  <si>
    <t>2017-12-20</t>
  </si>
  <si>
    <t>2017-12-21</t>
  </si>
  <si>
    <t>2023-06-01</t>
  </si>
  <si>
    <t>2018-02-02</t>
  </si>
  <si>
    <t>2018-02-27</t>
  </si>
  <si>
    <t>2018-04-09</t>
  </si>
  <si>
    <t>2026-06-13</t>
  </si>
  <si>
    <t>2018-06-29</t>
  </si>
  <si>
    <t>2026-04-16</t>
  </si>
  <si>
    <t>2025-08-23</t>
  </si>
  <si>
    <t>2018-08-23</t>
  </si>
  <si>
    <t>2025-10-31</t>
  </si>
  <si>
    <t>2022-11-16</t>
  </si>
  <si>
    <t>2023-03-09</t>
  </si>
  <si>
    <t>2019-03-06</t>
  </si>
  <si>
    <t>2025-03-14</t>
  </si>
  <si>
    <t>2024-11-12</t>
  </si>
  <si>
    <t>2019-04-01</t>
  </si>
  <si>
    <t>2025-09-13</t>
  </si>
  <si>
    <t>2023-04-01</t>
  </si>
  <si>
    <t>2023-03-24</t>
  </si>
  <si>
    <t>2019-09-06</t>
  </si>
  <si>
    <t>2024-06-12</t>
  </si>
  <si>
    <t>2020-01-22</t>
  </si>
  <si>
    <t>2020-01-30</t>
  </si>
  <si>
    <t>2025-11-22</t>
  </si>
  <si>
    <t>2020-04-07</t>
  </si>
  <si>
    <t>2020-05-19</t>
  </si>
  <si>
    <t>2020-07-24</t>
  </si>
  <si>
    <t>2020-09-21</t>
  </si>
  <si>
    <t>2020-09-28</t>
  </si>
  <si>
    <t>2020-11-01</t>
  </si>
  <si>
    <t>2020-11-20</t>
  </si>
  <si>
    <t>2023-03-17</t>
  </si>
  <si>
    <t>2020-12-07</t>
  </si>
  <si>
    <t>2020-12-23</t>
  </si>
  <si>
    <t>2025-01-16</t>
  </si>
  <si>
    <t>2021-01-28</t>
  </si>
  <si>
    <t>2021-02-18</t>
  </si>
  <si>
    <t>2021-03-04</t>
  </si>
  <si>
    <t>2021-04-16</t>
  </si>
  <si>
    <t>2021-04-22</t>
  </si>
  <si>
    <t>2021-05-12</t>
  </si>
  <si>
    <t>2021-06-10</t>
  </si>
  <si>
    <t>2021-06-11</t>
  </si>
  <si>
    <t>2021-07-02</t>
  </si>
  <si>
    <t>2021-07-09</t>
  </si>
  <si>
    <t>2026-04-30</t>
  </si>
  <si>
    <t>2021-07-21</t>
  </si>
  <si>
    <t>2021-07-28</t>
  </si>
  <si>
    <t>2021-08-06</t>
  </si>
  <si>
    <t>2021-08-13</t>
  </si>
  <si>
    <t>2023-11-14</t>
  </si>
  <si>
    <t>2024-06-03</t>
  </si>
  <si>
    <t>2021-08-20</t>
  </si>
  <si>
    <t>2024-10-25</t>
  </si>
  <si>
    <t>2021-10-06</t>
  </si>
  <si>
    <t>2021-10-28</t>
  </si>
  <si>
    <t>2021-11-08</t>
  </si>
  <si>
    <t>2021-12-21</t>
  </si>
  <si>
    <t>2022-01-04</t>
  </si>
  <si>
    <t>2022-01-12</t>
  </si>
  <si>
    <t>2026-01-09</t>
  </si>
  <si>
    <t>2025-02-22</t>
  </si>
  <si>
    <t>2022-02-09</t>
  </si>
  <si>
    <t>2022-02-11</t>
  </si>
  <si>
    <t>2022-02-16</t>
  </si>
  <si>
    <t>2022-02-23</t>
  </si>
  <si>
    <t>2022-02-25</t>
  </si>
  <si>
    <t>2022-03-09</t>
  </si>
  <si>
    <t>2022-03-10</t>
  </si>
  <si>
    <t>2022-03-25</t>
  </si>
  <si>
    <t>2024-07-11</t>
  </si>
  <si>
    <t>2022-04-25</t>
  </si>
  <si>
    <t>2024-03-29</t>
  </si>
  <si>
    <t>2022-06-10</t>
  </si>
  <si>
    <t>2026-04-25</t>
  </si>
  <si>
    <t>2022-06-17</t>
  </si>
  <si>
    <t>2022-07-04</t>
  </si>
  <si>
    <t>2026-03-07</t>
  </si>
  <si>
    <t>2024-11-15</t>
  </si>
  <si>
    <t>2022-07-15</t>
  </si>
  <si>
    <t>2025-10-30</t>
  </si>
  <si>
    <t>2025-06-14</t>
  </si>
  <si>
    <t>2025-10-01</t>
  </si>
  <si>
    <t>2022-08-12</t>
  </si>
  <si>
    <t>2022-09-09</t>
  </si>
  <si>
    <t>2022-09-30</t>
  </si>
  <si>
    <t>2022-10-14</t>
  </si>
  <si>
    <t>2022-11-18</t>
  </si>
  <si>
    <t>2022-12-05</t>
  </si>
  <si>
    <t>2025-07-18</t>
  </si>
  <si>
    <t>2022-12-16</t>
  </si>
  <si>
    <t>2023-01-20</t>
  </si>
  <si>
    <t>2025-05-10</t>
  </si>
  <si>
    <t>2023-02-03</t>
  </si>
  <si>
    <t>2025-04-26</t>
  </si>
  <si>
    <t>2024-12-20</t>
  </si>
  <si>
    <t>2025-01-31</t>
  </si>
  <si>
    <t>2023-03-27</t>
  </si>
  <si>
    <t>2023-03-30</t>
  </si>
  <si>
    <t>2025-07-11</t>
  </si>
  <si>
    <t>2025-12-20</t>
  </si>
  <si>
    <t>2026-05-16</t>
  </si>
  <si>
    <t>2023-05-23</t>
  </si>
  <si>
    <t>2025-04-05</t>
  </si>
  <si>
    <t>2023-06-02</t>
  </si>
  <si>
    <t>2025-02-20</t>
  </si>
  <si>
    <t>2023-06-08</t>
  </si>
  <si>
    <t>2023-06-21</t>
  </si>
  <si>
    <t>2025-01-21</t>
  </si>
  <si>
    <t>2023-06-22</t>
  </si>
  <si>
    <t>2023-06-26</t>
  </si>
  <si>
    <t>2026-02-07</t>
  </si>
  <si>
    <t>2023-07-28</t>
  </si>
  <si>
    <t>2023-08-03</t>
  </si>
  <si>
    <t>2025-08-30</t>
  </si>
  <si>
    <t>2023-08-29</t>
  </si>
  <si>
    <t>2023-09-22</t>
  </si>
  <si>
    <t>2023-09-29</t>
  </si>
  <si>
    <t>2025-12-06</t>
  </si>
  <si>
    <t>2023-11-03</t>
  </si>
  <si>
    <t>2023-11-17</t>
  </si>
  <si>
    <t>2023-12-13</t>
  </si>
  <si>
    <t>2023-12-19</t>
  </si>
  <si>
    <t>2024-02-09</t>
  </si>
  <si>
    <t>2024-02-23</t>
  </si>
  <si>
    <t>2024-02-29</t>
  </si>
  <si>
    <t>2024-03-13</t>
  </si>
  <si>
    <t>2024-03-22</t>
  </si>
  <si>
    <t>2024-04-02</t>
  </si>
  <si>
    <t>2024-04-12</t>
  </si>
  <si>
    <t>2024-04-19</t>
  </si>
  <si>
    <t>2024-04-26</t>
  </si>
  <si>
    <t>2025-11-16</t>
  </si>
  <si>
    <t>2024-05-03</t>
  </si>
  <si>
    <t>CON QUEJA</t>
  </si>
  <si>
    <t>2024-05-09</t>
  </si>
  <si>
    <t>2024-05-10</t>
  </si>
  <si>
    <t>2024-05-17</t>
  </si>
  <si>
    <t>2026-04-11</t>
  </si>
  <si>
    <t>2024-05-31</t>
  </si>
  <si>
    <t>2024-06-04</t>
  </si>
  <si>
    <t>2024-06-10</t>
  </si>
  <si>
    <t>2024-06-20</t>
  </si>
  <si>
    <t>2024-06-28</t>
  </si>
  <si>
    <t>2024-07-04</t>
  </si>
  <si>
    <t>2026-04-18</t>
  </si>
  <si>
    <t>2024-07-05</t>
  </si>
  <si>
    <t>2025-08-22</t>
  </si>
  <si>
    <t>2024-07-19</t>
  </si>
  <si>
    <t>2025-05-24</t>
  </si>
  <si>
    <t>2024-08-02</t>
  </si>
  <si>
    <t>2024-08-09</t>
  </si>
  <si>
    <t>2026-01-07</t>
  </si>
  <si>
    <t>2025-04-16</t>
  </si>
  <si>
    <t>2025-05-02</t>
  </si>
  <si>
    <t>2024-08-30</t>
  </si>
  <si>
    <t>2024-09-06</t>
  </si>
  <si>
    <t>JEUDY X WANDY</t>
  </si>
  <si>
    <t>2024-09-13</t>
  </si>
  <si>
    <t>2025-10-04</t>
  </si>
  <si>
    <t>2024-10-02</t>
  </si>
  <si>
    <t>2024-10-07</t>
  </si>
  <si>
    <t>2024-11-04</t>
  </si>
  <si>
    <t>2024-11-09</t>
  </si>
  <si>
    <t>2026-02-14</t>
  </si>
  <si>
    <t>2024-11-20</t>
  </si>
  <si>
    <t>2024-11-23</t>
  </si>
  <si>
    <t>2025-04-15</t>
  </si>
  <si>
    <t>2024-12-07</t>
  </si>
  <si>
    <t>2024-12-11</t>
  </si>
  <si>
    <t>2024-12-13</t>
  </si>
  <si>
    <t>2026-03-31</t>
  </si>
  <si>
    <t>2025-06-27</t>
  </si>
  <si>
    <t>2025-06-20</t>
  </si>
  <si>
    <t>2025-01-04</t>
  </si>
  <si>
    <t>2025-01-11</t>
  </si>
  <si>
    <t>2025-01-17</t>
  </si>
  <si>
    <t>2025-01-23</t>
  </si>
  <si>
    <t>2025-12-16</t>
  </si>
  <si>
    <t>2025-01-24</t>
  </si>
  <si>
    <t>2026-04-28</t>
  </si>
  <si>
    <t>2025-02-01</t>
  </si>
  <si>
    <t>2026-03-10</t>
  </si>
  <si>
    <t>2025-02-03</t>
  </si>
  <si>
    <t>2025-02-07</t>
  </si>
  <si>
    <t>2025-02-14</t>
  </si>
  <si>
    <t>2025-02-18</t>
  </si>
  <si>
    <t>2025-02-21</t>
  </si>
  <si>
    <t>2025-02-26</t>
  </si>
  <si>
    <t>2025-03-01</t>
  </si>
  <si>
    <t>2025-03-08</t>
  </si>
  <si>
    <t>2026-01-12</t>
  </si>
  <si>
    <t>2025-03-15</t>
  </si>
  <si>
    <t>2025-03-21</t>
  </si>
  <si>
    <t>2025-03-22</t>
  </si>
  <si>
    <t>2025-03-29</t>
  </si>
  <si>
    <t>2025-04-03</t>
  </si>
  <si>
    <t>2025-04-12</t>
  </si>
  <si>
    <t>2025-04-17</t>
  </si>
  <si>
    <t>2025-04-24</t>
  </si>
  <si>
    <t>2025-05-03</t>
  </si>
  <si>
    <t>2025-05-16</t>
  </si>
  <si>
    <t>2025-05-30</t>
  </si>
  <si>
    <t>2025-05-31</t>
  </si>
  <si>
    <t>2025-06-05</t>
  </si>
  <si>
    <t>2026-05-28</t>
  </si>
  <si>
    <t>2025-06-07</t>
  </si>
  <si>
    <t>2025-06-21</t>
  </si>
  <si>
    <t>2025-06-26</t>
  </si>
  <si>
    <t>2025-06-28</t>
  </si>
  <si>
    <t>2025-07-05</t>
  </si>
  <si>
    <t>2025-07-12</t>
  </si>
  <si>
    <t>2025-07-19</t>
  </si>
  <si>
    <t>2025-07-26</t>
  </si>
  <si>
    <t>2025-08-01</t>
  </si>
  <si>
    <t>2025-08-02</t>
  </si>
  <si>
    <t>2025-08-15</t>
  </si>
  <si>
    <t>2025-08-20</t>
  </si>
  <si>
    <t>2025-09-02</t>
  </si>
  <si>
    <t>2025-09-05</t>
  </si>
  <si>
    <t>2025-10-19</t>
  </si>
  <si>
    <t>2025-09-20</t>
  </si>
  <si>
    <t>2025-09-27</t>
  </si>
  <si>
    <t>2025-10-03</t>
  </si>
  <si>
    <t>2025-10-14</t>
  </si>
  <si>
    <t>2025-10-18</t>
  </si>
  <si>
    <t>2025-10-26</t>
  </si>
  <si>
    <t>2025-11-07</t>
  </si>
  <si>
    <t>2025-11-08</t>
  </si>
  <si>
    <t>2025-11-13</t>
  </si>
  <si>
    <t>2025-11-14</t>
  </si>
  <si>
    <t>2025-11-15</t>
  </si>
  <si>
    <t>2025-11-29</t>
  </si>
  <si>
    <t>2025-12-05</t>
  </si>
  <si>
    <t>2025-12-10</t>
  </si>
  <si>
    <t>2025-12-11</t>
  </si>
  <si>
    <t>2025-12-13</t>
  </si>
  <si>
    <t>2025-12-30</t>
  </si>
  <si>
    <t>2026-01-03</t>
  </si>
  <si>
    <t>2026-01-10</t>
  </si>
  <si>
    <t>2026-01-14</t>
  </si>
  <si>
    <t>2026-01-17</t>
  </si>
  <si>
    <t>2026-01-22</t>
  </si>
  <si>
    <t>2026-01-23</t>
  </si>
  <si>
    <t>2026-01-24</t>
  </si>
  <si>
    <t>2026-01-27</t>
  </si>
  <si>
    <t>2026-01-29</t>
  </si>
  <si>
    <t>2026-01-30</t>
  </si>
  <si>
    <t>2026-01-31</t>
  </si>
  <si>
    <t>2026-02-05</t>
  </si>
  <si>
    <t>2026-02-06</t>
  </si>
  <si>
    <t>2026-02-11</t>
  </si>
  <si>
    <t>2026-02-17</t>
  </si>
  <si>
    <t>2026-02-18</t>
  </si>
  <si>
    <t>2026-02-19</t>
  </si>
  <si>
    <t>2026-02-21</t>
  </si>
  <si>
    <t>2026-02-26</t>
  </si>
  <si>
    <t>2026-02-27</t>
  </si>
  <si>
    <t>2026-02-28</t>
  </si>
  <si>
    <t>2026-03-03</t>
  </si>
  <si>
    <t>2026-03-05</t>
  </si>
  <si>
    <t>2026-03-11</t>
  </si>
  <si>
    <t>2026-03-12</t>
  </si>
  <si>
    <t>2026-03-20</t>
  </si>
  <si>
    <t>2026-03-25</t>
  </si>
  <si>
    <t>2026-03-26</t>
  </si>
  <si>
    <t>2026-03-28</t>
  </si>
  <si>
    <t>2026-04-02</t>
  </si>
  <si>
    <t>2026-04-08</t>
  </si>
  <si>
    <t>2026-04-09</t>
  </si>
  <si>
    <t>2026-04-23</t>
  </si>
  <si>
    <t>2026-04-24</t>
  </si>
  <si>
    <t>2026-05-01</t>
  </si>
  <si>
    <t>2026-05-05</t>
  </si>
  <si>
    <t>2026-05-08</t>
  </si>
  <si>
    <t>2026-05-09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</si>
  <si>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</si>
  <si>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</si>
  <si>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</si>
  <si>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</si>
  <si>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</si>
  <si>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</si>
  <si>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</si>
  <si>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</si>
  <si>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</si>
  <si>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2026-05-30</t>
  </si>
  <si>
    <t>2026-06-03</t>
  </si>
  <si>
    <t>2026-06-04</t>
  </si>
  <si>
    <t>2026-06-05</t>
  </si>
  <si>
    <t>2026-06-06</t>
  </si>
  <si>
    <t>2026-06-10</t>
  </si>
  <si>
    <t>2026-06-11</t>
  </si>
  <si>
    <t>2026-06-12</t>
  </si>
  <si>
    <t>2026-06-16</t>
  </si>
  <si>
    <t>2026-06-18</t>
  </si>
  <si>
    <t>2026-06-19</t>
  </si>
  <si>
    <t>MENDOZA CARDONA JOSE ALEJANDRO</t>
  </si>
  <si>
    <t>2026-06-24</t>
  </si>
  <si>
    <t>PEREZ CORREA LUIS CARLOS</t>
  </si>
  <si>
    <t>REYES JIMENEZ MIGUEL ANGEL</t>
  </si>
  <si>
    <t>TOVAR TORRES LUIS ALBERTO</t>
  </si>
  <si>
    <t>GIL LOPEZ IGNACIO</t>
  </si>
  <si>
    <t>2026-06-26</t>
  </si>
  <si>
    <t>CORDOVA JARAZ ELISEO</t>
  </si>
  <si>
    <t>AVILAN RIVERA MIGUEL UBALDO</t>
  </si>
  <si>
    <t>GONZALEZ REYES FIDEL</t>
  </si>
  <si>
    <t>2000-08-28</t>
  </si>
  <si>
    <t>CALVILLO GARCIA NICOLAS</t>
  </si>
  <si>
    <t>2011-05-19</t>
  </si>
  <si>
    <t>LEY HOOL DILIA JOSEFINA</t>
  </si>
  <si>
    <t>2018-11-15</t>
  </si>
  <si>
    <t>JIMENEZ JIMENEZ ALVARO</t>
  </si>
  <si>
    <t>2020-06-08</t>
  </si>
  <si>
    <t>HERNANDEZ VILLA LUIS</t>
  </si>
  <si>
    <t>2019-09-13</t>
  </si>
  <si>
    <t>META</t>
  </si>
  <si>
    <t xml:space="preserve">REDIMIENTO OBTENIDO </t>
  </si>
  <si>
    <t xml:space="preserve">TOTAL A PAGAR </t>
  </si>
  <si>
    <t xml:space="preserve">SEMANA  DE RETROACTIVO </t>
  </si>
  <si>
    <t>Descansero</t>
  </si>
  <si>
    <t>BONO DE SCORE</t>
  </si>
  <si>
    <t>BONO 0 QUEJAS</t>
  </si>
  <si>
    <t>BONO 0 SINIESTROS</t>
  </si>
  <si>
    <t>BONO SCORE1</t>
  </si>
  <si>
    <t>BONO LOGUEO1</t>
  </si>
  <si>
    <t>TOTAL BONO DESEMPEÑO</t>
  </si>
  <si>
    <t>RENDIMEINTO META</t>
  </si>
  <si>
    <t>BONO RENDIMIENTO</t>
  </si>
  <si>
    <t>TOTAL BONO RENDIMIENTO</t>
  </si>
  <si>
    <t>GUTIERREZ AGUILAR PEDRO</t>
  </si>
  <si>
    <t>2026-06-27</t>
  </si>
  <si>
    <t>DIAZ MORAN SERGIO ALEJANDRO</t>
  </si>
  <si>
    <t>ABUNDIS CERVANTES JUAN CARLOS</t>
  </si>
  <si>
    <t>PEREZ ROSALES GUSTAVO DE JESUS</t>
  </si>
  <si>
    <t>PULIDO CARDENAS OSCAR DANIEL</t>
  </si>
  <si>
    <t>GONZALEZ SALAZAR JORGE ROBERTO</t>
  </si>
  <si>
    <t>ZAMORA MENDOZA JUAN CARLOS</t>
  </si>
  <si>
    <t>2026-06-30</t>
  </si>
  <si>
    <t>ARIAS TOSCANO JULIO</t>
  </si>
  <si>
    <t>2026-07-01</t>
  </si>
  <si>
    <t>ESTRADA HERNANDEZ VICTOR MANUEL</t>
  </si>
  <si>
    <t>2026-07-02</t>
  </si>
  <si>
    <t>2026-07-03</t>
  </si>
  <si>
    <t>FLORES CAMARENA JOSE ANTONIO</t>
  </si>
  <si>
    <t>GONZALEZ FONSECA CHRISTIAN</t>
  </si>
  <si>
    <t>BONO PUNTUALIDAD</t>
  </si>
  <si>
    <t>CONFIRMACIÓN DE VIAJE</t>
  </si>
  <si>
    <t>BONO</t>
  </si>
  <si>
    <t>2026-07-09</t>
  </si>
  <si>
    <t>AGUAYO MARTINEZ ALEJANDRO GABRIEL</t>
  </si>
  <si>
    <t>2026-07-04</t>
  </si>
  <si>
    <t>ORTIZ GONZALEZ YORDI ALEJANDRO</t>
  </si>
  <si>
    <t>REA PINEDO SALVADOR MANUEL</t>
  </si>
  <si>
    <t>GARCIA MONTOY DANIEL ESTEVANNE</t>
  </si>
  <si>
    <t>2026-07-07</t>
  </si>
  <si>
    <t>RUVALCABA MARQUEZ EDUARDO</t>
  </si>
  <si>
    <t>FERNANDEZ RAMIREZ LUIS ENRIQUE</t>
  </si>
  <si>
    <t>LOPEZ RAMOS ADRIAN</t>
  </si>
  <si>
    <t>2026-07-11</t>
  </si>
  <si>
    <t>GARCIA ACOSTA CHRISTIAN LEONEL</t>
  </si>
  <si>
    <t>VARGAS VALADEZ FERNANDO</t>
  </si>
  <si>
    <t>2026-07-14</t>
  </si>
  <si>
    <t>CABRERA GOMEZ DANIEL JONATHAN</t>
  </si>
  <si>
    <t>2026-07-15</t>
  </si>
  <si>
    <t>SCOOT</t>
  </si>
  <si>
    <t>REGALADO MARTINEZ JOSE LUIS</t>
  </si>
  <si>
    <t>2026-07-18</t>
  </si>
  <si>
    <t>RAMOS CALVILLO JUAN ALBERTO</t>
  </si>
  <si>
    <t>AVILA HERRADA WILIAMS</t>
  </si>
  <si>
    <t>RUIZ PALAFOX FRANCISCO JAVIER</t>
  </si>
  <si>
    <t>CONTRERAS GUTIERREZ JULIO CESAR</t>
  </si>
  <si>
    <t>SAAVEDRA CAMPOS CESAR EDUARDO</t>
  </si>
  <si>
    <t>2026-07-22</t>
  </si>
  <si>
    <t>GARCIA LOPEZ BRENDA CELENE</t>
  </si>
  <si>
    <t>TERAN TAVARES JESUS DAVID</t>
  </si>
  <si>
    <t>2026-07-23</t>
  </si>
  <si>
    <t>TORRES SANCHEZ JOSE MARTIN</t>
  </si>
  <si>
    <t>LOPEZ ACEVES RAFAEL</t>
  </si>
  <si>
    <t>2026-08-01</t>
  </si>
  <si>
    <t>ALFARO VELAZQUEZ MARCO ANTONIO</t>
  </si>
  <si>
    <t>2026-07-25</t>
  </si>
  <si>
    <t>GONZALEZ OLIVARES VICTOR MANUEL</t>
  </si>
  <si>
    <t>2026-07-24</t>
  </si>
  <si>
    <t>CORTES FLORES FERNANDO SAMUEL</t>
  </si>
  <si>
    <t>HERRERA NAVARRO FRANCISCO JAVIER</t>
  </si>
  <si>
    <t>RIQUER HERNANDEZ ERWIN ALEXI</t>
  </si>
  <si>
    <t>CHAVEZ PALOMARES MARIANO</t>
  </si>
  <si>
    <t>LUEVANO LOPEZ JUAN EZEQUIEL</t>
  </si>
  <si>
    <t>CURIEL HERNANDEZ EMMANUEL</t>
  </si>
  <si>
    <t>MURILLO GOMEZ MARIO ALBERTO</t>
  </si>
  <si>
    <t>SEGURA FLORES PEDRO FERNANDO</t>
  </si>
  <si>
    <t>SEVILLA MEDINA JUAN IGNACIO</t>
  </si>
  <si>
    <t>2026-07-31</t>
  </si>
  <si>
    <t>AVILES BRITO JORGE</t>
  </si>
  <si>
    <t>CUEVAS RODRIGUEZ CHRISTER DAVID</t>
  </si>
  <si>
    <t>GARCIA RODRIGUEZ JOSE ARMANDO</t>
  </si>
  <si>
    <t>ROLDAN RODRIGUEZ LUIS ANGEL</t>
  </si>
  <si>
    <t>GARCIA RAMIREZ EZEQUIEL</t>
  </si>
  <si>
    <t>HERNANDEZ SANCHEZ DAVID SALOMON</t>
  </si>
  <si>
    <t>2026-08-04</t>
  </si>
  <si>
    <t>CERVANTES CORTES JUAN CARLOS</t>
  </si>
  <si>
    <t>2026-08-05</t>
  </si>
  <si>
    <t>CERVANTES SANCHEZ DORIAN GUILLERMO</t>
  </si>
  <si>
    <t>CHAVEZ HERNANDEZ ISMAEL</t>
  </si>
  <si>
    <t>2026-08-06</t>
  </si>
  <si>
    <t>id</t>
  </si>
  <si>
    <t>id_servicio</t>
  </si>
  <si>
    <t>des</t>
  </si>
  <si>
    <t>Tipo de Viaje</t>
  </si>
  <si>
    <t>ID Ruta</t>
  </si>
  <si>
    <t>car</t>
  </si>
  <si>
    <t>shift</t>
  </si>
  <si>
    <t>group</t>
  </si>
  <si>
    <t>start_date</t>
  </si>
  <si>
    <t>start_time</t>
  </si>
  <si>
    <t>start_eta</t>
  </si>
  <si>
    <t>start_status</t>
  </si>
  <si>
    <t>end_date</t>
  </si>
  <si>
    <t>end_time</t>
  </si>
  <si>
    <t>end_eta</t>
  </si>
  <si>
    <t>end_status</t>
  </si>
  <si>
    <t>operador</t>
  </si>
  <si>
    <t>no. de nomina</t>
  </si>
  <si>
    <t>Sem Via</t>
  </si>
  <si>
    <t>SALIDA</t>
  </si>
  <si>
    <t>LLEGADA</t>
  </si>
  <si>
    <t>Estatus Salida</t>
  </si>
  <si>
    <t>Estatus Llegada</t>
  </si>
  <si>
    <t>Estatus</t>
  </si>
  <si>
    <t>Semana</t>
  </si>
  <si>
    <t>Puntualidad</t>
  </si>
  <si>
    <t>concat</t>
  </si>
  <si>
    <t>supervisor2</t>
  </si>
  <si>
    <t>gte</t>
  </si>
  <si>
    <t>CONCAT2</t>
  </si>
  <si>
    <t>Turno</t>
  </si>
  <si>
    <t>Dashtrax</t>
  </si>
  <si>
    <t>Tlaquepaque 1</t>
  </si>
  <si>
    <t>N</t>
  </si>
  <si>
    <t>IN</t>
  </si>
  <si>
    <t>MOLEX</t>
  </si>
  <si>
    <t>done</t>
  </si>
  <si>
    <t>Inicia tarde</t>
  </si>
  <si>
    <t>Llega a Tiempo</t>
  </si>
  <si>
    <t>Inicia tarde-Llega a Tiempo</t>
  </si>
  <si>
    <t>No</t>
  </si>
  <si>
    <t>Tlaquepaque 1MOLEX</t>
  </si>
  <si>
    <t>VICTOR  C.</t>
  </si>
  <si>
    <t>Leopoldo V.</t>
  </si>
  <si>
    <t>MOLEXTlaquepaque 1</t>
  </si>
  <si>
    <t>E-MOL-R0010</t>
  </si>
  <si>
    <t>T1</t>
  </si>
  <si>
    <t>HERSHEYS</t>
  </si>
  <si>
    <t>Llega tarde</t>
  </si>
  <si>
    <t>Inicia tarde-Llega tarde</t>
  </si>
  <si>
    <t>CARLOS C.</t>
  </si>
  <si>
    <t xml:space="preserve">Ilse M. </t>
  </si>
  <si>
    <t>Dominical Tesistan Miramar</t>
  </si>
  <si>
    <t>SANMINA GDL</t>
  </si>
  <si>
    <t>Dominical Tesistan MiramarSANMINA GDL</t>
  </si>
  <si>
    <t>PABLO F.</t>
  </si>
  <si>
    <t>Felipe M.</t>
  </si>
  <si>
    <t>SANMINA GDLDominical Tesistan Miramar</t>
  </si>
  <si>
    <t>E-SAN-R0427</t>
  </si>
  <si>
    <t>Arenales</t>
  </si>
  <si>
    <t>ArenalesHERSHEYS</t>
  </si>
  <si>
    <t>HERSHEYSArenales</t>
  </si>
  <si>
    <t>E-HER-R0017</t>
  </si>
  <si>
    <t>Las Juntas</t>
  </si>
  <si>
    <t>PIS-PISA</t>
  </si>
  <si>
    <t>DAVID C.</t>
  </si>
  <si>
    <t>E-SM4-T1-R0129</t>
  </si>
  <si>
    <t>Dominical San Sebastian 2 T1</t>
  </si>
  <si>
    <t>SANMINA TLAJOMULCO</t>
  </si>
  <si>
    <t>Dominical San Sebastian 2 T1SANMINA TLAJOMULCO</t>
  </si>
  <si>
    <t>CUAUHTEMOC M.</t>
  </si>
  <si>
    <t>SANMINA TLAJOMULCODominical San Sebastian 2 T1</t>
  </si>
  <si>
    <t>E-SM4-R0129</t>
  </si>
  <si>
    <t>Dominical San Sebastian 2 T1-R0129-04:51</t>
  </si>
  <si>
    <t>Fuelle</t>
  </si>
  <si>
    <t>FuellePIS-PISA</t>
  </si>
  <si>
    <t>PIS-PISAFuelle</t>
  </si>
  <si>
    <t>E-PIS-R0019</t>
  </si>
  <si>
    <t>E-SK1-T1-R0028</t>
  </si>
  <si>
    <t>Juanacatlan</t>
  </si>
  <si>
    <t>SANMINA KAMPUS 16</t>
  </si>
  <si>
    <t>JuanacatlanSANMINA KAMPUS 16</t>
  </si>
  <si>
    <t>BRIAN A.</t>
  </si>
  <si>
    <t>SANMINA KAMPUS 16Juanacatlan</t>
  </si>
  <si>
    <t>E-SK1-R0028</t>
  </si>
  <si>
    <t>Juanacatlan-R0028-05:00</t>
  </si>
  <si>
    <t>E-SK1-T1-R0015</t>
  </si>
  <si>
    <t>Chulavista 2 T1</t>
  </si>
  <si>
    <t>JARAMILLO SANCHEZ MARCO ESTEBA</t>
  </si>
  <si>
    <t>Chulavista 2 T1SANMINA KAMPUS 16</t>
  </si>
  <si>
    <t>SANMINA KAMPUS 16Chulavista 2 T1</t>
  </si>
  <si>
    <t>E-SK1-R0015</t>
  </si>
  <si>
    <t>Chulavista 2 T1-R0015-05:05</t>
  </si>
  <si>
    <t>MARTINEZ AGUIRRE BRAYAN ALEJAN</t>
  </si>
  <si>
    <t>E-HER-T1-R0008</t>
  </si>
  <si>
    <t>Parque Morelos</t>
  </si>
  <si>
    <t>Parque MorelosHERSHEYS</t>
  </si>
  <si>
    <t>HERSHEYSParque Morelos</t>
  </si>
  <si>
    <t>E-HER-R0008</t>
  </si>
  <si>
    <t>Parque Morelos-R0008-05:10</t>
  </si>
  <si>
    <t>Agaves</t>
  </si>
  <si>
    <t>HELLA GDL</t>
  </si>
  <si>
    <t>SIMON / EUGI</t>
  </si>
  <si>
    <t>E-FOX-T1-R0098</t>
  </si>
  <si>
    <t>El Colli</t>
  </si>
  <si>
    <t>FOXCONN</t>
  </si>
  <si>
    <t>El ColliFOXCONN</t>
  </si>
  <si>
    <t>CANDELAS</t>
  </si>
  <si>
    <t>FOXCONNEl Colli</t>
  </si>
  <si>
    <t>E-FOX-R0098</t>
  </si>
  <si>
    <t>El Colli-R0098-05:30</t>
  </si>
  <si>
    <t>Villas Andalucia</t>
  </si>
  <si>
    <t>PEPSICO GDL</t>
  </si>
  <si>
    <t>DANIEL</t>
  </si>
  <si>
    <t>PAQUETEXPRESS GDL</t>
  </si>
  <si>
    <t>P.CURIEL HERNANDEZ EMMANUEL</t>
  </si>
  <si>
    <t>DAVID D.</t>
  </si>
  <si>
    <t>DIEGOVO.</t>
  </si>
  <si>
    <t>Moctezuma Santa Fe</t>
  </si>
  <si>
    <t>Moctezuma Santa FePEPSICO GDL</t>
  </si>
  <si>
    <t>PEPSICO GDLMoctezuma Santa Fe</t>
  </si>
  <si>
    <t>E-PEP-R0001</t>
  </si>
  <si>
    <t>T2</t>
  </si>
  <si>
    <t>E-HER-T2-R0017</t>
  </si>
  <si>
    <t>Arenales-R0017-12:30</t>
  </si>
  <si>
    <t>Juan Pablo II</t>
  </si>
  <si>
    <t>Juan Pablo IISANMINA KAMPUS 16</t>
  </si>
  <si>
    <t>SANMINA KAMPUS 16Juan Pablo II</t>
  </si>
  <si>
    <t>E-SK1-R0025</t>
  </si>
  <si>
    <t>DAVID M</t>
  </si>
  <si>
    <t>TABARES FLORES OSCAR ALEJAND</t>
  </si>
  <si>
    <t>E-SK1-T2-R0079</t>
  </si>
  <si>
    <t>Chulavista Valle Dorado T2</t>
  </si>
  <si>
    <t>Chulavista Valle Dorado T2SANMINA KAMPUS 16</t>
  </si>
  <si>
    <t>SANMINA KAMPUS 16Chulavista Valle Dorado T2</t>
  </si>
  <si>
    <t>E-SK1-R0079</t>
  </si>
  <si>
    <t>Chulavista Valle Dorado T2-R0079-13:00</t>
  </si>
  <si>
    <t>start</t>
  </si>
  <si>
    <t>LARIOS SANCHEZ HECTOR ALEXANDE</t>
  </si>
  <si>
    <t>E-PIS-T2-R0095</t>
  </si>
  <si>
    <t>Las Vias</t>
  </si>
  <si>
    <t>DELGADILLO SANCHEZ EDSON FABIA</t>
  </si>
  <si>
    <t>Las ViasPIS-PISA</t>
  </si>
  <si>
    <t>PIS-PISALas Vias</t>
  </si>
  <si>
    <t>E-PIS-R0095</t>
  </si>
  <si>
    <t>Las Vias-R0095-17:20</t>
  </si>
  <si>
    <t>T3</t>
  </si>
  <si>
    <t>DIAGEO GDL</t>
  </si>
  <si>
    <t>VIRIDIANA G</t>
  </si>
  <si>
    <t>E-SK1-T3-R0028</t>
  </si>
  <si>
    <t>Juanacatlan-R0028-20:55</t>
  </si>
  <si>
    <t>ZF FORANEO</t>
  </si>
  <si>
    <t>proc</t>
  </si>
  <si>
    <t>AGEO C.</t>
  </si>
  <si>
    <t>E-SIG-T1-R0001</t>
  </si>
  <si>
    <t>Santa Fe</t>
  </si>
  <si>
    <t xml:space="preserve">SIGMA ALIMENTOS </t>
  </si>
  <si>
    <t xml:space="preserve">Santa FeSIGMA ALIMENTOS </t>
  </si>
  <si>
    <t>SIGMA ALIMENTOS Santa Fe</t>
  </si>
  <si>
    <t>E-SIG-R0001</t>
  </si>
  <si>
    <t>Santa Fe-R0001-04:40</t>
  </si>
  <si>
    <t>E-HER-T1-R0007</t>
  </si>
  <si>
    <t>Tonala</t>
  </si>
  <si>
    <t>OLMEDO LORETO SERGIO MOISES AN</t>
  </si>
  <si>
    <t>TonalaHERSHEYS</t>
  </si>
  <si>
    <t>HERSHEYSTonala</t>
  </si>
  <si>
    <t>E-HER-R0007</t>
  </si>
  <si>
    <t>Oblatos</t>
  </si>
  <si>
    <t>AGUILERA MEDRANO VICTOR MANU</t>
  </si>
  <si>
    <t>Chulavista</t>
  </si>
  <si>
    <t>CUPRUM GDL</t>
  </si>
  <si>
    <t>ChulavistaCUPRUM GDL</t>
  </si>
  <si>
    <t>CUPRUM GDLChulavista</t>
  </si>
  <si>
    <t>E-CUP-R0001</t>
  </si>
  <si>
    <t>E-SM4-T1-R0101</t>
  </si>
  <si>
    <t>Lomas de San Agustin</t>
  </si>
  <si>
    <t>OPERADOR NO REGISTRADO</t>
  </si>
  <si>
    <t>Lomas de San AgustinSANMINA TLAJOMULCO</t>
  </si>
  <si>
    <t>SANMINA TLAJOMULCOLomas de San Agustin</t>
  </si>
  <si>
    <t>E-SM4-R0101</t>
  </si>
  <si>
    <t>Lomas de San Agustin-R0101-04:50</t>
  </si>
  <si>
    <t>PEPSICO MIXING</t>
  </si>
  <si>
    <t>E-SM4-T1-R0112</t>
  </si>
  <si>
    <t>Santa Fe 1</t>
  </si>
  <si>
    <t>Santa Fe 1SANMINA TLAJOMULCO</t>
  </si>
  <si>
    <t>SANMINA TLAJOMULCOSanta Fe 1</t>
  </si>
  <si>
    <t>E-SM4-R0112</t>
  </si>
  <si>
    <t>Santa Fe 1-R0112-05:05</t>
  </si>
  <si>
    <t>E-PIS-T1-R0089</t>
  </si>
  <si>
    <t>Valle Dorado</t>
  </si>
  <si>
    <t>Valle DoradoPIS-PISA</t>
  </si>
  <si>
    <t>PIS-PISAValle Dorado</t>
  </si>
  <si>
    <t>E-PIS-R0089</t>
  </si>
  <si>
    <t>Valle Dorado-R0089-05:05</t>
  </si>
  <si>
    <t>Mixing Demostenes</t>
  </si>
  <si>
    <t>Mixing DemostenesPEPSICO MIXING</t>
  </si>
  <si>
    <t>PEPSICO MIXINGMixing Demostenes</t>
  </si>
  <si>
    <t>E-PEM-R0004</t>
  </si>
  <si>
    <t>ZOLTEK GDL</t>
  </si>
  <si>
    <t>E-ZFM-T1-R0098</t>
  </si>
  <si>
    <t>Op MET Cajititlán Fin de Semana</t>
  </si>
  <si>
    <t>ZF METROPOLITANA</t>
  </si>
  <si>
    <t>Op MET Cajititlán Fin de SemanaZF METROPOLITANA</t>
  </si>
  <si>
    <t>ZF METROPOLITANAOp MET Cajititlán Fin de Semana</t>
  </si>
  <si>
    <t>E-ZFM-R0098</t>
  </si>
  <si>
    <t>Op MET Cajititlán Fin de Semana-R0098-05:25</t>
  </si>
  <si>
    <t>La Noria</t>
  </si>
  <si>
    <t>E-FOX-T1-R0022</t>
  </si>
  <si>
    <t>Arcos Zapopan</t>
  </si>
  <si>
    <t>Arcos ZapopanFOXCONN</t>
  </si>
  <si>
    <t>FOXCONNArcos Zapopan</t>
  </si>
  <si>
    <t>E-FOX-R0022</t>
  </si>
  <si>
    <t>Arcos Zapopan-R0022-05:30</t>
  </si>
  <si>
    <t>Lomas del Sur</t>
  </si>
  <si>
    <t>JARAMILLO MARTINEZ JOSE GUADAL</t>
  </si>
  <si>
    <t>Apoyo Loma Bonita</t>
  </si>
  <si>
    <t>Apoyo Loma BonitaFOXCONN</t>
  </si>
  <si>
    <t>FOXCONNApoyo Loma Bonita</t>
  </si>
  <si>
    <t>E-FOX-R0173</t>
  </si>
  <si>
    <t>E-FOX-T1-R0139</t>
  </si>
  <si>
    <t>Apoyo Chulavista</t>
  </si>
  <si>
    <t>AGRIPINO ROBLES MARIO ALFONS</t>
  </si>
  <si>
    <t>Apoyo ChulavistaFOXCONN</t>
  </si>
  <si>
    <t>FOXCONNApoyo Chulavista</t>
  </si>
  <si>
    <t>E-FOX-R0139</t>
  </si>
  <si>
    <t>Apoyo Chulavista-R0139-05:40</t>
  </si>
  <si>
    <t>E-FOX-T1-R0026</t>
  </si>
  <si>
    <t>Balcones</t>
  </si>
  <si>
    <t>BalconesFOXCONN</t>
  </si>
  <si>
    <t>FOXCONNBalcones</t>
  </si>
  <si>
    <t>E-FOX-R0026</t>
  </si>
  <si>
    <t>Balcones-R0026-05:45</t>
  </si>
  <si>
    <t>Arvento</t>
  </si>
  <si>
    <t>Interplantas</t>
  </si>
  <si>
    <t>InterplantasFOXCONN</t>
  </si>
  <si>
    <t>WENDY H.</t>
  </si>
  <si>
    <t>FOXCONNInterplantas</t>
  </si>
  <si>
    <t>Centro Sur.</t>
  </si>
  <si>
    <t>Centro Sur.HERSHEYS</t>
  </si>
  <si>
    <t>HERSHEYSCentro Sur.</t>
  </si>
  <si>
    <t>E-HER-R0016</t>
  </si>
  <si>
    <t>E-CUP-T2-R0001</t>
  </si>
  <si>
    <t>Chulavista-R0001-12:20</t>
  </si>
  <si>
    <t>Angel Leaño T2 Y T3</t>
  </si>
  <si>
    <t>Angel Leaño T2 Y T3SANMINA GDL</t>
  </si>
  <si>
    <t>SANMINA GDLAngel Leaño T2 Y T3</t>
  </si>
  <si>
    <t>E-SAN-R0454</t>
  </si>
  <si>
    <t>HOSPITAL PUERTA DE HIERRO</t>
  </si>
  <si>
    <t>OSCAR I</t>
  </si>
  <si>
    <t>Lomas del SurSANMINA KAMPUS 16</t>
  </si>
  <si>
    <t>SANMINA KAMPUS 16Lomas del Sur</t>
  </si>
  <si>
    <t>E-SK1-R0029</t>
  </si>
  <si>
    <t>Salto</t>
  </si>
  <si>
    <t>Arquitectura</t>
  </si>
  <si>
    <t>ArquitecturaSANMINA GDL</t>
  </si>
  <si>
    <t>SANMINA GDLArquitectura</t>
  </si>
  <si>
    <t>E-SAN-R0060</t>
  </si>
  <si>
    <t>Panteon</t>
  </si>
  <si>
    <t>PanteonSANMINA GDL</t>
  </si>
  <si>
    <t>SANMINA GDLPanteon</t>
  </si>
  <si>
    <t>E-SAN-R0068</t>
  </si>
  <si>
    <t>E-SAN-T2-R0071</t>
  </si>
  <si>
    <t>Santa Cecilia</t>
  </si>
  <si>
    <t>Santa CeciliaSANMINA GDL</t>
  </si>
  <si>
    <t>SANMINA GDLSanta Cecilia</t>
  </si>
  <si>
    <t>E-SAN-R0071</t>
  </si>
  <si>
    <t>Santa Cecilia-R0071-12:50</t>
  </si>
  <si>
    <t>Balcones de Santa Maria</t>
  </si>
  <si>
    <t>Balcones de Santa MariaSANMINA TLAJOMULCO</t>
  </si>
  <si>
    <t>SANMINA TLAJOMULCOBalcones de Santa Maria</t>
  </si>
  <si>
    <t>E-SM4-R0082</t>
  </si>
  <si>
    <t>E-SM4-T2-R0109</t>
  </si>
  <si>
    <t>San Sebastian 1 T2 y T3</t>
  </si>
  <si>
    <t>San Sebastian 1 T2 y T3SANMINA TLAJOMULCO</t>
  </si>
  <si>
    <t>SANMINA TLAJOMULCOSan Sebastian 1 T2 y T3</t>
  </si>
  <si>
    <t>E-SM4-R0109</t>
  </si>
  <si>
    <t>San Sebastian 1 T2 y T3-R0109-12:55</t>
  </si>
  <si>
    <t>E-FOX-T2-R0022</t>
  </si>
  <si>
    <t>Arcos Zapopan-R0022-12:55</t>
  </si>
  <si>
    <t>E-SK1-T2-R0081</t>
  </si>
  <si>
    <t>Santa Fe T2</t>
  </si>
  <si>
    <t>Santa Fe T2SANMINA KAMPUS 16</t>
  </si>
  <si>
    <t>SANMINA KAMPUS 16Santa Fe T2</t>
  </si>
  <si>
    <t>E-SK1-R0081</t>
  </si>
  <si>
    <t>Santa Fe T2-R0081-12:55</t>
  </si>
  <si>
    <t>SANMINA FORANE</t>
  </si>
  <si>
    <t>HEROS M.</t>
  </si>
  <si>
    <t>San Sebastian 2</t>
  </si>
  <si>
    <t>San Sebastian 2SANMINA TLAJOMULCO</t>
  </si>
  <si>
    <t>SANMINA TLAJOMULCOSan Sebastian 2</t>
  </si>
  <si>
    <t>E-SM4-R0204</t>
  </si>
  <si>
    <t>E-SK1-T2-R0066</t>
  </si>
  <si>
    <t>Polanco T2</t>
  </si>
  <si>
    <t>Polanco T2SANMINA KAMPUS 16</t>
  </si>
  <si>
    <t>SANMINA KAMPUS 16Polanco T2</t>
  </si>
  <si>
    <t>E-SK1-R0066</t>
  </si>
  <si>
    <t>Polanco T2-R0066-13:05</t>
  </si>
  <si>
    <t>Oblatos 1</t>
  </si>
  <si>
    <t>E-FOX-T2-R0098</t>
  </si>
  <si>
    <t>El Colli-R0098-13:15</t>
  </si>
  <si>
    <t>E-SM4-T2-R0099</t>
  </si>
  <si>
    <t>Las JuntasSANMINA TLAJOMULCO</t>
  </si>
  <si>
    <t>SANMINA TLAJOMULCOLas Juntas</t>
  </si>
  <si>
    <t>E-SM4-R0099</t>
  </si>
  <si>
    <t>Las Juntas-R0099-13:25</t>
  </si>
  <si>
    <t>E-FOX-T2-R0114</t>
  </si>
  <si>
    <t>Tonala 2</t>
  </si>
  <si>
    <t>Tonala 2FOXCONN</t>
  </si>
  <si>
    <t>FOXCONNTonala 2</t>
  </si>
  <si>
    <t>E-FOX-R0114</t>
  </si>
  <si>
    <t>Tonala 2-R0114-13:38</t>
  </si>
  <si>
    <t>Capilla 3</t>
  </si>
  <si>
    <t>Capilla 3SANMINA FORANE</t>
  </si>
  <si>
    <t>SANMINA FORANECapilla 3</t>
  </si>
  <si>
    <t>E-SM3-R0225</t>
  </si>
  <si>
    <t>Villas Terranova</t>
  </si>
  <si>
    <t>E-CUP-T3-R0001</t>
  </si>
  <si>
    <t>Chulavista-R0001-20:05</t>
  </si>
  <si>
    <t>E-SK1-T3-R0085</t>
  </si>
  <si>
    <t>Chulavista 2 T3</t>
  </si>
  <si>
    <t>Chulavista 2 T3SANMINA KAMPUS 16</t>
  </si>
  <si>
    <t>SANMINA KAMPUS 16Chulavista 2 T3</t>
  </si>
  <si>
    <t>E-SK1-R0085</t>
  </si>
  <si>
    <t>Chulavista 2 T3-R0085-21:00</t>
  </si>
  <si>
    <t>E-SAN-T3-R0428</t>
  </si>
  <si>
    <t>Dominical Tonala 1 y 2</t>
  </si>
  <si>
    <t>Dominical Tonala 1 y 2SANMINA GDL</t>
  </si>
  <si>
    <t>SANMINA GDLDominical Tonala 1 y 2</t>
  </si>
  <si>
    <t>E-SAN-R0428</t>
  </si>
  <si>
    <t>Dominical Tonala 1 y 2-R0428-21:10</t>
  </si>
  <si>
    <t>E-SK1-T3-R0087</t>
  </si>
  <si>
    <t>San Martin</t>
  </si>
  <si>
    <t>San MartinSANMINA KAMPUS 16</t>
  </si>
  <si>
    <t>SANMINA KAMPUS 16San Martin</t>
  </si>
  <si>
    <t>E-SK1-R0087</t>
  </si>
  <si>
    <t>San Martin-R0087-21:15</t>
  </si>
  <si>
    <t>VELAZQUEZ JUAREZ JONATHAN GERA</t>
  </si>
  <si>
    <t>HUIZAR DELGADILLO GLBERTO</t>
  </si>
  <si>
    <t>E-PEM-T1-R0013</t>
  </si>
  <si>
    <t>Mixing Santa Fe</t>
  </si>
  <si>
    <t>Mixing Santa FePEPSICO MIXING</t>
  </si>
  <si>
    <t>PEPSICO MIXINGMixing Santa Fe</t>
  </si>
  <si>
    <t>E-PEM-R0013</t>
  </si>
  <si>
    <t>Mixing Santa Fe-R0013-04:50</t>
  </si>
  <si>
    <t>E-SM4-T1-R0204</t>
  </si>
  <si>
    <t>San Sebastian 2-R0204-05:00</t>
  </si>
  <si>
    <t>Valle DoradoFOXCONN</t>
  </si>
  <si>
    <t>FOXCONNValle Dorado</t>
  </si>
  <si>
    <t>E-FOX-R0063</t>
  </si>
  <si>
    <t>GUTIERREZ GALINDO CARLOS DE JE</t>
  </si>
  <si>
    <t>E-MOL-T1-R0028</t>
  </si>
  <si>
    <t>ADM Arcos de Zapopan</t>
  </si>
  <si>
    <t>ADM Arcos de ZapopanMOLEX</t>
  </si>
  <si>
    <t>MOLEXADM Arcos de Zapopan</t>
  </si>
  <si>
    <t>E-MOL-R0028</t>
  </si>
  <si>
    <t>ADM Arcos de Zapopan-R0028-06:15</t>
  </si>
  <si>
    <t>E-SK1-T1-R0001</t>
  </si>
  <si>
    <t>ADM Calzada</t>
  </si>
  <si>
    <t>ZARATE HERNANDEZ FRANCISCO JAV</t>
  </si>
  <si>
    <t>ADM CalzadaSANMINA KAMPUS 16</t>
  </si>
  <si>
    <t>SANMINA KAMPUS 16ADM Calzada</t>
  </si>
  <si>
    <t>E-SK1-R0001</t>
  </si>
  <si>
    <t>ADM Calzada-R0001-06:35</t>
  </si>
  <si>
    <t>SANMINA ADM</t>
  </si>
  <si>
    <t>FELIPE G.</t>
  </si>
  <si>
    <t>E-SA4-T1-R0117</t>
  </si>
  <si>
    <t>Villas AndaluciaSANMINA ADM</t>
  </si>
  <si>
    <t>SANMINA ADMVillas Andalucia</t>
  </si>
  <si>
    <t>E-SA4-R0117</t>
  </si>
  <si>
    <t>Villas Andalucia-R0117-06:40</t>
  </si>
  <si>
    <t>E-SA4-T1-R0113</t>
  </si>
  <si>
    <t>Sauz</t>
  </si>
  <si>
    <t>SauzSANMINA ADM</t>
  </si>
  <si>
    <t>SANMINA ADMSauz</t>
  </si>
  <si>
    <t>E-SA4-R0113</t>
  </si>
  <si>
    <t>Sauz-R0113-06:48</t>
  </si>
  <si>
    <t>E-SA4-T1-R0076</t>
  </si>
  <si>
    <t>Ajijic Chapala</t>
  </si>
  <si>
    <t>Ajijic ChapalaSANMINA ADM</t>
  </si>
  <si>
    <t>SANMINA ADMAjijic Chapala</t>
  </si>
  <si>
    <t>E-SA4-R0076</t>
  </si>
  <si>
    <t>Ajijic Chapala-R0076-06:50</t>
  </si>
  <si>
    <t>E-SA4-T1-R0126</t>
  </si>
  <si>
    <t>Oblatos 1SANMINA ADM</t>
  </si>
  <si>
    <t>SANMINA ADMOblatos 1</t>
  </si>
  <si>
    <t>E-SA4-R0126</t>
  </si>
  <si>
    <t>Oblatos 1-R0126-06:50</t>
  </si>
  <si>
    <t>E-SA4-T1-R0109</t>
  </si>
  <si>
    <t>Santa fe Combinado</t>
  </si>
  <si>
    <t>Santa fe CombinadoSANMINA ADM</t>
  </si>
  <si>
    <t>SANMINA ADMSanta fe Combinado</t>
  </si>
  <si>
    <t>E-SA4-R0109</t>
  </si>
  <si>
    <t>Santa fe Combinado-R0109-07:05</t>
  </si>
  <si>
    <t>E-SOR-T2-R0033</t>
  </si>
  <si>
    <t>El Vado</t>
  </si>
  <si>
    <t>SORIANA GDL</t>
  </si>
  <si>
    <t>El VadoSORIANA GDL</t>
  </si>
  <si>
    <t>SORIANA GDLEl Vado</t>
  </si>
  <si>
    <t>E-SOR-R0033</t>
  </si>
  <si>
    <t>El Vado-R0033-12:30</t>
  </si>
  <si>
    <t>Moctezuma Zalate</t>
  </si>
  <si>
    <t>Moctezuma ZalatePEPSICO GDL</t>
  </si>
  <si>
    <t>PEPSICO GDLMoctezuma Zalate</t>
  </si>
  <si>
    <t>E-PEP-R0038</t>
  </si>
  <si>
    <t>Zalatitan</t>
  </si>
  <si>
    <t>Olivos</t>
  </si>
  <si>
    <t>P.MURILLO GOMEZ MARIO ROBERTO</t>
  </si>
  <si>
    <t>OlivosFOXCONN</t>
  </si>
  <si>
    <t>FOXCONNOlivos</t>
  </si>
  <si>
    <t>E-FOX-R0232</t>
  </si>
  <si>
    <t>GODINEZ CONTRERAS SERGIO ALEJA</t>
  </si>
  <si>
    <t>E-FOX-T3-R0098</t>
  </si>
  <si>
    <t>El Colli-R0098-21:10</t>
  </si>
  <si>
    <t>Fresnos</t>
  </si>
  <si>
    <t>FresnosFOXCONN</t>
  </si>
  <si>
    <t>FOXCONNFresnos</t>
  </si>
  <si>
    <t>E-FOX-R0121</t>
  </si>
  <si>
    <t xml:space="preserve">DON JULIO TEPIC </t>
  </si>
  <si>
    <t>BELTRAN OLIVARES NESTOR ARMAND</t>
  </si>
  <si>
    <t>E-DJT-T1-R0001</t>
  </si>
  <si>
    <t>Puga</t>
  </si>
  <si>
    <t xml:space="preserve">PugaDON JULIO TEPIC </t>
  </si>
  <si>
    <t>DON JULIO TEPIC Puga</t>
  </si>
  <si>
    <t>E-DJT-R0001</t>
  </si>
  <si>
    <t>E-DJT-T1-R0004</t>
  </si>
  <si>
    <t>Pochotitan Mujeres</t>
  </si>
  <si>
    <t xml:space="preserve">Pochotitan MujeresDON JULIO TEPIC </t>
  </si>
  <si>
    <t>DON JULIO TEPIC Pochotitan Mujeres</t>
  </si>
  <si>
    <t>E-DJT-R0004</t>
  </si>
  <si>
    <t>Villas de andalucia</t>
  </si>
  <si>
    <t>Villas de andaluciaZOLTEK GDL</t>
  </si>
  <si>
    <t>ZOLTEK GDLVillas de andalucia</t>
  </si>
  <si>
    <t>E-ZLT-R0014</t>
  </si>
  <si>
    <t>Gobernador Curiel</t>
  </si>
  <si>
    <t>Gobernador CurielPIS-PISA</t>
  </si>
  <si>
    <t>PIS-PISAGobernador Curiel</t>
  </si>
  <si>
    <t>E-PIS-R0077</t>
  </si>
  <si>
    <t>VAZQUEZ CORTES MIGUEL ALEJANDR</t>
  </si>
  <si>
    <t>almost</t>
  </si>
  <si>
    <t>E-FOX-T1-R0054</t>
  </si>
  <si>
    <t>ADM Arcos Zapopan</t>
  </si>
  <si>
    <t>ADM Arcos ZapopanFOXCONN</t>
  </si>
  <si>
    <t>FOXCONNADM Arcos Zapopan</t>
  </si>
  <si>
    <t>E-FOX-R0054</t>
  </si>
  <si>
    <t>ADM Arcos Zapopan-R0054-07:00</t>
  </si>
  <si>
    <t>Sabinos- Santa Rosa</t>
  </si>
  <si>
    <t>MABE GDL</t>
  </si>
  <si>
    <t>Sabinos- Santa RosaMABE GDL</t>
  </si>
  <si>
    <t>MABE GDLSabinos- Santa Rosa</t>
  </si>
  <si>
    <t>OCEGUEDA CHAVEZ GUADALUPE ALEJ</t>
  </si>
  <si>
    <t>E-MAB-T2-R0022</t>
  </si>
  <si>
    <t>E-FOX-T2-R0067</t>
  </si>
  <si>
    <t>Terranova 3</t>
  </si>
  <si>
    <t>Terranova 3FOXCONN</t>
  </si>
  <si>
    <t>FOXCONNTerranova 3</t>
  </si>
  <si>
    <t>E-FOX-R0067</t>
  </si>
  <si>
    <t>Terranova 3-R0067-13:05</t>
  </si>
  <si>
    <t>Lomas de Polanco</t>
  </si>
  <si>
    <t>Lomas de PolancoFOXCONN</t>
  </si>
  <si>
    <t>FOXCONNLomas de Polanco</t>
  </si>
  <si>
    <t>E-FOX-R0155</t>
  </si>
  <si>
    <t>8 De Julio</t>
  </si>
  <si>
    <t>FLORES CERVANTES JOSE CHRISTIA</t>
  </si>
  <si>
    <t>E-CUP-T1-R0003</t>
  </si>
  <si>
    <t>Chulavista 12X12</t>
  </si>
  <si>
    <t>Chulavista 12X12CUPRUM GDL</t>
  </si>
  <si>
    <t>CUPRUM GDLChulavista 12X12</t>
  </si>
  <si>
    <t>E-CUP-R0003</t>
  </si>
  <si>
    <t>Chulavista 12X12-R0003-16:35</t>
  </si>
  <si>
    <t>E-MOL-T2-R0018</t>
  </si>
  <si>
    <t>Zacoalco L - J</t>
  </si>
  <si>
    <t>Zacoalco L - JMOLEX</t>
  </si>
  <si>
    <t>MOLEXZacoalco L - J</t>
  </si>
  <si>
    <t>E-MOL-R0018</t>
  </si>
  <si>
    <t>Zacoalco L - J-R0018-16:55</t>
  </si>
  <si>
    <t>AVILA HERRADA WILLIAMS</t>
  </si>
  <si>
    <t>Cielito Lindo</t>
  </si>
  <si>
    <t>Cielito LindoPIS-PISA</t>
  </si>
  <si>
    <t>PIS-PISACielito Lindo</t>
  </si>
  <si>
    <t>E-PIS-R0085</t>
  </si>
  <si>
    <t>E-SK1-T3-R0082</t>
  </si>
  <si>
    <t>Santa Fe T3</t>
  </si>
  <si>
    <t>Santa Fe T3SANMINA KAMPUS 16</t>
  </si>
  <si>
    <t>SANMINA KAMPUS 16Santa Fe T3</t>
  </si>
  <si>
    <t>E-SK1-R0082</t>
  </si>
  <si>
    <t>Santa Fe T3-R0082-21:13</t>
  </si>
  <si>
    <t>E-SAN-T3-R0424</t>
  </si>
  <si>
    <t>Plutarco-Santa Cecilia</t>
  </si>
  <si>
    <t>Plutarco-Santa CeciliaSANMINA GDL</t>
  </si>
  <si>
    <t>SANMINA GDLPlutarco-Santa Cecilia</t>
  </si>
  <si>
    <t>E-SAN-R0424</t>
  </si>
  <si>
    <t>Plutarco-Santa Cecilia-R0424-21:15</t>
  </si>
  <si>
    <t>E-FOX-T3-R0149</t>
  </si>
  <si>
    <t>Apoyo Santa Fe 1</t>
  </si>
  <si>
    <t>Apoyo Santa Fe 1FOXCONN</t>
  </si>
  <si>
    <t>FOXCONNApoyo Santa Fe 1</t>
  </si>
  <si>
    <t>E-FOX-R0149</t>
  </si>
  <si>
    <t>Apoyo Santa Fe 1-R0149-21:24</t>
  </si>
  <si>
    <t>Tlajomulco</t>
  </si>
  <si>
    <t>RODRIGUEZ RENTERIA BRAYAN  IVAN</t>
  </si>
  <si>
    <t>E-SK1-T1-R0033</t>
  </si>
  <si>
    <t>Polanco T1</t>
  </si>
  <si>
    <t>Polanco T1SANMINA KAMPUS 16</t>
  </si>
  <si>
    <t>SANMINA KAMPUS 16Polanco T1</t>
  </si>
  <si>
    <t>E-SK1-R0033</t>
  </si>
  <si>
    <t>Polanco T1-R0033-05:20</t>
  </si>
  <si>
    <t>E-SK1-T1-R0021</t>
  </si>
  <si>
    <t>Fovissste</t>
  </si>
  <si>
    <t>FovisssteSANMINA KAMPUS 16</t>
  </si>
  <si>
    <t>SANMINA KAMPUS 16Fovissste</t>
  </si>
  <si>
    <t>E-SK1-R0021</t>
  </si>
  <si>
    <t>Fovissste-R0021-05:22</t>
  </si>
  <si>
    <t>Vergel Rosas Pintas</t>
  </si>
  <si>
    <t>Vergel Rosas PintasSANMINA TLAJOMULCO</t>
  </si>
  <si>
    <t>SANMINA TLAJOMULCOVergel Rosas Pintas</t>
  </si>
  <si>
    <t>E-SM4-R0125</t>
  </si>
  <si>
    <t>Villas AndaluciaHERSHEYS</t>
  </si>
  <si>
    <t>HERSHEYSVillas Andalucia</t>
  </si>
  <si>
    <t>E-HER-R0006</t>
  </si>
  <si>
    <t>E-SK1-T2-R0021</t>
  </si>
  <si>
    <t>Fovissste-R0021-13:00</t>
  </si>
  <si>
    <t>Villas Santa Cruz</t>
  </si>
  <si>
    <t>Villas Santa CruzSANMINA TLAJOMULCO</t>
  </si>
  <si>
    <t>SANMINA TLAJOMULCOVillas Santa Cruz</t>
  </si>
  <si>
    <t>E-SM4-R0080</t>
  </si>
  <si>
    <t>San Gaspar</t>
  </si>
  <si>
    <t>San GasparFOXCONN</t>
  </si>
  <si>
    <t>FOXCONNSan Gaspar</t>
  </si>
  <si>
    <t>E-FOX-R0030</t>
  </si>
  <si>
    <t>E-PIS-T2-R0077</t>
  </si>
  <si>
    <t>Gobernador Curiel-R0077-16:50</t>
  </si>
  <si>
    <t>Federalismo</t>
  </si>
  <si>
    <t>FederalismoFOXCONN</t>
  </si>
  <si>
    <t>FOXCONNFederalismo</t>
  </si>
  <si>
    <t>E-FOX-R0181</t>
  </si>
  <si>
    <t>E-SAN-T3-R0061</t>
  </si>
  <si>
    <t>Bethel</t>
  </si>
  <si>
    <t>BethelSANMINA GDL</t>
  </si>
  <si>
    <t>SANMINA GDLBethel</t>
  </si>
  <si>
    <t>E-SAN-R0061</t>
  </si>
  <si>
    <t>Bethel-R0061-21:00</t>
  </si>
  <si>
    <t>HERNANDEZ RAMIREZ ALEJANDRO CR</t>
  </si>
  <si>
    <t>E-SAN-T3-R0068</t>
  </si>
  <si>
    <t>Panteon-R0068-21:10</t>
  </si>
  <si>
    <t>E-FOX-T3-R0207</t>
  </si>
  <si>
    <t>3A Rodeo</t>
  </si>
  <si>
    <t>3A RodeoFOXCONN</t>
  </si>
  <si>
    <t>FOXCONN3A Rodeo</t>
  </si>
  <si>
    <t>E-FOX-R0207</t>
  </si>
  <si>
    <t>3A Rodeo-R0207-21:12</t>
  </si>
  <si>
    <t>BARRERA HERNANDEZ JOSE SALVA</t>
  </si>
  <si>
    <t>ORTIZ HERNANDEZ JESUS GUADALUP</t>
  </si>
  <si>
    <t>E-SA4-T1-R0116</t>
  </si>
  <si>
    <t>TlajomulcoSANMINA ADM</t>
  </si>
  <si>
    <t>SANMINA ADMTlajomulco</t>
  </si>
  <si>
    <t>E-SA4-R0116</t>
  </si>
  <si>
    <t>Tlajomulco-R0116-06:45</t>
  </si>
  <si>
    <t>C.CORONA MARIN OSCAR DAVID</t>
  </si>
  <si>
    <t>Mixing La Noria</t>
  </si>
  <si>
    <t>Mixing La NoriaPEPSICO MIXING</t>
  </si>
  <si>
    <t>PEPSICO MIXINGMixing La Noria</t>
  </si>
  <si>
    <t>E-PEM-R0012</t>
  </si>
  <si>
    <t>E-SK1-T1-R0029</t>
  </si>
  <si>
    <t>Lomas del Sur-R0029-05:00</t>
  </si>
  <si>
    <t>Miramar</t>
  </si>
  <si>
    <t>MiramarSANMINA GDL</t>
  </si>
  <si>
    <t>SANMINA GDLMiramar</t>
  </si>
  <si>
    <t>E-SAN-R0067</t>
  </si>
  <si>
    <t>E-SM3-T1-R0223</t>
  </si>
  <si>
    <t>Rancho Silos</t>
  </si>
  <si>
    <t>Rancho SilosSANMINA FORANE</t>
  </si>
  <si>
    <t>SANMINA FORANERancho Silos</t>
  </si>
  <si>
    <t>E-SM3-R0223</t>
  </si>
  <si>
    <t>Rancho Silos-R0223-05:50</t>
  </si>
  <si>
    <t>E-HER-T2-R0008</t>
  </si>
  <si>
    <t>Parque Morelos-R0008-12:55</t>
  </si>
  <si>
    <t>SERRANO MACHUCA MARIA ELIZABET</t>
  </si>
  <si>
    <t>E-CUP-T1-R0002</t>
  </si>
  <si>
    <t>Polanco</t>
  </si>
  <si>
    <t>PolancoCUPRUM GDL</t>
  </si>
  <si>
    <t>CUPRUM GDLPolanco</t>
  </si>
  <si>
    <t>E-CUP-R0002</t>
  </si>
  <si>
    <t>Polanco-R0002-19:40</t>
  </si>
  <si>
    <t>E-FOX-T3-R0022</t>
  </si>
  <si>
    <t>Arcos Zapopan-R0022-21:00</t>
  </si>
  <si>
    <t>E-FOX-T3-R0173</t>
  </si>
  <si>
    <t>Apoyo Loma Bonita-R0173-21:02</t>
  </si>
  <si>
    <t>MARROQUIN ACEVES MARCOS GUILLE</t>
  </si>
  <si>
    <t>E-PAQ-T3-R0050</t>
  </si>
  <si>
    <t>Tonala T5</t>
  </si>
  <si>
    <t>Tonala T5PAQUETEXPRESS GDL</t>
  </si>
  <si>
    <t>PAQUETEXPRESS GDLTonala T5</t>
  </si>
  <si>
    <t>E-PAQ-R0050</t>
  </si>
  <si>
    <t>Tonala T5-R0050-21:05</t>
  </si>
  <si>
    <t>Valle De Tejeda</t>
  </si>
  <si>
    <t>Valle De TejedaFOXCONN</t>
  </si>
  <si>
    <t>FOXCONNValle De Tejeda</t>
  </si>
  <si>
    <t>E-FOX-R0073</t>
  </si>
  <si>
    <t/>
  </si>
  <si>
    <t>VAZQUEZ MACIAS RAFAEL</t>
  </si>
  <si>
    <t>2026-08-08</t>
  </si>
  <si>
    <t>GOMEZ SANDOVAL JUAN RAMON</t>
  </si>
  <si>
    <t>LOPEZ ACEVES FERNANDO</t>
  </si>
  <si>
    <t>2026-08-10</t>
  </si>
  <si>
    <t>ALATORRE GONZALEZ ALEJANDRO</t>
  </si>
  <si>
    <t>2026-08-11</t>
  </si>
  <si>
    <t>JIMENEZ RUVALCABA ALEJANDRO</t>
  </si>
  <si>
    <t>COVARRUBIAS SILVA MIGUEL ANGEL</t>
  </si>
  <si>
    <t>2026-08-12</t>
  </si>
  <si>
    <t>MARTINEZ LOPEZ PEDRO ALBERTO</t>
  </si>
  <si>
    <t>CRUZ LAGUNAS JOSE DE JESUS</t>
  </si>
  <si>
    <t>BAROCIO RAMOS FRANCISCO ALEJANDRO</t>
  </si>
  <si>
    <t>2026-08-13</t>
  </si>
  <si>
    <t>MEZA RAMIREZ FEDERICO</t>
  </si>
  <si>
    <t>2026-08-14</t>
  </si>
  <si>
    <t>SALCEDO FLORES GABRIEL</t>
  </si>
  <si>
    <t>status</t>
  </si>
  <si>
    <t>PEÑAFIEL GDL</t>
  </si>
  <si>
    <t>E-SK1-T2-R0087</t>
  </si>
  <si>
    <t>San Martin-R0087-13:10</t>
  </si>
  <si>
    <t>E-PEP-T1-R0009</t>
  </si>
  <si>
    <t>Moctezuma San Agustin</t>
  </si>
  <si>
    <t>Moctezuma San AgustinPEPSICO GDL</t>
  </si>
  <si>
    <t>PEPSICO GDLMoctezuma San Agustin</t>
  </si>
  <si>
    <t>E-PEP-R0009</t>
  </si>
  <si>
    <t>Moctezuma San Agustin-R0009-05:30</t>
  </si>
  <si>
    <t>MAGDALENO RAMIREZ EDGAR ANTONI</t>
  </si>
  <si>
    <t>E-SAN-T3-R0427</t>
  </si>
  <si>
    <t>Dominical Tesistan Miramar-R0427-20:40</t>
  </si>
  <si>
    <t>E-FOX-T1-R0073</t>
  </si>
  <si>
    <t>Valle De Tejeda-R0073-05:35</t>
  </si>
  <si>
    <t>E-PIS-T1-R0047</t>
  </si>
  <si>
    <t>San Juan Evangelista</t>
  </si>
  <si>
    <t>San Juan EvangelistaPIS-PISA</t>
  </si>
  <si>
    <t>PIS-PISASan Juan Evangelista</t>
  </si>
  <si>
    <t>E-PIS-R0047</t>
  </si>
  <si>
    <t>San Juan Evangelista-R0047-05:10</t>
  </si>
  <si>
    <t>E-PIS-T2-R0047</t>
  </si>
  <si>
    <t>San Juan Evangelista-R0047-17:10</t>
  </si>
  <si>
    <t>Parques Del Triunfo</t>
  </si>
  <si>
    <t>Parques Del TriunfoFOXCONN</t>
  </si>
  <si>
    <t>FOXCONNParques Del Triunfo</t>
  </si>
  <si>
    <t>E-FOX-R0044</t>
  </si>
  <si>
    <t>Op MET Loma Dorada Fin de Semana</t>
  </si>
  <si>
    <t>Op MET Loma Dorada Fin de SemanaZF METROPOLITANA</t>
  </si>
  <si>
    <t>ZF METROPOLITANAOp MET Loma Dorada Fin de Semana</t>
  </si>
  <si>
    <t>E-ZFM-R0102</t>
  </si>
  <si>
    <t>Op FOR Ixtlahuacan - Aguilillas Fin de semana</t>
  </si>
  <si>
    <t>Op FOR Ixtlahuacan - Aguilillas Fin de semanaZF FORANEO</t>
  </si>
  <si>
    <t>ZF FORANEOOp FOR Ixtlahuacan - Aguilillas Fin de semana</t>
  </si>
  <si>
    <t>E-ZFF-R0035</t>
  </si>
  <si>
    <t>VICTORIA CONTRERAS VICTOR MANU</t>
  </si>
  <si>
    <t>Apoyo Valle de la Misericordia</t>
  </si>
  <si>
    <t>Apoyo Valle de la MisericordiaFOXCONN</t>
  </si>
  <si>
    <t>FOXCONNApoyo Valle de la Misericordia</t>
  </si>
  <si>
    <t>E-FOX-R0256</t>
  </si>
  <si>
    <t>E-FOX-T2-R0177</t>
  </si>
  <si>
    <t>Apoyo Lomas del Mirador</t>
  </si>
  <si>
    <t>Apoyo Lomas del MiradorFOXCONN</t>
  </si>
  <si>
    <t>FOXCONNApoyo Lomas del Mirador</t>
  </si>
  <si>
    <t>E-FOX-R0177</t>
  </si>
  <si>
    <t>Apoyo Lomas del Mirador-R0177-13:32</t>
  </si>
  <si>
    <t>DIAZ DE LA VEGA HERNANDEZ VICT</t>
  </si>
  <si>
    <t>E-HER-T1-R0001</t>
  </si>
  <si>
    <t>AgavesHERSHEYS</t>
  </si>
  <si>
    <t>HERSHEYSAgaves</t>
  </si>
  <si>
    <t>E-HER-R0001</t>
  </si>
  <si>
    <t>Agaves-R0001-04:50</t>
  </si>
  <si>
    <t>ZalatitanSANMINA GDL</t>
  </si>
  <si>
    <t>SANMINA GDLZalatitan</t>
  </si>
  <si>
    <t>E-SAN-R0075</t>
  </si>
  <si>
    <t>E-FOX-T3-R0050</t>
  </si>
  <si>
    <t>Villas TerranovaFOXCONN</t>
  </si>
  <si>
    <t>FOXCONNVillas Terranova</t>
  </si>
  <si>
    <t>E-FOX-R0050</t>
  </si>
  <si>
    <t>Villas Terranova-R0050-20:45</t>
  </si>
  <si>
    <t>E-HER-T2-R0006</t>
  </si>
  <si>
    <t>Villas Andalucia-R0006-13:55</t>
  </si>
  <si>
    <t>E-FOX-T3-R0114</t>
  </si>
  <si>
    <t>Tonala 2-R0114-21:18</t>
  </si>
  <si>
    <t>E-SA4-T1-R0106</t>
  </si>
  <si>
    <t>Santa fe 3</t>
  </si>
  <si>
    <t>Santa fe 3SANMINA ADM</t>
  </si>
  <si>
    <t>SANMINA ADMSanta fe 3</t>
  </si>
  <si>
    <t>E-SA4-R0106</t>
  </si>
  <si>
    <t>Santa fe 3-R0106-06:50</t>
  </si>
  <si>
    <t>E-SM4-T3-R0204</t>
  </si>
  <si>
    <t>San Sebastian 2-R0204-21:00</t>
  </si>
  <si>
    <t>E-PEÑ-T3-R0003</t>
  </si>
  <si>
    <t>San Juan</t>
  </si>
  <si>
    <t>San JuanPEÑAFIEL GDL</t>
  </si>
  <si>
    <t>PEÑAFIEL GDLSan Juan</t>
  </si>
  <si>
    <t>E-PEÑ-R0003</t>
  </si>
  <si>
    <t>San Juan-R0003-21:05</t>
  </si>
  <si>
    <t>Pochotitan Mujeres-R0004-05:50</t>
  </si>
  <si>
    <t>E-SA4-T1-R0132</t>
  </si>
  <si>
    <t>Periferico Nuevo</t>
  </si>
  <si>
    <t>Periferico NuevoSANMINA ADM</t>
  </si>
  <si>
    <t>SANMINA ADMPeriferico Nuevo</t>
  </si>
  <si>
    <t>E-SA4-R0132</t>
  </si>
  <si>
    <t>Periferico Nuevo-R0132-07:00</t>
  </si>
  <si>
    <t>E-ZFM-T1-R0003</t>
  </si>
  <si>
    <t>Op MET 8 De Julio</t>
  </si>
  <si>
    <t>Op MET 8 De JulioZF METROPOLITANA</t>
  </si>
  <si>
    <t>ZF METROPOLITANAOp MET 8 De Julio</t>
  </si>
  <si>
    <t>E-ZFM-R0003</t>
  </si>
  <si>
    <t>Op MET 8 De Julio-R0003-05:10</t>
  </si>
  <si>
    <t>E-SM4-T3-R0101</t>
  </si>
  <si>
    <t>Lomas de San Agustin-R0101-20:50</t>
  </si>
  <si>
    <t>E-SA4-T1-R0123</t>
  </si>
  <si>
    <t>Loma Dorada 2</t>
  </si>
  <si>
    <t>Loma Dorada 2SANMINA ADM</t>
  </si>
  <si>
    <t>SANMINA ADMLoma Dorada 2</t>
  </si>
  <si>
    <t>E-SA4-R0123</t>
  </si>
  <si>
    <t>Loma Dorada 2-R0123-07:00</t>
  </si>
  <si>
    <t>E-FOX-T3-R0267</t>
  </si>
  <si>
    <t>Interplantas-R0267-22:50</t>
  </si>
  <si>
    <t>E-SM4-T1-R0088</t>
  </si>
  <si>
    <t>Cantaros 2</t>
  </si>
  <si>
    <t>Cantaros 2SANMINA TLAJOMULCO</t>
  </si>
  <si>
    <t>SANMINA TLAJOMULCOCantaros 2</t>
  </si>
  <si>
    <t>E-SM4-R0088</t>
  </si>
  <si>
    <t>Cantaros 2-R0088-05:20</t>
  </si>
  <si>
    <t>Atequiza</t>
  </si>
  <si>
    <t>E-FOX-T1-R0256</t>
  </si>
  <si>
    <t>E-SM4-T1-R0237</t>
  </si>
  <si>
    <t>Apoyo Adolf Horn T1</t>
  </si>
  <si>
    <t>Apoyo Adolf Horn T1SANMINA TLAJOMULCO</t>
  </si>
  <si>
    <t>SANMINA TLAJOMULCOApoyo Adolf Horn T1</t>
  </si>
  <si>
    <t>E-SM4-R0237</t>
  </si>
  <si>
    <t>Apoyo Adolf Horn T1-R0237-05:30</t>
  </si>
  <si>
    <t>E-FOX-T2-R0145</t>
  </si>
  <si>
    <t>Apoyo 8 de Julio</t>
  </si>
  <si>
    <t>Apoyo 8 de JulioFOXCONN</t>
  </si>
  <si>
    <t>FOXCONNApoyo 8 de Julio</t>
  </si>
  <si>
    <t>E-FOX-R0145</t>
  </si>
  <si>
    <t>Apoyo 8 de Julio-R0145-13:32</t>
  </si>
  <si>
    <t>VILLALOBOS CURIEL ANDRES ALEJA</t>
  </si>
  <si>
    <t>MARTINEZ SANDOVAL NOE GUADALUP</t>
  </si>
  <si>
    <t>E-SM4-T2-R0125</t>
  </si>
  <si>
    <t>Vergel Rosas Pintas-R0125-13:00</t>
  </si>
  <si>
    <t>E-SAN-T1-R0061</t>
  </si>
  <si>
    <t>Bethel-R0061-05:00</t>
  </si>
  <si>
    <t>Apoyo Valle Dorado</t>
  </si>
  <si>
    <t>Apoyo Valle DoradoFOXCONN</t>
  </si>
  <si>
    <t>FOXCONNApoyo Valle Dorado</t>
  </si>
  <si>
    <t>E-FOX-R0143</t>
  </si>
  <si>
    <t>Puga-R0001-05:40</t>
  </si>
  <si>
    <t>RODRIGUEZ ACOSTA RODRIGO MARGA</t>
  </si>
  <si>
    <t>Mariano Otero</t>
  </si>
  <si>
    <t>E-SK1-T3-R0025</t>
  </si>
  <si>
    <t>Juan Pablo II-R0025-21:00</t>
  </si>
  <si>
    <t>E-FOX-T1-R0088</t>
  </si>
  <si>
    <t>AgavesFOXCONN</t>
  </si>
  <si>
    <t>FOXCONNAgaves</t>
  </si>
  <si>
    <t>E-FOX-R0088</t>
  </si>
  <si>
    <t>Agaves-R0088-06:07</t>
  </si>
  <si>
    <t>P.CERVANTES SANCHEZ DORIAN GUILLERMO</t>
  </si>
  <si>
    <t>ZENDEJAS SANCHEZ BRAYAN ALEJAN</t>
  </si>
  <si>
    <t>E-FOX-T2-R0121</t>
  </si>
  <si>
    <t>Fresnos-R0121-13:10</t>
  </si>
  <si>
    <t>E-SK1-T2-R0046</t>
  </si>
  <si>
    <t>Zalatitan T2</t>
  </si>
  <si>
    <t>Zalatitan T2SANMINA KAMPUS 16</t>
  </si>
  <si>
    <t>SANMINA KAMPUS 16Zalatitan T2</t>
  </si>
  <si>
    <t>E-SK1-R0046</t>
  </si>
  <si>
    <t>Moctezuma Miramar</t>
  </si>
  <si>
    <t>Moctezuma MiramarPEPSICO GDL</t>
  </si>
  <si>
    <t>PEPSICO GDLMoctezuma Miramar</t>
  </si>
  <si>
    <t>E-PEP-R0008</t>
  </si>
  <si>
    <t>E-SA4-T1-R0140</t>
  </si>
  <si>
    <t>Calzada</t>
  </si>
  <si>
    <t>CalzadaSANMINA ADM</t>
  </si>
  <si>
    <t>SANMINA ADMCalzada</t>
  </si>
  <si>
    <t>E-SA4-R0140</t>
  </si>
  <si>
    <t>Calzada-R0140-06:50</t>
  </si>
  <si>
    <t>E-SAN-T1-R0317</t>
  </si>
  <si>
    <t>Angel Leaño T1</t>
  </si>
  <si>
    <t>Angel Leaño T1SANMINA GDL</t>
  </si>
  <si>
    <t>SANMINA GDLAngel Leaño T1</t>
  </si>
  <si>
    <t>E-SAN-R0317</t>
  </si>
  <si>
    <t>Angel Leaño T1-R0317-04:50</t>
  </si>
  <si>
    <t>AGUIÑAGA GUERRERO JOSE DAMIA</t>
  </si>
  <si>
    <t>driver_name</t>
  </si>
  <si>
    <t>Nomina</t>
  </si>
  <si>
    <t>CEROS</t>
  </si>
  <si>
    <t>GARCIA SALCEDO FRANCISCO JAVIE</t>
  </si>
  <si>
    <t>YANEZ DE LUNA CARLOS</t>
  </si>
  <si>
    <t>NUNEZ ROSALES REYNALDO</t>
  </si>
  <si>
    <t>SANCHEZ MARTINEZ ROBERTO ALEJA</t>
  </si>
  <si>
    <t>FRANCO YANEZ JOSE MANUEL</t>
  </si>
  <si>
    <t>ORTUNO TORRES ABRAHAM</t>
  </si>
  <si>
    <t>MARTINEZ MUNOZ CARLOS</t>
  </si>
  <si>
    <t>ZUNIGA HERNANDEZ OSCAR FRANC</t>
  </si>
  <si>
    <t>SALAMANCA SALAS JOSE VICTORIAN</t>
  </si>
  <si>
    <t>SORIANO YANEZ MARIO ERNESTO</t>
  </si>
  <si>
    <t>MUNOZ CASTILLO RAMIRO</t>
  </si>
  <si>
    <t>GALLARDO REGALADO EDGAR ALEJAN</t>
  </si>
  <si>
    <t>VAZQUEZ CERVANTES JOSE MAURI</t>
  </si>
  <si>
    <t>MAGANA CONTRERAS JOSE LUIS</t>
  </si>
  <si>
    <t>GONZALEZ GARCIA UIS ALBERTO</t>
  </si>
  <si>
    <t>DIAZ BLANQUET LIZETTE ALEJANDR</t>
  </si>
  <si>
    <t>CASTANEDA GOMEZ ALEJANDRO</t>
  </si>
  <si>
    <t>MUNGUIA AVINA HUGO</t>
  </si>
  <si>
    <t>ARIAS PATINO JOSE MANUEL</t>
  </si>
  <si>
    <t>A.PINTO RODRIGUEZ GUILLERMO</t>
  </si>
  <si>
    <t>NUNEZ QUIJAS RICARDO</t>
  </si>
  <si>
    <t>NUNO AZUA JOSE MANUEL</t>
  </si>
  <si>
    <t>MARTINEZ ZUNIGA FRANCISCO JAVI</t>
  </si>
  <si>
    <t>CAMARILLO SORIANO JULIO CESA</t>
  </si>
  <si>
    <t>MONTANO CASTILLO PABLO</t>
  </si>
  <si>
    <t>AGUINAGA GUERRERO JOSE DAMIA</t>
  </si>
  <si>
    <t>MURILLO GOMEZ MARIO ROBERTO</t>
  </si>
  <si>
    <t>P.CORTEZ FLORES FERNANDO  SAMUEL</t>
  </si>
  <si>
    <t>CASTANEDA ESPINOZA ISMAEL</t>
  </si>
  <si>
    <t>GARDUNO LOPEZ MANUEL</t>
  </si>
  <si>
    <t>SOTO GOMEZ ROBRTO CARLOS</t>
  </si>
  <si>
    <t>NUNO CARBAJAL SAID DE JESUS</t>
  </si>
  <si>
    <t>BRISENO DUENAS MARTIN DE JESUS</t>
  </si>
  <si>
    <t>GUERRERO GONZALEZ EDUARDO FLOR</t>
  </si>
  <si>
    <t>MENDEZ BARAJAS FRANCISCO CHRIS</t>
  </si>
  <si>
    <t>ROBLES MEDINA LEONARDO DE JESU</t>
  </si>
  <si>
    <t>C.RUIZ PEREZ EUGUI</t>
  </si>
  <si>
    <t>MUNOZ PLASCENCIA DAVID RAUDEL</t>
  </si>
  <si>
    <t>CASTANEDA AGUILAR LUIS ANTONIO</t>
  </si>
  <si>
    <t>HERRERA GOMEZ CARLOS GILBERT</t>
  </si>
  <si>
    <t>RUVALCABA DISTANCIA MARCO ANTO</t>
  </si>
  <si>
    <t>P.QUEZADA AVALOS OSCAR GEOVANNI</t>
  </si>
  <si>
    <t>HERNANDEZ PEREZ FRANCISCO JAVI</t>
  </si>
  <si>
    <t>ZERMENO GARCIA JOSE ALFREDO</t>
  </si>
  <si>
    <t>PATINO ESCOBEDO JOSE CRUZ</t>
  </si>
  <si>
    <t>BARAJAS SALDANA JUAN</t>
  </si>
  <si>
    <t>SANCHEZ BRISENO MARCOS ENRIQUE</t>
  </si>
  <si>
    <t>DIAZ DE SANDI DIAZ MARTIN ALEJ</t>
  </si>
  <si>
    <t>PEREZ PLASCENCIA JOSE GUADAL</t>
  </si>
  <si>
    <t>APOLINAR GONZALEZ MARIO ALBE</t>
  </si>
  <si>
    <t>DE LA ROSA OCEGUEDA JUAN GUADA</t>
  </si>
  <si>
    <t>MUNOZ SANTACRUZ JUAN PABLO</t>
  </si>
  <si>
    <t>NUNEZ CABRERA ERICK NAZARET</t>
  </si>
  <si>
    <t>JIMENEZ CELEDON ROBERTO DE J</t>
  </si>
  <si>
    <t>MARTINEZ ZAVALA FRANCISCO ESPI</t>
  </si>
  <si>
    <t>RODRIGUEZ GARCIA MONICA ALEJAN</t>
  </si>
  <si>
    <t>VALENTE INIGUEZ JOSE ARMANDO</t>
  </si>
  <si>
    <t>PENA PATINO URBELIN</t>
  </si>
  <si>
    <t>NUNEZ AVILA JOSE DE JESUS</t>
  </si>
  <si>
    <t>SOTELO AVINA MICHEL ALEJANDRO</t>
  </si>
  <si>
    <t>CARRILLO REYNOSO JESUS ALEJAND</t>
  </si>
  <si>
    <t>MARTINEZ GONZALEZ FRANCISCO JA</t>
  </si>
  <si>
    <t>OCEGUEDA MELGOZA HECTOR GERA</t>
  </si>
  <si>
    <t>P.MARTINEZ MORENO JAVAN EMILIANO</t>
  </si>
  <si>
    <t>P.ROMO LOERA ABEL</t>
  </si>
  <si>
    <t>CASTANEDA VALENZUELA JUAN DANIEL</t>
  </si>
  <si>
    <t>P.LARIOS MANZANO ALBERTO ALJANDRO</t>
  </si>
  <si>
    <t>BECERRA ASCENCUIO MARCO ANTO</t>
  </si>
  <si>
    <t>SERRANO MACHUCA MARTIN DE JESU</t>
  </si>
  <si>
    <t>P.CARRILLO DUENAS ANDRES DE JESUS</t>
  </si>
  <si>
    <t>P.VALENCIA FIGUEROA JESUS ALBERTO</t>
  </si>
  <si>
    <t>P.PADILLA ARENAS JUAN CARLOS</t>
  </si>
  <si>
    <t>ZUNIGA CARRILLO CHRISTIAN ALEJ</t>
  </si>
  <si>
    <t>C.GARCIA SALAZAR VIRIDIANA</t>
  </si>
  <si>
    <t>P.GUTIERREZ GONZALEZ MGUEL ALEJANDRO</t>
  </si>
  <si>
    <t>C.FARIAS ALVAREZ SIMON JAVIER</t>
  </si>
  <si>
    <t>P.CAMPOS LOPEZ JOEL SALVADOR</t>
  </si>
  <si>
    <t>P.VAZQUEZ LUCAS LUIS FERNANDO</t>
  </si>
  <si>
    <t>P.DURAN DIAZ MARIO ALBERTO</t>
  </si>
  <si>
    <t>P.BARAJAS TOVAR JAVIER IGNACIO</t>
  </si>
  <si>
    <t>ALMARAZ AVALOS FRANCISCO JAVIER</t>
  </si>
  <si>
    <t>P.MATA ALANIZ CRISTOMO ALONSO</t>
  </si>
  <si>
    <t>P.NAVARRO ESQUIVEL OSBALDO</t>
  </si>
  <si>
    <t>P.AVILA PEREZ JUAN BERNARDO</t>
  </si>
  <si>
    <t>P.DELGADO RAMIREZ DANIEL</t>
  </si>
  <si>
    <t>GARCIA AGUINAGA RAFAEL</t>
  </si>
  <si>
    <t>P.MARTINEZ SUAREZ GERARDO</t>
  </si>
  <si>
    <t>MEDINA GONZALEZ OLGA</t>
  </si>
  <si>
    <t>P.ALVAREZ REYES JAIRO DE JESUS</t>
  </si>
  <si>
    <t>M.Mantenimiento</t>
  </si>
  <si>
    <t>P.MEJIA ALVAREZ ROBERTO CARLOS</t>
  </si>
  <si>
    <t>P.MENDEZ CAMPOS RUBEN</t>
  </si>
  <si>
    <t>DURAN DIAZ MARIO ALBERTO</t>
  </si>
  <si>
    <t>P.ESPINOZA CHAVEZ LUIS</t>
  </si>
  <si>
    <t>PADILLA ARENAS JUAN CARLOS</t>
  </si>
  <si>
    <t>P.CASTILLO HERNANDEZ DANIEL</t>
  </si>
  <si>
    <t>P.GUTIERREZ HERNANDEZ CARLOS MARTIN</t>
  </si>
  <si>
    <t>P.NUNEZ ATILANO ALAN ARTURO</t>
  </si>
  <si>
    <t>P.LOPEZ GARCIA BRYAN CHAYANNE</t>
  </si>
  <si>
    <t>P.GUZMAN CHAVEZ GERARDO</t>
  </si>
  <si>
    <t>GUTIERREZ GONZALEZ MGUEL ALEJANDRO</t>
  </si>
  <si>
    <t>P.RODRIGUEZ RAMIREZ JOSE DE JESUS</t>
  </si>
  <si>
    <t>P.ORTIZ ESPINOZA EDSON DAVID</t>
  </si>
  <si>
    <t>P.ALVAREZ HERNANDEZ MARCO ANTONIO</t>
  </si>
  <si>
    <t>P.TORRES JARAS CHRISTIAN OMAR</t>
  </si>
  <si>
    <t>P.VARGAS CARDONA DAVID</t>
  </si>
  <si>
    <t>HORTA QUINTERO FRANCISCO JAVIE</t>
  </si>
  <si>
    <t>P.PEREZ VENEGAS JAIME</t>
  </si>
  <si>
    <t>P.COLES LEDEZMA JUAN ANTONIO</t>
  </si>
  <si>
    <t>P.HERRERA PRECIADO ISMAEL LEONARDO</t>
  </si>
  <si>
    <t>P.BUENROSTRO LOPEZ JOSE FRANCISCO</t>
  </si>
  <si>
    <t>P.RAMIREZ FLORES BRAYAN ALEJANDRO</t>
  </si>
  <si>
    <t>P.SEDANO REVELES CARLOS DANIEL</t>
  </si>
  <si>
    <t>P.FLORES TOLEDO FERNANDO</t>
  </si>
  <si>
    <t>P.OCEGUEDA GONZALEZ DAVID SALVADOR</t>
  </si>
  <si>
    <t>P.GARAGARZA INIGUEZ DIEGO</t>
  </si>
  <si>
    <t>P.RAMIREZ HINOJOSA HUGO ALBERTO</t>
  </si>
  <si>
    <t>P.MENDEZ MANZO JOSE MANUEL</t>
  </si>
  <si>
    <t>P.RODRIGUEZ AGUILERA JOSE ARMANDO</t>
  </si>
  <si>
    <t>NUNEZ RUIZ ANTONIO</t>
  </si>
  <si>
    <t>P.MARTINEZ LOPEZ PEDRO ALBERTO</t>
  </si>
  <si>
    <t>CAMPOS LOPEZ JOEL SALVADOR</t>
  </si>
  <si>
    <t>A.HERNANDEZ BEDOLLA MIGUEL ANGEL</t>
  </si>
  <si>
    <t>P.VAZQUEZ HERNANDEZ RODOLFO</t>
  </si>
  <si>
    <t>P.MEZA RAMIREZ FEDERICO</t>
  </si>
  <si>
    <t>P.CAMPOS CRUZ LUIS ALBERTO</t>
  </si>
  <si>
    <t>MARTINEZ MORENO JAVAN EMILIANO</t>
  </si>
  <si>
    <t>BARAJAS TOVAR JAVIER IGNACIO</t>
  </si>
  <si>
    <t>P.MARTINEZ SALAS CARLOS</t>
  </si>
  <si>
    <t>P.ALMARAZ AVALOS FRANCISCO JAVIER</t>
  </si>
  <si>
    <t>P.RODRIGUEZ ASCENCIO CESAR</t>
  </si>
  <si>
    <t>P.CEDENO GALLO BRANDON ALEJANDRO</t>
  </si>
  <si>
    <t>P.RICO ALFEREZ ALBERTO</t>
  </si>
  <si>
    <t>P.BRISENO HERNANDEZ ENRIQUE</t>
  </si>
  <si>
    <t>P.TORRES LEONER OSCAR ALAN</t>
  </si>
  <si>
    <t>P.GARCIA RAMIREZ EZEQUIEL</t>
  </si>
  <si>
    <t>P.AMARAL AGREDANO SAUL</t>
  </si>
  <si>
    <t>A.GODINEZ GARCIA MARIO RICARDO</t>
  </si>
  <si>
    <t>P.LOPEZ ACEVES FERNANDO</t>
  </si>
  <si>
    <t>P.HERNANDEZ SANCHEZ DAVID SALOMON</t>
  </si>
  <si>
    <t>P.DOMINGUEZ BERJAN LUIS FERNANDO</t>
  </si>
  <si>
    <t>P.ALFARO VELAZQUEZ MARCO ANTONIO</t>
  </si>
  <si>
    <t>P.GARCIA RODRIGUEZ JOSE ARMANDO</t>
  </si>
  <si>
    <t>P.CARRAZCO BARAJAS RAMON</t>
  </si>
  <si>
    <t>P.CHAVEZ PALOMARES MARIANO</t>
  </si>
  <si>
    <t>P.VARGAS CARDONA DAVID ANTONIO</t>
  </si>
  <si>
    <t>FIGUEROA LOPEZ ALEJANDRO</t>
  </si>
  <si>
    <t>P.FIGUEROA LOPEZ ALEJANDRO</t>
  </si>
  <si>
    <t>P.HERNANDEZ GRANADOS ROBERTO GABRIEL</t>
  </si>
  <si>
    <t>P.RIQUER HERNANDEZ ERWIN ALEXI</t>
  </si>
  <si>
    <t>P.DIAZ MARTINEZ RAFAEL</t>
  </si>
  <si>
    <t>P.UBALDO SANCHEZ JOSE LUIS</t>
  </si>
  <si>
    <t>ROSALES GUTIERREZ JOSE DE JESU</t>
  </si>
  <si>
    <t>P.MANZO VELASCO GERARDO</t>
  </si>
  <si>
    <t>P.OCEGUEDA RUIZ DENISSE CATALINA</t>
  </si>
  <si>
    <t>ASCENCIO HERNANDEZ JUAN CARLOS</t>
  </si>
  <si>
    <t>P.COVARRUBIAS SILVA MIGUEL ANGEL</t>
  </si>
  <si>
    <t>BRISENO TOVAR ORLANDO FABIAN</t>
  </si>
  <si>
    <t>P.GOMEZ SANDOVAL JUAN RAMON</t>
  </si>
  <si>
    <t>P.MARQUEZ ARCE MARTIN LEOBARDO</t>
  </si>
  <si>
    <t>MUNOZ RIVAS EMMA</t>
  </si>
  <si>
    <t>P.RUIZ GONZALEZ JORDANNY GABRIEL</t>
  </si>
  <si>
    <t>P.ORTEGA SAUCEDO JOSE DE JESUS</t>
  </si>
  <si>
    <t>P.OCEGUERA OROZCO DAVID ALEJANDRO</t>
  </si>
  <si>
    <t>P.CHAVEZ HERNANDEZ ISMAEL</t>
  </si>
  <si>
    <t>P.SEVILLA MEDINA JUAN IGNACIO</t>
  </si>
  <si>
    <t>GUTIERREZ HERNANDEZ CARLOS MARTIN</t>
  </si>
  <si>
    <t>ULLOA  ARAIZA FAUSTO CRISTOF</t>
  </si>
  <si>
    <t>P.SALCEDO FLORES GABRIEL</t>
  </si>
  <si>
    <t>LOPEZ GARCIA BRYAN CHAYANNE</t>
  </si>
  <si>
    <t>MEJIA INIGUEZ GABRIEL</t>
  </si>
  <si>
    <t>P.JIMENEZ RUVALCABA ALEJANDRO</t>
  </si>
  <si>
    <t>P.ROLDAN RODRIGUEZ LUIS ANGEL</t>
  </si>
  <si>
    <t>P.GARRIDO FRANCISCO LEYSNER</t>
  </si>
  <si>
    <t>P.DIAZ TORRES ALEXIS</t>
  </si>
  <si>
    <t>AVILA PEREZ JUAN BERNARDO</t>
  </si>
  <si>
    <t>ORTEGA VALENZUELA NESTOR ABRAH</t>
  </si>
  <si>
    <t>A.RUIZ VERGARA AGUSTIN</t>
  </si>
  <si>
    <t>P.VAZQUEZ MACIAS RAFAEL</t>
  </si>
  <si>
    <t>P.CERVANTES CORTES JUAN CARLOS</t>
  </si>
  <si>
    <t>P.PINEDA LOMELI LINDA YESSENIA</t>
  </si>
  <si>
    <t>P.ORTIZ ROBLES LUIS RAMON</t>
  </si>
  <si>
    <t>C.HERNANDEZ ORTEGA RICARDO</t>
  </si>
  <si>
    <t>P.ALATORRE GONZALEZ ALEJANDRO</t>
  </si>
  <si>
    <t>P.ALCANTAR ORTIZ MIGUEL ANGEL</t>
  </si>
  <si>
    <t>P.SANCHEZ HERNANDEZ JORGE</t>
  </si>
  <si>
    <t>RAMIREZ FLORES BRAYAN ALEJANDRO</t>
  </si>
  <si>
    <t>P.TORRES TAPIA LUIS ALBERTO</t>
  </si>
  <si>
    <t>P.IBARRA RODRIGUEZ JORGE ADAN</t>
  </si>
  <si>
    <t>A.ESQUEDA CRUZ JAVIER INSTRUCT</t>
  </si>
  <si>
    <t>LARIOS MANZANO ALBERTO ALJANDRO</t>
  </si>
  <si>
    <t>JASSO HERNANDEZ JOSE ALEJANDRO</t>
  </si>
  <si>
    <t>ANGUIANO OCAMPO JOSE GUADALU</t>
  </si>
  <si>
    <t>P.MARIANO BARON JUAN JOSE</t>
  </si>
  <si>
    <t>P.MORENO FLORES LUIS RICARDO</t>
  </si>
  <si>
    <t>P.MORALES HERNANDEZ MARTIN</t>
  </si>
  <si>
    <t>C.MIRANDA MARTINEZ ADOLFO HERO</t>
  </si>
  <si>
    <t>C.GARCIA DE LA CRUZ MANUEL GUS</t>
  </si>
  <si>
    <t>P.LOPEZ ACEVES RAFAEL</t>
  </si>
  <si>
    <t>P.SANCHEZ GOMEZ JUAN CARLOS</t>
  </si>
  <si>
    <t>P.MACIAS GUEVARA EVARISTO</t>
  </si>
  <si>
    <t>GUZMAN CHAVEZ GERARDO</t>
  </si>
  <si>
    <t>P.MEDINA GONZALEZ OLGA</t>
  </si>
  <si>
    <t>HERNANDEZ GALLEGOS HECTOR ABRA</t>
  </si>
  <si>
    <t>C.IBARRA SANDOVAL OSCAR</t>
  </si>
  <si>
    <t>P.CELIS VILLA MARCO ANTONIO</t>
  </si>
  <si>
    <t>ALVAREZ REYES JAIRO DE JESUS</t>
  </si>
  <si>
    <t>P.CERNA GONZALEZ MOISES</t>
  </si>
  <si>
    <t>P.RUBIO CARRILLO GAMALIEL</t>
  </si>
  <si>
    <t>ALONSO GARCIA FRANCISCO ANTONI</t>
  </si>
  <si>
    <t>P.VAZQUEZ VAZQUEZ OMAR ALEX</t>
  </si>
  <si>
    <t>P.DEGOLLADO RODRIGUEZ EMMANUEL IVAN</t>
  </si>
  <si>
    <t>P.AGUILAR REGALADO DELMIS SUCELY</t>
  </si>
  <si>
    <t>P.SALAZAR VILLARREAL JUAN CARLOS LEOPOLDO</t>
  </si>
  <si>
    <t>P.CRUZ LAGUNAS JOSE DE JESUS</t>
  </si>
  <si>
    <t>P.CARDENAS FUENTES ALVARO</t>
  </si>
  <si>
    <t>P.GOMEZ MENDOZA IGNACIO</t>
  </si>
  <si>
    <t>P.CUEVAS RODRIGUEZ CHRISTER DAVID</t>
  </si>
  <si>
    <t>P.BAROCIO RAMOS FRANCISCO ALEJANDRO</t>
  </si>
  <si>
    <t>TAVERA MORALES SATURNINO</t>
  </si>
  <si>
    <t>CARRILLO DUENAS ANDRES DE JESUS</t>
  </si>
  <si>
    <t>VALENCIA FIGUEROA JESUS ALBERTO</t>
  </si>
  <si>
    <t>P.VELAZQUEZ VELAZQUEZ CARLOS AUGUSTO</t>
  </si>
  <si>
    <t>P.HERNANDEZ PUEBLA JOSE DE JESUS</t>
  </si>
  <si>
    <t>NAVARRO ESQUIVEL OSBALDO</t>
  </si>
  <si>
    <t>GARRIDO FRANCISCO LEYSNER</t>
  </si>
  <si>
    <t>P.GUTIERREZ LOPEZ ALONZO DANIEL</t>
  </si>
  <si>
    <t>P.MARTINEZ HERRERA MIGUEL ANGEL</t>
  </si>
  <si>
    <t>P.GARCIA GUTIERREZ JOSE GABRIEL</t>
  </si>
  <si>
    <t>P.BARRERA NAVARRETE JOSE MIGUEL</t>
  </si>
  <si>
    <t>QUEZADA AVALOS OSCAR GEOVANNI</t>
  </si>
  <si>
    <t>P.OCHOA ALAVEZ DAVID ALEJANDRO</t>
  </si>
  <si>
    <t>P.HORTA RODRIGUEZ POOL</t>
  </si>
  <si>
    <t>P.RAMOS TENE JUAN CARLOS</t>
  </si>
  <si>
    <t>MARTINEZ SUAREZ GERARDO</t>
  </si>
  <si>
    <t>P.SOTO RAMOS FRANCISCO FERNANDO</t>
  </si>
  <si>
    <t>P.JIMENEZ VALDES ERNESTO</t>
  </si>
  <si>
    <t>Guardia</t>
  </si>
  <si>
    <t>SINIESTRO</t>
  </si>
  <si>
    <t>E-MOL-T1-R0010</t>
  </si>
  <si>
    <t>Tlaquepaque 1-R0010-04:35</t>
  </si>
  <si>
    <t>E-PIS-T1-R0077</t>
  </si>
  <si>
    <t>Gobernador Curiel-R0077-05:00</t>
  </si>
  <si>
    <t>E-PIS-T1-R0051</t>
  </si>
  <si>
    <t>El Refugio</t>
  </si>
  <si>
    <t>El RefugioPIS-PISA</t>
  </si>
  <si>
    <t>PIS-PISAEl Refugio</t>
  </si>
  <si>
    <t>E-PIS-R0051</t>
  </si>
  <si>
    <t>El Refugio-R0051-05:03</t>
  </si>
  <si>
    <t>E-BIM-T1-R0012</t>
  </si>
  <si>
    <t>Adolf Horn</t>
  </si>
  <si>
    <t>BIMBO</t>
  </si>
  <si>
    <t>Adolf HornBIMBO</t>
  </si>
  <si>
    <t>BIMBOAdolf Horn</t>
  </si>
  <si>
    <t>Adolf Horn-R0012-05:10</t>
  </si>
  <si>
    <t>E-FOX-T1-R0271</t>
  </si>
  <si>
    <t>Tesistan</t>
  </si>
  <si>
    <t>TesistanFOXCONN</t>
  </si>
  <si>
    <t>FOXCONNTesistan</t>
  </si>
  <si>
    <t>Tesistan-R0271-05:20</t>
  </si>
  <si>
    <t>E-FOX-T1-R0050</t>
  </si>
  <si>
    <t>Villas Terranova-R0050-05:30</t>
  </si>
  <si>
    <t>Santa Fe 1FOXCONN</t>
  </si>
  <si>
    <t>FOXCONNSanta Fe 1</t>
  </si>
  <si>
    <t>E-FOX-R0036</t>
  </si>
  <si>
    <t>E-FOX-T1-R0114</t>
  </si>
  <si>
    <t>Tonala 2-R0114-05:48</t>
  </si>
  <si>
    <t>E-PEM-T2-R0012</t>
  </si>
  <si>
    <t>Mixing La Noria-R0012-12:30</t>
  </si>
  <si>
    <t>E-SAN-T2-R0425</t>
  </si>
  <si>
    <t>Dominical Jauja-San pedrito T1 y T2</t>
  </si>
  <si>
    <t>Dominical Jauja-San pedrito T1 y T2SANMINA GDL</t>
  </si>
  <si>
    <t>SANMINA GDLDominical Jauja-San pedrito T1 y T2</t>
  </si>
  <si>
    <t>E-SAN-R0425</t>
  </si>
  <si>
    <t>Dominical Jauja-San pedrito T1 y T2-R0425-13:00</t>
  </si>
  <si>
    <t>E-PEP-T2-R0018</t>
  </si>
  <si>
    <t>Moctezuma Miramar 2</t>
  </si>
  <si>
    <t>Moctezuma Miramar 2PEPSICO GDL</t>
  </si>
  <si>
    <t>PEPSICO GDLMoctezuma Miramar 2</t>
  </si>
  <si>
    <t>E-PEP-R0018</t>
  </si>
  <si>
    <t>Moctezuma Miramar 2-R0018-13:20</t>
  </si>
  <si>
    <t>E-FOX-T2-R0063</t>
  </si>
  <si>
    <t>Valle Dorado-R0063-13:30</t>
  </si>
  <si>
    <t>E-PIS-T2-R0089</t>
  </si>
  <si>
    <t>Valle Dorado-R0089-17:00</t>
  </si>
  <si>
    <t>Moctezuma Chulavista</t>
  </si>
  <si>
    <t>Moctezuma ChulavistaPEPSICO GDL</t>
  </si>
  <si>
    <t>PEPSICO GDLMoctezuma Chulavista</t>
  </si>
  <si>
    <t>E-PEP-R0040</t>
  </si>
  <si>
    <t>E-SK1-T1-R0086</t>
  </si>
  <si>
    <t>Bethel T1</t>
  </si>
  <si>
    <t>Bethel T1SANMINA KAMPUS 16</t>
  </si>
  <si>
    <t>SANMINA KAMPUS 16Bethel T1</t>
  </si>
  <si>
    <t>E-SK1-R0086</t>
  </si>
  <si>
    <t>Bethel T1-R0086-05:07</t>
  </si>
  <si>
    <t>E-PIS-T1-R0043</t>
  </si>
  <si>
    <t>Periferico Sur</t>
  </si>
  <si>
    <t>Periferico SurPIS-PISA</t>
  </si>
  <si>
    <t>PIS-PISAPeriferico Sur</t>
  </si>
  <si>
    <t>E-PIS-R0043</t>
  </si>
  <si>
    <t>Periferico Sur-R0043-05:15</t>
  </si>
  <si>
    <t>E-HER-T1-R0016</t>
  </si>
  <si>
    <t>Centro Sur.-R0016-05:20</t>
  </si>
  <si>
    <t>E-FOX-T1-R0269</t>
  </si>
  <si>
    <t>Hacienda Real</t>
  </si>
  <si>
    <t>Hacienda RealFOXCONN</t>
  </si>
  <si>
    <t>FOXCONNHacienda Real</t>
  </si>
  <si>
    <t>Hacienda Real-R0269-05:40</t>
  </si>
  <si>
    <t>E-SM3-T1-R0076</t>
  </si>
  <si>
    <t>Agaves 2</t>
  </si>
  <si>
    <t>Agaves 2SANMINA FORANE</t>
  </si>
  <si>
    <t>SANMINA FORANEAgaves 2</t>
  </si>
  <si>
    <t>E-SM3-R0076</t>
  </si>
  <si>
    <t>Agaves 2-R0076-05:44</t>
  </si>
  <si>
    <t>E-FOX-T1-R0044</t>
  </si>
  <si>
    <t>GRUPO IFACO GDL</t>
  </si>
  <si>
    <t>E-PAQ-T2-R0017</t>
  </si>
  <si>
    <t>E-PAQ-R0017</t>
  </si>
  <si>
    <t>E-SAN-T2-R0497</t>
  </si>
  <si>
    <t>Zapopan T2 y T3</t>
  </si>
  <si>
    <t>Zapopan T2 y T3SANMINA GDL</t>
  </si>
  <si>
    <t>SANMINA GDLZapopan T2 y T3</t>
  </si>
  <si>
    <t>E-SAN-R0497</t>
  </si>
  <si>
    <t>E-SAN-T2-R0067</t>
  </si>
  <si>
    <t>Miramar-R0067-12:40</t>
  </si>
  <si>
    <t>E-SK1-T2-R0057</t>
  </si>
  <si>
    <t>Bethel T2</t>
  </si>
  <si>
    <t>Bethel T2SANMINA KAMPUS 16</t>
  </si>
  <si>
    <t>SANMINA KAMPUS 16Bethel T2</t>
  </si>
  <si>
    <t>E-SK1-R0057</t>
  </si>
  <si>
    <t>Bethel T2-R0057-12:40</t>
  </si>
  <si>
    <t>E-PEP-T2-R0009</t>
  </si>
  <si>
    <t>Moctezuma San Agustin-R0009-12:55</t>
  </si>
  <si>
    <t>E-SM3-T2-R0100</t>
  </si>
  <si>
    <t>Verde Castillo</t>
  </si>
  <si>
    <t>Verde CastilloSANMINA FORANE</t>
  </si>
  <si>
    <t>SANMINA FORANEVerde Castillo</t>
  </si>
  <si>
    <t>E-SM3-R0100</t>
  </si>
  <si>
    <t>Verde Castillo-R0100-13:15</t>
  </si>
  <si>
    <t>E-SM3-T2-R0225</t>
  </si>
  <si>
    <t>Capilla 3-R0225-13:50</t>
  </si>
  <si>
    <t>E-PIS-T2-R0043</t>
  </si>
  <si>
    <t>Periferico Sur-R0043-17:05</t>
  </si>
  <si>
    <t>Mixing Tonala</t>
  </si>
  <si>
    <t>Mixing TonalaPEPSICO MIXING</t>
  </si>
  <si>
    <t>PEPSICO MIXINGMixing Tonala</t>
  </si>
  <si>
    <t>E-PEM-R0015</t>
  </si>
  <si>
    <t>E-ZFF-T3-R0035</t>
  </si>
  <si>
    <t>Op FOR Ixtlahuacan - Aguilillas Fin de semana-R0035-21:35</t>
  </si>
  <si>
    <t>E-HER-T1-R0015</t>
  </si>
  <si>
    <t>Santa FeHERSHEYS</t>
  </si>
  <si>
    <t>HERSHEYSSanta Fe</t>
  </si>
  <si>
    <t>E-HER-R0015</t>
  </si>
  <si>
    <t>Santa Fe-R0015-04:39</t>
  </si>
  <si>
    <t>E-SAN-T1-R0503</t>
  </si>
  <si>
    <t>Tabachines T1</t>
  </si>
  <si>
    <t>Tabachines T1SANMINA GDL</t>
  </si>
  <si>
    <t>SANMINA GDLTabachines T1</t>
  </si>
  <si>
    <t>E-SAN-R0503</t>
  </si>
  <si>
    <t>Tabachines T1-R0503-04:50</t>
  </si>
  <si>
    <t>E-FOX-T1-R0136</t>
  </si>
  <si>
    <t>Apoyo Ocotlán</t>
  </si>
  <si>
    <t>Apoyo OcotlánFOXCONN</t>
  </si>
  <si>
    <t>FOXCONNApoyo Ocotlán</t>
  </si>
  <si>
    <t>E-FOX-R0136</t>
  </si>
  <si>
    <t>Apoyo Ocotlán-R0136-05:13</t>
  </si>
  <si>
    <t>E-SM4-T1-R0080</t>
  </si>
  <si>
    <t>Villas Santa Cruz-R0080-05:15</t>
  </si>
  <si>
    <t>E-SA4-T1-R0095</t>
  </si>
  <si>
    <t>Plaza Del Sol</t>
  </si>
  <si>
    <t>Plaza Del SolSANMINA ADM</t>
  </si>
  <si>
    <t>SANMINA ADMPlaza Del Sol</t>
  </si>
  <si>
    <t>E-SA4-R0095</t>
  </si>
  <si>
    <t>Plaza Del Sol-R0095-06:50</t>
  </si>
  <si>
    <t xml:space="preserve">OblatosSIGMA ALIMENTOS </t>
  </si>
  <si>
    <t>SIGMA ALIMENTOS Oblatos</t>
  </si>
  <si>
    <t>E-SIG-R0002</t>
  </si>
  <si>
    <t>E-SK1-T2-R0084</t>
  </si>
  <si>
    <t>Chulavista 2 T2</t>
  </si>
  <si>
    <t>Chulavista 2 T2SANMINA KAMPUS 16</t>
  </si>
  <si>
    <t>SANMINA KAMPUS 16Chulavista 2 T2</t>
  </si>
  <si>
    <t>E-SK1-R0084</t>
  </si>
  <si>
    <t>Chulavista 2 T2-R0084-12:55</t>
  </si>
  <si>
    <t>E-FOX-T2-R0254</t>
  </si>
  <si>
    <t>Casa Blanca</t>
  </si>
  <si>
    <t>Casa BlancaFOXCONN</t>
  </si>
  <si>
    <t>FOXCONNCasa Blanca</t>
  </si>
  <si>
    <t>E-FOX-R0254</t>
  </si>
  <si>
    <t>Casa Blanca-R0254-13:39</t>
  </si>
  <si>
    <t>E-PIS-T2-R0041</t>
  </si>
  <si>
    <t>Parques del Palmar</t>
  </si>
  <si>
    <t>Parques del PalmarPIS-PISA</t>
  </si>
  <si>
    <t>PIS-PISAParques del Palmar</t>
  </si>
  <si>
    <t>E-PIS-R0041</t>
  </si>
  <si>
    <t>Parques del Palmar-R0041-16:25</t>
  </si>
  <si>
    <t>E-PIS-T2-R0067</t>
  </si>
  <si>
    <t>ArventoPIS-PISA</t>
  </si>
  <si>
    <t>PIS-PISAArvento</t>
  </si>
  <si>
    <t>E-PIS-R0067</t>
  </si>
  <si>
    <t>Arvento-R0067-17:00</t>
  </si>
  <si>
    <t>Moctezuma San Sebastian</t>
  </si>
  <si>
    <t>Moctezuma San SebastianPEPSICO GDL</t>
  </si>
  <si>
    <t>PEPSICO GDLMoctezuma San Sebastian</t>
  </si>
  <si>
    <t>E-PEP-R0007</t>
  </si>
  <si>
    <t>E-PEP-T3-R0018</t>
  </si>
  <si>
    <t>Moctezuma Miramar 2-R0018-20:50</t>
  </si>
  <si>
    <t>E-SM3-T3-R0109</t>
  </si>
  <si>
    <t>Ocotlan 2 T2 y T3</t>
  </si>
  <si>
    <t>Ocotlan 2 T2 y T3SANMINA FORANE</t>
  </si>
  <si>
    <t>SANMINA FORANEOcotlan 2 T2 y T3</t>
  </si>
  <si>
    <t>E-SM3-R0109</t>
  </si>
  <si>
    <t>Ocotlan 2 T2 y T3-R0109-21:05</t>
  </si>
  <si>
    <t>E-SM3-T3-R0076</t>
  </si>
  <si>
    <t>Agaves 2-R0076-21:44</t>
  </si>
  <si>
    <t>E-DJT-T1-R0009</t>
  </si>
  <si>
    <t>San Fernando</t>
  </si>
  <si>
    <t xml:space="preserve">San FernandoDON JULIO TEPIC </t>
  </si>
  <si>
    <t>DON JULIO TEPIC San Fernando</t>
  </si>
  <si>
    <t>E-DJT-R0009</t>
  </si>
  <si>
    <t>San Fernando-R0009-06:00</t>
  </si>
  <si>
    <t>E-SAN-T2-R0069</t>
  </si>
  <si>
    <t>Plutarco</t>
  </si>
  <si>
    <t>PlutarcoSANMINA GDL</t>
  </si>
  <si>
    <t>SANMINA GDLPlutarco</t>
  </si>
  <si>
    <t>E-SAN-R0069</t>
  </si>
  <si>
    <t>Plutarco-R0069-12:50</t>
  </si>
  <si>
    <t>Oblatos 2</t>
  </si>
  <si>
    <t>Oblatos 2FOXCONN</t>
  </si>
  <si>
    <t>FOXCONNOblatos 2</t>
  </si>
  <si>
    <t>E-FOX-R0090</t>
  </si>
  <si>
    <t>E-PEP-T2-R0038</t>
  </si>
  <si>
    <t>Moctezuma Zalate-R0038-12:40</t>
  </si>
  <si>
    <t>E-SK1-T3-R0059</t>
  </si>
  <si>
    <t>Jauja T3</t>
  </si>
  <si>
    <t>Jauja T3SANMINA KAMPUS 16</t>
  </si>
  <si>
    <t>SANMINA KAMPUS 16Jauja T3</t>
  </si>
  <si>
    <t>E-SK1-R0059</t>
  </si>
  <si>
    <t>Jauja T3-R0059-21:08</t>
  </si>
  <si>
    <t>E-SA4-T1-R0081</t>
  </si>
  <si>
    <t>ChulavistaSANMINA ADM</t>
  </si>
  <si>
    <t>SANMINA ADMChulavista</t>
  </si>
  <si>
    <t>E-SA4-R0081</t>
  </si>
  <si>
    <t>Chulavista-R0081-07:10</t>
  </si>
  <si>
    <t>Casa De Teja</t>
  </si>
  <si>
    <t>Casa De TejaHELLA GDL</t>
  </si>
  <si>
    <t>HELLA GDLCasa De Teja</t>
  </si>
  <si>
    <t>E-HLL-R0045</t>
  </si>
  <si>
    <t>Azucena 2</t>
  </si>
  <si>
    <t>Azucena 2SANMINA FORANE</t>
  </si>
  <si>
    <t>SANMINA FORANEAzucena 2</t>
  </si>
  <si>
    <t>E-SM3-R0083</t>
  </si>
  <si>
    <t>E-HLL-T3-R0042</t>
  </si>
  <si>
    <t>AtequizaHELLA GDL</t>
  </si>
  <si>
    <t>HELLA GDLAtequiza</t>
  </si>
  <si>
    <t>E-HLL-R0042</t>
  </si>
  <si>
    <t>Atequiza-R0042-20:45</t>
  </si>
  <si>
    <t>Apoyo Valle de la Misericordia-R0256-05:40</t>
  </si>
  <si>
    <t>E-FOX-T3-R0139</t>
  </si>
  <si>
    <t>Apoyo Chulavista-R0139-21:16</t>
  </si>
  <si>
    <t>E-SAN-T3-R0454</t>
  </si>
  <si>
    <t>Angel Leaño T2 Y T3-R0454-20:50</t>
  </si>
  <si>
    <t>E-SK1-T1-R0003</t>
  </si>
  <si>
    <t>ADM Patria</t>
  </si>
  <si>
    <t>ADM PatriaSANMINA KAMPUS 16</t>
  </si>
  <si>
    <t>SANMINA KAMPUS 16ADM Patria</t>
  </si>
  <si>
    <t>E-SK1-R0003</t>
  </si>
  <si>
    <t>ADM Patria-R0003-06:45</t>
  </si>
  <si>
    <t>E-HER-T3-R0007</t>
  </si>
  <si>
    <t>Tonala-R0007-20:50</t>
  </si>
  <si>
    <t>E-SM4-T1-R0108</t>
  </si>
  <si>
    <t>San Sebastian 1 Turno 1</t>
  </si>
  <si>
    <t>San Sebastian 1 Turno 1SANMINA TLAJOMULCO</t>
  </si>
  <si>
    <t>SANMINA TLAJOMULCOSan Sebastian 1 Turno 1</t>
  </si>
  <si>
    <t>E-SM4-R0108</t>
  </si>
  <si>
    <t>San Sebastian 1 Turno 1-R0108-05:00</t>
  </si>
  <si>
    <t>E-FOX-T1-R0030</t>
  </si>
  <si>
    <t>San Gaspar-R0030-05:41</t>
  </si>
  <si>
    <t>E-SM3-T2-R0109</t>
  </si>
  <si>
    <t>Ocotlan 2 T2 y T3-R0109-13:10</t>
  </si>
  <si>
    <t>ONEST</t>
  </si>
  <si>
    <t>E-PEP-T1-R0007</t>
  </si>
  <si>
    <t>Moctezuma San Sebastian-R0007-04:55</t>
  </si>
  <si>
    <t>E-PEP-T2-R0007</t>
  </si>
  <si>
    <t>Moctezuma San Sebastian-R0007-12:20</t>
  </si>
  <si>
    <t>Cima Serena</t>
  </si>
  <si>
    <t>Cima SerenaHERSHEYS</t>
  </si>
  <si>
    <t>HERSHEYSCima Serena</t>
  </si>
  <si>
    <t>E-HER-R0003</t>
  </si>
  <si>
    <t>Chulavista T3 y T5</t>
  </si>
  <si>
    <t>Chulavista T3 y T5PAQUETEXPRESS GDL</t>
  </si>
  <si>
    <t>PAQUETEXPRESS GDLChulavista T3 y T5</t>
  </si>
  <si>
    <t>E-FOX-T1-R0143</t>
  </si>
  <si>
    <t>Apoyo Valle Dorado-R0143-05:32</t>
  </si>
  <si>
    <t>E-PAQ-T1-R0009</t>
  </si>
  <si>
    <t>E-PAQ-R0009</t>
  </si>
  <si>
    <t>E-SK1-T3-R0070</t>
  </si>
  <si>
    <t>Periferico T3</t>
  </si>
  <si>
    <t>Periferico T3SANMINA KAMPUS 16</t>
  </si>
  <si>
    <t>SANMINA KAMPUS 16Periferico T3</t>
  </si>
  <si>
    <t>E-SK1-R0070</t>
  </si>
  <si>
    <t>Periferico T3-R0070-21:00</t>
  </si>
  <si>
    <t>E-SA4-T1-R0094</t>
  </si>
  <si>
    <t>Oblatos 2SANMINA ADM</t>
  </si>
  <si>
    <t>SANMINA ADMOblatos 2</t>
  </si>
  <si>
    <t>E-SA4-R0094</t>
  </si>
  <si>
    <t>Oblatos 2-R0094-07:05</t>
  </si>
  <si>
    <t>Miramar-R0067-12:50</t>
  </si>
  <si>
    <t>E-PAQ-T2-R0033</t>
  </si>
  <si>
    <t>Lopez Mateos T2</t>
  </si>
  <si>
    <t>Lopez Mateos T2PAQUETEXPRESS GDL</t>
  </si>
  <si>
    <t>PAQUETEXPRESS GDLLopez Mateos T2</t>
  </si>
  <si>
    <t>Lopez Mateos T2-R0033-07:48</t>
  </si>
  <si>
    <t>La NoriaFOXCONN</t>
  </si>
  <si>
    <t>FOXCONNLa Noria</t>
  </si>
  <si>
    <t>E-FOX-R0125</t>
  </si>
  <si>
    <t>Juan de la Barrera T1 y T2</t>
  </si>
  <si>
    <t>Juan de la Barrera T1 y T2PAQUETEXPRESS GDL</t>
  </si>
  <si>
    <t>PAQUETEXPRESS GDLJuan de la Barrera T1 y T2</t>
  </si>
  <si>
    <t>E-PAQ-R0005</t>
  </si>
  <si>
    <t>E-FOX-T3-R0181</t>
  </si>
  <si>
    <t>Federalismo-R0181-20:53</t>
  </si>
  <si>
    <t>E-PAQ-T3-R0046</t>
  </si>
  <si>
    <t>E-SM3-T1-R0102</t>
  </si>
  <si>
    <t>Santa Rosa</t>
  </si>
  <si>
    <t>Santa RosaSANMINA FORANE</t>
  </si>
  <si>
    <t>SANMINA FORANESanta Rosa</t>
  </si>
  <si>
    <t>E-SM3-R0102</t>
  </si>
  <si>
    <t>Santa Rosa-R0102-05:30</t>
  </si>
  <si>
    <t>E-SA4-T1-R0099</t>
  </si>
  <si>
    <t>Ocotlan 2</t>
  </si>
  <si>
    <t>Ocotlan 2SANMINA ADM</t>
  </si>
  <si>
    <t>SANMINA ADMOcotlan 2</t>
  </si>
  <si>
    <t>E-SA4-R0099</t>
  </si>
  <si>
    <t>Ocotlan 2-R0099-06:38</t>
  </si>
  <si>
    <t>E-FOX-T1-R0254</t>
  </si>
  <si>
    <t>Casa Blanca-R0254-05:39</t>
  </si>
  <si>
    <t>E-FOX-T2-R0161</t>
  </si>
  <si>
    <t>Apoyo Loma Dorada 1</t>
  </si>
  <si>
    <t>Apoyo Loma Dorada 1FOXCONN</t>
  </si>
  <si>
    <t>FOXCONNApoyo Loma Dorada 1</t>
  </si>
  <si>
    <t>E-FOX-R0161</t>
  </si>
  <si>
    <t>Apoyo Loma Dorada 1-R0161-13:50</t>
  </si>
  <si>
    <t>agrupador</t>
  </si>
  <si>
    <t>concepto</t>
  </si>
  <si>
    <t>clave</t>
  </si>
  <si>
    <t>nombre_completo</t>
  </si>
  <si>
    <t>periodo</t>
  </si>
  <si>
    <t>importe</t>
  </si>
  <si>
    <t>SUELDO</t>
  </si>
  <si>
    <t>SANCHEZ PICHARDO JUAN</t>
  </si>
  <si>
    <t>RIVERA RENTERIA ELIAS</t>
  </si>
  <si>
    <t>RIVERA RENTERIA OCTAVIO</t>
  </si>
  <si>
    <t>VILLA LOPEZ FRANCISCO DAVID</t>
  </si>
  <si>
    <t>GARCIA BEJARANO J. ANTONIO</t>
  </si>
  <si>
    <t>VENANCIO LOPEZ EDUARDO</t>
  </si>
  <si>
    <t>CASTELLANOS GOMEZ MARTIN</t>
  </si>
  <si>
    <t>CASTILLO GRADILLA OSCAR EMILIO</t>
  </si>
  <si>
    <t>MARTINEZ RODRIGUEZ ELIAS</t>
  </si>
  <si>
    <t>TORRES DE LA CRUZ ARMANDO</t>
  </si>
  <si>
    <t>TORRES RAMOS ARMANDO JOSE</t>
  </si>
  <si>
    <t>GOITIA VILLA ABRAHAM LUIS</t>
  </si>
  <si>
    <t>GARCIA ANDRADE SALVADOR ERNESTO</t>
  </si>
  <si>
    <t>PEREZ MARTINEZ TIMOTEO</t>
  </si>
  <si>
    <t>MENDOZA LARIOS LORENZO JAVIER</t>
  </si>
  <si>
    <t>MARQUEZ AVALOS ENRIQUE</t>
  </si>
  <si>
    <t>DELGADO VAZQUEZ JORGE</t>
  </si>
  <si>
    <t>VENANCIO CARRAZCO EDUARDO NEFTALI</t>
  </si>
  <si>
    <t>RAMIREZ AVILES GILDARDO</t>
  </si>
  <si>
    <t>ABARCA MARQUEZ JORGE ABRAHAM</t>
  </si>
  <si>
    <t>FRANCO GOMEZ JORGE ALBERTO</t>
  </si>
  <si>
    <t>LOPEZ ZEPEDA JOSE JESUS</t>
  </si>
  <si>
    <t>ESCOTO RAMIREZ JOSE LUIS</t>
  </si>
  <si>
    <t>SOTO CONTRERAS ELOY</t>
  </si>
  <si>
    <t>CRUZ GONZALEZ CARLOS JAVIER</t>
  </si>
  <si>
    <t>RAMOS BARAJAS OSCAR</t>
  </si>
  <si>
    <t>ALONSO ALVA JESUS ALBERTO</t>
  </si>
  <si>
    <t>VELAZCO BETANCOURT MARTIN</t>
  </si>
  <si>
    <t>OCHOA GUERRERO EDGAR JESUS</t>
  </si>
  <si>
    <t>LEE GUTIERREZ JOSE GUADALUPE</t>
  </si>
  <si>
    <t>GONZALEZ CANDELARIO JORGE ARTURO</t>
  </si>
  <si>
    <t>MACIAS MACIAS MELCHOR</t>
  </si>
  <si>
    <t>CAMACHO MARTINEZ OSCAR RAMON</t>
  </si>
  <si>
    <t>SANCHEZ PELAYO JOSE JUAN MANUEL</t>
  </si>
  <si>
    <t>BACHOMO BRACAMONTES VICTOR MANUEL</t>
  </si>
  <si>
    <t>BARAJAS RICARDO JUAN DIEGO</t>
  </si>
  <si>
    <t>ANDRES NARANJO ISELA YANETH</t>
  </si>
  <si>
    <t>HONORATO PLASCENCIA EDGAR ANTONIO</t>
  </si>
  <si>
    <t>APOLINAR CELIS JOSE DE JESUS</t>
  </si>
  <si>
    <t>RINCON RIVERA OMAR</t>
  </si>
  <si>
    <t>SOLORIO ONTIVEROS JESUS ABEL</t>
  </si>
  <si>
    <t>OROZCO MERCADO JOSE EVERARDO</t>
  </si>
  <si>
    <t>GUTIERREZ GONZALEZ MIGUEL ALEJANDRO</t>
  </si>
  <si>
    <t>LARIOS MANZANO ALBERTO ALEJANDRO</t>
  </si>
  <si>
    <t>CARRILLO DUEÑAS ANDRES DE JESUS</t>
  </si>
  <si>
    <t>CELIS VILLA MARCO ANTONIO</t>
  </si>
  <si>
    <t>RAMIREZ HINOJOSA HUGO ALBERTO</t>
  </si>
  <si>
    <t>OCEGUEDA GONZALEZ DAVID SALVADOR</t>
  </si>
  <si>
    <t>DELGADO RAMIREZ DANIEL</t>
  </si>
  <si>
    <t>ORTIZ ESPINOZA EDSON DAVID</t>
  </si>
  <si>
    <t>RAMOS TENE JUAN CARLOS</t>
  </si>
  <si>
    <t>MENDEZ MANZO JOSE MANUEL</t>
  </si>
  <si>
    <t>ALCANTAR ORTIZ MIGUEL ANGEL</t>
  </si>
  <si>
    <t>BUENROSTRO LOPEZ JOSE FRANCISCO</t>
  </si>
  <si>
    <t>SOTO RAMOS FRANCISCO FERNANDO</t>
  </si>
  <si>
    <t>SANCHEZ GOMEZ JUAN CARLOS</t>
  </si>
  <si>
    <t>IBARRA RODRIGUEZ JORGE ADAN</t>
  </si>
  <si>
    <t>DE LEON TORRES RAMON</t>
  </si>
  <si>
    <t>JIMENEZ VALDES ERNESTO</t>
  </si>
  <si>
    <t>JACOBO MACIEL ISMAEL</t>
  </si>
  <si>
    <t>ESTRADA CHAVEZ JUAN MANUEL</t>
  </si>
  <si>
    <t>ALFARO MERCADO JULIO CESAR</t>
  </si>
  <si>
    <t>SANTOS EMIGDIO JUAN DIEGO</t>
  </si>
  <si>
    <t>CALLETANO HERNANDEZ PEDRO</t>
  </si>
  <si>
    <t>BELLO DIAZ SALVADOR</t>
  </si>
  <si>
    <t>VELEZ LOPEZ JOSE LUIS</t>
  </si>
  <si>
    <t>MARTINEZ REYES RAUMIR</t>
  </si>
  <si>
    <t>TELLEZ CORREA SAMUEL</t>
  </si>
  <si>
    <t>CASTRO JIMENEZ PEDRO</t>
  </si>
  <si>
    <t>PEREZ JIMENEZ JUAN CARLOS</t>
  </si>
  <si>
    <t>LOPEZ BAZAN RODOLFO</t>
  </si>
  <si>
    <t>CERVERA COLIN VICTOR MANUEL</t>
  </si>
  <si>
    <t>ADAME RENDON NOE</t>
  </si>
  <si>
    <t>PEÑALOZA ESPINO JESUS</t>
  </si>
  <si>
    <t>MERCADO ELORZA FLABIO</t>
  </si>
  <si>
    <t>PINEDA CASTAÑEDA MARGARITO</t>
  </si>
  <si>
    <t>ROBLES DE LEON HERIBERTO</t>
  </si>
  <si>
    <t>ROMERO VAZQUEZ JULIAN</t>
  </si>
  <si>
    <t>HERNANDEZ ORTIZ MARCO ANTONIO</t>
  </si>
  <si>
    <t>CARDENAS SAUCEDO MARIA CONCEPCION</t>
  </si>
  <si>
    <t>GARCIA GONZALEZ SANTOS GABRIEL</t>
  </si>
  <si>
    <t>MAYORGA ROMERO SEBASTIAN</t>
  </si>
  <si>
    <t>LEYVA MUÑOZ LUIS ENRIQUE</t>
  </si>
  <si>
    <t>CARREON AVALOS MARTIN</t>
  </si>
  <si>
    <t>ARROYO FLORES JOSE GUADALUPE</t>
  </si>
  <si>
    <t>NAVARRETE PETRONA JOEL</t>
  </si>
  <si>
    <t>LEON ORNELAS EMMANUEL</t>
  </si>
  <si>
    <t>HERNANDEZ ROSAS ARTURO</t>
  </si>
  <si>
    <t>HERNANDEZ CARPIO FELIPE DE JESUS</t>
  </si>
  <si>
    <t>RUEDA GARIBAY ANTONIO</t>
  </si>
  <si>
    <t>VARGAS OLEA WILIBERTO</t>
  </si>
  <si>
    <t>CARMONA MENDOZA BENJAMIN</t>
  </si>
  <si>
    <t>PINEDA DAVILA MARCELO</t>
  </si>
  <si>
    <t>ESPINO DELGADO CESAR</t>
  </si>
  <si>
    <t>MIRANDA VILLANUEVA LUIS FERNANDO</t>
  </si>
  <si>
    <t>PONCE PINEDA JOSE LUIS</t>
  </si>
  <si>
    <t>MARTINEZ GARCIA SERGIO</t>
  </si>
  <si>
    <t>EZQUIVEL VEGA JUAN MANUEL</t>
  </si>
  <si>
    <t>AVALOS MORA APOLONIO</t>
  </si>
  <si>
    <t>MARTINEZ CARDENAS CORNELIO</t>
  </si>
  <si>
    <t>DELGADO CABRERA ARMANDO</t>
  </si>
  <si>
    <t>CORTEZ SOTELO JOEL</t>
  </si>
  <si>
    <t>EVERARDO CADENAS LUIS MANUEL</t>
  </si>
  <si>
    <t>GUILLEN HERNANDEZ FRANCISCO JAVIER</t>
  </si>
  <si>
    <t>ROMERO GUZMAN JULIO ALBERTO</t>
  </si>
  <si>
    <t>ROMERO DIAZ JAVI JAIR</t>
  </si>
  <si>
    <t>PIÑON ZARCO ANGEL</t>
  </si>
  <si>
    <t>VALLE VALDOVINOS UBER</t>
  </si>
  <si>
    <t>ALVAREZ MUÑOZ DIONICIO</t>
  </si>
  <si>
    <t>RIVERA PEREZ JULIO</t>
  </si>
  <si>
    <t>GARCIA BAUTISTA EVENCIO</t>
  </si>
  <si>
    <t>GARCIA GUZMAN ILDEBERTO</t>
  </si>
  <si>
    <t>GALEANA TORRES IMER</t>
  </si>
  <si>
    <t>RIVERA REBOLLEDO LUIS ANGEL</t>
  </si>
  <si>
    <t>SEGOVIANO PADILLA HECTOR</t>
  </si>
  <si>
    <t>ESCAMILLA HERNANDEZ MIGUEL JOSHIMAR</t>
  </si>
  <si>
    <t>HERNANDEZ LAZCANO CARLOS MANUEL</t>
  </si>
  <si>
    <t>LOPEZ GARCIA OCTAVIO</t>
  </si>
  <si>
    <t>TORRES ROMERO VALENTIN</t>
  </si>
  <si>
    <t>MARTINEZ HERNANDEZ MIGUEL ANGEL</t>
  </si>
  <si>
    <t>OLAYO FLORES FERNANDO</t>
  </si>
  <si>
    <t>MARTINEZ CORTEZ JOSE DE JESUS</t>
  </si>
  <si>
    <t>BENITEZ ALVAREZ ALFREDO</t>
  </si>
  <si>
    <t>DE LA TORRE MENDOZA JORGE ANTONIO</t>
  </si>
  <si>
    <t>BARTOLO TELLEZ JESUS EDUARDO</t>
  </si>
  <si>
    <t>CASTRO GONZALEZ JOSE MANUEL</t>
  </si>
  <si>
    <t>PAZ DE LOS SANTOS LUIS MANUEL</t>
  </si>
  <si>
    <t>NAVARRETE SOTO BERTIN JOSUE</t>
  </si>
  <si>
    <t>RANGEL VALDOVINOS FREDY ALBERTO</t>
  </si>
  <si>
    <t>LARREA MEDINA BERTOLDO</t>
  </si>
  <si>
    <t>DELGADO RANGEL FRANCISCO JAVIER</t>
  </si>
  <si>
    <t>VALENCIA HERNANDEZ ARMANDO</t>
  </si>
  <si>
    <t>RIOS FLORES MISAEL</t>
  </si>
  <si>
    <t>VILLANUEVA RAMOS GABRIEL</t>
  </si>
  <si>
    <t>PEREZ ROQUE REY DAN</t>
  </si>
  <si>
    <t>REYES HERNANDEZ JUAN CARLOS</t>
  </si>
  <si>
    <t>FUENTES LOPEZ CRISTIAN</t>
  </si>
  <si>
    <t>SORIANO VEGA FERNANDO</t>
  </si>
  <si>
    <t>PEREZ ZAPIEN ANGEL ALBERTO</t>
  </si>
  <si>
    <t>PINEDA MATA JOSE LUIS MANUEL</t>
  </si>
  <si>
    <t>ANAYA TOLEDO SERGIO ALEJANDRO</t>
  </si>
  <si>
    <t>SANCHEZ JUAREZ JAIME DAVID</t>
  </si>
  <si>
    <t>RUBIO REYES ROBERTO</t>
  </si>
  <si>
    <t>BELLO DIAZ BEKER URIEL</t>
  </si>
  <si>
    <t>NAVA DE JESUS OSCAR URIEL</t>
  </si>
  <si>
    <t>DIAZ TORRES ALEXIS</t>
  </si>
  <si>
    <t>JIMENEZ OROSCO ALEXANDER</t>
  </si>
  <si>
    <t>AVILES SILVA JOSE ADRIAN</t>
  </si>
  <si>
    <t>RODRIGUEZ ATANACIO ANA ISABEL</t>
  </si>
  <si>
    <t>LEON ALEMAN RIGOBERTO</t>
  </si>
  <si>
    <t>TINOCO MARTINEZ ANA MARIA</t>
  </si>
  <si>
    <t>HERNANDEZ NARCISO JORGE EDUARDO</t>
  </si>
  <si>
    <t>VELAZQUEZ MONTIEL JULIO CESAR</t>
  </si>
  <si>
    <t>VARGAS ORTEGA JUAN ALBERTO</t>
  </si>
  <si>
    <t>ORTIZ CLEMENTE DANIEL</t>
  </si>
  <si>
    <t>SERNA ALANIS EMMANUEL OQUITZI</t>
  </si>
  <si>
    <t>GOMEZ GOMEZ ALBERTO</t>
  </si>
  <si>
    <t>GARCIA FLORES VICTOR HUGO</t>
  </si>
  <si>
    <t>NEGRETE MEDINA JUAN CARLOS</t>
  </si>
  <si>
    <t>CABRERA RUIZ CATALINO</t>
  </si>
  <si>
    <t>PEREZ LEMUS MARIO</t>
  </si>
  <si>
    <t>MONTALVO NUÑEZ SAIDA ASMIN</t>
  </si>
  <si>
    <t>VACACIONES</t>
  </si>
  <si>
    <t>FONDO DE AHORRO</t>
  </si>
  <si>
    <t>PRIMA DOMINICAL</t>
  </si>
  <si>
    <t>DOMINGO LABORAD</t>
  </si>
  <si>
    <t>DOMINGOS LAB 2</t>
  </si>
  <si>
    <t>HORAS DOBLES</t>
  </si>
  <si>
    <t>HORAS DOBLES2</t>
  </si>
  <si>
    <t>SERVICIOS ESPEC</t>
  </si>
  <si>
    <t>SERVICIOS FIJOS</t>
  </si>
  <si>
    <t>BONO DE RENDIMI</t>
  </si>
  <si>
    <t>BONO DESEMPEÑO</t>
  </si>
  <si>
    <t>AYUDA ESCOLAR</t>
  </si>
  <si>
    <t>CORTEZ FLORES FERNANDO  SAMUEL</t>
  </si>
  <si>
    <t>P.BERNAL CASTILLO LUIS ROBERTO</t>
  </si>
  <si>
    <t>P.REYES BAUTISTA CARLOS ALBERTO</t>
  </si>
  <si>
    <t>P.NAVARRO GONZALEZ MICHEL ARON</t>
  </si>
  <si>
    <t>P.REYES PIEDRA NESTOR FABIAN</t>
  </si>
  <si>
    <t>P.MAGALLANES ESTRADA JOSE OSVALDO</t>
  </si>
  <si>
    <t>P.ROJAS LOZANO LUIS BENJAMIN</t>
  </si>
  <si>
    <t>P.RUVALCABA SERAFIO JOSE VICENTE</t>
  </si>
  <si>
    <t>P.SANCHEZ CARRILLO LUIS GERARDO</t>
  </si>
  <si>
    <t>P.FLORES DELGADO ANTONIO DE JESUS</t>
  </si>
  <si>
    <t>P.REA MARTINEZ RAFAEL</t>
  </si>
  <si>
    <t>P.JERONIMO ZEPEDA ATL</t>
  </si>
  <si>
    <t>P.RAMIREZ ESQUEDA CRISTOPHER MIGUEL</t>
  </si>
  <si>
    <t>P.MARTINEZ CASTILLO JAIME SALVADOR</t>
  </si>
  <si>
    <t>P.DE LEON TORRES RAMON</t>
  </si>
  <si>
    <t>P.NARVAEZ TORRES HECTOR MIGUEL</t>
  </si>
  <si>
    <t>A.RUIZ LARIOS JUAN DANIEL</t>
  </si>
  <si>
    <t>SEMANA 38</t>
  </si>
  <si>
    <t>FRIAS TERRONES GILBERTO</t>
  </si>
  <si>
    <t>VELAZQUEZ VELAZQUEZ CARLOS AUGUSTO</t>
  </si>
  <si>
    <t>P.RAMOS GONZALEZ JORGE HUMBERTO</t>
  </si>
  <si>
    <t>P.OCHOA PERALES JOSE ENRIQUE</t>
  </si>
  <si>
    <t>P.TORRES GUZMAN ANTONIO</t>
  </si>
  <si>
    <t>P.PAREDON CARDENAS EDGAR BERNABE</t>
  </si>
  <si>
    <t>P.MORALES VILLASENOR CARLOS</t>
  </si>
  <si>
    <t>P.RIVAS HERNANDEZ ULISES ALVARO</t>
  </si>
  <si>
    <t>P.NUNO SUAREZ AMADO</t>
  </si>
  <si>
    <t>P.SANCHEZ CASTELLANOS ANTONIO DE JESUS</t>
  </si>
  <si>
    <t>P.RAMIREZ RAMIREZ LINO</t>
  </si>
  <si>
    <t>P.PARRA MAGANA JOSE ANDRES</t>
  </si>
  <si>
    <t>P.CAMPOS RIOS JUAN CARLOS</t>
  </si>
  <si>
    <t>FLORES GARCIA JESUS</t>
  </si>
  <si>
    <t>REYES PIEDRA NESTOR FABIAN</t>
  </si>
  <si>
    <t>AMARAL AGREDANO SAUL</t>
  </si>
  <si>
    <t>JAUREGUI BELTRAN VICTOR MANUEL</t>
  </si>
  <si>
    <t>ROJAS LOZANO LUIS BENJAMIN</t>
  </si>
  <si>
    <t>GUTIERREZ LOPEZ ALONZO DANIEL</t>
  </si>
  <si>
    <t>VILLA RAMOS DAVID ALEJANDRO</t>
  </si>
  <si>
    <t>PINEDA LOMELI LINDA YESENIA</t>
  </si>
  <si>
    <t>ORTIZ ROBLES LUIS RAMON</t>
  </si>
  <si>
    <t>P.ORNELAS MUNOZ ANDRES</t>
  </si>
  <si>
    <t>MARTINEZ CASTILLO JAIME SALVADOR</t>
  </si>
  <si>
    <t>OCHOA ALAVEZ DAVID ALEJANDRO</t>
  </si>
  <si>
    <t>P.QUIROZ DE SALES JOSE ADOLFO</t>
  </si>
  <si>
    <t>P.LEDEZMA DIAZ JAIME HUMBERTO</t>
  </si>
  <si>
    <t>P.ENRIQUEZ SALCEDO JESUS FERNANDO</t>
  </si>
  <si>
    <t>MORENO FLORES LUIS RICARDO</t>
  </si>
  <si>
    <t>MORALES HERNANDEZ MARTIN</t>
  </si>
  <si>
    <t>P.MONTES GONZALEZ ALVARO ELI</t>
  </si>
  <si>
    <t>P.ALCARAZ SUAREZ NOE MISAEL</t>
  </si>
  <si>
    <t>NARVAEZ TORRES HECTOR MIGUEL</t>
  </si>
  <si>
    <t>P.VAZQUEZ RIZO FABIAN</t>
  </si>
  <si>
    <t>Guardia/Ddescansero</t>
  </si>
  <si>
    <t>2020-01-23</t>
  </si>
  <si>
    <t>2026-08-27</t>
  </si>
  <si>
    <t>2026-08-15</t>
  </si>
  <si>
    <t>2026-08-19</t>
  </si>
  <si>
    <t>2026-08-21</t>
  </si>
  <si>
    <t>2026-08-22</t>
  </si>
  <si>
    <t>2026-08-25</t>
  </si>
  <si>
    <t>2026-08-28</t>
  </si>
  <si>
    <t>2026-08-29</t>
  </si>
  <si>
    <t>2026-09-01</t>
  </si>
  <si>
    <t>VELAZQUEZ VAZQUEZ CARLOS AUGUSTO</t>
  </si>
  <si>
    <t>2026-09-02</t>
  </si>
  <si>
    <t>2026-09-03</t>
  </si>
  <si>
    <t>2026-09-05</t>
  </si>
  <si>
    <t>2026-09-08</t>
  </si>
  <si>
    <t>VILLASEÑOR VARGAS HUGO USIEL</t>
  </si>
  <si>
    <t>2026-09-09</t>
  </si>
  <si>
    <t>PINEDA LOMELI LINDA YESSENIA</t>
  </si>
  <si>
    <t>FLORES DELGADO ANTONIO DE JESUS</t>
  </si>
  <si>
    <t>2026-09-10</t>
  </si>
  <si>
    <t>RICO MARTINEZ JOEL</t>
  </si>
  <si>
    <t>2026-09-11</t>
  </si>
  <si>
    <t>HARO GONZALEZ JUAN CARLOS</t>
  </si>
  <si>
    <t>OCHOA PERALES JOSE ENRIQUE</t>
  </si>
  <si>
    <t>NAVARRO GONZALEZ MICHAEL ARON</t>
  </si>
  <si>
    <t>RUVALCABA SERAFIO JOSE VICENTE</t>
  </si>
  <si>
    <t>MAGALLANES ESTRADA JOSE OSVALDO</t>
  </si>
  <si>
    <t>business_unit</t>
  </si>
  <si>
    <t>desc_adicional</t>
  </si>
  <si>
    <t>record_quality</t>
  </si>
  <si>
    <t>km cotizado</t>
  </si>
  <si>
    <t>km promedio</t>
  </si>
  <si>
    <t>km_calc</t>
  </si>
  <si>
    <t>km_calc + vac</t>
  </si>
  <si>
    <t>km_vac_inicial</t>
  </si>
  <si>
    <t>km_vac_final</t>
  </si>
  <si>
    <t>driver</t>
  </si>
  <si>
    <t>worker_id</t>
  </si>
  <si>
    <t>usuario</t>
  </si>
  <si>
    <t>Fecha de creación (Tiempo de Servidor)</t>
  </si>
  <si>
    <t>momento</t>
  </si>
  <si>
    <t>Sol Viaje</t>
  </si>
  <si>
    <t>Diagnostico Viaje</t>
  </si>
  <si>
    <t>$ Viaje</t>
  </si>
  <si>
    <t>$ Viaje Fijo</t>
  </si>
  <si>
    <t>Tipo de Facturación</t>
  </si>
  <si>
    <t>Periodo de Facturación</t>
  </si>
  <si>
    <t>Fecha de creación (Tiempo de Unidad de Negocios)</t>
  </si>
  <si>
    <t>Aforo</t>
  </si>
  <si>
    <t>E-HER-T1-R0017</t>
  </si>
  <si>
    <t>LIPU Guadalajara</t>
  </si>
  <si>
    <t>-</t>
  </si>
  <si>
    <t>ZUÑIGA CARRILLO CHRISTIAN ALEJ</t>
  </si>
  <si>
    <t>SISTEMA</t>
  </si>
  <si>
    <t>AUTOMÁTICO</t>
  </si>
  <si>
    <t>Ok</t>
  </si>
  <si>
    <t>Retrasado,A tiempo</t>
  </si>
  <si>
    <t>N/A</t>
  </si>
  <si>
    <t>Variable por Ruta</t>
  </si>
  <si>
    <t>Sin asignar</t>
  </si>
  <si>
    <t>Arenales-R0017-04:40</t>
  </si>
  <si>
    <t>E-MOL-T1-R0024</t>
  </si>
  <si>
    <t>Tetlán</t>
  </si>
  <si>
    <t>TetlánMOLEX</t>
  </si>
  <si>
    <t>MOLEXTetlán</t>
  </si>
  <si>
    <t>E-MOL-R0024</t>
  </si>
  <si>
    <t>Tetlán-R0024-04:50</t>
  </si>
  <si>
    <t>Retrasado</t>
  </si>
  <si>
    <t>E-BIM-T1-R0009</t>
  </si>
  <si>
    <t>OblatosBIMBO</t>
  </si>
  <si>
    <t>BIMBOOblatos</t>
  </si>
  <si>
    <t>Oblatos-R0009-05:00</t>
  </si>
  <si>
    <t>E-CUP-T1-R0012</t>
  </si>
  <si>
    <t>Huertas</t>
  </si>
  <si>
    <t>HuertasCUPRUM GDL</t>
  </si>
  <si>
    <t>CUPRUM GDLHuertas</t>
  </si>
  <si>
    <t>E-CUP-R0012</t>
  </si>
  <si>
    <t>Huertas-R0012-05:06</t>
  </si>
  <si>
    <t>E-SM4-T1-R0119</t>
  </si>
  <si>
    <t>Tlajomulco 1</t>
  </si>
  <si>
    <t>Tlajomulco 1SANMINA TLAJOMULCO</t>
  </si>
  <si>
    <t>SANMINA TLAJOMULCOTlajomulco 1</t>
  </si>
  <si>
    <t>E-SM4-R0119</t>
  </si>
  <si>
    <t>Tlajomulco 1-R0119-05:10</t>
  </si>
  <si>
    <t>E-SM4-T1-R0105</t>
  </si>
  <si>
    <t>Prepa 13 T1</t>
  </si>
  <si>
    <t>Prepa 13 T1SANMINA TLAJOMULCO</t>
  </si>
  <si>
    <t>SANMINA TLAJOMULCOPrepa 13 T1</t>
  </si>
  <si>
    <t>E-SM4-R0105</t>
  </si>
  <si>
    <t>Prepa 13 T1-R0105-05:15</t>
  </si>
  <si>
    <t>E-SM4-T1-R0227</t>
  </si>
  <si>
    <t>Lomas del SurSANMINA TLAJOMULCO</t>
  </si>
  <si>
    <t>SANMINA TLAJOMULCOLomas del Sur</t>
  </si>
  <si>
    <t>E-SM4-R0227</t>
  </si>
  <si>
    <t>Lomas del Sur-R0227-05:15</t>
  </si>
  <si>
    <t>E-FOX-T1-R0077</t>
  </si>
  <si>
    <t>Tonala 1</t>
  </si>
  <si>
    <t>NORTE</t>
  </si>
  <si>
    <t>Tonala 1FOXCONN</t>
  </si>
  <si>
    <t>FOXCONNTonala 1</t>
  </si>
  <si>
    <t>E-FOX-R0077</t>
  </si>
  <si>
    <t>Tonala 1-R0077-05:20</t>
  </si>
  <si>
    <t>E-SM3-T1-R0221</t>
  </si>
  <si>
    <t>El Mirador</t>
  </si>
  <si>
    <t>El MiradorSANMINA FORANE</t>
  </si>
  <si>
    <t>SANMINA FORANEEl Mirador</t>
  </si>
  <si>
    <t>E-SM3-R0221</t>
  </si>
  <si>
    <t>El Mirador-R0221-05:20</t>
  </si>
  <si>
    <t>E-MAS-T1-R0007</t>
  </si>
  <si>
    <t>MASECA GDL</t>
  </si>
  <si>
    <t>ChulavistaMASECA GDL</t>
  </si>
  <si>
    <t>MASECA GDLChulavista</t>
  </si>
  <si>
    <t>E-MAS-R0007</t>
  </si>
  <si>
    <t>Chulavista-R0007-05:20</t>
  </si>
  <si>
    <t>E-HER-T1-R0011</t>
  </si>
  <si>
    <t>El Salto Azucena</t>
  </si>
  <si>
    <t>El Salto AzucenaHERSHEYS</t>
  </si>
  <si>
    <t>HERSHEYSEl Salto Azucena</t>
  </si>
  <si>
    <t>E-HER-R0011</t>
  </si>
  <si>
    <t>El Salto Azucena-R0011-05:26</t>
  </si>
  <si>
    <t>SUR</t>
  </si>
  <si>
    <t>Fijo más Variable por KM</t>
  </si>
  <si>
    <t>E-FOX-T1-R0069</t>
  </si>
  <si>
    <t>Lomas del Mirador</t>
  </si>
  <si>
    <t>Lomas del MiradorFOXCONN</t>
  </si>
  <si>
    <t>FOXCONNLomas del Mirador</t>
  </si>
  <si>
    <t>E-FOX-R0069</t>
  </si>
  <si>
    <t>Lomas del Mirador-R0069-05:40</t>
  </si>
  <si>
    <t>Norte</t>
  </si>
  <si>
    <t>Mensual</t>
  </si>
  <si>
    <t>8 De JulioPAQUETEXPRESS GDL</t>
  </si>
  <si>
    <t>PAQUETEXPRESS GDL8 De Julio</t>
  </si>
  <si>
    <t>8 De Julio-R0009-05:50</t>
  </si>
  <si>
    <t>Ok,Cabina</t>
  </si>
  <si>
    <t>E-ZFF-T1-R0049</t>
  </si>
  <si>
    <t>ADM Santa Mago</t>
  </si>
  <si>
    <t>ADM Santa MagoZF FORANEO</t>
  </si>
  <si>
    <t>ZF FORANEOADM Santa Mago</t>
  </si>
  <si>
    <t>E-ZFF-R0049</t>
  </si>
  <si>
    <t>ADM Santa Mago-R0049-06:00</t>
  </si>
  <si>
    <t>ADM</t>
  </si>
  <si>
    <t>ADM HM</t>
  </si>
  <si>
    <t>E-SA4-T1-R0083</t>
  </si>
  <si>
    <t>Gran Fonda</t>
  </si>
  <si>
    <t>Gran FondaSANMINA ADM</t>
  </si>
  <si>
    <t>SANMINA ADMGran Fonda</t>
  </si>
  <si>
    <t>E-SA4-R0083</t>
  </si>
  <si>
    <t>Gran Fonda-R0083-06:40</t>
  </si>
  <si>
    <t>E-SA4-T1-R0105</t>
  </si>
  <si>
    <t>Ocotlan 3</t>
  </si>
  <si>
    <t>Ocotlan 3SANMINA ADM</t>
  </si>
  <si>
    <t>SANMINA ADMOcotlan 3</t>
  </si>
  <si>
    <t>E-SA4-R0105</t>
  </si>
  <si>
    <t>Ocotlan 3-R0105-06:40</t>
  </si>
  <si>
    <t>ADM CM</t>
  </si>
  <si>
    <t>E-MAB-T1-R0022</t>
  </si>
  <si>
    <t>E-MAB-R0022</t>
  </si>
  <si>
    <t>Sabinos- Santa Rosa-R0022-06:50</t>
  </si>
  <si>
    <t>E-FOX-T1-R0052</t>
  </si>
  <si>
    <t>ADM Oblatos</t>
  </si>
  <si>
    <t>ADM OblatosFOXCONN</t>
  </si>
  <si>
    <t>FOXCONNADM Oblatos</t>
  </si>
  <si>
    <t>E-FOX-R0052</t>
  </si>
  <si>
    <t>ADM Oblatos-R0052-07:05</t>
  </si>
  <si>
    <t>E-SA4-T1-R0079</t>
  </si>
  <si>
    <t>El Salto 2</t>
  </si>
  <si>
    <t>El Salto 2SANMINA ADM</t>
  </si>
  <si>
    <t>SANMINA ADMEl Salto 2</t>
  </si>
  <si>
    <t>E-SA4-R0079</t>
  </si>
  <si>
    <t>El Salto 2-R0079-07:09</t>
  </si>
  <si>
    <t>E-FOX-T1-R0203</t>
  </si>
  <si>
    <t>ADM Mariano Otero</t>
  </si>
  <si>
    <t>ADM Mariano OteroFOXCONN</t>
  </si>
  <si>
    <t>FOXCONNADM Mariano Otero</t>
  </si>
  <si>
    <t>E-FOX-R0203</t>
  </si>
  <si>
    <t>ADM Mariano Otero-R0203-07:12</t>
  </si>
  <si>
    <t>E-CAB-T1-R0005</t>
  </si>
  <si>
    <t>Periférico</t>
  </si>
  <si>
    <t>CABRERA LLAMAS GDL</t>
  </si>
  <si>
    <t>PeriféricoCABRERA LLAMAS GDL</t>
  </si>
  <si>
    <t>CABRERA LLAMAS GDLPeriférico</t>
  </si>
  <si>
    <t>E-CAB-R0005</t>
  </si>
  <si>
    <t>Periférico-R0005-07:45</t>
  </si>
  <si>
    <t>GARDUÑO LOPEZ MANUEL</t>
  </si>
  <si>
    <t>E-ONT-T2-R0003</t>
  </si>
  <si>
    <t>Jamay</t>
  </si>
  <si>
    <t>JamayONEST</t>
  </si>
  <si>
    <t>ONESTJamay</t>
  </si>
  <si>
    <t>E-ONT-R0003</t>
  </si>
  <si>
    <t>Jamay-R0003-12:37</t>
  </si>
  <si>
    <t>E-SM4-T2-R0101</t>
  </si>
  <si>
    <t>Lomas de San Agustin-R0101-12:40</t>
  </si>
  <si>
    <t>Zapopan T2 y T3-R0497-12:40</t>
  </si>
  <si>
    <t>E-SAN-T2-R0061</t>
  </si>
  <si>
    <t>Bethel-R0061-12:50</t>
  </si>
  <si>
    <t>E-SAN-T2-R0068</t>
  </si>
  <si>
    <t>Panteon-R0068-12:50</t>
  </si>
  <si>
    <t>E-SM4-T2-R0142</t>
  </si>
  <si>
    <t>Prepa 13 T2 y T3</t>
  </si>
  <si>
    <t>Prepa 13 T2 y T3SANMINA TLAJOMULCO</t>
  </si>
  <si>
    <t>SANMINA TLAJOMULCOPrepa 13 T2 y T3</t>
  </si>
  <si>
    <t>E-SM4-R0142</t>
  </si>
  <si>
    <t>Prepa 13 T2 y T3-R0142-12:50</t>
  </si>
  <si>
    <t>E-HER-T2-R0007</t>
  </si>
  <si>
    <t>Tonala-R0007-12:55</t>
  </si>
  <si>
    <t>E-SM4-T2-R0227</t>
  </si>
  <si>
    <t>Lomas del Sur-R0227-13:00</t>
  </si>
  <si>
    <t>E-CUP-T2-R0020</t>
  </si>
  <si>
    <t>1 de Mayo</t>
  </si>
  <si>
    <t>1 de MayoCUPRUM GDL</t>
  </si>
  <si>
    <t>CUPRUM GDL1 de Mayo</t>
  </si>
  <si>
    <t>E-CUP-R0020</t>
  </si>
  <si>
    <t>1 de Mayo-R0020-13:00</t>
  </si>
  <si>
    <t>E-SM4-T2-R0080</t>
  </si>
  <si>
    <t>Villas Santa Cruz-R0080-13:05</t>
  </si>
  <si>
    <t>E-FOX-T2-R0149</t>
  </si>
  <si>
    <t>Apoyo Santa Fe 1-R0149-13:12</t>
  </si>
  <si>
    <t>E-SM3-T2-R0221</t>
  </si>
  <si>
    <t>El Mirador-R0221-13:20</t>
  </si>
  <si>
    <t>E-SM4-T2-R0229</t>
  </si>
  <si>
    <t>Apoyo Adolf Horn T2 y T3</t>
  </si>
  <si>
    <t>Apoyo Adolf Horn T2 y T3SANMINA TLAJOMULCO</t>
  </si>
  <si>
    <t>SANMINA TLAJOMULCOApoyo Adolf Horn T2 y T3</t>
  </si>
  <si>
    <t>E-SM4-R0229</t>
  </si>
  <si>
    <t>Apoyo Adolf Horn T2 y T3-R0229-13:20</t>
  </si>
  <si>
    <t>E-SM3-T2-R0104</t>
  </si>
  <si>
    <t>San Martin 2 Turno 2 y 3</t>
  </si>
  <si>
    <t>San Martin 2 Turno 2 y 3SANMINA FORANE</t>
  </si>
  <si>
    <t>SANMINA FORANESan Martin 2 Turno 2 y 3</t>
  </si>
  <si>
    <t>E-SM3-R0104</t>
  </si>
  <si>
    <t>San Martin 2 Turno 2 y 3-R0104-13:25</t>
  </si>
  <si>
    <t>E-SM4-T2-R0121</t>
  </si>
  <si>
    <t>Tlajomulco 2</t>
  </si>
  <si>
    <t>Tlajomulco 2SANMINA TLAJOMULCO</t>
  </si>
  <si>
    <t>SANMINA TLAJOMULCOTlajomulco 2</t>
  </si>
  <si>
    <t>E-SM4-R0121</t>
  </si>
  <si>
    <t>Tlajomulco 2-R0121-13:40</t>
  </si>
  <si>
    <t>E-FOX-T2-R0118</t>
  </si>
  <si>
    <t>Jardines-Alameda</t>
  </si>
  <si>
    <t>Jardines-AlamedaFOXCONN</t>
  </si>
  <si>
    <t>FOXCONNJardines-Alameda</t>
  </si>
  <si>
    <t>E-FOX-R0118</t>
  </si>
  <si>
    <t>Jardines-Alameda-R0118-13:40</t>
  </si>
  <si>
    <t>E-HER-T2-R0011</t>
  </si>
  <si>
    <t>El Salto Azucena-R0011-13:46</t>
  </si>
  <si>
    <t>E-FOX-T2-R0056</t>
  </si>
  <si>
    <t>Lomas Del Salto</t>
  </si>
  <si>
    <t>Lomas Del SaltoFOXCONN</t>
  </si>
  <si>
    <t>FOXCONNLomas Del Salto</t>
  </si>
  <si>
    <t>E-FOX-R0056</t>
  </si>
  <si>
    <t>Lomas Del Salto-R0056-13:51</t>
  </si>
  <si>
    <t>E-FOX-T2-R0112</t>
  </si>
  <si>
    <t>Cima SerenaFOXCONN</t>
  </si>
  <si>
    <t>FOXCONNCima Serena</t>
  </si>
  <si>
    <t>E-FOX-R0112</t>
  </si>
  <si>
    <t>Cima Serena-R0112-13:55</t>
  </si>
  <si>
    <t>Polanco 12x12</t>
  </si>
  <si>
    <t>Polanco-R0002-16:15</t>
  </si>
  <si>
    <t>E-PIS-T2-R0031</t>
  </si>
  <si>
    <t>Los Girasoles</t>
  </si>
  <si>
    <t>Vias</t>
  </si>
  <si>
    <t>Los GirasolesPIS-PISA</t>
  </si>
  <si>
    <t>PIS-PISALos Girasoles</t>
  </si>
  <si>
    <t>E-PIS-R0031</t>
  </si>
  <si>
    <t>Los Girasoles-R0031-17:15</t>
  </si>
  <si>
    <t>E-PEM-T3-R0004</t>
  </si>
  <si>
    <t>Mixing Demostenes-R0004-19:58</t>
  </si>
  <si>
    <t>E-HLL-T3-R0039</t>
  </si>
  <si>
    <t>Mezcala</t>
  </si>
  <si>
    <t>Ok,Calibrar / Operador</t>
  </si>
  <si>
    <t>MezcalaHELLA GDL</t>
  </si>
  <si>
    <t>HELLA GDLMezcala</t>
  </si>
  <si>
    <t>E-HLL-R0039</t>
  </si>
  <si>
    <t>Mezcala-R0039-20:10</t>
  </si>
  <si>
    <t>E-PEP-T3-R0038</t>
  </si>
  <si>
    <t>Moctezuma Zalate-R0038-20:20</t>
  </si>
  <si>
    <t>E-HER-T3-R0017</t>
  </si>
  <si>
    <t>Arenales-R0017-20:30</t>
  </si>
  <si>
    <t>E-PEP-T3-R0009</t>
  </si>
  <si>
    <t>Moctezuma San Agustin-R0009-20:35</t>
  </si>
  <si>
    <t>E-SAN-T3-R0490</t>
  </si>
  <si>
    <t>Tabachines T2 y T3</t>
  </si>
  <si>
    <t>Tabachines T2 y T3SANMINA GDL</t>
  </si>
  <si>
    <t>SANMINA GDLTabachines T2 y T3</t>
  </si>
  <si>
    <t>E-SAN-R0490</t>
  </si>
  <si>
    <t>Tabachines T2 y T3-R0490-20:50</t>
  </si>
  <si>
    <t>E-FOX-T3-R0125</t>
  </si>
  <si>
    <t>La Noria-R0125-20:52</t>
  </si>
  <si>
    <t>E-FOX-T3-R0213</t>
  </si>
  <si>
    <t>3A Villas Andalucia</t>
  </si>
  <si>
    <t>3A Villas AndaluciaFOXCONN</t>
  </si>
  <si>
    <t>FOXCONN3A Villas Andalucia</t>
  </si>
  <si>
    <t>E-FOX-R0213</t>
  </si>
  <si>
    <t>3A Villas Andalucia-R0213-20:58</t>
  </si>
  <si>
    <t>E-FOX-T3-R0143</t>
  </si>
  <si>
    <t>Apoyo Valle Dorado-R0143-21:02</t>
  </si>
  <si>
    <t>E-FOX-T3-R0254</t>
  </si>
  <si>
    <t>Casa Blanca-R0254-21:09</t>
  </si>
  <si>
    <t>E-FOX-T3-R0269</t>
  </si>
  <si>
    <t>Hacienda Real-R0269-21:10</t>
  </si>
  <si>
    <t>E-SM4-T3-R0123</t>
  </si>
  <si>
    <t>Valle DoradoSANMINA TLAJOMULCO</t>
  </si>
  <si>
    <t>SANMINA TLAJOMULCOValle Dorado</t>
  </si>
  <si>
    <t>E-SM4-R0123</t>
  </si>
  <si>
    <t>Valle Dorado-R0123-21:20</t>
  </si>
  <si>
    <t>E-FOX-T3-R0086</t>
  </si>
  <si>
    <t>Las Villas</t>
  </si>
  <si>
    <t>Ok,Calibrar / Cabina</t>
  </si>
  <si>
    <t>Las VillasFOXCONN</t>
  </si>
  <si>
    <t>FOXCONNLas Villas</t>
  </si>
  <si>
    <t>E-FOX-R0086</t>
  </si>
  <si>
    <t>Las Villas-R0086-21:20</t>
  </si>
  <si>
    <t>E-SK1-T3-R0067</t>
  </si>
  <si>
    <t>Polanco T3</t>
  </si>
  <si>
    <t>Polanco T3SANMINA KAMPUS 16</t>
  </si>
  <si>
    <t>SANMINA KAMPUS 16Polanco T3</t>
  </si>
  <si>
    <t>E-SK1-R0067</t>
  </si>
  <si>
    <t>Polanco T3-R0067-21:20</t>
  </si>
  <si>
    <t>E-HER-T3-R0011</t>
  </si>
  <si>
    <t>El Salto Azucena-R0011-21:26</t>
  </si>
  <si>
    <t>E-ZFM-T3-R0013</t>
  </si>
  <si>
    <t>Op MET El Verde E</t>
  </si>
  <si>
    <t>Op MET El Verde EZF METROPOLITANA</t>
  </si>
  <si>
    <t>ZF METROPOLITANAOp MET El Verde E</t>
  </si>
  <si>
    <t>E-ZFM-R0013</t>
  </si>
  <si>
    <t>Op MET El Verde E-R0013-21:30</t>
  </si>
  <si>
    <t>Chulavista T3 y T5-R0046-21:40</t>
  </si>
  <si>
    <t>E-FOX-T3-R0112</t>
  </si>
  <si>
    <t>Cima Serena-R0112-21:40</t>
  </si>
  <si>
    <t>E-HER-T1-R0049</t>
  </si>
  <si>
    <t>El Salto-Cima Serena Dominical</t>
  </si>
  <si>
    <t>El Salto-Cima Serena DominicalHERSHEYS</t>
  </si>
  <si>
    <t>HERSHEYSEl Salto-Cima Serena Dominical</t>
  </si>
  <si>
    <t>E-HER-R0049</t>
  </si>
  <si>
    <t>El Salto-Cima Serena Dominical-R0049-04:40</t>
  </si>
  <si>
    <t>E-SAN-T1-R0504</t>
  </si>
  <si>
    <t>Dominical Zapopan</t>
  </si>
  <si>
    <t>Dominical ZapopanSANMINA GDL</t>
  </si>
  <si>
    <t>SANMINA GDLDominical Zapopan</t>
  </si>
  <si>
    <t>E-SAN-R0504</t>
  </si>
  <si>
    <t>Dominical Zapopan-R0504-04:45</t>
  </si>
  <si>
    <t>E-SM4-T1-R0128</t>
  </si>
  <si>
    <t>Dominical Prepa 13 - Balcone de Santa Maria</t>
  </si>
  <si>
    <t>Dominical Prepa 13 - Balcone de Santa MariaSANMINA TLAJOMULCO</t>
  </si>
  <si>
    <t>SANMINA TLAJOMULCODominical Prepa 13 - Balcone de Santa Maria</t>
  </si>
  <si>
    <t>E-SM4-R0128</t>
  </si>
  <si>
    <t>Dominical Prepa 13 - Balcone de Santa Maria-R0128-04:55</t>
  </si>
  <si>
    <t>E-ZLT-T1-R0014</t>
  </si>
  <si>
    <t>Villas de andalucia-R0014-05:00</t>
  </si>
  <si>
    <t>E-SM4-T1-R0137</t>
  </si>
  <si>
    <t>Dominical Santa Fe 3</t>
  </si>
  <si>
    <t>Dominical Santa Fe 3SANMINA TLAJOMULCO</t>
  </si>
  <si>
    <t>SANMINA TLAJOMULCODominical Santa Fe 3</t>
  </si>
  <si>
    <t>E-SM4-R0137</t>
  </si>
  <si>
    <t>Dominical Santa Fe 3-R0137-05:00</t>
  </si>
  <si>
    <t>E-SM4-T1-R0139</t>
  </si>
  <si>
    <t>Dominical Tlajomulco T1</t>
  </si>
  <si>
    <t>Dominical Tlajomulco T1SANMINA TLAJOMULCO</t>
  </si>
  <si>
    <t>SANMINA TLAJOMULCODominical Tlajomulco T1</t>
  </si>
  <si>
    <t>E-SM4-R0139</t>
  </si>
  <si>
    <t>Dominical Tlajomulco T1-R0139-05:00</t>
  </si>
  <si>
    <t>E-SK1-T1-R0035</t>
  </si>
  <si>
    <t>Puerta del Sol T1</t>
  </si>
  <si>
    <t>Puerta del Sol T1SANMINA KAMPUS 16</t>
  </si>
  <si>
    <t>SANMINA KAMPUS 16Puerta del Sol T1</t>
  </si>
  <si>
    <t>E-SK1-R0035</t>
  </si>
  <si>
    <t>Puerta del Sol T1-R0035-05:01</t>
  </si>
  <si>
    <t>E-SK1-T1-R0023</t>
  </si>
  <si>
    <t>Jauja T1</t>
  </si>
  <si>
    <t>Jauja T1SANMINA KAMPUS 16</t>
  </si>
  <si>
    <t>SANMINA KAMPUS 16Jauja T1</t>
  </si>
  <si>
    <t>E-SK1-R0023</t>
  </si>
  <si>
    <t>Jauja T1-R0023-05:08</t>
  </si>
  <si>
    <t>E-PEP-T1-R0038</t>
  </si>
  <si>
    <t>Moctezuma Zalate-R0038-05:10</t>
  </si>
  <si>
    <t>E-PIS-T1-R0037</t>
  </si>
  <si>
    <t>Mezquitera</t>
  </si>
  <si>
    <t>MezquiteraPIS-PISA</t>
  </si>
  <si>
    <t>PIS-PISAMezquitera</t>
  </si>
  <si>
    <t>E-PIS-R0037</t>
  </si>
  <si>
    <t>Mezquitera-R0037-05:10</t>
  </si>
  <si>
    <t>E-HLL-T1-R0045</t>
  </si>
  <si>
    <t>Casa De Teja-R0045-05:15</t>
  </si>
  <si>
    <t>E-SM4-T1-R0188</t>
  </si>
  <si>
    <t>Dominical Las Juntas Pintas Vergel</t>
  </si>
  <si>
    <t>Dominical Las Juntas Pintas VergelSANMINA TLAJOMULCO</t>
  </si>
  <si>
    <t>SANMINA TLAJOMULCODominical Las Juntas Pintas Vergel</t>
  </si>
  <si>
    <t>E-SM4-R0188</t>
  </si>
  <si>
    <t>Dominical Las Juntas Pintas Vergel-R0188-05:15</t>
  </si>
  <si>
    <t>E-SM4-T1-R0130</t>
  </si>
  <si>
    <t>Dominical Canal 8 de Julio</t>
  </si>
  <si>
    <t>Dominical Canal 8 de JulioSANMINA TLAJOMULCO</t>
  </si>
  <si>
    <t>SANMINA TLAJOMULCODominical Canal 8 de Julio</t>
  </si>
  <si>
    <t>E-SM4-R0130</t>
  </si>
  <si>
    <t>Dominical Canal 8 de Julio-R0130-05:20</t>
  </si>
  <si>
    <t>E-HLL-T1-R0100</t>
  </si>
  <si>
    <t>Puente Viejo-El Salto</t>
  </si>
  <si>
    <t>Puente Viejo-El SaltoHELLA GDL</t>
  </si>
  <si>
    <t>HELLA GDLPuente Viejo-El Salto</t>
  </si>
  <si>
    <t>E-HLL-R0100</t>
  </si>
  <si>
    <t>Puente Viejo-El Salto-R0100-05:20</t>
  </si>
  <si>
    <t>E-FOX-T1-R0063</t>
  </si>
  <si>
    <t>Valle Dorado-R0063-05:30</t>
  </si>
  <si>
    <t>E-ZFF-T1-R0035</t>
  </si>
  <si>
    <t>Op FOR Ixtlahuacan - Aguilillas Fin de semana-R0035-05:35</t>
  </si>
  <si>
    <t>E-FOX-T1-R0079</t>
  </si>
  <si>
    <t>Loma Bonita</t>
  </si>
  <si>
    <t>Loma BonitaFOXCONN</t>
  </si>
  <si>
    <t>FOXCONNLoma Bonita</t>
  </si>
  <si>
    <t>E-FOX-R0079</t>
  </si>
  <si>
    <t>Loma Bonita-R0079-05:35</t>
  </si>
  <si>
    <t>E-FOX-T1-R0108</t>
  </si>
  <si>
    <t>BethelFOXCONN</t>
  </si>
  <si>
    <t>FOXCONNBethel</t>
  </si>
  <si>
    <t>E-FOX-R0108</t>
  </si>
  <si>
    <t>Bethel-R0108-05:40</t>
  </si>
  <si>
    <t>E-FOX-T1-R0110</t>
  </si>
  <si>
    <t>Lilas-Azucena</t>
  </si>
  <si>
    <t>Lilas-AzucenaFOXCONN</t>
  </si>
  <si>
    <t>FOXCONNLilas-Azucena</t>
  </si>
  <si>
    <t>E-FOX-R0110</t>
  </si>
  <si>
    <t>Lilas-Azucena-R0110-05:40</t>
  </si>
  <si>
    <t>E-FOX-T1-R0232</t>
  </si>
  <si>
    <t>Olivos-R0232-05:40</t>
  </si>
  <si>
    <t>E-FOX-T1-R0155</t>
  </si>
  <si>
    <t>Lomas de Polanco-R0155-05:49</t>
  </si>
  <si>
    <t>E-FOX-T1-R0094</t>
  </si>
  <si>
    <t>La Providencia</t>
  </si>
  <si>
    <t>La ProvidenciaFOXCONN</t>
  </si>
  <si>
    <t>FOXCONNLa Providencia</t>
  </si>
  <si>
    <t>E-FOX-R0094</t>
  </si>
  <si>
    <t>La Providencia-R0094-05:50</t>
  </si>
  <si>
    <t>E-FOX-T1-R0153</t>
  </si>
  <si>
    <t>Jardines de Santa Cruz</t>
  </si>
  <si>
    <t>Jardines de Santa CruzFOXCONN</t>
  </si>
  <si>
    <t>FOXCONNJardines de Santa Cruz</t>
  </si>
  <si>
    <t>E-FOX-R0153</t>
  </si>
  <si>
    <t>Jardines de Santa Cruz-R0153-05:51</t>
  </si>
  <si>
    <t>E-FOX-T1-R0096</t>
  </si>
  <si>
    <t>Patria</t>
  </si>
  <si>
    <t>PatriaFOXCONN</t>
  </si>
  <si>
    <t>FOXCONNPatria</t>
  </si>
  <si>
    <t>E-FOX-R0096</t>
  </si>
  <si>
    <t>Patria-R0096-06:00</t>
  </si>
  <si>
    <t>E-PEP-T2-R0040</t>
  </si>
  <si>
    <t>Moctezuma Chulavista-R0040-12:27</t>
  </si>
  <si>
    <t>E-HPH-T2-R0007</t>
  </si>
  <si>
    <t>Valle de los Molinos - Fin de Semana</t>
  </si>
  <si>
    <t>Valle de los Molinos - Fin de SemanaHOSPITAL PUERTA DE HIERRO</t>
  </si>
  <si>
    <t>HOSPITAL PUERTA DE HIERROValle de los Molinos - Fin de Semana</t>
  </si>
  <si>
    <t>E-HPH-R0007</t>
  </si>
  <si>
    <t>Valle de los Molinos - Fin de Semana-R0007-12:40</t>
  </si>
  <si>
    <t>E-SAN-T2-R0504</t>
  </si>
  <si>
    <t>Dominical Zapopan-R0504-12:45</t>
  </si>
  <si>
    <t>E-SAN-T2-R0519</t>
  </si>
  <si>
    <t>Dominical Angel Leaño T2</t>
  </si>
  <si>
    <t>Dominical Angel Leaño T2SANMINA GDL</t>
  </si>
  <si>
    <t>SANMINA GDLDominical Angel Leaño T2</t>
  </si>
  <si>
    <t>E-SAN-R0519</t>
  </si>
  <si>
    <t>Dominical Angel Leaño T2-R0519-12:50</t>
  </si>
  <si>
    <t>E-SM4-T2-R0128</t>
  </si>
  <si>
    <t>Dominical Prepa 13 - Balcone de Santa Maria-R0128-12:55</t>
  </si>
  <si>
    <t>E-SK1-T2-R0069</t>
  </si>
  <si>
    <t>Periferico T2</t>
  </si>
  <si>
    <t>Periferico T2SANMINA KAMPUS 16</t>
  </si>
  <si>
    <t>SANMINA KAMPUS 16Periferico T2</t>
  </si>
  <si>
    <t>E-SK1-R0069</t>
  </si>
  <si>
    <t>Periferico T2-R0069-13:00</t>
  </si>
  <si>
    <t>E-ZFM-T2-R0102</t>
  </si>
  <si>
    <t>mt.14121106</t>
  </si>
  <si>
    <t>DURANTE VIAJE</t>
  </si>
  <si>
    <t>Op MET Loma Dorada Fin de Semana-R0102-13:00</t>
  </si>
  <si>
    <t>E-PEM-T2-R0020</t>
  </si>
  <si>
    <t>Mixing Valle De Los Molinos</t>
  </si>
  <si>
    <t>Mixing Valle De Los MolinosPEPSICO MIXING</t>
  </si>
  <si>
    <t>PEPSICO MIXINGMixing Valle De Los Molinos</t>
  </si>
  <si>
    <t>E-PEM-R0020</t>
  </si>
  <si>
    <t>Mixing Valle De Los Molinos-R0020-13:06</t>
  </si>
  <si>
    <t>E-SM3-T2-R0140</t>
  </si>
  <si>
    <t>Dominical San Martin 1 y 2</t>
  </si>
  <si>
    <t>Dominical San Martin 1 y 2SANMINA FORANE</t>
  </si>
  <si>
    <t>SANMINA FORANEDominical San Martin 1 y 2</t>
  </si>
  <si>
    <t>E-SM3-R0140</t>
  </si>
  <si>
    <t>Dominical San Martin 1 y 2-R0140-13:10</t>
  </si>
  <si>
    <t>E-SAN-T2-R0516</t>
  </si>
  <si>
    <t>Dominical Loma Provincia-Adrian Puga T2</t>
  </si>
  <si>
    <t>Dominical Loma Provincia-Adrian Puga T2SANMINA GDL</t>
  </si>
  <si>
    <t>SANMINA GDLDominical Loma Provincia-Adrian Puga T2</t>
  </si>
  <si>
    <t>E-SAN-R0516</t>
  </si>
  <si>
    <t>Dominical Loma Provincia-Adrian Puga T2-R0516-13:10</t>
  </si>
  <si>
    <t>E-FOX-T2-R0036</t>
  </si>
  <si>
    <t>Santa Fe 1-R0036-13:15</t>
  </si>
  <si>
    <t>E-FOX-T2-R0079</t>
  </si>
  <si>
    <t>Loma Bonita-R0079-13:15</t>
  </si>
  <si>
    <t>E-ZFF-T2-R0032</t>
  </si>
  <si>
    <t>Op FOR Poncitlan Fin de semana</t>
  </si>
  <si>
    <t>Op FOR Poncitlan Fin de semanaZF FORANEO</t>
  </si>
  <si>
    <t>ZF FORANEOOp FOR Poncitlan Fin de semana</t>
  </si>
  <si>
    <t>E-ZFF-R0032</t>
  </si>
  <si>
    <t>Op FOR Poncitlan Fin de semana-R0032-13:15</t>
  </si>
  <si>
    <t>E-SM3-T2-R0139</t>
  </si>
  <si>
    <t>Dominical San Jose Del 15</t>
  </si>
  <si>
    <t>Dominical San Jose Del 15SANMINA FORANE</t>
  </si>
  <si>
    <t>SANMINA FORANEDominical San Jose Del 15</t>
  </si>
  <si>
    <t>E-SM3-R0139</t>
  </si>
  <si>
    <t>Dominical San Jose Del 15-R0139-13:20</t>
  </si>
  <si>
    <t>E-SM3-T2-R0141</t>
  </si>
  <si>
    <t>Dominical Vede Castillo-Cima Serena</t>
  </si>
  <si>
    <t>Dominical Vede Castillo-Cima SerenaSANMINA FORANE</t>
  </si>
  <si>
    <t>SANMINA FORANEDominical Vede Castillo-Cima Serena</t>
  </si>
  <si>
    <t>E-SM3-R0141</t>
  </si>
  <si>
    <t>Dominical Vede Castillo-Cima Serena-R0141-13:20</t>
  </si>
  <si>
    <t>E-ZFM-T2-R0115</t>
  </si>
  <si>
    <t>Op MET El Salto Fucionada Fin de semana</t>
  </si>
  <si>
    <t>Op MET El Salto Fucionada Fin de semanaZF METROPOLITANA</t>
  </si>
  <si>
    <t>ZF METROPOLITANAOp MET El Salto Fucionada Fin de semana</t>
  </si>
  <si>
    <t>Op MET El Salto Fucionada Fin de semana-R0115-13:25</t>
  </si>
  <si>
    <t>E-FOX-T2-R0069</t>
  </si>
  <si>
    <t>Lomas del Mirador-R0069-13:30</t>
  </si>
  <si>
    <t>E-FOX-T2-R0096</t>
  </si>
  <si>
    <t>Patria-R0096-13:30</t>
  </si>
  <si>
    <t>E-ZFF-T2-R0034</t>
  </si>
  <si>
    <t>Op FOR Cedros-Buenavista Fin de semana</t>
  </si>
  <si>
    <t>ANTES DE VIAJE</t>
  </si>
  <si>
    <t>Op FOR Cedros-Buenavista Fin de semanaZF FORANEO</t>
  </si>
  <si>
    <t>ZF FORANEOOp FOR Cedros-Buenavista Fin de semana</t>
  </si>
  <si>
    <t>E-ZFF-R0034</t>
  </si>
  <si>
    <t>Op FOR Cedros-Buenavista Fin de semana-R0034-13:35</t>
  </si>
  <si>
    <t>E-ZFF-T2-R0042</t>
  </si>
  <si>
    <t>Op FOR La Purisima Fin de semana</t>
  </si>
  <si>
    <t>Op FOR La Purisima Fin de semanaZF FORANEO</t>
  </si>
  <si>
    <t>ZF FORANEOOp FOR La Purisima Fin de semana</t>
  </si>
  <si>
    <t>E-ZFF-R0042</t>
  </si>
  <si>
    <t>Op FOR La Purisima Fin de semana-R0042-13:50</t>
  </si>
  <si>
    <t>E-ZFM-T2-R0129</t>
  </si>
  <si>
    <t>Op MET Fusión 8 de Julio / Miravalle</t>
  </si>
  <si>
    <t>Op MET Fusión 8 de Julio / MiravalleZF METROPOLITANA</t>
  </si>
  <si>
    <t>ZF METROPOLITANAOp MET Fusión 8 de Julio / Miravalle</t>
  </si>
  <si>
    <t>E-ZFM-R0129</t>
  </si>
  <si>
    <t>Op MET Fusión 8 de Julio / Miravalle-R0129-13:50</t>
  </si>
  <si>
    <t>E-MOL-T2-R0010</t>
  </si>
  <si>
    <t>Tlaquepaque 1-R0010-15:55</t>
  </si>
  <si>
    <t>E-PIS-T2-R0085</t>
  </si>
  <si>
    <t>Cielito Lindo-R0085-17:15</t>
  </si>
  <si>
    <t>E-PEP-T3-R0005</t>
  </si>
  <si>
    <t>Moctezuma Loma Dorada</t>
  </si>
  <si>
    <t>Moctezuma Loma DoradaPEPSICO GDL</t>
  </si>
  <si>
    <t>PEPSICO GDLMoctezuma Loma Dorada</t>
  </si>
  <si>
    <t>E-PEP-R0005</t>
  </si>
  <si>
    <t>Moctezuma Loma Dorada-R0005-19:00</t>
  </si>
  <si>
    <t>E-HPH-T3-R0007</t>
  </si>
  <si>
    <t>ZUÑIGA HERNANDEZ OSCAR FRANC</t>
  </si>
  <si>
    <t>Valle de los Molinos - Fin de Semana-R0007-19:03</t>
  </si>
  <si>
    <t>Moctezuma Zalate-R0038-19:20</t>
  </si>
  <si>
    <t>E-SM4-T3-R0236</t>
  </si>
  <si>
    <t>Dominical San Sebastian 2 T2 y T3</t>
  </si>
  <si>
    <t>Dominical San Sebastian 2 T2 y T3SANMINA TLAJOMULCO</t>
  </si>
  <si>
    <t>SANMINA TLAJOMULCODominical San Sebastian 2 T2 y T3</t>
  </si>
  <si>
    <t>E-SM4-R0236</t>
  </si>
  <si>
    <t>Dominical San Sebastian 2 T2 y T3-R0236-20:48</t>
  </si>
  <si>
    <t>E-ZFM-T3-R0115</t>
  </si>
  <si>
    <t>E-ZFM-R0115</t>
  </si>
  <si>
    <t>Op MET El Salto Fucionada Fin de semana-R0115-21:25</t>
  </si>
  <si>
    <t>E-MAS-T3-R0007</t>
  </si>
  <si>
    <t>MT.14122991</t>
  </si>
  <si>
    <t>Chulavista-R0007-21:30</t>
  </si>
  <si>
    <t>E-SM4-T3-R0086</t>
  </si>
  <si>
    <t>Cantaros 1</t>
  </si>
  <si>
    <t>cronCambios</t>
  </si>
  <si>
    <t>Cantaros 1SANMINA TLAJOMULCO</t>
  </si>
  <si>
    <t>SANMINA TLAJOMULCOCantaros 1</t>
  </si>
  <si>
    <t>E-SM4-R0086</t>
  </si>
  <si>
    <t>Cantaros 1-R0086-21:40</t>
  </si>
  <si>
    <t>E-MOL-T1-R0038</t>
  </si>
  <si>
    <t>Ciudad Guzman</t>
  </si>
  <si>
    <t>Ciudad GuzmanMOLEX</t>
  </si>
  <si>
    <t>MOLEXCiudad Guzman</t>
  </si>
  <si>
    <t>E-MOL-R0038</t>
  </si>
  <si>
    <t>Ciudad Guzman-R0038-04:20</t>
  </si>
  <si>
    <t>E-CUP-T1-R0001</t>
  </si>
  <si>
    <t>Chulavista-R0001-04:50</t>
  </si>
  <si>
    <t>E-SOR-T1-R0035</t>
  </si>
  <si>
    <t>OblatosSORIANA GDL</t>
  </si>
  <si>
    <t>SORIANA GDLOblatos</t>
  </si>
  <si>
    <t>E-SOR-R0035</t>
  </si>
  <si>
    <t>Oblatos-R0035-05:00</t>
  </si>
  <si>
    <t>E-PEP-T1-R0001</t>
  </si>
  <si>
    <t>Moctezuma Santa Fe-R0001-05:05</t>
  </si>
  <si>
    <t>E-PIS-T1-R0075</t>
  </si>
  <si>
    <t>Artes Plásticas</t>
  </si>
  <si>
    <t>Artes PlásticasPIS-PISA</t>
  </si>
  <si>
    <t>PIS-PISAArtes Plásticas</t>
  </si>
  <si>
    <t>E-PIS-R0075</t>
  </si>
  <si>
    <t>Artes Plásticas-R0075-05:05</t>
  </si>
  <si>
    <t>E-PIS-T1-R0031</t>
  </si>
  <si>
    <t>Los Girasoles-R0031-05:15</t>
  </si>
  <si>
    <t>E-PIS-T1-R0093</t>
  </si>
  <si>
    <t>Villas Galicia</t>
  </si>
  <si>
    <t>Villas GaliciaPIS-PISA</t>
  </si>
  <si>
    <t>PIS-PISAVillas Galicia</t>
  </si>
  <si>
    <t>E-PIS-R0093</t>
  </si>
  <si>
    <t>Villas Galicia-R0093-05:20</t>
  </si>
  <si>
    <t>E-HPH-T1-R0007</t>
  </si>
  <si>
    <t>Valle de los Molinos - Fin de Semana-R0007-05:30</t>
  </si>
  <si>
    <t>OPERATIVA</t>
  </si>
  <si>
    <t>E-FOX-T1-R0112</t>
  </si>
  <si>
    <t>Cima Serena-R0112-06:00</t>
  </si>
  <si>
    <t>E-HER-T2-R0004</t>
  </si>
  <si>
    <t>La Noria T1 y T2</t>
  </si>
  <si>
    <t>Especial</t>
  </si>
  <si>
    <t>La Noria T1 y T2HERSHEYS</t>
  </si>
  <si>
    <t>HERSHEYSLa Noria T1 y T2</t>
  </si>
  <si>
    <t>E-HER-R0004</t>
  </si>
  <si>
    <t>La Noria T1 y T2-R0004-09:25</t>
  </si>
  <si>
    <t>Tonala-R0007-09:40</t>
  </si>
  <si>
    <t>El Salto Azucena-R0011-10:26</t>
  </si>
  <si>
    <t>E-SK1-T2-R0025</t>
  </si>
  <si>
    <t>Juan Pablo II-R0025-12:45</t>
  </si>
  <si>
    <t>E-SM3-T2-R0231</t>
  </si>
  <si>
    <t>Ocotlan 1 T2 y T3</t>
  </si>
  <si>
    <t>Ocotlan 1 T2 y T3SANMINA FORANE</t>
  </si>
  <si>
    <t>SANMINA FORANEOcotlan 1 T2 y T3</t>
  </si>
  <si>
    <t>E-SM3-R0231</t>
  </si>
  <si>
    <t>Ocotlan 1 T2 y T3-R0231-12:45</t>
  </si>
  <si>
    <t>E-PEM-T2-R0015</t>
  </si>
  <si>
    <t>Mixing Tonala-R0015-12:50</t>
  </si>
  <si>
    <t>E-CUP-T2-R0012</t>
  </si>
  <si>
    <t>Huertas-R0012-12:50</t>
  </si>
  <si>
    <t>E-SK1-T2-R0028</t>
  </si>
  <si>
    <t>Juanacatlan-R0028-12:57</t>
  </si>
  <si>
    <t>E-SK1-T2-R0058</t>
  </si>
  <si>
    <t>Zapote T2</t>
  </si>
  <si>
    <t>Zapote T2SANMINA KAMPUS 16</t>
  </si>
  <si>
    <t>SANMINA KAMPUS 16Zapote T2</t>
  </si>
  <si>
    <t>E-SK1-R0058</t>
  </si>
  <si>
    <t>Zapote T2-R0058-13:10</t>
  </si>
  <si>
    <t>E-FOX-T2-R0181</t>
  </si>
  <si>
    <t>Federalismo-R0181-13:10</t>
  </si>
  <si>
    <t>E-HLL-T2-R0057</t>
  </si>
  <si>
    <t>Capilla</t>
  </si>
  <si>
    <t>CapillaHELLA GDL</t>
  </si>
  <si>
    <t>HELLA GDLCapilla</t>
  </si>
  <si>
    <t>E-HLL-R0057</t>
  </si>
  <si>
    <t>Capilla-R0057-13:15</t>
  </si>
  <si>
    <t>E-FOX-T2-R0143</t>
  </si>
  <si>
    <t>Apoyo Valle Dorado-R0143-13:32</t>
  </si>
  <si>
    <t>E-SM3-T2-R0083</t>
  </si>
  <si>
    <t>Azucena 2-R0083-13:37</t>
  </si>
  <si>
    <t>E-FOX-T2-R0028</t>
  </si>
  <si>
    <t>Rodeo</t>
  </si>
  <si>
    <t>RodeoFOXCONN</t>
  </si>
  <si>
    <t>FOXCONNRodeo</t>
  </si>
  <si>
    <t>E-FOX-R0028</t>
  </si>
  <si>
    <t>Rodeo-R0028-13:46</t>
  </si>
  <si>
    <t>Sabinos- Santa Rosa-R0022-14:50</t>
  </si>
  <si>
    <t>E-PIS-T2-R0027</t>
  </si>
  <si>
    <t>Las JuntasPIS-PISA</t>
  </si>
  <si>
    <t>PIS-PISALas Juntas</t>
  </si>
  <si>
    <t>E-PIS-R0027</t>
  </si>
  <si>
    <t>Las Juntas-R0027-16:15</t>
  </si>
  <si>
    <t>E-PIS-T2-R0019</t>
  </si>
  <si>
    <t>Fuelle-R0019-16:25</t>
  </si>
  <si>
    <t>E-PIS-T2-R0075</t>
  </si>
  <si>
    <t>Artes Plásticas-R0075-16:50</t>
  </si>
  <si>
    <t>E-PIS-T2-R0079</t>
  </si>
  <si>
    <t>Villas de la Hacienda</t>
  </si>
  <si>
    <t>Villas de la HaciendaPIS-PISA</t>
  </si>
  <si>
    <t>PIS-PISAVillas de la Hacienda</t>
  </si>
  <si>
    <t>E-PIS-R0079</t>
  </si>
  <si>
    <t>Villas de la Hacienda-R0079-17:00</t>
  </si>
  <si>
    <t>E-PIS-T2-R0013</t>
  </si>
  <si>
    <t>Cantaros</t>
  </si>
  <si>
    <t>CantarosPIS-PISA</t>
  </si>
  <si>
    <t>PIS-PISACantaros</t>
  </si>
  <si>
    <t>E-PIS-R0013</t>
  </si>
  <si>
    <t>Cantaros-R0013-17:02</t>
  </si>
  <si>
    <t>E-PIS-T2-R0037</t>
  </si>
  <si>
    <t>Mezquitera-R0037-17:10</t>
  </si>
  <si>
    <t>E-PIS-T2-R0081</t>
  </si>
  <si>
    <t>Santa Rita</t>
  </si>
  <si>
    <t>Santa RitaPIS-PISA</t>
  </si>
  <si>
    <t>PIS-PISASanta Rita</t>
  </si>
  <si>
    <t>E-PIS-R0081</t>
  </si>
  <si>
    <t>Santa Rita-R0081-17:15</t>
  </si>
  <si>
    <t>E-SIG-T3-R0002</t>
  </si>
  <si>
    <t>Variable por KM</t>
  </si>
  <si>
    <t>Oblatos-R0002-20:02</t>
  </si>
  <si>
    <t>E-SIG-T3-R0005</t>
  </si>
  <si>
    <t xml:space="preserve">SaltoSIGMA ALIMENTOS </t>
  </si>
  <si>
    <t>SIGMA ALIMENTOS Salto</t>
  </si>
  <si>
    <t>E-SIG-R0005</t>
  </si>
  <si>
    <t>Salto-R0005-20:20</t>
  </si>
  <si>
    <t>E-FOX-T3-R0191</t>
  </si>
  <si>
    <t>3A Lomas del Sur</t>
  </si>
  <si>
    <t>3A Lomas del SurFOXCONN</t>
  </si>
  <si>
    <t>FOXCONN3A Lomas del Sur</t>
  </si>
  <si>
    <t>E-FOX-R0191</t>
  </si>
  <si>
    <t>3A Lomas del Sur-R0191-20:45</t>
  </si>
  <si>
    <t>E-PEP-T3-R0008</t>
  </si>
  <si>
    <t>Moctezuma Miramar-R0008-20:48</t>
  </si>
  <si>
    <t>E-SK1-T3-R0013</t>
  </si>
  <si>
    <t>Bethel T3</t>
  </si>
  <si>
    <t>Bethel T3SANMINA KAMPUS 16</t>
  </si>
  <si>
    <t>SANMINA KAMPUS 16Bethel T3</t>
  </si>
  <si>
    <t>E-SK1-R0013</t>
  </si>
  <si>
    <t>Bethel T3-R0013-20:57</t>
  </si>
  <si>
    <t>E-FOX-T3-R0211</t>
  </si>
  <si>
    <t>3A El Salto</t>
  </si>
  <si>
    <t>3A El SaltoFOXCONN</t>
  </si>
  <si>
    <t>FOXCONN3A El Salto</t>
  </si>
  <si>
    <t>E-FOX-R0211</t>
  </si>
  <si>
    <t>3A El Salto-R0211-21:05</t>
  </si>
  <si>
    <t>MT.14118220</t>
  </si>
  <si>
    <t>ZARAGDL</t>
  </si>
  <si>
    <t>E-SM3-T3-R0139</t>
  </si>
  <si>
    <t>Dominical San Jose Del 15-R0139-21:20</t>
  </si>
  <si>
    <t>Polanco-R0002-04:23</t>
  </si>
  <si>
    <t>E-BIM-T1-R0001</t>
  </si>
  <si>
    <t>Santa FeBIMBO</t>
  </si>
  <si>
    <t>BIMBOSanta Fe</t>
  </si>
  <si>
    <t>Santa Fe-R0001-04:30</t>
  </si>
  <si>
    <t>E-PIS-T1-R0055</t>
  </si>
  <si>
    <t>Tateposco</t>
  </si>
  <si>
    <t>TateposcoPIS-PISA</t>
  </si>
  <si>
    <t>PIS-PISATateposco</t>
  </si>
  <si>
    <t>E-PIS-R0055</t>
  </si>
  <si>
    <t>Tateposco-R0055-04:40</t>
  </si>
  <si>
    <t>E-HLL-T1-R0039</t>
  </si>
  <si>
    <t>Mezcala-R0039-04:50</t>
  </si>
  <si>
    <t>E-SM4-T1-R0123</t>
  </si>
  <si>
    <t>Valle Dorado-R0123-05:20</t>
  </si>
  <si>
    <t>E-PIS-T1-R0091</t>
  </si>
  <si>
    <t>La NoriaPIS-PISA</t>
  </si>
  <si>
    <t>PIS-PISALa Noria</t>
  </si>
  <si>
    <t>E-PIS-R0091</t>
  </si>
  <si>
    <t>La Noria-R0091-05:25</t>
  </si>
  <si>
    <t>E-PAQ-T1-R0005</t>
  </si>
  <si>
    <t>Juan de la Barrera T1 y T2-R0005-05:26</t>
  </si>
  <si>
    <t>E-FOX-T1-R0258</t>
  </si>
  <si>
    <t>Apoyo Las Villas</t>
  </si>
  <si>
    <t>Apoyo Las VillasFOXCONN</t>
  </si>
  <si>
    <t>FOXCONNApoyo Las Villas</t>
  </si>
  <si>
    <t>E-FOX-R0258</t>
  </si>
  <si>
    <t>Apoyo Las Villas-R0258-06:02</t>
  </si>
  <si>
    <t>E-SA4-T1-R0096</t>
  </si>
  <si>
    <t>Ocotlan 1</t>
  </si>
  <si>
    <t>Ocotlan 1SANMINA ADM</t>
  </si>
  <si>
    <t>SANMINA ADMOcotlan 1</t>
  </si>
  <si>
    <t>E-SA4-R0096</t>
  </si>
  <si>
    <t>Ocotlan 1-R0096-06:30</t>
  </si>
  <si>
    <t>E-SA4-T1-R0100</t>
  </si>
  <si>
    <t>Santa fe 1</t>
  </si>
  <si>
    <t>Santa fe 1SANMINA ADM</t>
  </si>
  <si>
    <t>SANMINA ADMSanta fe 1</t>
  </si>
  <si>
    <t>E-SA4-R0100</t>
  </si>
  <si>
    <t>Santa fe 1-R0100-06:50</t>
  </si>
  <si>
    <t>ADM PF</t>
  </si>
  <si>
    <t>E-SA4-T1-R0121</t>
  </si>
  <si>
    <t>Loma Dorada 1</t>
  </si>
  <si>
    <t>Loma Dorada 1SANMINA ADM</t>
  </si>
  <si>
    <t>SANMINA ADMLoma Dorada 1</t>
  </si>
  <si>
    <t>E-SA4-R0121</t>
  </si>
  <si>
    <t>Loma Dorada 1-R0121-06:55</t>
  </si>
  <si>
    <t>E-AME-T1-R0010</t>
  </si>
  <si>
    <t>C2 Ruta 2</t>
  </si>
  <si>
    <t>COLEGIO AMERICANO</t>
  </si>
  <si>
    <t>C2 Ruta 2COLEGIO AMERICANO</t>
  </si>
  <si>
    <t>COLEGIO AMERICANOC2 Ruta 2</t>
  </si>
  <si>
    <t>E-AME-R0010</t>
  </si>
  <si>
    <t>C2 Ruta 2-R0010-07:05</t>
  </si>
  <si>
    <t>8 De Julio-R0009-07:45</t>
  </si>
  <si>
    <t>Santa Fe T2PAQUETEXPRESS GDL</t>
  </si>
  <si>
    <t>PAQUETEXPRESS GDLSanta Fe T2</t>
  </si>
  <si>
    <t>Santa Fe T2-R0017-07:55</t>
  </si>
  <si>
    <t>E-PEM-T2-R0013</t>
  </si>
  <si>
    <t>Mixing Santa Fe-R0013-12:40</t>
  </si>
  <si>
    <t>E-ZLT-T2-R0013</t>
  </si>
  <si>
    <t>Santa FeZOLTEK GDL</t>
  </si>
  <si>
    <t>ZOLTEK GDLSanta Fe</t>
  </si>
  <si>
    <t>E-ZLT-R0013</t>
  </si>
  <si>
    <t>Santa Fe-R0013-12:40</t>
  </si>
  <si>
    <t>E-SM4-T2-R0112</t>
  </si>
  <si>
    <t>Santa Fe 1-R0112-12:50</t>
  </si>
  <si>
    <t>E-FOX-T2-R0090</t>
  </si>
  <si>
    <t>Oblatos 2-R0090-13:15</t>
  </si>
  <si>
    <t>E-SM4-T2-R0123</t>
  </si>
  <si>
    <t>Valle Dorado-R0123-13:20</t>
  </si>
  <si>
    <t>E-FOX-T2-R0159</t>
  </si>
  <si>
    <t>PlutarcoFOXCONN</t>
  </si>
  <si>
    <t>FOXCONNPlutarco</t>
  </si>
  <si>
    <t>E-FOX-R0159</t>
  </si>
  <si>
    <t>Plutarco-R0159-13:32</t>
  </si>
  <si>
    <t>E-FOX-T2-R0044</t>
  </si>
  <si>
    <t>Parques Del Triunfo-R0044-13:35</t>
  </si>
  <si>
    <t>E-HLL-T2-R0015</t>
  </si>
  <si>
    <t>La Azucena</t>
  </si>
  <si>
    <t>La AzucenaHELLA GDL</t>
  </si>
  <si>
    <t>HELLA GDLLa Azucena</t>
  </si>
  <si>
    <t>E-HLL-R0015</t>
  </si>
  <si>
    <t>La Azucena-R0015-13:50</t>
  </si>
  <si>
    <t>E-FOX-T2-R0238</t>
  </si>
  <si>
    <t>El Verde</t>
  </si>
  <si>
    <t>El VerdeFOXCONN</t>
  </si>
  <si>
    <t>FOXCONNEl Verde</t>
  </si>
  <si>
    <t>E-FOX-R0238</t>
  </si>
  <si>
    <t>El Verde-R0238-14:00</t>
  </si>
  <si>
    <t>E-ZFF-T2-R0009</t>
  </si>
  <si>
    <t>Op FOR Ex Hacienda</t>
  </si>
  <si>
    <t>Op FOR Ex HaciendaZF FORANEO</t>
  </si>
  <si>
    <t>ZF FORANEOOp FOR Ex Hacienda</t>
  </si>
  <si>
    <t>E-ZFF-R0009</t>
  </si>
  <si>
    <t>Op FOR Ex Hacienda-R0009-14:45</t>
  </si>
  <si>
    <t>E-ZFF-T2-R0014</t>
  </si>
  <si>
    <t>Op FOR Zapote-Agaves</t>
  </si>
  <si>
    <t>Op FOR Zapote-AgavesZF FORANEO</t>
  </si>
  <si>
    <t>ZF FORANEOOp FOR Zapote-Agaves</t>
  </si>
  <si>
    <t>E-ZFF-R0014</t>
  </si>
  <si>
    <t>Op FOR Zapote-Agaves-R0014-14:45</t>
  </si>
  <si>
    <t>E-CUP-T1-R0018</t>
  </si>
  <si>
    <t>Huertas 12X12</t>
  </si>
  <si>
    <t>Huertas 12X12CUPRUM GDL</t>
  </si>
  <si>
    <t>CUPRUM GDLHuertas 12X12</t>
  </si>
  <si>
    <t>E-CUP-R0018</t>
  </si>
  <si>
    <t>Huertas 12X12-R0018-17:00</t>
  </si>
  <si>
    <t>E-FOX-T3-R0108</t>
  </si>
  <si>
    <t>Bethel-R0108-20:55</t>
  </si>
  <si>
    <t>E-SK1-T3-R0029</t>
  </si>
  <si>
    <t>Lomas del Sur-R0029-21:00</t>
  </si>
  <si>
    <t>E-FOX-T3-R0079</t>
  </si>
  <si>
    <t>Loma Bonita-R0079-21:00</t>
  </si>
  <si>
    <t>E-FOX-T3-R0067</t>
  </si>
  <si>
    <t>Terranova 3-R0067-21:04</t>
  </si>
  <si>
    <t>E-FOX-T3-R0232</t>
  </si>
  <si>
    <t>Olivos-R0232-21:05</t>
  </si>
  <si>
    <t>E-SM3-T3-R0104</t>
  </si>
  <si>
    <t>San Martin 2 Turno 2 y 3-R0104-21:33</t>
  </si>
  <si>
    <t>E-SM4-T3-R0121</t>
  </si>
  <si>
    <t>Tlajomulco 2-R0121-21:40</t>
  </si>
  <si>
    <t>E-HER-T3-R0003</t>
  </si>
  <si>
    <t>Cima Serena-R0003-21:40</t>
  </si>
  <si>
    <t>Loma Dorada</t>
  </si>
  <si>
    <t>MT.14118182</t>
  </si>
  <si>
    <t>Loma DoradaBIMBO</t>
  </si>
  <si>
    <t>BIMBOLoma Dorada</t>
  </si>
  <si>
    <t>Loma Dorada--21:45</t>
  </si>
  <si>
    <t>Miravalle</t>
  </si>
  <si>
    <t>MiravalleBIMBO</t>
  </si>
  <si>
    <t>BIMBOMiravalle</t>
  </si>
  <si>
    <t>Miravalle--21:45</t>
  </si>
  <si>
    <t>E-SOR-T1-R0025</t>
  </si>
  <si>
    <t>La NoriaSORIANA GDL</t>
  </si>
  <si>
    <t>SORIANA GDLLa Noria</t>
  </si>
  <si>
    <t>E-SOR-R0025</t>
  </si>
  <si>
    <t>La Noria-R0025-04:20</t>
  </si>
  <si>
    <t>E-ZFM-T1-R0037</t>
  </si>
  <si>
    <t>Op MET Loma Dorada E</t>
  </si>
  <si>
    <t>Op MET Loma Dorada EZF METROPOLITANA</t>
  </si>
  <si>
    <t>ZF METROPOLITANAOp MET Loma Dorada E</t>
  </si>
  <si>
    <t>E-ZFM-R0037</t>
  </si>
  <si>
    <t>Op MET Loma Dorada E-R0037-05:00</t>
  </si>
  <si>
    <t>E-SAN-T1-R0063</t>
  </si>
  <si>
    <t>Fogata Norteña</t>
  </si>
  <si>
    <t>Fogata NorteñaSANMINA GDL</t>
  </si>
  <si>
    <t>SANMINA GDLFogata Norteña</t>
  </si>
  <si>
    <t>E-SAN-R0063</t>
  </si>
  <si>
    <t>Fogata Norteña-R0063-05:15</t>
  </si>
  <si>
    <t>E-SAN-T1-R0069</t>
  </si>
  <si>
    <t>Plutarco-R0069-05:15</t>
  </si>
  <si>
    <t>E-ZLT-T1-R0011</t>
  </si>
  <si>
    <t>Apoyo poncitlan</t>
  </si>
  <si>
    <t>Apoyo poncitlanZOLTEK GDL</t>
  </si>
  <si>
    <t>ZOLTEK GDLApoyo poncitlan</t>
  </si>
  <si>
    <t>E-ZLT-R0011</t>
  </si>
  <si>
    <t>Apoyo poncitlan-R0011-05:20</t>
  </si>
  <si>
    <t>E-ZFF-T1-R0009</t>
  </si>
  <si>
    <t>Op FOR Ex Hacienda-R0009-05:25</t>
  </si>
  <si>
    <t>E-SM4-T1-R0099</t>
  </si>
  <si>
    <t>Las Juntas-R0099-05:30</t>
  </si>
  <si>
    <t>Parques Del Triunfo-R0044-05:35</t>
  </si>
  <si>
    <t>E-ZLT-T1-R0015</t>
  </si>
  <si>
    <t>ADM Poncitlan</t>
  </si>
  <si>
    <t>ADM PoncitlanZOLTEK GDL</t>
  </si>
  <si>
    <t>ZOLTEK GDLADM Poncitlan</t>
  </si>
  <si>
    <t>E-ZLT-R0015</t>
  </si>
  <si>
    <t>ADM Poncitlan-R0015-06:30</t>
  </si>
  <si>
    <t>E-SA4-T1-R0129</t>
  </si>
  <si>
    <t>Patria 2</t>
  </si>
  <si>
    <t>Patria 2SANMINA ADM</t>
  </si>
  <si>
    <t>SANMINA ADMPatria 2</t>
  </si>
  <si>
    <t>E-SA4-R0129</t>
  </si>
  <si>
    <t>Patria 2-R0129-06:53</t>
  </si>
  <si>
    <t>E-SA4-T1-R0074</t>
  </si>
  <si>
    <t>AgavesSANMINA ADM</t>
  </si>
  <si>
    <t>SANMINA ADMAgaves</t>
  </si>
  <si>
    <t>E-SA4-R0074</t>
  </si>
  <si>
    <t>Agaves-R0074-07:30</t>
  </si>
  <si>
    <t>no_det</t>
  </si>
  <si>
    <t>E-SAN-T2-R0075</t>
  </si>
  <si>
    <t>Zalatitan-R0075-13:00</t>
  </si>
  <si>
    <t>E-SM3-T2-R0195</t>
  </si>
  <si>
    <t>Ajijic - Chapala T2 y T3</t>
  </si>
  <si>
    <t>Ajijic - Chapala T2 y T3SANMINA FORANE</t>
  </si>
  <si>
    <t>SANMINA FORANEAjijic - Chapala T2 y T3</t>
  </si>
  <si>
    <t>E-SM3-R0195</t>
  </si>
  <si>
    <t>Ajijic - Chapala T2 y T3-R0195-13:00</t>
  </si>
  <si>
    <t>E-MAS-T2-R0007</t>
  </si>
  <si>
    <t>Chulavista-R0007-13:05</t>
  </si>
  <si>
    <t>E-SM4-T2-R0090</t>
  </si>
  <si>
    <t>Carretera Santa Filomena</t>
  </si>
  <si>
    <t>Carretera Santa FilomenaSANMINA TLAJOMULCO</t>
  </si>
  <si>
    <t>SANMINA TLAJOMULCOCarretera Santa Filomena</t>
  </si>
  <si>
    <t>E-SM4-R0090</t>
  </si>
  <si>
    <t>Carretera Santa Filomena-R0090-13:10</t>
  </si>
  <si>
    <t>E-PIS-T2-R0053</t>
  </si>
  <si>
    <t>Colón-Patria</t>
  </si>
  <si>
    <t>Colón-PatriaPIS-PISA</t>
  </si>
  <si>
    <t>PIS-PISAColón-Patria</t>
  </si>
  <si>
    <t>E-PIS-R0053</t>
  </si>
  <si>
    <t>Colón-Patria-R0053-16:20</t>
  </si>
  <si>
    <t>E-PIS-T2-R0057</t>
  </si>
  <si>
    <t>Valle de los Emperadores</t>
  </si>
  <si>
    <t>Valle de los EmperadoresPIS-PISA</t>
  </si>
  <si>
    <t>PIS-PISAValle de los Emperadores</t>
  </si>
  <si>
    <t>E-PIS-R0057</t>
  </si>
  <si>
    <t>Valle de los Emperadores-R0057-17:10</t>
  </si>
  <si>
    <t>E-PEM-T3-R0013</t>
  </si>
  <si>
    <t>Mixing Santa Fe-R0013-19:50</t>
  </si>
  <si>
    <t>E-HLL-T3-R0045</t>
  </si>
  <si>
    <t>Casa De Teja-R0045-20:45</t>
  </si>
  <si>
    <t>E-HLL-T3-R0057</t>
  </si>
  <si>
    <t>Capilla-R0057-20:45</t>
  </si>
  <si>
    <t>E-SAN-T3-R0060</t>
  </si>
  <si>
    <t>Arquitectura-R0060-20:50</t>
  </si>
  <si>
    <t>E-SK1-T3-R0042</t>
  </si>
  <si>
    <t>Tonala T1 y T3</t>
  </si>
  <si>
    <t>Tonala T1 y T3SANMINA KAMPUS 16</t>
  </si>
  <si>
    <t>SANMINA KAMPUS 16Tonala T1 y T3</t>
  </si>
  <si>
    <t>E-SK1-R0042</t>
  </si>
  <si>
    <t>Tonala T1 y T3-R0042-20:50</t>
  </si>
  <si>
    <t>E-HER-T3-R0009</t>
  </si>
  <si>
    <t>Sabinos</t>
  </si>
  <si>
    <t>SabinosHERSHEYS</t>
  </si>
  <si>
    <t>HERSHEYSSabinos</t>
  </si>
  <si>
    <t>E-HER-R0009</t>
  </si>
  <si>
    <t>Sabinos-R0009-20:59</t>
  </si>
  <si>
    <t>E-SM4-T3-R0082</t>
  </si>
  <si>
    <t>Balcones de Santa Maria-R0082-21:00</t>
  </si>
  <si>
    <t>E-SM4-T3-R0227</t>
  </si>
  <si>
    <t>Lomas del Sur-R0227-21:05</t>
  </si>
  <si>
    <t>E-FOX-T3-R0059</t>
  </si>
  <si>
    <t>Las Pintitas</t>
  </si>
  <si>
    <t>Las PintitasFOXCONN</t>
  </si>
  <si>
    <t>FOXCONNLas Pintitas</t>
  </si>
  <si>
    <t>E-FOX-R0059</t>
  </si>
  <si>
    <t>Las Pintitas-R0059-21:20</t>
  </si>
  <si>
    <t>E-FOX-T3-R0056</t>
  </si>
  <si>
    <t>Lomas Del Salto-R0056-21:21</t>
  </si>
  <si>
    <t>E-FOX-T3-R0258</t>
  </si>
  <si>
    <t>Apoyo Las Villas-R0258-21:22</t>
  </si>
  <si>
    <t>E-SM3-T3-R0232</t>
  </si>
  <si>
    <t>San Jose del 15 T2 y T3</t>
  </si>
  <si>
    <t>San Jose del 15 T2 y T3SANMINA FORANE</t>
  </si>
  <si>
    <t>SANMINA FORANESan Jose del 15 T2 y T3</t>
  </si>
  <si>
    <t>E-SM3-R0232</t>
  </si>
  <si>
    <t>San Jose del 15 T2 y T3-R0232-21:25</t>
  </si>
  <si>
    <t>E-ZLT-T1-R0009</t>
  </si>
  <si>
    <t>Poncitlan</t>
  </si>
  <si>
    <t>PoncitlanZOLTEK GDL</t>
  </si>
  <si>
    <t>ZOLTEK GDLPoncitlan</t>
  </si>
  <si>
    <t>E-ZLT-R0009</t>
  </si>
  <si>
    <t>Poncitlan-R0009-04:42</t>
  </si>
  <si>
    <t>E-SIG-T1-R0002</t>
  </si>
  <si>
    <t>Oblatos-R0002-04:45</t>
  </si>
  <si>
    <t>E-SAN-T1-R0077</t>
  </si>
  <si>
    <t>Zapopan T1</t>
  </si>
  <si>
    <t>Zapopan T1SANMINA GDL</t>
  </si>
  <si>
    <t>SANMINA GDLZapopan T1</t>
  </si>
  <si>
    <t>E-SAN-R0077</t>
  </si>
  <si>
    <t>Zapopan T1-R0077-04:50</t>
  </si>
  <si>
    <t>Tonala-R0007-04:50</t>
  </si>
  <si>
    <t>E-SK1-T1-R0017</t>
  </si>
  <si>
    <t>Chulavista Valle Dorado T1</t>
  </si>
  <si>
    <t>Chulavista Valle Dorado T1SANMINA KAMPUS 16</t>
  </si>
  <si>
    <t>SANMINA KAMPUS 16Chulavista Valle Dorado T1</t>
  </si>
  <si>
    <t>E-SK1-R0017</t>
  </si>
  <si>
    <t>Chulavista Valle Dorado T1-R0017-05:07</t>
  </si>
  <si>
    <t>E-SA4-T1-R0135</t>
  </si>
  <si>
    <t>Tabachines 1</t>
  </si>
  <si>
    <t>Tabachines 1SANMINA ADM</t>
  </si>
  <si>
    <t>SANMINA ADMTabachines 1</t>
  </si>
  <si>
    <t>E-SA4-R0135</t>
  </si>
  <si>
    <t>Tabachines 1-R0135-06:30</t>
  </si>
  <si>
    <t>E-SA4-T1-R0085</t>
  </si>
  <si>
    <t>El Salto 1</t>
  </si>
  <si>
    <t>El Salto 1SANMINA ADM</t>
  </si>
  <si>
    <t>SANMINA ADMEl Salto 1</t>
  </si>
  <si>
    <t>E-SA4-R0085</t>
  </si>
  <si>
    <t>El Salto 1-R0085-07:00</t>
  </si>
  <si>
    <t>E-SA4-T1-R0089</t>
  </si>
  <si>
    <t>Guadalupe</t>
  </si>
  <si>
    <t>GuadalupeSANMINA ADM</t>
  </si>
  <si>
    <t>SANMINA ADMGuadalupe</t>
  </si>
  <si>
    <t>E-SA4-R0089</t>
  </si>
  <si>
    <t>Guadalupe-R0089-07:00</t>
  </si>
  <si>
    <t>E-SA4-T1-R0090</t>
  </si>
  <si>
    <t>Periferico</t>
  </si>
  <si>
    <t>PerifericoSANMINA ADM</t>
  </si>
  <si>
    <t>SANMINA ADMPeriferico</t>
  </si>
  <si>
    <t>E-SA4-R0090</t>
  </si>
  <si>
    <t>Periferico-R0090-07:10</t>
  </si>
  <si>
    <t>E-IFA-T2-R0015</t>
  </si>
  <si>
    <t>Centro Sur T2</t>
  </si>
  <si>
    <t>Centro Sur T2GRUPO IFACO GDL</t>
  </si>
  <si>
    <t>David C.</t>
  </si>
  <si>
    <t>GRUPO IFACO GDLCentro Sur T2</t>
  </si>
  <si>
    <t>E-IFA-R0015</t>
  </si>
  <si>
    <t>Centro Sur T2-R0015-09:10</t>
  </si>
  <si>
    <t>E-FOX-T2-R0065</t>
  </si>
  <si>
    <t>Villas de la HaciendaFOXCONN</t>
  </si>
  <si>
    <t>FOXCONNVillas de la Hacienda</t>
  </si>
  <si>
    <t>E-FOX-R0065</t>
  </si>
  <si>
    <t>Villas de la Hacienda-R0065-13:30</t>
  </si>
  <si>
    <t>E-SM4-T2-R0086</t>
  </si>
  <si>
    <t>Cantaros 1-R0086-13:40</t>
  </si>
  <si>
    <t>E-FOX-T2-R0110</t>
  </si>
  <si>
    <t>Lilas-Azucena-R0110-13:40</t>
  </si>
  <si>
    <t>E-PI4-T3-R0005</t>
  </si>
  <si>
    <t>Puente Viejo El Salto PIT4</t>
  </si>
  <si>
    <t>HELLA PIT4</t>
  </si>
  <si>
    <t>Puente Viejo El Salto PIT4HELLA PIT4</t>
  </si>
  <si>
    <t>HELLA PIT4Puente Viejo El Salto PIT4</t>
  </si>
  <si>
    <t>E-PI4-R0005</t>
  </si>
  <si>
    <t>Puente Viejo El Salto PIT4-R0005-20:45</t>
  </si>
  <si>
    <t>E-HER-T3-R0005</t>
  </si>
  <si>
    <t>Mariano OteroHERSHEYS</t>
  </si>
  <si>
    <t>HERSHEYSMariano Otero</t>
  </si>
  <si>
    <t>E-HER-R0005</t>
  </si>
  <si>
    <t>Mariano Otero-R0005-20:50</t>
  </si>
  <si>
    <t>E-FOX-T3-R0116</t>
  </si>
  <si>
    <t>Camichines</t>
  </si>
  <si>
    <t>CamichinesFOXCONN</t>
  </si>
  <si>
    <t>FOXCONNCamichines</t>
  </si>
  <si>
    <t>E-FOX-R0116</t>
  </si>
  <si>
    <t>Camichines-R0116-21:17</t>
  </si>
  <si>
    <t>E-FOX-T3-R0226</t>
  </si>
  <si>
    <t>3A Agua Blanca</t>
  </si>
  <si>
    <t>3A Agua BlancaFOXCONN</t>
  </si>
  <si>
    <t>FOXCONN3A Agua Blanca</t>
  </si>
  <si>
    <t>E-FOX-R0226</t>
  </si>
  <si>
    <t>3A Agua Blanca-R0226-21:17</t>
  </si>
  <si>
    <t>E-FOX-T3-R0199</t>
  </si>
  <si>
    <t>3A Quintas del Valle</t>
  </si>
  <si>
    <t>3A Quintas del ValleFOXCONN</t>
  </si>
  <si>
    <t>FOXCONN3A Quintas del Valle</t>
  </si>
  <si>
    <t>E-FOX-R0199</t>
  </si>
  <si>
    <t>3A Quintas del Valle-R0199-21:30</t>
  </si>
  <si>
    <t>E-FOX-T3-R0131</t>
  </si>
  <si>
    <t>San Pedrito</t>
  </si>
  <si>
    <t>San PedritoFOXCONN</t>
  </si>
  <si>
    <t>FOXCONNSan Pedrito</t>
  </si>
  <si>
    <t>E-FOX-R0131</t>
  </si>
  <si>
    <t>San Pedrito-R0131-21:32</t>
  </si>
  <si>
    <t>E-MOL-T1-R0030</t>
  </si>
  <si>
    <t>ADM Ciudad Guzmán</t>
  </si>
  <si>
    <t>ADM Ciudad GuzmánMOLEX</t>
  </si>
  <si>
    <t>MOLEXADM Ciudad Guzmán</t>
  </si>
  <si>
    <t>E-MOL-R0030</t>
  </si>
  <si>
    <t>ADM Ciudad Guzmán-R0030-05:30</t>
  </si>
  <si>
    <t>E-PEP-T1-R0018</t>
  </si>
  <si>
    <t>Moctezuma Miramar 2-R0018-05:40</t>
  </si>
  <si>
    <t>E-SK1-T1-R0005</t>
  </si>
  <si>
    <t>ADM Santa Fe</t>
  </si>
  <si>
    <t>ADM Santa FeSANMINA KAMPUS 16</t>
  </si>
  <si>
    <t>SANMINA KAMPUS 16ADM Santa Fe</t>
  </si>
  <si>
    <t>E-SK1-R0005</t>
  </si>
  <si>
    <t>ADM Santa Fe-R0005-06:45</t>
  </si>
  <si>
    <t>E-HLL-T2-R0039</t>
  </si>
  <si>
    <t>Mezcala-R0039-12:30</t>
  </si>
  <si>
    <t>Zalatitan T2-R0046-13:00</t>
  </si>
  <si>
    <t>E-SAN-T2-R0070</t>
  </si>
  <si>
    <t>San PedritoSANMINA GDL</t>
  </si>
  <si>
    <t>SANMINA GDLSan Pedrito</t>
  </si>
  <si>
    <t>E-SAN-R0070</t>
  </si>
  <si>
    <t>San Pedrito-R0070-13:10</t>
  </si>
  <si>
    <t>E-FOX-T2-R0032</t>
  </si>
  <si>
    <t>Lomas del SurFOXCONN</t>
  </si>
  <si>
    <t>FOXCONNLomas del Sur</t>
  </si>
  <si>
    <t>E-FOX-R0032</t>
  </si>
  <si>
    <t>Lomas del Sur-R0032-13:19</t>
  </si>
  <si>
    <t>E-SM3-T2-R0094</t>
  </si>
  <si>
    <t>Juanacatlán.</t>
  </si>
  <si>
    <t>Juanacatlán.SANMINA FORANE</t>
  </si>
  <si>
    <t>SANMINA FORANEJuanacatlán.</t>
  </si>
  <si>
    <t>E-SM3-R0094</t>
  </si>
  <si>
    <t>Juanacatlán.-R0094-13:26</t>
  </si>
  <si>
    <t>E-MOL-T2-R0024</t>
  </si>
  <si>
    <t>Tetlán-R0024-16:15</t>
  </si>
  <si>
    <t>Moctezuma Loma Dorada-R0005-20:00</t>
  </si>
  <si>
    <t>E-HER-T3-R0015</t>
  </si>
  <si>
    <t>Santa Fe-R0015-20:29</t>
  </si>
  <si>
    <t>E-DIA-T3-R0001</t>
  </si>
  <si>
    <t>Atotonilco-Nueva Destileria</t>
  </si>
  <si>
    <t>Atotonilco-Nueva DestileriaDIAGEO GDL</t>
  </si>
  <si>
    <t>DIAGEO GDLAtotonilco-Nueva Destileria</t>
  </si>
  <si>
    <t>E-DIA-R0001</t>
  </si>
  <si>
    <t>Atotonilco-Nueva Destileria-R0001-20:53</t>
  </si>
  <si>
    <t>E-SM4-T3-R0109</t>
  </si>
  <si>
    <t>San Sebastian 1 T2 y T3-R0109-21:05</t>
  </si>
  <si>
    <t>E-FOX-T3-R0065</t>
  </si>
  <si>
    <t>Villas de la Hacienda-R0065-21:10</t>
  </si>
  <si>
    <t>E-SM3-T3-R0221</t>
  </si>
  <si>
    <t>El Mirador-R0221-21:20</t>
  </si>
  <si>
    <t>E-SK1-T3-R0021</t>
  </si>
  <si>
    <t>Fovissste-R0021-21:22</t>
  </si>
  <si>
    <t>E-ZFF-T3-R0009</t>
  </si>
  <si>
    <t>Op FOR Ex Hacienda-R0009-21:25</t>
  </si>
  <si>
    <t>E-FOX-T3-R0096</t>
  </si>
  <si>
    <t>Patria-R0096-21:25</t>
  </si>
  <si>
    <t>E-SM4-T3-R0099</t>
  </si>
  <si>
    <t>Las Juntas-R0099-21:31</t>
  </si>
  <si>
    <t>semana 36</t>
  </si>
  <si>
    <t>semana 35 y 36</t>
  </si>
  <si>
    <t>semana 37</t>
  </si>
  <si>
    <t>semana 32</t>
  </si>
  <si>
    <t>semana 35</t>
  </si>
  <si>
    <t>semana 35 y 26</t>
  </si>
  <si>
    <t>S38</t>
  </si>
  <si>
    <t>ALMARAZ AVALOS FRACISCO JAVIER</t>
  </si>
  <si>
    <t>HIPOLITO MORALES JESUS</t>
  </si>
  <si>
    <t>ARIAS GUZMAN JUAN GILBERTO</t>
  </si>
  <si>
    <t>LIÑAN FORTUNA RAFAEL</t>
  </si>
  <si>
    <t>HERNANDEZ TORRES MARCOS</t>
  </si>
  <si>
    <t>ALARCON SANCHEZ FELIPE DE JESUS</t>
  </si>
  <si>
    <t>KACHUA DE LA CRUZ JOSE LUIS</t>
  </si>
  <si>
    <t>RAMOS GONZALEZ JORGE HUMBERTO</t>
  </si>
  <si>
    <t>HERNANDEZ BUENO PORFIRIO FIDEL</t>
  </si>
  <si>
    <t>RAZO RODRIGUEZ JONATHAN ADRIAN</t>
  </si>
  <si>
    <t>A.GARCIA AZUARA MARTIN</t>
  </si>
  <si>
    <t>NAVARRO GONZALEZ MICHEL ARON</t>
  </si>
  <si>
    <t>C.MIRAMONTES MARTINEZ DAVID</t>
  </si>
  <si>
    <t>P.NAVARRO GARCIA JOSE EMMANUEL</t>
  </si>
  <si>
    <t>P.SANCHEZ PULDO RAMIRO</t>
  </si>
  <si>
    <t>P.LIRA ALVIZO JUAN RAMON</t>
  </si>
  <si>
    <t>VILLASENOR VARGAS HUGO USIEL</t>
  </si>
  <si>
    <t>P.CONTRERAS LOZA DAVID WILBERTO</t>
  </si>
  <si>
    <t>P.GARCA GOMEZ EDWIN MANUEL</t>
  </si>
  <si>
    <t>LINAN FORTUNA RAFEL</t>
  </si>
  <si>
    <t>P.HERNANDEZ JERONIMO MIGUEL</t>
  </si>
  <si>
    <t>HARO GONZALEZ JUAN CARLOS.</t>
  </si>
  <si>
    <t>P.GOMEZ ANDRADE GUSTAVO</t>
  </si>
  <si>
    <t>P.MEDINA CABALLO JOSE GUILLERMO</t>
  </si>
  <si>
    <t>PERCEPCIONES</t>
  </si>
  <si>
    <t>VIAJES ADICIONA2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</si>
</sst>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\-#,##0.00\ "/>
    <numFmt numFmtId="165" formatCode="0.0"/>
  </numFmts>
  <fonts count="57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Arial Narrow"/>
      <family val="2"/>
    </font>
    <font>
      <b/>
      <sz val="18"/>
      <color theme="3"/>
      <name val="Calibri Light"/>
      <family val="2"/>
      <scheme val="major"/>
    </font>
    <font>
      <b/>
      <sz val="11"/>
      <color indexed="52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color theme="1"/>
      <name val="Ebrima"/>
      <family val="2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2"/>
      <color theme="1" tint="0.14999847407452621"/>
      <name val="Calibri"/>
      <family val="2"/>
      <scheme val="minor"/>
    </font>
    <font>
      <b/>
      <sz val="12"/>
      <color theme="1"/>
      <name val="Amasis MT Pro Light"/>
      <family val="1"/>
    </font>
    <font>
      <b/>
      <i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Amasis MT Pro Light"/>
      <family val="1"/>
    </font>
    <font>
      <b/>
      <sz val="14"/>
      <color theme="0"/>
      <name val="Calibri"/>
      <family val="2"/>
      <scheme val="minor"/>
    </font>
    <font>
      <b/>
      <sz val="11"/>
      <color theme="0"/>
      <name val="Arial"/>
      <family val="2"/>
    </font>
    <font>
      <sz val="18"/>
      <color theme="0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Amasis MT Pro Light"/>
      <family val="1"/>
    </font>
    <font>
      <sz val="12"/>
      <color theme="1"/>
      <name val="Segoe UI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6"/>
      <color indexed="8"/>
      <name val="Arial"/>
      <family val="2"/>
    </font>
    <font>
      <sz val="11"/>
      <color indexed="8"/>
      <name val="Arial"/>
      <family val="2"/>
    </font>
    <font>
      <b/>
      <sz val="16"/>
      <name val="Calibri"/>
      <family val="2"/>
      <scheme val="minor"/>
    </font>
    <font>
      <b/>
      <u/>
      <sz val="9"/>
      <color theme="9" tint="-0.499984740745262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44546A"/>
        <bgColor rgb="FF44546A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03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12" fillId="0" borderId="0" applyFill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13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8" fillId="13" borderId="1" applyNumberFormat="0" applyAlignment="0" applyProtection="0"/>
    <xf numFmtId="0" fontId="8" fillId="1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2" fillId="0" borderId="0" applyFill="0"/>
    <xf numFmtId="0" fontId="12" fillId="0" borderId="0" applyFill="0"/>
    <xf numFmtId="0" fontId="19" fillId="0" borderId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" fillId="0" borderId="0"/>
    <xf numFmtId="0" fontId="12" fillId="0" borderId="0" applyFill="0"/>
    <xf numFmtId="0" fontId="12" fillId="0" borderId="0" applyFill="0"/>
    <xf numFmtId="0" fontId="1" fillId="0" borderId="0"/>
    <xf numFmtId="0" fontId="2" fillId="0" borderId="0"/>
    <xf numFmtId="0" fontId="12" fillId="0" borderId="0" applyFill="0"/>
    <xf numFmtId="0" fontId="12" fillId="0" borderId="0" applyFill="0"/>
    <xf numFmtId="0" fontId="1" fillId="0" borderId="0"/>
    <xf numFmtId="0" fontId="12" fillId="0" borderId="0" applyFill="0"/>
    <xf numFmtId="0" fontId="1" fillId="0" borderId="0"/>
    <xf numFmtId="0" fontId="12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0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24" fillId="0" borderId="0"/>
    <xf numFmtId="0" fontId="1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2" fillId="0" borderId="0" applyFill="0"/>
  </cellStyleXfs>
  <cellXfs count="204">
    <xf numFmtId="0" fontId="0" fillId="0" borderId="0" xfId="0"/>
    <xf numFmtId="0" fontId="0" fillId="31" borderId="0" xfId="0" applyFill="1"/>
    <xf numFmtId="44" fontId="29" fillId="31" borderId="0" xfId="301" applyFont="1" applyFill="1"/>
    <xf numFmtId="0" fontId="0" fillId="31" borderId="13" xfId="0" applyFill="1" applyBorder="1" applyAlignment="1">
      <alignment vertical="center"/>
    </xf>
    <xf numFmtId="0" fontId="0" fillId="31" borderId="17" xfId="0" applyFill="1" applyBorder="1"/>
    <xf numFmtId="0" fontId="0" fillId="31" borderId="20" xfId="0" applyFill="1" applyBorder="1" applyAlignment="1">
      <alignment vertical="center"/>
    </xf>
    <xf numFmtId="0" fontId="0" fillId="31" borderId="0" xfId="0" applyFill="1" applyAlignment="1">
      <alignment vertical="center"/>
    </xf>
    <xf numFmtId="0" fontId="0" fillId="30" borderId="13" xfId="0" applyFill="1" applyBorder="1"/>
    <xf numFmtId="0" fontId="0" fillId="30" borderId="17" xfId="0" applyFill="1" applyBorder="1"/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5" fillId="32" borderId="12" xfId="0" applyFont="1" applyFill="1" applyBorder="1" applyAlignment="1">
      <alignment horizontal="center" vertical="center"/>
    </xf>
    <xf numFmtId="0" fontId="25" fillId="32" borderId="31" xfId="0" applyFont="1" applyFill="1" applyBorder="1" applyAlignment="1">
      <alignment horizontal="center" vertical="center"/>
    </xf>
    <xf numFmtId="0" fontId="25" fillId="32" borderId="14" xfId="0" applyFont="1" applyFill="1" applyBorder="1" applyAlignment="1">
      <alignment horizontal="center" vertical="center"/>
    </xf>
    <xf numFmtId="0" fontId="0" fillId="31" borderId="0" xfId="0" applyFill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30" borderId="0" xfId="0" applyFont="1" applyFill="1" applyAlignment="1">
      <alignment horizontal="center" vertical="center" wrapText="1"/>
    </xf>
    <xf numFmtId="44" fontId="33" fillId="33" borderId="37" xfId="301" applyFont="1" applyFill="1" applyBorder="1" applyAlignment="1">
      <alignment horizontal="center" vertical="center"/>
    </xf>
    <xf numFmtId="44" fontId="33" fillId="33" borderId="38" xfId="301" applyFont="1" applyFill="1" applyBorder="1" applyAlignment="1">
      <alignment horizontal="center" vertical="center"/>
    </xf>
    <xf numFmtId="44" fontId="33" fillId="33" borderId="39" xfId="301" applyFont="1" applyFill="1" applyBorder="1" applyAlignment="1">
      <alignment horizontal="center" vertical="center" wrapText="1"/>
    </xf>
    <xf numFmtId="44" fontId="34" fillId="0" borderId="0" xfId="30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44" fontId="35" fillId="0" borderId="0" xfId="301" applyFont="1" applyBorder="1" applyAlignment="1">
      <alignment horizontal="center"/>
    </xf>
    <xf numFmtId="0" fontId="34" fillId="34" borderId="0" xfId="0" applyFont="1" applyFill="1" applyAlignment="1">
      <alignment horizontal="center"/>
    </xf>
    <xf numFmtId="0" fontId="10" fillId="34" borderId="0" xfId="0" applyFont="1" applyFill="1" applyAlignment="1">
      <alignment horizontal="center" vertical="center"/>
    </xf>
    <xf numFmtId="0" fontId="36" fillId="32" borderId="20" xfId="0" applyFont="1" applyFill="1" applyBorder="1" applyAlignment="1">
      <alignment horizontal="center" vertical="center" wrapText="1"/>
    </xf>
    <xf numFmtId="40" fontId="36" fillId="32" borderId="20" xfId="0" applyNumberFormat="1" applyFont="1" applyFill="1" applyBorder="1" applyAlignment="1">
      <alignment horizontal="center" vertical="center" wrapText="1"/>
    </xf>
    <xf numFmtId="40" fontId="28" fillId="32" borderId="40" xfId="0" applyNumberFormat="1" applyFont="1" applyFill="1" applyBorder="1" applyAlignment="1">
      <alignment horizontal="center" vertical="center" wrapText="1"/>
    </xf>
    <xf numFmtId="40" fontId="37" fillId="32" borderId="20" xfId="0" applyNumberFormat="1" applyFont="1" applyFill="1" applyBorder="1" applyAlignment="1">
      <alignment horizontal="center" vertical="center" wrapText="1"/>
    </xf>
    <xf numFmtId="14" fontId="38" fillId="32" borderId="40" xfId="0" applyNumberFormat="1" applyFont="1" applyFill="1" applyBorder="1" applyAlignment="1">
      <alignment horizontal="center" vertical="center" wrapText="1"/>
    </xf>
    <xf numFmtId="40" fontId="25" fillId="32" borderId="41" xfId="0" applyNumberFormat="1" applyFont="1" applyFill="1" applyBorder="1" applyAlignment="1">
      <alignment horizontal="center" vertical="center" wrapText="1"/>
    </xf>
    <xf numFmtId="40" fontId="28" fillId="32" borderId="0" xfId="0" applyNumberFormat="1" applyFont="1" applyFill="1" applyAlignment="1">
      <alignment horizontal="center" vertical="center" wrapText="1"/>
    </xf>
    <xf numFmtId="0" fontId="39" fillId="35" borderId="0" xfId="0" applyFont="1" applyFill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 wrapText="1"/>
    </xf>
    <xf numFmtId="1" fontId="43" fillId="0" borderId="13" xfId="0" applyNumberFormat="1" applyFont="1" applyBorder="1" applyAlignment="1">
      <alignment horizontal="center" vertical="center" wrapText="1"/>
    </xf>
    <xf numFmtId="0" fontId="43" fillId="36" borderId="13" xfId="0" applyFont="1" applyFill="1" applyBorder="1" applyAlignment="1">
      <alignment horizontal="center"/>
    </xf>
    <xf numFmtId="44" fontId="44" fillId="0" borderId="13" xfId="0" applyNumberFormat="1" applyFont="1" applyBorder="1" applyAlignment="1">
      <alignment horizontal="center"/>
    </xf>
    <xf numFmtId="0" fontId="0" fillId="30" borderId="0" xfId="0" applyFill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 wrapText="1"/>
    </xf>
    <xf numFmtId="0" fontId="45" fillId="0" borderId="13" xfId="302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0" fontId="19" fillId="31" borderId="0" xfId="0" applyFont="1" applyFill="1" applyAlignment="1">
      <alignment horizontal="center" vertical="center"/>
    </xf>
    <xf numFmtId="0" fontId="32" fillId="31" borderId="0" xfId="0" applyFont="1" applyFill="1" applyAlignment="1">
      <alignment horizontal="center" vertical="center"/>
    </xf>
    <xf numFmtId="0" fontId="34" fillId="31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8" fillId="32" borderId="0" xfId="0" applyNumberFormat="1" applyFont="1" applyFill="1" applyAlignment="1">
      <alignment horizontal="center" vertical="center" wrapText="1"/>
    </xf>
    <xf numFmtId="164" fontId="44" fillId="0" borderId="13" xfId="0" applyNumberFormat="1" applyFont="1" applyBorder="1" applyAlignment="1">
      <alignment horizontal="center"/>
    </xf>
    <xf numFmtId="44" fontId="0" fillId="0" borderId="13" xfId="0" applyNumberFormat="1" applyBorder="1"/>
    <xf numFmtId="1" fontId="0" fillId="0" borderId="13" xfId="0" applyNumberFormat="1" applyBorder="1" applyAlignment="1">
      <alignment horizontal="center" vertical="center"/>
    </xf>
    <xf numFmtId="44" fontId="0" fillId="0" borderId="0" xfId="0" applyNumberFormat="1"/>
    <xf numFmtId="0" fontId="0" fillId="30" borderId="45" xfId="0" applyFill="1" applyBorder="1" applyAlignment="1">
      <alignment horizontal="center" vertical="center"/>
    </xf>
    <xf numFmtId="0" fontId="49" fillId="30" borderId="18" xfId="0" applyFont="1" applyFill="1" applyBorder="1" applyAlignment="1">
      <alignment horizontal="center" vertical="center"/>
    </xf>
    <xf numFmtId="0" fontId="49" fillId="30" borderId="21" xfId="0" applyFont="1" applyFill="1" applyBorder="1" applyAlignment="1">
      <alignment horizontal="center" vertical="center"/>
    </xf>
    <xf numFmtId="0" fontId="49" fillId="30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4" fontId="26" fillId="39" borderId="25" xfId="301" applyFont="1" applyFill="1" applyBorder="1" applyAlignment="1">
      <alignment horizontal="right" vertical="center"/>
    </xf>
    <xf numFmtId="0" fontId="49" fillId="30" borderId="46" xfId="0" applyFont="1" applyFill="1" applyBorder="1" applyAlignment="1">
      <alignment horizontal="center" vertical="center"/>
    </xf>
    <xf numFmtId="0" fontId="49" fillId="31" borderId="0" xfId="0" applyFont="1" applyFill="1"/>
    <xf numFmtId="0" fontId="49" fillId="30" borderId="47" xfId="0" applyFont="1" applyFill="1" applyBorder="1" applyAlignment="1">
      <alignment horizontal="center"/>
    </xf>
    <xf numFmtId="44" fontId="26" fillId="31" borderId="0" xfId="301" applyFont="1" applyFill="1"/>
    <xf numFmtId="4" fontId="50" fillId="38" borderId="29" xfId="0" applyNumberFormat="1" applyFont="1" applyFill="1" applyBorder="1" applyAlignment="1">
      <alignment horizontal="left" vertical="center"/>
    </xf>
    <xf numFmtId="44" fontId="26" fillId="39" borderId="23" xfId="301" applyFont="1" applyFill="1" applyBorder="1" applyAlignment="1">
      <alignment horizontal="right" vertical="center"/>
    </xf>
    <xf numFmtId="0" fontId="49" fillId="30" borderId="50" xfId="0" applyFont="1" applyFill="1" applyBorder="1" applyAlignment="1">
      <alignment horizontal="center" vertical="center"/>
    </xf>
    <xf numFmtId="44" fontId="26" fillId="39" borderId="33" xfId="301" applyFont="1" applyFill="1" applyBorder="1" applyAlignment="1">
      <alignment horizontal="right" vertical="center"/>
    </xf>
    <xf numFmtId="2" fontId="26" fillId="39" borderId="23" xfId="301" applyNumberFormat="1" applyFont="1" applyFill="1" applyBorder="1" applyAlignment="1">
      <alignment horizontal="right" vertical="center"/>
    </xf>
    <xf numFmtId="2" fontId="26" fillId="39" borderId="33" xfId="301" applyNumberFormat="1" applyFont="1" applyFill="1" applyBorder="1" applyAlignment="1">
      <alignment horizontal="right" vertical="center"/>
    </xf>
    <xf numFmtId="0" fontId="49" fillId="33" borderId="0" xfId="0" applyFont="1" applyFill="1"/>
    <xf numFmtId="0" fontId="0" fillId="33" borderId="0" xfId="0" applyFill="1"/>
    <xf numFmtId="44" fontId="0" fillId="33" borderId="0" xfId="0" applyNumberFormat="1" applyFill="1"/>
    <xf numFmtId="0" fontId="49" fillId="30" borderId="51" xfId="0" applyFont="1" applyFill="1" applyBorder="1" applyAlignment="1">
      <alignment horizontal="center" vertical="center"/>
    </xf>
    <xf numFmtId="44" fontId="26" fillId="33" borderId="0" xfId="301" applyFont="1" applyFill="1" applyBorder="1" applyAlignment="1">
      <alignment horizontal="right" vertical="center"/>
    </xf>
    <xf numFmtId="0" fontId="49" fillId="30" borderId="25" xfId="0" applyFont="1" applyFill="1" applyBorder="1" applyAlignment="1">
      <alignment horizontal="center" vertical="center"/>
    </xf>
    <xf numFmtId="0" fontId="49" fillId="30" borderId="26" xfId="0" applyFont="1" applyFill="1" applyBorder="1" applyAlignment="1">
      <alignment horizontal="center" vertical="center"/>
    </xf>
    <xf numFmtId="44" fontId="26" fillId="39" borderId="14" xfId="301" applyFont="1" applyFill="1" applyBorder="1" applyAlignment="1">
      <alignment horizontal="right" vertical="center"/>
    </xf>
    <xf numFmtId="44" fontId="26" fillId="39" borderId="16" xfId="301" applyFont="1" applyFill="1" applyBorder="1" applyAlignment="1">
      <alignment horizontal="right" vertical="center"/>
    </xf>
    <xf numFmtId="44" fontId="26" fillId="39" borderId="39" xfId="301" applyFont="1" applyFill="1" applyBorder="1" applyAlignment="1">
      <alignment horizontal="right" vertical="center"/>
    </xf>
    <xf numFmtId="0" fontId="49" fillId="30" borderId="49" xfId="0" applyFont="1" applyFill="1" applyBorder="1" applyAlignment="1">
      <alignment horizontal="center" vertical="center"/>
    </xf>
    <xf numFmtId="0" fontId="26" fillId="33" borderId="0" xfId="301" applyNumberFormat="1" applyFont="1" applyFill="1" applyBorder="1" applyAlignment="1">
      <alignment horizontal="right" vertical="center"/>
    </xf>
    <xf numFmtId="0" fontId="49" fillId="33" borderId="0" xfId="0" applyFont="1" applyFill="1" applyAlignment="1">
      <alignment horizontal="center" vertical="center"/>
    </xf>
    <xf numFmtId="0" fontId="49" fillId="39" borderId="22" xfId="0" applyFont="1" applyFill="1" applyBorder="1" applyAlignment="1">
      <alignment vertical="center"/>
    </xf>
    <xf numFmtId="0" fontId="49" fillId="39" borderId="28" xfId="0" applyFont="1" applyFill="1" applyBorder="1" applyAlignment="1">
      <alignment vertical="center"/>
    </xf>
    <xf numFmtId="0" fontId="49" fillId="39" borderId="32" xfId="0" applyFont="1" applyFill="1" applyBorder="1" applyAlignment="1">
      <alignment vertical="center"/>
    </xf>
    <xf numFmtId="0" fontId="0" fillId="31" borderId="24" xfId="0" applyFill="1" applyBorder="1" applyAlignment="1">
      <alignment vertical="center"/>
    </xf>
    <xf numFmtId="0" fontId="0" fillId="31" borderId="48" xfId="0" applyFill="1" applyBorder="1" applyAlignment="1">
      <alignment vertical="center"/>
    </xf>
    <xf numFmtId="0" fontId="0" fillId="31" borderId="27" xfId="0" applyFill="1" applyBorder="1" applyAlignment="1">
      <alignment vertical="center"/>
    </xf>
    <xf numFmtId="0" fontId="49" fillId="33" borderId="0" xfId="0" applyFont="1" applyFill="1" applyAlignment="1">
      <alignment horizontal="left" vertical="center"/>
    </xf>
    <xf numFmtId="0" fontId="49" fillId="31" borderId="0" xfId="0" applyFont="1" applyFill="1" applyAlignment="1">
      <alignment vertical="center"/>
    </xf>
    <xf numFmtId="44" fontId="27" fillId="39" borderId="44" xfId="301" applyFont="1" applyFill="1" applyBorder="1" applyAlignment="1">
      <alignment horizontal="right" vertical="center"/>
    </xf>
    <xf numFmtId="44" fontId="27" fillId="39" borderId="30" xfId="301" applyFont="1" applyFill="1" applyBorder="1" applyAlignment="1">
      <alignment vertical="center"/>
    </xf>
    <xf numFmtId="165" fontId="26" fillId="39" borderId="33" xfId="301" applyNumberFormat="1" applyFont="1" applyFill="1" applyBorder="1" applyAlignment="1">
      <alignment horizontal="right" vertical="center"/>
    </xf>
    <xf numFmtId="44" fontId="26" fillId="40" borderId="16" xfId="301" applyFont="1" applyFill="1" applyBorder="1" applyAlignment="1">
      <alignment horizontal="right" vertical="center"/>
    </xf>
    <xf numFmtId="44" fontId="26" fillId="40" borderId="25" xfId="301" applyFont="1" applyFill="1" applyBorder="1" applyAlignment="1">
      <alignment horizontal="right" vertical="center"/>
    </xf>
    <xf numFmtId="0" fontId="0" fillId="30" borderId="0" xfId="0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40" fillId="41" borderId="13" xfId="0" applyFont="1" applyFill="1" applyBorder="1" applyAlignment="1">
      <alignment horizontal="center" vertical="center"/>
    </xf>
    <xf numFmtId="0" fontId="41" fillId="41" borderId="13" xfId="0" applyFont="1" applyFill="1" applyBorder="1" applyAlignment="1">
      <alignment horizontal="center" vertical="center"/>
    </xf>
    <xf numFmtId="0" fontId="30" fillId="41" borderId="13" xfId="0" applyFont="1" applyFill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44" fontId="44" fillId="0" borderId="0" xfId="0" applyNumberFormat="1" applyFont="1" applyAlignment="1">
      <alignment horizontal="center"/>
    </xf>
    <xf numFmtId="0" fontId="40" fillId="42" borderId="13" xfId="0" applyFont="1" applyFill="1" applyBorder="1" applyAlignment="1">
      <alignment horizontal="center" vertical="center"/>
    </xf>
    <xf numFmtId="0" fontId="41" fillId="42" borderId="13" xfId="0" applyFont="1" applyFill="1" applyBorder="1" applyAlignment="1">
      <alignment horizontal="center" vertical="center"/>
    </xf>
    <xf numFmtId="0" fontId="30" fillId="42" borderId="13" xfId="0" applyFont="1" applyFill="1" applyBorder="1" applyAlignment="1">
      <alignment horizontal="center" vertical="center"/>
    </xf>
    <xf numFmtId="0" fontId="42" fillId="42" borderId="13" xfId="0" applyFont="1" applyFill="1" applyBorder="1" applyAlignment="1">
      <alignment horizontal="center" vertical="center"/>
    </xf>
    <xf numFmtId="0" fontId="45" fillId="42" borderId="13" xfId="0" applyFont="1" applyFill="1" applyBorder="1" applyAlignment="1">
      <alignment horizontal="center" vertical="center"/>
    </xf>
    <xf numFmtId="0" fontId="0" fillId="31" borderId="13" xfId="0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4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/>
    <xf numFmtId="44" fontId="10" fillId="37" borderId="13" xfId="301" applyFont="1" applyFill="1" applyBorder="1" applyAlignment="1">
      <alignment horizontal="right" wrapText="1"/>
    </xf>
    <xf numFmtId="0" fontId="0" fillId="30" borderId="0" xfId="0" applyFill="1"/>
    <xf numFmtId="0" fontId="0" fillId="37" borderId="0" xfId="0" applyFill="1"/>
    <xf numFmtId="0" fontId="31" fillId="31" borderId="13" xfId="0" applyFont="1" applyFill="1" applyBorder="1" applyAlignment="1">
      <alignment horizontal="center" vertical="center"/>
    </xf>
    <xf numFmtId="0" fontId="19" fillId="31" borderId="13" xfId="0" applyFont="1" applyFill="1" applyBorder="1" applyAlignment="1">
      <alignment horizontal="center" vertical="center"/>
    </xf>
    <xf numFmtId="0" fontId="32" fillId="31" borderId="13" xfId="0" applyFont="1" applyFill="1" applyBorder="1" applyAlignment="1">
      <alignment horizontal="center" vertical="center"/>
    </xf>
    <xf numFmtId="0" fontId="0" fillId="31" borderId="13" xfId="0" applyFill="1" applyBorder="1"/>
    <xf numFmtId="14" fontId="0" fillId="31" borderId="13" xfId="0" applyNumberFormat="1" applyFill="1" applyBorder="1"/>
    <xf numFmtId="14" fontId="0" fillId="31" borderId="0" xfId="0" applyNumberFormat="1" applyFill="1"/>
    <xf numFmtId="0" fontId="53" fillId="44" borderId="53" xfId="0" applyFont="1" applyFill="1" applyBorder="1" applyAlignment="1">
      <alignment horizontal="left"/>
    </xf>
    <xf numFmtId="0" fontId="54" fillId="45" borderId="53" xfId="0" applyFont="1" applyFill="1" applyBorder="1"/>
    <xf numFmtId="165" fontId="55" fillId="45" borderId="53" xfId="0" applyNumberFormat="1" applyFont="1" applyFill="1" applyBorder="1"/>
    <xf numFmtId="16" fontId="53" fillId="44" borderId="54" xfId="0" applyNumberFormat="1" applyFont="1" applyFill="1" applyBorder="1" applyAlignment="1">
      <alignment horizontal="center" vertical="center" textRotation="90"/>
    </xf>
    <xf numFmtId="16" fontId="53" fillId="44" borderId="55" xfId="0" applyNumberFormat="1" applyFont="1" applyFill="1" applyBorder="1" applyAlignment="1">
      <alignment horizontal="center" vertical="center" textRotation="90"/>
    </xf>
    <xf numFmtId="1" fontId="54" fillId="46" borderId="13" xfId="0" applyNumberFormat="1" applyFont="1" applyFill="1" applyBorder="1"/>
    <xf numFmtId="0" fontId="25" fillId="47" borderId="56" xfId="0" applyFont="1" applyFill="1" applyBorder="1"/>
    <xf numFmtId="0" fontId="25" fillId="47" borderId="57" xfId="0" applyFont="1" applyFill="1" applyBorder="1"/>
    <xf numFmtId="0" fontId="25" fillId="47" borderId="58" xfId="0" applyFont="1" applyFill="1" applyBorder="1"/>
    <xf numFmtId="16" fontId="53" fillId="44" borderId="53" xfId="0" applyNumberFormat="1" applyFont="1" applyFill="1" applyBorder="1" applyAlignment="1">
      <alignment horizontal="left" vertical="top" textRotation="90"/>
    </xf>
    <xf numFmtId="40" fontId="10" fillId="31" borderId="13" xfId="0" applyNumberFormat="1" applyFont="1" applyFill="1" applyBorder="1" applyAlignment="1">
      <alignment horizontal="center" vertical="top" wrapText="1"/>
    </xf>
    <xf numFmtId="14" fontId="10" fillId="31" borderId="13" xfId="0" applyNumberFormat="1" applyFont="1" applyFill="1" applyBorder="1" applyAlignment="1">
      <alignment horizontal="center" vertical="top" wrapText="1"/>
    </xf>
    <xf numFmtId="0" fontId="44" fillId="0" borderId="13" xfId="0" applyFont="1" applyBorder="1" applyAlignment="1">
      <alignment horizontal="center"/>
    </xf>
    <xf numFmtId="0" fontId="56" fillId="31" borderId="13" xfId="0" applyFont="1" applyFill="1" applyBorder="1" applyAlignment="1">
      <alignment horizontal="center"/>
    </xf>
    <xf numFmtId="0" fontId="0" fillId="0" borderId="13" xfId="0" applyBorder="1"/>
    <xf numFmtId="40" fontId="10" fillId="31" borderId="0" xfId="0" applyNumberFormat="1" applyFont="1" applyFill="1" applyAlignment="1">
      <alignment horizontal="center" vertical="top" wrapText="1"/>
    </xf>
    <xf numFmtId="14" fontId="10" fillId="31" borderId="0" xfId="0" applyNumberFormat="1" applyFont="1" applyFill="1" applyAlignment="1">
      <alignment horizontal="center" vertical="top" wrapText="1"/>
    </xf>
    <xf numFmtId="0" fontId="0" fillId="31" borderId="20" xfId="0" applyFill="1" applyBorder="1"/>
    <xf numFmtId="14" fontId="0" fillId="31" borderId="20" xfId="0" applyNumberFormat="1" applyFill="1" applyBorder="1"/>
    <xf numFmtId="40" fontId="10" fillId="31" borderId="20" xfId="0" applyNumberFormat="1" applyFont="1" applyFill="1" applyBorder="1" applyAlignment="1">
      <alignment horizontal="center" vertical="top" wrapText="1"/>
    </xf>
    <xf numFmtId="14" fontId="10" fillId="31" borderId="20" xfId="0" applyNumberFormat="1" applyFont="1" applyFill="1" applyBorder="1" applyAlignment="1">
      <alignment horizontal="center" vertical="top" wrapText="1"/>
    </xf>
    <xf numFmtId="0" fontId="44" fillId="0" borderId="20" xfId="0" applyFont="1" applyBorder="1" applyAlignment="1">
      <alignment horizontal="center"/>
    </xf>
    <xf numFmtId="0" fontId="45" fillId="42" borderId="20" xfId="0" applyFont="1" applyFill="1" applyBorder="1" applyAlignment="1">
      <alignment horizontal="center" vertical="center"/>
    </xf>
    <xf numFmtId="0" fontId="30" fillId="42" borderId="20" xfId="0" applyFont="1" applyFill="1" applyBorder="1" applyAlignment="1">
      <alignment horizontal="center" vertical="center"/>
    </xf>
    <xf numFmtId="0" fontId="31" fillId="48" borderId="13" xfId="0" applyFont="1" applyFill="1" applyBorder="1" applyAlignment="1">
      <alignment horizontal="center" vertical="center"/>
    </xf>
    <xf numFmtId="0" fontId="30" fillId="48" borderId="13" xfId="0" applyFont="1" applyFill="1" applyBorder="1" applyAlignment="1">
      <alignment horizontal="center" vertical="center"/>
    </xf>
    <xf numFmtId="0" fontId="52" fillId="48" borderId="13" xfId="0" applyFont="1" applyFill="1" applyBorder="1" applyAlignment="1">
      <alignment horizontal="center" vertical="center"/>
    </xf>
    <xf numFmtId="4" fontId="0" fillId="0" borderId="0" xfId="0" applyNumberFormat="1"/>
    <xf numFmtId="0" fontId="0" fillId="49" borderId="56" xfId="0" applyFill="1" applyBorder="1"/>
    <xf numFmtId="0" fontId="0" fillId="49" borderId="57" xfId="0" applyFill="1" applyBorder="1"/>
    <xf numFmtId="4" fontId="0" fillId="49" borderId="58" xfId="0" applyNumberFormat="1" applyFill="1" applyBorder="1"/>
    <xf numFmtId="0" fontId="0" fillId="0" borderId="56" xfId="0" applyBorder="1"/>
    <xf numFmtId="0" fontId="0" fillId="0" borderId="57" xfId="0" applyBorder="1"/>
    <xf numFmtId="4" fontId="0" fillId="0" borderId="58" xfId="0" applyNumberFormat="1" applyBorder="1"/>
    <xf numFmtId="0" fontId="51" fillId="33" borderId="0" xfId="0" applyFont="1" applyFill="1" applyAlignment="1">
      <alignment horizontal="center" vertical="center" wrapText="1"/>
    </xf>
    <xf numFmtId="0" fontId="49" fillId="39" borderId="37" xfId="0" applyFont="1" applyFill="1" applyBorder="1" applyAlignment="1">
      <alignment horizontal="left" vertical="center"/>
    </xf>
    <xf numFmtId="0" fontId="49" fillId="39" borderId="38" xfId="0" applyFont="1" applyFill="1" applyBorder="1" applyAlignment="1">
      <alignment horizontal="left" vertical="center"/>
    </xf>
    <xf numFmtId="0" fontId="27" fillId="0" borderId="12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4" fontId="50" fillId="38" borderId="41" xfId="0" applyNumberFormat="1" applyFont="1" applyFill="1" applyBorder="1" applyAlignment="1">
      <alignment horizontal="center" vertical="center"/>
    </xf>
    <xf numFmtId="4" fontId="50" fillId="38" borderId="49" xfId="0" applyNumberFormat="1" applyFont="1" applyFill="1" applyBorder="1" applyAlignment="1">
      <alignment horizontal="center" vertical="center"/>
    </xf>
    <xf numFmtId="4" fontId="50" fillId="38" borderId="26" xfId="0" applyNumberFormat="1" applyFont="1" applyFill="1" applyBorder="1" applyAlignment="1">
      <alignment horizontal="center" vertical="center"/>
    </xf>
    <xf numFmtId="0" fontId="49" fillId="39" borderId="22" xfId="0" applyFont="1" applyFill="1" applyBorder="1" applyAlignment="1">
      <alignment horizontal="left" vertical="center"/>
    </xf>
    <xf numFmtId="0" fontId="49" fillId="39" borderId="50" xfId="0" applyFont="1" applyFill="1" applyBorder="1" applyAlignment="1">
      <alignment horizontal="left" vertical="center"/>
    </xf>
    <xf numFmtId="0" fontId="49" fillId="40" borderId="28" xfId="0" applyFont="1" applyFill="1" applyBorder="1" applyAlignment="1">
      <alignment horizontal="left" vertical="center"/>
    </xf>
    <xf numFmtId="0" fontId="49" fillId="40" borderId="18" xfId="0" applyFont="1" applyFill="1" applyBorder="1" applyAlignment="1">
      <alignment horizontal="left" vertical="center"/>
    </xf>
    <xf numFmtId="0" fontId="49" fillId="39" borderId="32" xfId="0" applyFont="1" applyFill="1" applyBorder="1" applyAlignment="1">
      <alignment horizontal="left" vertical="center"/>
    </xf>
    <xf numFmtId="0" fontId="49" fillId="39" borderId="34" xfId="0" applyFont="1" applyFill="1" applyBorder="1" applyAlignment="1">
      <alignment horizontal="left" vertical="center"/>
    </xf>
    <xf numFmtId="0" fontId="27" fillId="33" borderId="35" xfId="0" applyFont="1" applyFill="1" applyBorder="1" applyAlignment="1">
      <alignment horizontal="center" vertical="center" wrapText="1"/>
    </xf>
    <xf numFmtId="0" fontId="27" fillId="33" borderId="0" xfId="0" applyFont="1" applyFill="1" applyAlignment="1">
      <alignment horizontal="center" vertical="center" wrapText="1"/>
    </xf>
    <xf numFmtId="0" fontId="26" fillId="39" borderId="42" xfId="0" applyFont="1" applyFill="1" applyBorder="1" applyAlignment="1">
      <alignment horizontal="left" vertical="center"/>
    </xf>
    <xf numFmtId="0" fontId="26" fillId="39" borderId="43" xfId="0" applyFont="1" applyFill="1" applyBorder="1" applyAlignment="1">
      <alignment horizontal="left" vertical="center"/>
    </xf>
    <xf numFmtId="0" fontId="26" fillId="39" borderId="27" xfId="0" applyFont="1" applyFill="1" applyBorder="1" applyAlignment="1">
      <alignment horizontal="left" vertical="center"/>
    </xf>
    <xf numFmtId="0" fontId="26" fillId="39" borderId="19" xfId="0" applyFont="1" applyFill="1" applyBorder="1" applyAlignment="1">
      <alignment horizontal="left" vertical="center"/>
    </xf>
    <xf numFmtId="0" fontId="49" fillId="40" borderId="15" xfId="0" applyFont="1" applyFill="1" applyBorder="1" applyAlignment="1">
      <alignment horizontal="left" vertical="center"/>
    </xf>
    <xf numFmtId="0" fontId="49" fillId="40" borderId="13" xfId="0" applyFont="1" applyFill="1" applyBorder="1" applyAlignment="1">
      <alignment horizontal="left" vertical="center"/>
    </xf>
    <xf numFmtId="0" fontId="48" fillId="33" borderId="28" xfId="0" applyFont="1" applyFill="1" applyBorder="1" applyAlignment="1" applyProtection="1">
      <alignment horizontal="center" vertical="center"/>
      <protection locked="0"/>
    </xf>
    <xf numFmtId="0" fontId="48" fillId="33" borderId="18" xfId="0" applyFont="1" applyFill="1" applyBorder="1" applyAlignment="1" applyProtection="1">
      <alignment horizontal="center" vertical="center"/>
      <protection locked="0"/>
    </xf>
    <xf numFmtId="0" fontId="48" fillId="33" borderId="25" xfId="0" applyFont="1" applyFill="1" applyBorder="1" applyAlignment="1" applyProtection="1">
      <alignment horizontal="center" vertical="center"/>
      <protection locked="0"/>
    </xf>
    <xf numFmtId="0" fontId="49" fillId="33" borderId="0" xfId="0" applyFont="1" applyFill="1" applyAlignment="1">
      <alignment horizontal="left"/>
    </xf>
    <xf numFmtId="0" fontId="49" fillId="40" borderId="17" xfId="0" applyFont="1" applyFill="1" applyBorder="1" applyAlignment="1">
      <alignment horizontal="left" vertical="center"/>
    </xf>
    <xf numFmtId="0" fontId="49" fillId="39" borderId="52" xfId="0" applyFont="1" applyFill="1" applyBorder="1" applyAlignment="1">
      <alignment horizontal="left" vertical="center"/>
    </xf>
    <xf numFmtId="0" fontId="49" fillId="39" borderId="28" xfId="0" applyFont="1" applyFill="1" applyBorder="1" applyAlignment="1">
      <alignment horizontal="left" vertical="center"/>
    </xf>
    <xf numFmtId="0" fontId="49" fillId="39" borderId="17" xfId="0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1" fillId="30" borderId="0" xfId="0" applyFont="1" applyFill="1" applyAlignment="1">
      <alignment horizontal="center" vertical="center" wrapText="1"/>
    </xf>
    <xf numFmtId="44" fontId="34" fillId="34" borderId="0" xfId="301" applyFont="1" applyFill="1" applyBorder="1" applyAlignment="1">
      <alignment horizontal="center"/>
    </xf>
  </cellXfs>
  <cellStyles count="303">
    <cellStyle name="20% - Énfasis1 2" xfId="14" xr:uid="{52053D3C-7C4A-4C84-9326-CEF2417FB2B2}"/>
    <cellStyle name="20% - Énfasis1 3" xfId="15" xr:uid="{6C69EDC5-8548-4DE6-988D-839C069E9294}"/>
    <cellStyle name="20% - Énfasis1 4" xfId="16" xr:uid="{717B9462-84FC-4B50-8CE3-148EB9DE5CC6}"/>
    <cellStyle name="20% - Énfasis1 5" xfId="17" xr:uid="{09F8B523-427C-40F3-BAAA-A22AD2512C8F}"/>
    <cellStyle name="20% - Énfasis1 6" xfId="18" xr:uid="{F59B7C69-7EFE-412F-AAE6-E083B18ED817}"/>
    <cellStyle name="20% - Énfasis1 7" xfId="19" xr:uid="{7397D9D1-89A7-4B30-AB34-674E8D0C3F49}"/>
    <cellStyle name="20% - Énfasis2 2" xfId="20" xr:uid="{3EF0AAAF-7314-457F-9CF2-E5C20BABC0D3}"/>
    <cellStyle name="20% - Énfasis2 3" xfId="21" xr:uid="{1D869210-A525-471F-B731-BC7D3B85773B}"/>
    <cellStyle name="20% - Énfasis2 4" xfId="22" xr:uid="{5662FDAE-0052-4E66-A7D7-EF1AF7B0FA54}"/>
    <cellStyle name="20% - Énfasis2 5" xfId="23" xr:uid="{A7BBE4DB-8F04-456D-B802-0ED53F24F230}"/>
    <cellStyle name="20% - Énfasis2 6" xfId="24" xr:uid="{DA6B2079-A75B-4B65-9A19-835424C9D490}"/>
    <cellStyle name="20% - Énfasis2 7" xfId="25" xr:uid="{CA422B9E-A7E2-484A-8D63-3D6AD7F54F9B}"/>
    <cellStyle name="20% - Énfasis3 2" xfId="26" xr:uid="{1C961021-DD6B-4AA6-862A-453E2C48BF76}"/>
    <cellStyle name="20% - Énfasis3 3" xfId="27" xr:uid="{BD9A2A03-5801-47C9-94FA-DEA1C7E8D75D}"/>
    <cellStyle name="20% - Énfasis3 4" xfId="28" xr:uid="{9C9797D9-889F-47D0-9676-BDE6C29DA42B}"/>
    <cellStyle name="20% - Énfasis3 5" xfId="29" xr:uid="{E77669FE-ECA3-4B7F-99B4-CE911D35B5FD}"/>
    <cellStyle name="20% - Énfasis3 6" xfId="30" xr:uid="{D3A819F6-1D25-4800-9B52-F59977E74C4C}"/>
    <cellStyle name="20% - Énfasis3 7" xfId="31" xr:uid="{361EE559-9DDC-44E5-903C-26D0019662AD}"/>
    <cellStyle name="20% - Énfasis4 2" xfId="32" xr:uid="{E4E3B7A3-B8A7-4078-B49A-ECD3AAC987AF}"/>
    <cellStyle name="20% - Énfasis4 3" xfId="33" xr:uid="{323B75EB-20A3-469F-8978-D8669C154430}"/>
    <cellStyle name="20% - Énfasis4 4" xfId="34" xr:uid="{5DF7ED9D-C4E8-416D-95A9-BC726F1D510A}"/>
    <cellStyle name="20% - Énfasis4 5" xfId="35" xr:uid="{C9EC0F1B-3503-45C4-B509-CF2029C0D592}"/>
    <cellStyle name="20% - Énfasis4 6" xfId="36" xr:uid="{895B6BDE-E86F-413A-8D30-E5A2E768BC5E}"/>
    <cellStyle name="20% - Énfasis4 7" xfId="37" xr:uid="{F670E91B-2A6E-4176-A350-90D099C02ACF}"/>
    <cellStyle name="20% - Énfasis6 2" xfId="38" xr:uid="{F296A21D-25CC-4D33-B463-AB36915A4C64}"/>
    <cellStyle name="20% - Énfasis6 3" xfId="39" xr:uid="{B5850480-6C2E-4B11-99EC-EA759394DA7C}"/>
    <cellStyle name="20% - Énfasis6 4" xfId="40" xr:uid="{54B11D0C-6BE0-4469-8953-D239EC7FDCCC}"/>
    <cellStyle name="20% - Énfasis6 5" xfId="41" xr:uid="{A2D9428C-2ABA-4552-BCEF-AFC391318CE8}"/>
    <cellStyle name="20% - Énfasis6 6" xfId="42" xr:uid="{23BB3937-FD25-4D81-915B-1360BE5D6450}"/>
    <cellStyle name="20% - Énfasis6 7" xfId="43" xr:uid="{0D52F97E-08F6-46A5-93B3-AB98DB588382}"/>
    <cellStyle name="40% - Énfasis1 2" xfId="44" xr:uid="{BBCC93DB-A1F7-4FD7-9085-A9776201B846}"/>
    <cellStyle name="40% - Énfasis1 3" xfId="45" xr:uid="{2FBD9142-6C52-4C94-9083-C15DB98288C0}"/>
    <cellStyle name="40% - Énfasis1 4" xfId="46" xr:uid="{9CBE17F7-16B3-4750-B8DB-D50344062347}"/>
    <cellStyle name="40% - Énfasis1 5" xfId="47" xr:uid="{597AA47F-4EAD-41A7-BD41-5C273C391449}"/>
    <cellStyle name="40% - Énfasis1 6" xfId="48" xr:uid="{CC6AD9C9-2092-4A07-BD70-2A8F7BE00304}"/>
    <cellStyle name="40% - Énfasis1 7" xfId="49" xr:uid="{B0EBE6D5-E7CB-4776-A2CF-5B65BA2008EA}"/>
    <cellStyle name="40% - Énfasis3 2" xfId="50" xr:uid="{182F232D-3401-4406-A2A7-C10ADDFC0105}"/>
    <cellStyle name="40% - Énfasis3 3" xfId="51" xr:uid="{7A0097E7-71AD-4875-992E-FCC0EEA806BD}"/>
    <cellStyle name="40% - Énfasis3 4" xfId="52" xr:uid="{565B33D7-3888-427F-BCDC-1795BB1330F2}"/>
    <cellStyle name="40% - Énfasis3 5" xfId="53" xr:uid="{AFE2AE9B-34F0-4F68-84EA-857EC2349443}"/>
    <cellStyle name="40% - Énfasis3 6" xfId="54" xr:uid="{CD5F4C30-FD6F-4545-B49C-558653AC03EA}"/>
    <cellStyle name="40% - Énfasis3 7" xfId="55" xr:uid="{330A350A-716C-497B-8570-86502E70F852}"/>
    <cellStyle name="40% - Énfasis4 2" xfId="56" xr:uid="{E84BB3E9-CD06-41F9-B8A0-78A774C7F65E}"/>
    <cellStyle name="40% - Énfasis4 3" xfId="57" xr:uid="{CCE0B6A6-CF02-4F25-9B46-2EAAA6F3C755}"/>
    <cellStyle name="40% - Énfasis4 4" xfId="58" xr:uid="{9BC6B26A-CB3A-415E-BB18-B9CF5B6B9D02}"/>
    <cellStyle name="40% - Énfasis4 5" xfId="59" xr:uid="{8546B94F-72D9-474C-8A75-B90D227539DE}"/>
    <cellStyle name="40% - Énfasis4 6" xfId="60" xr:uid="{20A241FE-F028-4B3A-BD6E-A2040F88B850}"/>
    <cellStyle name="40% - Énfasis4 7" xfId="61" xr:uid="{9DB4F40E-941C-4707-AC7E-42BB13B0B8EB}"/>
    <cellStyle name="40% - Énfasis5 2" xfId="62" xr:uid="{76F44057-96A4-42B6-9A8E-BF39084F4B26}"/>
    <cellStyle name="40% - Énfasis5 3" xfId="63" xr:uid="{F5CF860F-B5D9-4FA5-8B26-32D878BD47FF}"/>
    <cellStyle name="40% - Énfasis5 4" xfId="64" xr:uid="{11B74D78-D8AA-41C8-A99D-5EA3E5D15165}"/>
    <cellStyle name="40% - Énfasis5 5" xfId="65" xr:uid="{03D44E67-87AA-466E-958B-84D9F0B53830}"/>
    <cellStyle name="40% - Énfasis5 6" xfId="66" xr:uid="{EFEAC579-0C63-44E3-9DEB-79EC5787FE52}"/>
    <cellStyle name="40% - Énfasis5 7" xfId="67" xr:uid="{631D79AB-116F-4A75-B39E-4C1B3B4236D7}"/>
    <cellStyle name="40% - Énfasis6 2" xfId="68" xr:uid="{606DD21E-870F-489F-9EE6-0B0418FDA7D9}"/>
    <cellStyle name="40% - Énfasis6 3" xfId="69" xr:uid="{83AF2343-8114-42DC-A675-6E8102E7E458}"/>
    <cellStyle name="40% - Énfasis6 4" xfId="70" xr:uid="{58C57B62-9B38-45C8-9D65-50A848AD7B00}"/>
    <cellStyle name="40% - Énfasis6 5" xfId="71" xr:uid="{A10FD917-285B-4C97-86E8-C858F2507A4C}"/>
    <cellStyle name="40% - Énfasis6 6" xfId="72" xr:uid="{DCE7474A-93C9-413E-8F0F-700F69FEB8B4}"/>
    <cellStyle name="40% - Énfasis6 7" xfId="73" xr:uid="{4B9992ED-7645-4847-A525-ECB712A54EC5}"/>
    <cellStyle name="60% - Énfasis1 2" xfId="74" xr:uid="{05B4505E-ED33-4BFB-8A6B-CB4FC02F4002}"/>
    <cellStyle name="60% - Énfasis1 3" xfId="75" xr:uid="{62FF608E-47B6-44A8-AD6D-8F18203007B4}"/>
    <cellStyle name="60% - Énfasis1 4" xfId="76" xr:uid="{8EC3698C-95B5-4F51-B20E-12D46BEB2278}"/>
    <cellStyle name="60% - Énfasis1 5" xfId="77" xr:uid="{2A171F74-1B0F-4649-9139-834A3F4CB751}"/>
    <cellStyle name="60% - Énfasis1 6" xfId="78" xr:uid="{61B6F427-3563-4B80-B6CB-EB03F5AA1AFE}"/>
    <cellStyle name="60% - Énfasis1 7" xfId="79" xr:uid="{4D4C3FD2-2403-4461-9CA9-8306984F4CEA}"/>
    <cellStyle name="60% - Énfasis2 2" xfId="80" xr:uid="{7B249378-EA6D-402C-82F1-3DCD72B9CFD7}"/>
    <cellStyle name="60% - Énfasis2 3" xfId="81" xr:uid="{E2E5A21F-56DA-4D35-BE31-6A27388251CF}"/>
    <cellStyle name="60% - Énfasis2 4" xfId="82" xr:uid="{3D2D50E3-F59D-4A44-800B-475DFB9F2862}"/>
    <cellStyle name="60% - Énfasis2 5" xfId="83" xr:uid="{4E1D3235-F728-42C8-B43E-F27290E0BC77}"/>
    <cellStyle name="60% - Énfasis2 6" xfId="84" xr:uid="{74986340-CAB1-41DE-A423-96E09CBCE2DE}"/>
    <cellStyle name="60% - Énfasis2 7" xfId="85" xr:uid="{F84AD400-D948-46AD-BA6B-569E274AD03C}"/>
    <cellStyle name="60% - Énfasis3 2" xfId="86" xr:uid="{FDF1BB40-F862-4B22-8081-754E87278B83}"/>
    <cellStyle name="60% - Énfasis3 3" xfId="87" xr:uid="{F825EA62-33E6-40C5-81BB-540769ECF0EA}"/>
    <cellStyle name="60% - Énfasis3 4" xfId="88" xr:uid="{FFF28CF1-59EE-4190-8389-62A4478CF047}"/>
    <cellStyle name="60% - Énfasis3 5" xfId="89" xr:uid="{3E959879-05A9-4466-ACFE-942E44F89EAF}"/>
    <cellStyle name="60% - Énfasis3 6" xfId="90" xr:uid="{6485B305-54AA-491F-BD53-A54DBBE8CD40}"/>
    <cellStyle name="60% - Énfasis3 7" xfId="91" xr:uid="{DA86B28A-13E1-4875-82D0-8BB1E5EDA312}"/>
    <cellStyle name="60% - Énfasis4 2" xfId="92" xr:uid="{61B70C9B-0D72-484A-9B4D-A23180E7EC0C}"/>
    <cellStyle name="60% - Énfasis4 3" xfId="93" xr:uid="{AB6284DD-E760-4B35-A9DE-433212B5E49A}"/>
    <cellStyle name="60% - Énfasis4 4" xfId="94" xr:uid="{A100A88F-21AC-4181-9371-BA14697A24F2}"/>
    <cellStyle name="60% - Énfasis4 5" xfId="95" xr:uid="{F166E227-500A-41E2-B2CE-43E0754AE51C}"/>
    <cellStyle name="60% - Énfasis4 6" xfId="96" xr:uid="{31F76FFC-9998-4AE1-A78A-4280B1030782}"/>
    <cellStyle name="60% - Énfasis4 7" xfId="97" xr:uid="{DA541985-CE6D-48EE-A8D3-F038F045169C}"/>
    <cellStyle name="60% - Énfasis5 2" xfId="98" xr:uid="{EAC93938-9E6A-4D75-ADE5-AA1D08F4880D}"/>
    <cellStyle name="60% - Énfasis5 3" xfId="99" xr:uid="{A06E739F-0B4F-47CD-9BBE-718A29CB975E}"/>
    <cellStyle name="60% - Énfasis5 4" xfId="100" xr:uid="{B47A58AD-C9D3-43FE-906F-CD6DF197DD4F}"/>
    <cellStyle name="60% - Énfasis5 5" xfId="101" xr:uid="{BAD1AAFC-A3A0-49E4-B7FE-D9A74F12D2F1}"/>
    <cellStyle name="60% - Énfasis5 6" xfId="102" xr:uid="{C86AA498-B9DC-4E0E-A58C-3F44097216B3}"/>
    <cellStyle name="60% - Énfasis5 7" xfId="103" xr:uid="{FDA3F236-025B-48F8-AFAC-9BC35EB1D2A3}"/>
    <cellStyle name="60% - Énfasis6 2" xfId="104" xr:uid="{5012A832-420A-4F3A-B78E-E88793924525}"/>
    <cellStyle name="60% - Énfasis6 3" xfId="105" xr:uid="{7CBCF521-B30B-4228-9DAD-BA4C2E18B5CC}"/>
    <cellStyle name="60% - Énfasis6 4" xfId="106" xr:uid="{6C985FD3-4616-4258-918A-9DBCB0E2186B}"/>
    <cellStyle name="60% - Énfasis6 5" xfId="107" xr:uid="{A54990D2-3AFD-4227-981C-AD9F77ADEEFC}"/>
    <cellStyle name="60% - Énfasis6 6" xfId="108" xr:uid="{99A392AA-73E2-461C-8F33-C2E78966E763}"/>
    <cellStyle name="60% - Énfasis6 7" xfId="109" xr:uid="{312F08F5-6FDA-42B5-9EDF-015418C01A8B}"/>
    <cellStyle name="Buena 2" xfId="110" xr:uid="{0C15741C-976D-4B8F-91F0-9525F6491B0E}"/>
    <cellStyle name="Buena 3" xfId="111" xr:uid="{BB771F9F-A91E-4D0B-88D2-93DB926E2EEC}"/>
    <cellStyle name="Buena 4" xfId="112" xr:uid="{BB1F3680-FAF2-4B36-AE3B-592C184086AA}"/>
    <cellStyle name="Buena 5" xfId="113" xr:uid="{130AFD53-81E0-4B0A-92D9-42B44EBA32C3}"/>
    <cellStyle name="Buena 6" xfId="114" xr:uid="{03B404FA-F63E-4BA3-95F7-F41F57FE0495}"/>
    <cellStyle name="Buena 7" xfId="115" xr:uid="{89F84533-6224-49C2-8D08-8A500937750A}"/>
    <cellStyle name="Cálculo 2" xfId="116" xr:uid="{474FE4FA-6EE5-4BA1-9092-F46FE7F7F416}"/>
    <cellStyle name="Cálculo 3" xfId="117" xr:uid="{3531E85E-845B-4C57-9241-BBCD55D6F1B0}"/>
    <cellStyle name="Cálculo 4" xfId="118" xr:uid="{C6A739A3-84BB-4A26-AB61-D97321A67B9A}"/>
    <cellStyle name="Cálculo 5" xfId="119" xr:uid="{58AE3FC2-B51E-46F3-9AED-BEDF4143CBCE}"/>
    <cellStyle name="Cálculo 6" xfId="120" xr:uid="{7857BCFB-9091-4230-965A-D63BDFE9FAFA}"/>
    <cellStyle name="Cálculo 7" xfId="121" xr:uid="{7EF9426E-3685-40B6-88B9-200192D88032}"/>
    <cellStyle name="Celda vinculada 2" xfId="122" xr:uid="{B22841F6-B407-4CDC-A8B4-E508B33B1F62}"/>
    <cellStyle name="Celda vinculada 3" xfId="123" xr:uid="{1ECBC23F-0B94-4E75-ADE5-0E633934EA24}"/>
    <cellStyle name="Celda vinculada 4" xfId="124" xr:uid="{89B364C2-6D95-4FDB-8CD2-32AB1C5F2E5B}"/>
    <cellStyle name="Celda vinculada 5" xfId="125" xr:uid="{17373B23-9785-48B0-A0F3-E2749523882E}"/>
    <cellStyle name="Celda vinculada 6" xfId="126" xr:uid="{0BD4CE88-FCC6-48BC-9F57-E008EA488F33}"/>
    <cellStyle name="Celda vinculada 7" xfId="127" xr:uid="{CD12E78A-F391-4D17-BE48-4FBE33B00728}"/>
    <cellStyle name="Comma 2" xfId="299" xr:uid="{BF883885-A9EC-47AC-86AC-6D451E2AC5DF}"/>
    <cellStyle name="Currency 2" xfId="9" xr:uid="{74030623-4A55-4BAA-91ED-3DEAA3B31AEA}"/>
    <cellStyle name="Currency 2 2" xfId="298" xr:uid="{A692C36A-4370-4902-9B73-5257C664047D}"/>
    <cellStyle name="Currency 2 3" xfId="300" xr:uid="{2A9B9F24-D9BA-4C0B-BF3A-ECE92CA48B10}"/>
    <cellStyle name="Encabezado 4 2" xfId="128" xr:uid="{67C9B155-9AE8-4488-9D10-279D2342DAA1}"/>
    <cellStyle name="Encabezado 4 3" xfId="129" xr:uid="{4D32E2A1-693C-49E7-B7B8-796AA0DBA29F}"/>
    <cellStyle name="Encabezado 4 4" xfId="130" xr:uid="{1391C436-C3B0-400B-A89E-6B3E1EDE95E7}"/>
    <cellStyle name="Encabezado 4 5" xfId="131" xr:uid="{C148687F-E102-4F3D-B754-E6FF1154386C}"/>
    <cellStyle name="Encabezado 4 6" xfId="132" xr:uid="{4361A170-7584-4D03-91A7-4C4918DBA1D9}"/>
    <cellStyle name="Encabezado 4 7" xfId="133" xr:uid="{EAE25D0B-0141-4775-B1BB-A977E32D5020}"/>
    <cellStyle name="Énfasis1 2" xfId="134" xr:uid="{FCEE00AA-BC0B-4B4B-A0B9-33A36CBB4611}"/>
    <cellStyle name="Énfasis1 3" xfId="135" xr:uid="{449B004F-9C8B-454C-AA1E-BD7A880EEEAA}"/>
    <cellStyle name="Énfasis1 4" xfId="136" xr:uid="{5D0A890A-2C4E-4FEE-B17E-882F09D64DD7}"/>
    <cellStyle name="Énfasis1 5" xfId="137" xr:uid="{D40E401B-1BDF-4BDF-8827-EBF958BEB632}"/>
    <cellStyle name="Énfasis1 6" xfId="138" xr:uid="{78ED8CB4-9A88-4BE4-85A0-FD0CBD6FB05E}"/>
    <cellStyle name="Énfasis1 7" xfId="139" xr:uid="{7836250B-8FDB-4C0F-8B0B-B1C2B0DCEA62}"/>
    <cellStyle name="Énfasis2 2" xfId="140" xr:uid="{9D61D23E-5E30-4BC3-B43B-346C6A6509C3}"/>
    <cellStyle name="Énfasis2 3" xfId="141" xr:uid="{3131F615-44C2-4287-9FA9-F08B0A31E464}"/>
    <cellStyle name="Énfasis2 4" xfId="142" xr:uid="{6CE32901-3ABE-4B28-B8E1-4B3D3352D7A6}"/>
    <cellStyle name="Énfasis2 5" xfId="143" xr:uid="{CB1D0698-171B-4EF1-931F-997527448374}"/>
    <cellStyle name="Énfasis2 6" xfId="144" xr:uid="{CE9E1142-7476-42EB-86FE-55C457436A36}"/>
    <cellStyle name="Énfasis2 7" xfId="145" xr:uid="{9C99A30D-A98E-4652-9367-8FBD6A3F249C}"/>
    <cellStyle name="Énfasis3 2" xfId="146" xr:uid="{16221EE2-47B2-4E74-B7BA-21A7FF2A2F68}"/>
    <cellStyle name="Énfasis3 3" xfId="147" xr:uid="{17320512-75B7-40A7-B746-EBBC97AD7B01}"/>
    <cellStyle name="Énfasis3 4" xfId="148" xr:uid="{2F8C1175-16DC-4DCE-82F3-04F861BC1A97}"/>
    <cellStyle name="Énfasis3 5" xfId="149" xr:uid="{09E55051-0D01-4E04-A1A0-96FE4A4ECFC5}"/>
    <cellStyle name="Énfasis3 6" xfId="150" xr:uid="{5CB1B549-D7B8-4497-8012-778ABC7621E6}"/>
    <cellStyle name="Énfasis3 7" xfId="151" xr:uid="{B28617F6-78D8-4944-B06D-3032166A85F5}"/>
    <cellStyle name="Énfasis4 2" xfId="152" xr:uid="{FD5E3E72-80FE-4563-8776-7FC2C5F11A40}"/>
    <cellStyle name="Énfasis4 3" xfId="153" xr:uid="{CDC64EB1-C19D-4A8E-AB21-746AC2F4A983}"/>
    <cellStyle name="Énfasis4 4" xfId="154" xr:uid="{D6C9E2C3-65A5-4672-8A56-877923E022D9}"/>
    <cellStyle name="Énfasis4 5" xfId="155" xr:uid="{B4C0E61F-EE60-4D1F-BA5C-E816E8D51A04}"/>
    <cellStyle name="Énfasis4 6" xfId="156" xr:uid="{488CE1D3-4C74-4B60-87B1-D8F0B5D33664}"/>
    <cellStyle name="Énfasis4 7" xfId="157" xr:uid="{1DFCAFCC-C347-4E1C-BA11-27EF36007285}"/>
    <cellStyle name="Énfasis6 2" xfId="158" xr:uid="{4A5A7416-26BA-42B0-A76A-AE6AE13B8333}"/>
    <cellStyle name="Énfasis6 3" xfId="159" xr:uid="{93A9BC81-75EA-4946-A27C-C86D9CBA3B35}"/>
    <cellStyle name="Énfasis6 4" xfId="160" xr:uid="{1F472F4E-2171-4080-88A6-22755DE7DDEA}"/>
    <cellStyle name="Énfasis6 5" xfId="161" xr:uid="{70637877-1974-45D0-AF05-4F7888D090DF}"/>
    <cellStyle name="Énfasis6 6" xfId="162" xr:uid="{A4506532-6AF7-46D5-A8D2-51A219D6C103}"/>
    <cellStyle name="Énfasis6 7" xfId="163" xr:uid="{5F7E52C8-4E32-4913-9617-F8233BD34007}"/>
    <cellStyle name="Entrada 2" xfId="164" xr:uid="{CCD5311F-560F-4ECA-BEEB-EB9EFAD5952B}"/>
    <cellStyle name="Entrada 3" xfId="165" xr:uid="{11C96239-8EB3-4F41-8EF5-BF7497393E45}"/>
    <cellStyle name="Entrada 4" xfId="166" xr:uid="{515EB127-049C-4FAD-88DF-EECD851874E8}"/>
    <cellStyle name="Entrada 5" xfId="167" xr:uid="{89ACC3A8-A899-43BD-80DC-C48DF1475EF4}"/>
    <cellStyle name="Entrada 6" xfId="168" xr:uid="{9EF38132-0ABB-4FC5-8BA7-308F4EF5E193}"/>
    <cellStyle name="Entrada 7" xfId="169" xr:uid="{A58C972F-775C-4058-9384-7D404CB80A76}"/>
    <cellStyle name="Incorrecto 2" xfId="170" xr:uid="{68EA9EC0-7507-47B0-8578-640757AFDBFD}"/>
    <cellStyle name="Incorrecto 3" xfId="171" xr:uid="{9B0190E3-03AD-4015-9854-FC47AA77A57C}"/>
    <cellStyle name="Incorrecto 4" xfId="172" xr:uid="{34157FE1-DEF6-413F-9433-737A98BB380B}"/>
    <cellStyle name="Incorrecto 5" xfId="173" xr:uid="{75D5EC15-0844-4B55-BEBD-00EDA7E4B237}"/>
    <cellStyle name="Incorrecto 6" xfId="174" xr:uid="{1A0A8CAC-5149-4CEA-AA72-C353B0E6F39A}"/>
    <cellStyle name="Incorrecto 7" xfId="175" xr:uid="{56579709-A96D-4D5B-B658-095FB06A30ED}"/>
    <cellStyle name="Millares 2" xfId="7" xr:uid="{41B3A2CD-E3BB-4103-A36E-BCAEB30C00AD}"/>
    <cellStyle name="Millares 2 2" xfId="177" xr:uid="{22E2DF84-3764-4A3F-83EC-0DDC97B9966A}"/>
    <cellStyle name="Millares 2 3" xfId="178" xr:uid="{6694D879-1C53-487D-8EA2-B9150F589889}"/>
    <cellStyle name="Millares 2 4" xfId="176" xr:uid="{03453FCC-0E77-4726-8E7E-611247CFF7C2}"/>
    <cellStyle name="Millares 3" xfId="3" xr:uid="{B4E06A23-7AAD-4057-B644-D11715C61C87}"/>
    <cellStyle name="Millares 4 2" xfId="13" xr:uid="{7E8A41A9-F842-4912-A1A7-EC4279871EEB}"/>
    <cellStyle name="Moneda" xfId="301" builtinId="4"/>
    <cellStyle name="Moneda 2" xfId="179" xr:uid="{0AA733D0-E693-42A6-A117-E8A17F24ABA4}"/>
    <cellStyle name="Moneda 2 2" xfId="180" xr:uid="{81B17F81-FE94-4A10-9A3B-1F3740F862A7}"/>
    <cellStyle name="Moneda 2 2 2" xfId="293" xr:uid="{157F7DD3-54E9-4605-9712-6FC7F0AF4897}"/>
    <cellStyle name="Moneda 2 3" xfId="181" xr:uid="{8106F00A-962F-4EFA-9EC4-C0DED961FD50}"/>
    <cellStyle name="Moneda 2 4" xfId="295" xr:uid="{2527DA1B-7013-42F8-A507-10814CE9FD09}"/>
    <cellStyle name="Moneda 3" xfId="292" xr:uid="{7119B06B-3D04-4FE9-8BB7-381025B61EFD}"/>
    <cellStyle name="Neutral 2" xfId="182" xr:uid="{06C7F654-ECE1-4CF3-985A-B21A72216C06}"/>
    <cellStyle name="Neutral 3" xfId="183" xr:uid="{AA9E8E74-1C08-47DC-92D7-2E473C6A018F}"/>
    <cellStyle name="Neutral 4" xfId="184" xr:uid="{772B4BCC-C6A9-404A-B135-4724A56E7F93}"/>
    <cellStyle name="Neutral 5" xfId="185" xr:uid="{158BA1A2-749A-49F8-BE0F-75DEE1AA01B9}"/>
    <cellStyle name="Neutral 6" xfId="186" xr:uid="{6CBCD9A7-56CF-4D4B-8CCE-F9BD79E466F2}"/>
    <cellStyle name="Neutral 7" xfId="187" xr:uid="{6D609333-318D-4A07-A8D9-E54150B2EC18}"/>
    <cellStyle name="Normal" xfId="0" builtinId="0"/>
    <cellStyle name="Normal 10" xfId="188" xr:uid="{F52A9E50-F66E-4567-8756-96C313FC07F8}"/>
    <cellStyle name="Normal 11" xfId="189" xr:uid="{D09DB28B-00D6-4704-A38A-2C16FB65B8AF}"/>
    <cellStyle name="Normal 12" xfId="290" xr:uid="{C3D48063-6F8E-4A59-BEFB-CFD72581C963}"/>
    <cellStyle name="Normal 13" xfId="291" xr:uid="{535B7525-7E15-42B9-B796-5A9F080FFE48}"/>
    <cellStyle name="Normal 14" xfId="8" xr:uid="{6115E9D8-A8C5-4808-BF7C-9C29D0A893F6}"/>
    <cellStyle name="Normal 15" xfId="190" xr:uid="{0A0F4A44-1244-499F-92CD-C4B5E8FC1DFA}"/>
    <cellStyle name="Normal 16" xfId="1" xr:uid="{88F5E8E7-3A96-4969-9673-B70371B1B41E}"/>
    <cellStyle name="Normal 2" xfId="5" xr:uid="{28597B4F-3D52-4D31-9BE6-6AFC2D2FEFA7}"/>
    <cellStyle name="Normal 2 2" xfId="191" xr:uid="{978D644A-FECC-4E4C-A959-66861C4BD4FA}"/>
    <cellStyle name="Normal 2 2 2" xfId="192" xr:uid="{E4A64CB1-4802-47BC-82FD-C8E621B6CBE0}"/>
    <cellStyle name="Normal 2 2 2 10" xfId="193" xr:uid="{D0DA9073-E53F-4031-9130-C12167C47652}"/>
    <cellStyle name="Normal 2 2 2 2" xfId="194" xr:uid="{91603E3A-1469-4CD9-8064-3E3C215028A0}"/>
    <cellStyle name="Normal 2 2 2 3" xfId="195" xr:uid="{6CBBF813-587C-43A4-9A36-A8072C24A05F}"/>
    <cellStyle name="Normal 2 2 2 4" xfId="196" xr:uid="{447B2302-2EB8-46FB-8DA8-960E6CFE0467}"/>
    <cellStyle name="Normal 2 2 2 5" xfId="197" xr:uid="{EB3FA0ED-CF07-4597-8FAE-2E9919AA4656}"/>
    <cellStyle name="Normal 2 2 2 6" xfId="198" xr:uid="{237EF989-C77D-41B5-95CA-0F12E756ACAF}"/>
    <cellStyle name="Normal 2 2 2 7" xfId="199" xr:uid="{2C6BE766-82CF-448A-B54B-C46386277EFA}"/>
    <cellStyle name="Normal 2 2 2 8" xfId="200" xr:uid="{D43F35A4-D3BC-4493-87D8-69DCE5D1789F}"/>
    <cellStyle name="Normal 2 2 2 9" xfId="201" xr:uid="{C50EC2D5-753D-48D1-8EAD-4C1FE9B35DB8}"/>
    <cellStyle name="Normal 2 2 3" xfId="202" xr:uid="{5D134171-7A2F-4B22-BE27-B7F7492EA10F}"/>
    <cellStyle name="Normal 2 3" xfId="12" xr:uid="{ABC4FF6C-1E95-45AC-8AFE-B359B8D0B4DD}"/>
    <cellStyle name="Normal 2 3 2" xfId="203" xr:uid="{3B7B94EE-DCB4-44F2-84D0-10567B372F0F}"/>
    <cellStyle name="Normal 2 3 24" xfId="302" xr:uid="{55246830-61DE-491D-BB5B-327FC8D6ADA6}"/>
    <cellStyle name="Normal 2 3 4" xfId="4" xr:uid="{FC3BEDF3-5769-40D4-A810-8E04D696FA10}"/>
    <cellStyle name="Normal 2 4" xfId="204" xr:uid="{FDFCC6D1-EDDB-4D41-83A3-B52AA1CBD66C}"/>
    <cellStyle name="Normal 2 5" xfId="2" xr:uid="{F5364053-CF4A-494A-896B-777FF3DB0888}"/>
    <cellStyle name="Normal 2 5 2" xfId="205" xr:uid="{8B8B9A31-7F40-4B4A-B724-0BFDD413CFAF}"/>
    <cellStyle name="Normal 2 6" xfId="206" xr:uid="{97A731BD-859A-4FCD-8E64-90F10602C6DB}"/>
    <cellStyle name="Normal 2 7" xfId="10" xr:uid="{71117036-5661-45A0-A8EF-B16591A42285}"/>
    <cellStyle name="Normal 3" xfId="6" xr:uid="{652A30C3-EFDD-4A59-9EE6-39FFC4C5CDD4}"/>
    <cellStyle name="Normal 3 2" xfId="208" xr:uid="{AB5E707D-6440-4990-BC08-B2F1F0A3AC86}"/>
    <cellStyle name="Normal 3 2 2" xfId="11" xr:uid="{43826067-7FCD-4237-B5BB-CEF84C71F067}"/>
    <cellStyle name="Normal 3 3" xfId="209" xr:uid="{8DCFB6D1-2D64-4729-BE0F-94C69C94B1BD}"/>
    <cellStyle name="Normal 3 4" xfId="207" xr:uid="{31538B99-13D2-46FC-948A-B80CA4B7249C}"/>
    <cellStyle name="Normal 4" xfId="210" xr:uid="{2E40183B-7C9A-4EBD-BD51-3388B02A2648}"/>
    <cellStyle name="Normal 4 10" xfId="211" xr:uid="{5FC9CEC5-521C-4593-BCC3-9992B6694D81}"/>
    <cellStyle name="Normal 4 11" xfId="212" xr:uid="{2F86DF61-6083-4E97-8ACA-C76CB6FE0BBD}"/>
    <cellStyle name="Normal 4 2" xfId="213" xr:uid="{0D2BBB38-8672-4195-AE3F-F2AD4B57AADE}"/>
    <cellStyle name="Normal 4 3" xfId="214" xr:uid="{11FF6702-07FC-425D-A21B-84A45D673AB3}"/>
    <cellStyle name="Normal 4 4" xfId="215" xr:uid="{1B5CFAAD-AEAE-4390-86E5-F0674F5A9B03}"/>
    <cellStyle name="Normal 4 5" xfId="216" xr:uid="{E1A00156-0873-4675-93FF-0918D0995B2C}"/>
    <cellStyle name="Normal 4 6" xfId="217" xr:uid="{065C21CA-B744-4EEB-92AC-4306C48E7A4E}"/>
    <cellStyle name="Normal 4 7" xfId="218" xr:uid="{D1E5B9EC-05D8-42B2-B419-34112F03AD44}"/>
    <cellStyle name="Normal 4 8" xfId="219" xr:uid="{FB89FB32-DF76-4A77-88EB-8D0764399AE8}"/>
    <cellStyle name="Normal 4 9" xfId="220" xr:uid="{740124FE-779D-4F7D-AE12-A570C196F7E5}"/>
    <cellStyle name="Normal 5" xfId="221" xr:uid="{B95181A1-C347-4FBE-8BE9-327156334125}"/>
    <cellStyle name="Normal 6" xfId="222" xr:uid="{888303E6-BAFA-4B57-B140-8A757FDB548C}"/>
    <cellStyle name="Normal 6 2" xfId="223" xr:uid="{948D14E4-679B-4D8B-8EEB-54C6B8075B61}"/>
    <cellStyle name="Normal 7" xfId="224" xr:uid="{DF339C79-DC4F-4A74-92E7-DF3430D751B3}"/>
    <cellStyle name="Normal 7 2" xfId="225" xr:uid="{BF22E3E5-4616-47E8-A438-25DC05EAA4EC}"/>
    <cellStyle name="Normal 8" xfId="226" xr:uid="{A96BC8BF-30ED-44A8-8B79-33B34100F232}"/>
    <cellStyle name="Normal 8 2" xfId="227" xr:uid="{35D31A26-8651-4463-8B44-86722FEDFAE5}"/>
    <cellStyle name="Normal 9" xfId="228" xr:uid="{018F49BB-691C-43B6-93C7-521701929D66}"/>
    <cellStyle name="Normal 9 2" xfId="229" xr:uid="{071358B3-BF0D-4088-A91E-3A348C0425A6}"/>
    <cellStyle name="Notas 2" xfId="230" xr:uid="{69928807-3031-4E43-85AB-14A8E1C6F89A}"/>
    <cellStyle name="Notas 2 10" xfId="231" xr:uid="{39708662-3F5C-4BDB-A6D7-635E22B4355D}"/>
    <cellStyle name="Notas 2 2" xfId="232" xr:uid="{58C3D540-3D67-4B20-94DB-DE64F04CAF0E}"/>
    <cellStyle name="Notas 2 3" xfId="233" xr:uid="{A2EBE743-5D31-48B2-8BC7-EDE7B4E19AEF}"/>
    <cellStyle name="Notas 2 4" xfId="234" xr:uid="{0405C17C-3725-444C-8B0A-CEBE0378E821}"/>
    <cellStyle name="Notas 2 5" xfId="235" xr:uid="{675B5C57-00A4-47AA-AFBB-AFF743E11CEB}"/>
    <cellStyle name="Notas 2 6" xfId="236" xr:uid="{6EBF4246-603F-4D7C-B1C0-6E693B6C959A}"/>
    <cellStyle name="Notas 2 7" xfId="237" xr:uid="{70032D46-0E05-45B5-9B63-459BA0467B6C}"/>
    <cellStyle name="Notas 2 8" xfId="238" xr:uid="{1E2E2843-CCEB-4848-A8FB-FA9F92562DFD}"/>
    <cellStyle name="Notas 2 9" xfId="239" xr:uid="{7D7AF10F-E9A1-4945-93A6-EE6C3A258C19}"/>
    <cellStyle name="Notas 3" xfId="240" xr:uid="{DD793ABA-9D78-4473-A5F3-D2A636B33DED}"/>
    <cellStyle name="Notas 3 10" xfId="241" xr:uid="{FE5919A1-F738-46D6-8B3B-18790D928710}"/>
    <cellStyle name="Notas 3 2" xfId="242" xr:uid="{69A34E19-EE0A-4413-89A9-B27CB6486096}"/>
    <cellStyle name="Notas 3 3" xfId="243" xr:uid="{5729F780-3651-41F7-91E6-4A93D35BF8BB}"/>
    <cellStyle name="Notas 3 4" xfId="244" xr:uid="{FA212411-60DB-4599-A143-96C861706A33}"/>
    <cellStyle name="Notas 3 5" xfId="245" xr:uid="{8CC1968F-2639-40ED-879E-062453117133}"/>
    <cellStyle name="Notas 3 6" xfId="246" xr:uid="{2A3F8CE9-9E2D-4116-964C-A775F23EED01}"/>
    <cellStyle name="Notas 3 7" xfId="247" xr:uid="{8CDFB865-DC1D-444D-8DC9-194C60ED6932}"/>
    <cellStyle name="Notas 3 8" xfId="248" xr:uid="{B3A50518-6025-4C73-B9B7-9921B75CCF0C}"/>
    <cellStyle name="Notas 3 9" xfId="249" xr:uid="{7535FBB6-29AE-494D-9573-DD31792CF1AC}"/>
    <cellStyle name="Notas 4" xfId="250" xr:uid="{23EC773E-AFF8-42BD-B786-6481CE618EF0}"/>
    <cellStyle name="Notas 5" xfId="251" xr:uid="{6A4CCE45-7119-4CB8-BE3D-8610535107D0}"/>
    <cellStyle name="Notas 6" xfId="252" xr:uid="{7A1DD253-D268-43C3-A0A0-D73CD90EC0E2}"/>
    <cellStyle name="Notas 7" xfId="253" xr:uid="{A1A06395-A20D-47D0-A19A-FE4D3A42E086}"/>
    <cellStyle name="Porcentaje 2" xfId="294" xr:uid="{04E8E5AB-ECC4-43F4-98B9-8AEA52F95880}"/>
    <cellStyle name="Porcentaje 2 2" xfId="296" xr:uid="{C7FCB015-085A-4093-AD38-0AFCC82AB048}"/>
    <cellStyle name="Porcentaje 3" xfId="297" xr:uid="{647E4D51-0390-4A23-948A-436D23C64AB5}"/>
    <cellStyle name="Salida 2" xfId="254" xr:uid="{5CC6535F-55B3-4BCB-AC67-7C2223A9395F}"/>
    <cellStyle name="Salida 3" xfId="255" xr:uid="{B11E402F-E12E-443C-A8A4-ACDBFC4F8CEF}"/>
    <cellStyle name="Salida 4" xfId="256" xr:uid="{5B5F8EBE-C681-46BD-B36C-7741DA6481A5}"/>
    <cellStyle name="Salida 5" xfId="257" xr:uid="{B521A030-9410-4F28-9D35-C02015A18161}"/>
    <cellStyle name="Salida 6" xfId="258" xr:uid="{6B936A89-DCC9-4E70-A06C-68BBD6986F47}"/>
    <cellStyle name="Salida 7" xfId="259" xr:uid="{36C78E8B-BFFC-4FD9-96E6-71856426BC37}"/>
    <cellStyle name="Título 1 2" xfId="260" xr:uid="{B82D457D-AE8C-418C-BCA7-7D3A3B9A2BB0}"/>
    <cellStyle name="Título 1 3" xfId="261" xr:uid="{F714082D-BC31-469C-9420-CB0A6C9002FF}"/>
    <cellStyle name="Título 1 4" xfId="262" xr:uid="{63E8A3B8-AB6E-4DA4-97E6-18B179054F8A}"/>
    <cellStyle name="Título 1 5" xfId="263" xr:uid="{FF42E616-F9EB-4683-AF0F-DB2A98881B34}"/>
    <cellStyle name="Título 1 6" xfId="264" xr:uid="{8DAFADCD-1CFA-433D-98DF-98AF9C698678}"/>
    <cellStyle name="Título 1 7" xfId="265" xr:uid="{25C6F63C-504C-4107-8B7B-37C998B4A250}"/>
    <cellStyle name="Título 2 2" xfId="266" xr:uid="{0D960AA9-A1A2-43A4-A1E2-38ACBEA0592C}"/>
    <cellStyle name="Título 2 3" xfId="267" xr:uid="{D70E1E6F-3A9D-4DA9-B837-0BCBF473FF2D}"/>
    <cellStyle name="Título 2 4" xfId="268" xr:uid="{C59BDDAF-D21F-48E5-97D2-093B19FA05C3}"/>
    <cellStyle name="Título 2 5" xfId="269" xr:uid="{20A43F4E-2339-4EA3-9540-2F2DC8D66F65}"/>
    <cellStyle name="Título 2 6" xfId="270" xr:uid="{28FF0347-7D77-4D08-BBEA-83C8019DCF3C}"/>
    <cellStyle name="Título 2 7" xfId="271" xr:uid="{10B363D2-C504-47F3-9A7B-37AF1B4B14CD}"/>
    <cellStyle name="Título 3 2" xfId="272" xr:uid="{82E2AEB5-6E76-4023-9FA7-F2E78C6F4D0B}"/>
    <cellStyle name="Título 3 3" xfId="273" xr:uid="{65D756A3-86BE-4732-BF3D-05BD949DC348}"/>
    <cellStyle name="Título 3 4" xfId="274" xr:uid="{B45CB747-4B14-422E-9D5F-F9569881F7C2}"/>
    <cellStyle name="Título 3 5" xfId="275" xr:uid="{9DF27387-4432-40E7-9131-8D3367336EE3}"/>
    <cellStyle name="Título 3 6" xfId="276" xr:uid="{00A79928-2ED8-44CB-B263-8088B57DDFCD}"/>
    <cellStyle name="Título 3 7" xfId="277" xr:uid="{6032C1DB-CC50-4F4D-B877-752ABFA75DC3}"/>
    <cellStyle name="Título 4" xfId="278" xr:uid="{5AAA7874-6B0C-4599-B540-F4A27CC1179F}"/>
    <cellStyle name="Título 5" xfId="279" xr:uid="{84851FE9-A29B-483F-91F7-E4FAE717ADC5}"/>
    <cellStyle name="Título 6" xfId="280" xr:uid="{7725E05C-97A7-4D5A-B07E-49C29493E099}"/>
    <cellStyle name="Título 7" xfId="281" xr:uid="{C0CAE911-7668-49FF-B044-0F5557B382E4}"/>
    <cellStyle name="Título 8" xfId="282" xr:uid="{09F3A0A7-6B12-49D4-9A94-AB3933947155}"/>
    <cellStyle name="Título 9" xfId="283" xr:uid="{32EB1DD0-FA33-4EEA-8139-CA5FA377B9C1}"/>
    <cellStyle name="Total 2" xfId="284" xr:uid="{0C644CFD-41D3-4C7D-A453-F6EC0E72DBEC}"/>
    <cellStyle name="Total 3" xfId="285" xr:uid="{13E6B7E9-794A-4E80-8490-3ACCFD1AD839}"/>
    <cellStyle name="Total 4" xfId="286" xr:uid="{9A7E7608-694A-44DE-B96C-BF6FDB35A085}"/>
    <cellStyle name="Total 5" xfId="287" xr:uid="{5AC5083C-5C72-4B54-A03F-193241B1E107}"/>
    <cellStyle name="Total 6" xfId="288" xr:uid="{E544C8CE-F6A0-4D96-874E-24BA2BB1B429}"/>
    <cellStyle name="Total 7" xfId="289" xr:uid="{F26B765F-C1BE-438F-9D04-3CE3DA4A6338}"/>
  </cellStyles>
  <dxfs count="64">
    <dxf>
      <font>
        <color rgb="FFFF0000"/>
      </font>
    </dxf>
    <dxf>
      <font>
        <color rgb="FFFF0000"/>
      </font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rgb="FFCC00F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rgb="FFF89028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B899C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4C0000"/>
          <bgColor rgb="FF4C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74203BE-0510-4662-83B7-105D2A8BDC5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A89786D-C92C-4C30-9806-F2DE76E917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EB12410-D9FC-465E-931F-D741D049396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8CCDC9C-EB4F-4001-8C28-56A5AEDD8D1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AEF8F64-079B-465B-A538-0B9F7B0C80AE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579C1C9-4810-41A1-A231-7803713A84A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F63AB01-BD7C-48E8-A0B5-7ACABE415AC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DE2044B-2433-402A-96EB-4FB50B9D409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038A7EB-0019-408F-BEC4-A6AEFD72496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071FDF3-72E3-4B62-A557-105A9068B2C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263B383-5AA5-43A2-997E-8DC336CDB6C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7188D8A-2BEB-49F2-815D-5EFB6706D48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2428B40-95BB-48EE-8264-A9DB2CAB99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4A0ADA-CECB-4175-BC78-42FA6F1FEC4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7C32F93-37BD-4B2E-8DBF-9E74E5C14A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B0AB0B7-653F-47EF-9FF6-627F020270A7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B123E18-8D97-4C1D-ADBB-B16ABC6E7E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EBFE905-9723-4F42-96AC-EBB911BB376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0AEE02-11CC-4955-A965-ACF801700F5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B090E9-D2D5-42A6-860E-AB603CBF67E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C91AD4F-8BA9-44F2-B14C-B9B35050EB2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76E7B38-7757-4C57-9199-830A7ECA874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A6C8B6-73F4-45BA-8983-1E7B7E5410E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79DEE59-1867-45A2-956B-5A1BF5AEA1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98C1331-A6BB-4F73-ACBC-E2680972FA06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1E1E2F7-C141-4ACE-BD12-0772689B193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96FE0D3-FFDB-4C47-8ED0-88B4296E2A6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8177A36F-E203-4404-8F87-24678E5A99D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797D582-A587-4F80-A938-25C389DEE00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6761CF7-BB75-4A73-8E92-371CD31FA86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C04E63A-8EB9-4E7E-BEF2-2021BEA39DD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CA3DAC-91C7-4D12-8F5B-8D52F18E842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AB5607E-68A9-4572-B586-4A79502310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0FFA5-C076-4D39-ADDC-C2EEAC289C7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5F5775C-B18B-4227-AF1E-ACCE965307F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38EF546-3698-4EEF-B106-5A4AE8A79B9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AAD7108-0F03-462D-947F-18208348673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B475EBE-EE7C-420A-AB99-1AD70F0D89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1C0657F-3ADF-482E-B1A4-EA7E2C05D3B2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E30FBB5-08BF-4DBC-A008-03A9BD1175C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C543E3C-A0EE-4719-BC03-0F71D3906B3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87AF4E6-61B9-4921-8CC3-7DF017AA0FE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D28E5F1-1C2B-4F81-88D8-037D8A57E0F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5192A01-8155-46AA-BA03-EA2444049C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4E66D12-EBA7-4192-95EA-3082EB125B1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876E795-94D3-4C7B-8E1F-F2EE659F8E26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8845F57B-60EF-46CF-9105-C26E830DAA5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FF9EFB8-5092-429E-A6B8-E41D2D09435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D0BE33F-3A33-4E45-B935-3AC069B0473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CF6A11A-79C2-47E4-B754-AC4CBCB69A6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B15FEA2-A4A6-4905-86BD-8C7023420CA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AD74009-2271-49EF-8B17-1EDCFED75D1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D4A01B5-6038-47FE-B4B7-D0FAF40E560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6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85F6EA7-178C-400C-AC56-10E0BF16961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6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00DF644-96C1-4FB8-9A13-96A5393CBB7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EE1AABC-9065-47FF-8559-1B3E45166435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2CA984-C157-45B8-A290-3BA9433629EF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D4C835A-2597-4D64-8155-7139C0310ED4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CA745B-6FB5-4F6C-BED4-6A7F4050EEE9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55D3F-5C9E-426B-82B4-A4729021AE2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42743F2-C73E-4B3C-A273-3AD4106BF7C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45E05A5-E117-4828-B7FA-D3999002318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897D4BC-65FC-4AED-A32A-317FC9114AB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DB493C-2C90-4528-BE84-7FDE2C07C6CA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4D93C2A-D6CF-49EB-97C6-A8285321B2E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BAB70CD-A7DF-49C1-B06B-A501B2D033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A662F61-72EA-4D3A-AAA5-736E169D2AE0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772320-CF12-4FBE-9660-F6995292AC9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1CDB6C-B749-47A3-BFB1-2403D3BA4F15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98A9B28-5259-4AFE-ADD3-48A4510836D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CDE7535-47BB-4811-B249-E4F1FD7CE57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A048572-A1EC-4A39-9D7B-F4B2A425483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F535C30-58B2-4275-B140-8A15E73B4FE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F379AD8-74A8-482C-AF1C-61C82735AF81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D5DA024-ADE6-4D40-AE95-D081A902206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42005AC-7D01-49FB-819B-2A7FCD90DCE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AE68145-4E54-44A3-8AE6-7DA0EC8E71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D74E35B-F019-46F9-AA98-644CA38EFD03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50FB1D-A231-44E3-8DEE-CACD6E673E59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BFA0143-7521-45E3-B14F-F94713C0E28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405B9E6-A7FA-4056-89B5-5DC5D375D2CD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82F38E1-E79E-4B3A-B2CA-21E340A03A3D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2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9952411-55BE-4256-9904-17A9D418A320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3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EC274C6-61EC-43C2-9DEA-E8723C5C27EF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8148F01-9A5E-474C-9AE4-C78D43689078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3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74E9F4E-5B56-4683-BDB5-04879188890C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3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1FFDEB8-D41A-46FB-A49B-4D679917C0E1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489C289-2BC7-4B3D-8BFA-3335B8768E0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10B70F5-2EBA-467B-824B-78F8C5A19790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3267118-81C9-4758-8D15-A5FD12113990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3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F74C7C7-E1BE-4651-819A-BD477F8C8AA8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3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1FA37E6-8882-49DA-A63D-4BBE89906FC9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FDE9-722C-46E8-8D00-BCBE248054F5}">
  <dimension ref="A1:BD698"/>
  <sheetViews>
    <sheetView workbookViewId="0">
      <selection activeCell="D14" sqref="D14"/>
    </sheetView>
  </sheetViews>
  <sheetFormatPr baseColWidth="10" defaultRowHeight="12.75" x14ac:dyDescent="0.2"/>
  <sheetData>
    <row r="1" spans="1:56" ht="75" x14ac:dyDescent="0.2">
      <c r="A1" s="119" t="s">
        <v>1011</v>
      </c>
      <c r="B1" s="107" t="s">
        <v>1012</v>
      </c>
      <c r="C1" s="107" t="s">
        <v>2600</v>
      </c>
      <c r="D1" s="119" t="s">
        <v>1013</v>
      </c>
      <c r="E1" s="119" t="s">
        <v>1014</v>
      </c>
      <c r="F1" s="119" t="s">
        <v>1015</v>
      </c>
      <c r="G1" s="107" t="s">
        <v>2601</v>
      </c>
      <c r="H1" s="119" t="s">
        <v>1016</v>
      </c>
      <c r="I1" s="107" t="s">
        <v>1627</v>
      </c>
      <c r="J1" s="119" t="s">
        <v>1017</v>
      </c>
      <c r="K1" s="119" t="s">
        <v>1018</v>
      </c>
      <c r="L1" s="107" t="s">
        <v>1019</v>
      </c>
      <c r="M1" s="107" t="s">
        <v>1020</v>
      </c>
      <c r="N1" s="107" t="s">
        <v>1021</v>
      </c>
      <c r="O1" s="107" t="s">
        <v>1022</v>
      </c>
      <c r="P1" s="107" t="s">
        <v>1023</v>
      </c>
      <c r="Q1" s="107" t="s">
        <v>1024</v>
      </c>
      <c r="R1" s="107" t="s">
        <v>1025</v>
      </c>
      <c r="S1" s="107" t="s">
        <v>1026</v>
      </c>
      <c r="T1" s="107" t="s">
        <v>2602</v>
      </c>
      <c r="U1" s="107" t="s">
        <v>2603</v>
      </c>
      <c r="V1" s="107" t="s">
        <v>2604</v>
      </c>
      <c r="W1" s="107" t="s">
        <v>2605</v>
      </c>
      <c r="X1" s="107" t="s">
        <v>2606</v>
      </c>
      <c r="Y1" s="107" t="s">
        <v>2607</v>
      </c>
      <c r="Z1" s="107" t="s">
        <v>2608</v>
      </c>
      <c r="AA1" s="119" t="s">
        <v>2609</v>
      </c>
      <c r="AB1" s="119" t="s">
        <v>2610</v>
      </c>
      <c r="AC1" s="119" t="s">
        <v>1027</v>
      </c>
      <c r="AD1" s="119" t="s">
        <v>1028</v>
      </c>
      <c r="AE1" s="119" t="s">
        <v>2611</v>
      </c>
      <c r="AF1" s="119" t="s">
        <v>2612</v>
      </c>
      <c r="AG1" s="119" t="s">
        <v>2613</v>
      </c>
      <c r="AH1" s="119" t="s">
        <v>1029</v>
      </c>
      <c r="AI1" s="119" t="s">
        <v>2614</v>
      </c>
      <c r="AJ1" s="119" t="s">
        <v>2615</v>
      </c>
      <c r="AK1" s="119" t="s">
        <v>2616</v>
      </c>
      <c r="AL1" s="119" t="s">
        <v>2617</v>
      </c>
      <c r="AM1" s="119" t="s">
        <v>2618</v>
      </c>
      <c r="AN1" s="119" t="s">
        <v>2619</v>
      </c>
      <c r="AO1" s="119" t="s">
        <v>2620</v>
      </c>
      <c r="AP1" s="119" t="s">
        <v>2621</v>
      </c>
      <c r="AQ1" s="120" t="s">
        <v>1030</v>
      </c>
      <c r="AR1" s="120" t="s">
        <v>1031</v>
      </c>
      <c r="AS1" s="120" t="s">
        <v>1032</v>
      </c>
      <c r="AT1" s="120" t="s">
        <v>1033</v>
      </c>
      <c r="AU1" s="120" t="s">
        <v>1034</v>
      </c>
      <c r="AV1" s="120" t="s">
        <v>1035</v>
      </c>
      <c r="AW1" s="120" t="s">
        <v>1036</v>
      </c>
      <c r="AX1" s="120" t="s">
        <v>1037</v>
      </c>
      <c r="AY1" s="120" t="s">
        <v>1038</v>
      </c>
      <c r="AZ1" s="120" t="s">
        <v>1039</v>
      </c>
      <c r="BA1" s="120" t="s">
        <v>1040</v>
      </c>
      <c r="BB1" s="120" t="s">
        <v>1015</v>
      </c>
      <c r="BC1" s="120" t="s">
        <v>1041</v>
      </c>
      <c r="BD1" s="120" t="s">
        <v>1042</v>
      </c>
    </row>
    <row r="2" spans="1:56" x14ac:dyDescent="0.2">
      <c r="A2" s="56">
        <v>176541809</v>
      </c>
      <c r="B2" s="56" t="s">
        <v>2622</v>
      </c>
      <c r="C2" s="56" t="s">
        <v>2623</v>
      </c>
      <c r="D2" s="56" t="s">
        <v>1070</v>
      </c>
      <c r="E2" s="56" t="s">
        <v>1044</v>
      </c>
      <c r="F2" s="56">
        <v>17</v>
      </c>
      <c r="G2" s="56"/>
      <c r="H2" s="56">
        <v>15192</v>
      </c>
      <c r="I2" s="56">
        <v>6</v>
      </c>
      <c r="J2" s="56" t="s">
        <v>1045</v>
      </c>
      <c r="K2" s="56" t="s">
        <v>1058</v>
      </c>
      <c r="L2" s="121">
        <v>46265</v>
      </c>
      <c r="M2" s="122">
        <v>0.19444444444444445</v>
      </c>
      <c r="N2" s="122">
        <v>0.19791666666666666</v>
      </c>
      <c r="O2" s="56" t="s">
        <v>1047</v>
      </c>
      <c r="P2" s="121">
        <v>46265</v>
      </c>
      <c r="Q2" s="122">
        <v>0.25</v>
      </c>
      <c r="R2" s="122">
        <v>0.24675925925925926</v>
      </c>
      <c r="S2" s="56" t="s">
        <v>1047</v>
      </c>
      <c r="T2" s="56">
        <v>1</v>
      </c>
      <c r="U2" s="56">
        <v>37</v>
      </c>
      <c r="V2" s="56">
        <v>33.03</v>
      </c>
      <c r="W2" s="56">
        <v>34.409999999999997</v>
      </c>
      <c r="X2" s="56" t="s">
        <v>2624</v>
      </c>
      <c r="Y2" s="56" t="s">
        <v>2624</v>
      </c>
      <c r="Z2" s="56" t="s">
        <v>2624</v>
      </c>
      <c r="AA2" s="56" t="s">
        <v>2625</v>
      </c>
      <c r="AB2" s="56">
        <v>14122103</v>
      </c>
      <c r="AC2" s="56" t="s">
        <v>2625</v>
      </c>
      <c r="AD2" s="56">
        <v>14122103</v>
      </c>
      <c r="AE2" s="56" t="s">
        <v>2626</v>
      </c>
      <c r="AF2" s="56" t="s">
        <v>2627</v>
      </c>
      <c r="AG2" s="56" t="s">
        <v>2627</v>
      </c>
      <c r="AH2" s="56">
        <v>36</v>
      </c>
      <c r="AI2" s="56" t="s">
        <v>2628</v>
      </c>
      <c r="AJ2" s="56" t="s">
        <v>2629</v>
      </c>
      <c r="AK2" s="56">
        <v>815</v>
      </c>
      <c r="AL2" s="56" t="s">
        <v>2630</v>
      </c>
      <c r="AM2" s="56" t="s">
        <v>2631</v>
      </c>
      <c r="AN2" s="56" t="s">
        <v>2632</v>
      </c>
      <c r="AO2" s="56" t="s">
        <v>2627</v>
      </c>
      <c r="AP2" s="56" t="s">
        <v>2624</v>
      </c>
      <c r="AQ2" s="123">
        <v>3.4722222222222099E-3</v>
      </c>
      <c r="AR2" s="122">
        <v>-3.2407407407407385E-3</v>
      </c>
      <c r="AS2" s="56" t="s">
        <v>1048</v>
      </c>
      <c r="AT2" s="56" t="s">
        <v>1049</v>
      </c>
      <c r="AU2" s="56" t="s">
        <v>1050</v>
      </c>
      <c r="AV2" s="56">
        <v>36</v>
      </c>
      <c r="AW2" s="56" t="s">
        <v>1051</v>
      </c>
      <c r="AX2" s="56" t="s">
        <v>1071</v>
      </c>
      <c r="AY2" s="56" t="s">
        <v>1061</v>
      </c>
      <c r="AZ2" s="56" t="s">
        <v>1062</v>
      </c>
      <c r="BA2" s="56" t="s">
        <v>1072</v>
      </c>
      <c r="BB2" s="56" t="s">
        <v>1073</v>
      </c>
      <c r="BC2" s="56" t="s">
        <v>1057</v>
      </c>
      <c r="BD2" s="56" t="s">
        <v>2633</v>
      </c>
    </row>
    <row r="3" spans="1:56" x14ac:dyDescent="0.2">
      <c r="A3" s="56">
        <v>176536422</v>
      </c>
      <c r="B3" s="56" t="s">
        <v>1787</v>
      </c>
      <c r="C3" s="56" t="s">
        <v>2623</v>
      </c>
      <c r="D3" s="56" t="s">
        <v>1788</v>
      </c>
      <c r="E3" s="56" t="s">
        <v>1044</v>
      </c>
      <c r="F3" s="56">
        <v>317</v>
      </c>
      <c r="G3" s="56"/>
      <c r="H3" s="56">
        <v>13900</v>
      </c>
      <c r="I3" s="56">
        <v>6</v>
      </c>
      <c r="J3" s="56" t="s">
        <v>1045</v>
      </c>
      <c r="K3" s="56" t="s">
        <v>1064</v>
      </c>
      <c r="L3" s="121">
        <v>46265</v>
      </c>
      <c r="M3" s="122">
        <v>0.2013888888888889</v>
      </c>
      <c r="N3" s="122">
        <v>0.20555555555555555</v>
      </c>
      <c r="O3" s="56" t="s">
        <v>1047</v>
      </c>
      <c r="P3" s="121">
        <v>46265</v>
      </c>
      <c r="Q3" s="122">
        <v>0.2673611111111111</v>
      </c>
      <c r="R3" s="122">
        <v>0.24967592592592591</v>
      </c>
      <c r="S3" s="56" t="s">
        <v>1047</v>
      </c>
      <c r="T3" s="56">
        <v>1</v>
      </c>
      <c r="U3" s="56">
        <v>47</v>
      </c>
      <c r="V3" s="56">
        <v>41.37</v>
      </c>
      <c r="W3" s="56">
        <v>43.66</v>
      </c>
      <c r="X3" s="56" t="s">
        <v>2624</v>
      </c>
      <c r="Y3" s="56" t="s">
        <v>2624</v>
      </c>
      <c r="Z3" s="56" t="s">
        <v>2624</v>
      </c>
      <c r="AA3" s="56" t="s">
        <v>904</v>
      </c>
      <c r="AB3" s="56">
        <v>14123635</v>
      </c>
      <c r="AC3" s="56" t="s">
        <v>904</v>
      </c>
      <c r="AD3" s="56">
        <v>14123635</v>
      </c>
      <c r="AE3" s="56" t="s">
        <v>2626</v>
      </c>
      <c r="AF3" s="56" t="s">
        <v>2627</v>
      </c>
      <c r="AG3" s="56" t="s">
        <v>2627</v>
      </c>
      <c r="AH3" s="56">
        <v>36</v>
      </c>
      <c r="AI3" s="56" t="s">
        <v>2628</v>
      </c>
      <c r="AJ3" s="56" t="s">
        <v>2629</v>
      </c>
      <c r="AK3" s="56">
        <v>530.63</v>
      </c>
      <c r="AL3" s="56" t="s">
        <v>2630</v>
      </c>
      <c r="AM3" s="56" t="s">
        <v>2631</v>
      </c>
      <c r="AN3" s="56" t="s">
        <v>2632</v>
      </c>
      <c r="AO3" s="56" t="s">
        <v>2627</v>
      </c>
      <c r="AP3" s="56">
        <v>24</v>
      </c>
      <c r="AQ3" s="123">
        <v>4.1666666666666519E-3</v>
      </c>
      <c r="AR3" s="122">
        <v>-1.7685185185185193E-2</v>
      </c>
      <c r="AS3" s="56" t="s">
        <v>1048</v>
      </c>
      <c r="AT3" s="56" t="s">
        <v>1049</v>
      </c>
      <c r="AU3" s="56" t="s">
        <v>1050</v>
      </c>
      <c r="AV3" s="56">
        <v>36</v>
      </c>
      <c r="AW3" s="56" t="s">
        <v>1051</v>
      </c>
      <c r="AX3" s="56" t="s">
        <v>1789</v>
      </c>
      <c r="AY3" s="56" t="s">
        <v>1066</v>
      </c>
      <c r="AZ3" s="56" t="s">
        <v>1067</v>
      </c>
      <c r="BA3" s="56" t="s">
        <v>1790</v>
      </c>
      <c r="BB3" s="56" t="s">
        <v>1791</v>
      </c>
      <c r="BC3" s="56" t="s">
        <v>1057</v>
      </c>
      <c r="BD3" s="56" t="s">
        <v>1792</v>
      </c>
    </row>
    <row r="4" spans="1:56" x14ac:dyDescent="0.2">
      <c r="A4" s="56">
        <v>176543622</v>
      </c>
      <c r="B4" s="56" t="s">
        <v>2634</v>
      </c>
      <c r="C4" s="56" t="s">
        <v>2623</v>
      </c>
      <c r="D4" s="56" t="s">
        <v>2635</v>
      </c>
      <c r="E4" s="56" t="s">
        <v>1044</v>
      </c>
      <c r="F4" s="56">
        <v>24</v>
      </c>
      <c r="G4" s="56"/>
      <c r="H4" s="56">
        <v>15786</v>
      </c>
      <c r="I4" s="56">
        <v>6</v>
      </c>
      <c r="J4" s="56" t="s">
        <v>1045</v>
      </c>
      <c r="K4" s="56" t="s">
        <v>1046</v>
      </c>
      <c r="L4" s="121">
        <v>46265</v>
      </c>
      <c r="M4" s="122">
        <v>0.2013888888888889</v>
      </c>
      <c r="N4" s="122">
        <v>0.20694444444444443</v>
      </c>
      <c r="O4" s="56" t="s">
        <v>1047</v>
      </c>
      <c r="P4" s="121">
        <v>46265</v>
      </c>
      <c r="Q4" s="122">
        <v>0.26041666666666669</v>
      </c>
      <c r="R4" s="122">
        <v>0.25042824074074072</v>
      </c>
      <c r="S4" s="56" t="s">
        <v>1047</v>
      </c>
      <c r="T4" s="56">
        <v>1</v>
      </c>
      <c r="U4" s="56">
        <v>67</v>
      </c>
      <c r="V4" s="56">
        <v>59.86</v>
      </c>
      <c r="W4" s="56">
        <v>59.45</v>
      </c>
      <c r="X4" s="56" t="s">
        <v>2624</v>
      </c>
      <c r="Y4" s="56" t="s">
        <v>2624</v>
      </c>
      <c r="Z4" s="56" t="s">
        <v>2624</v>
      </c>
      <c r="AA4" s="56" t="s">
        <v>203</v>
      </c>
      <c r="AB4" s="56">
        <v>14118501</v>
      </c>
      <c r="AC4" s="56" t="s">
        <v>203</v>
      </c>
      <c r="AD4" s="56">
        <v>14118501</v>
      </c>
      <c r="AE4" s="56" t="s">
        <v>2626</v>
      </c>
      <c r="AF4" s="56" t="s">
        <v>2627</v>
      </c>
      <c r="AG4" s="56" t="s">
        <v>2627</v>
      </c>
      <c r="AH4" s="56">
        <v>36</v>
      </c>
      <c r="AI4" s="56" t="s">
        <v>2628</v>
      </c>
      <c r="AJ4" s="56" t="s">
        <v>2629</v>
      </c>
      <c r="AK4" s="56">
        <v>0</v>
      </c>
      <c r="AL4" s="56" t="s">
        <v>2630</v>
      </c>
      <c r="AM4" s="56" t="s">
        <v>2631</v>
      </c>
      <c r="AN4" s="56" t="s">
        <v>2632</v>
      </c>
      <c r="AO4" s="56" t="s">
        <v>2627</v>
      </c>
      <c r="AP4" s="56" t="s">
        <v>2624</v>
      </c>
      <c r="AQ4" s="123">
        <v>5.5555555555555358E-3</v>
      </c>
      <c r="AR4" s="122">
        <v>-9.98842592592597E-3</v>
      </c>
      <c r="AS4" s="56" t="s">
        <v>1048</v>
      </c>
      <c r="AT4" s="56" t="s">
        <v>1049</v>
      </c>
      <c r="AU4" s="56" t="s">
        <v>1050</v>
      </c>
      <c r="AV4" s="56">
        <v>36</v>
      </c>
      <c r="AW4" s="56" t="s">
        <v>1051</v>
      </c>
      <c r="AX4" s="56" t="s">
        <v>2636</v>
      </c>
      <c r="AY4" s="56" t="s">
        <v>1053</v>
      </c>
      <c r="AZ4" s="56" t="s">
        <v>1054</v>
      </c>
      <c r="BA4" s="56" t="s">
        <v>2637</v>
      </c>
      <c r="BB4" s="56" t="s">
        <v>2638</v>
      </c>
      <c r="BC4" s="56" t="s">
        <v>1057</v>
      </c>
      <c r="BD4" s="56" t="s">
        <v>2639</v>
      </c>
    </row>
    <row r="5" spans="1:56" x14ac:dyDescent="0.2">
      <c r="A5" s="56">
        <v>176549835</v>
      </c>
      <c r="B5" s="56" t="s">
        <v>2151</v>
      </c>
      <c r="C5" s="56" t="s">
        <v>2623</v>
      </c>
      <c r="D5" s="56" t="s">
        <v>2152</v>
      </c>
      <c r="E5" s="56" t="s">
        <v>1044</v>
      </c>
      <c r="F5" s="56">
        <v>503</v>
      </c>
      <c r="G5" s="56"/>
      <c r="H5" s="56">
        <v>13416</v>
      </c>
      <c r="I5" s="56">
        <v>6</v>
      </c>
      <c r="J5" s="56" t="s">
        <v>1045</v>
      </c>
      <c r="K5" s="56" t="s">
        <v>1064</v>
      </c>
      <c r="L5" s="121">
        <v>46265</v>
      </c>
      <c r="M5" s="122">
        <v>0.2013888888888889</v>
      </c>
      <c r="N5" s="122">
        <v>0.24097222222222223</v>
      </c>
      <c r="O5" s="56" t="s">
        <v>1047</v>
      </c>
      <c r="P5" s="121">
        <v>46265</v>
      </c>
      <c r="Q5" s="122">
        <v>0.2673611111111111</v>
      </c>
      <c r="R5" s="122">
        <v>0.30763888888888891</v>
      </c>
      <c r="S5" s="56" t="s">
        <v>1047</v>
      </c>
      <c r="T5" s="56">
        <v>1</v>
      </c>
      <c r="U5" s="56">
        <v>42</v>
      </c>
      <c r="V5" s="56">
        <v>35.33</v>
      </c>
      <c r="W5" s="56">
        <v>34.07</v>
      </c>
      <c r="X5" s="56">
        <v>56.23</v>
      </c>
      <c r="Y5" s="56">
        <v>16.91</v>
      </c>
      <c r="Z5" s="56">
        <v>5.25</v>
      </c>
      <c r="AA5" s="56" t="s">
        <v>51</v>
      </c>
      <c r="AB5" s="56">
        <v>14106368</v>
      </c>
      <c r="AC5" s="56" t="s">
        <v>51</v>
      </c>
      <c r="AD5" s="56">
        <v>14106368</v>
      </c>
      <c r="AE5" s="56" t="s">
        <v>2626</v>
      </c>
      <c r="AF5" s="56" t="s">
        <v>2627</v>
      </c>
      <c r="AG5" s="56" t="s">
        <v>2627</v>
      </c>
      <c r="AH5" s="56">
        <v>36</v>
      </c>
      <c r="AI5" s="56" t="s">
        <v>2628</v>
      </c>
      <c r="AJ5" s="56" t="s">
        <v>2640</v>
      </c>
      <c r="AK5" s="56">
        <v>0</v>
      </c>
      <c r="AL5" s="56" t="s">
        <v>2630</v>
      </c>
      <c r="AM5" s="56" t="s">
        <v>2631</v>
      </c>
      <c r="AN5" s="56" t="s">
        <v>2632</v>
      </c>
      <c r="AO5" s="56" t="s">
        <v>2627</v>
      </c>
      <c r="AP5" s="56" t="s">
        <v>2624</v>
      </c>
      <c r="AQ5" s="123">
        <v>3.9583333333333331E-2</v>
      </c>
      <c r="AR5" s="122">
        <v>4.0277777777777801E-2</v>
      </c>
      <c r="AS5" s="56" t="s">
        <v>1048</v>
      </c>
      <c r="AT5" s="56" t="s">
        <v>1059</v>
      </c>
      <c r="AU5" s="56" t="s">
        <v>1060</v>
      </c>
      <c r="AV5" s="56">
        <v>36</v>
      </c>
      <c r="AW5" s="56" t="s">
        <v>1051</v>
      </c>
      <c r="AX5" s="56" t="s">
        <v>2153</v>
      </c>
      <c r="AY5" s="56" t="s">
        <v>1066</v>
      </c>
      <c r="AZ5" s="56" t="s">
        <v>1067</v>
      </c>
      <c r="BA5" s="56" t="s">
        <v>2154</v>
      </c>
      <c r="BB5" s="56" t="s">
        <v>2155</v>
      </c>
      <c r="BC5" s="56" t="s">
        <v>1057</v>
      </c>
      <c r="BD5" s="56" t="s">
        <v>2156</v>
      </c>
    </row>
    <row r="6" spans="1:56" x14ac:dyDescent="0.2">
      <c r="A6" s="56">
        <v>176531117</v>
      </c>
      <c r="B6" s="56" t="s">
        <v>1752</v>
      </c>
      <c r="C6" s="56" t="s">
        <v>2623</v>
      </c>
      <c r="D6" s="56" t="s">
        <v>1547</v>
      </c>
      <c r="E6" s="56" t="s">
        <v>1044</v>
      </c>
      <c r="F6" s="56">
        <v>61</v>
      </c>
      <c r="G6" s="56"/>
      <c r="H6" s="56">
        <v>16744</v>
      </c>
      <c r="I6" s="56">
        <v>6</v>
      </c>
      <c r="J6" s="56" t="s">
        <v>1045</v>
      </c>
      <c r="K6" s="56" t="s">
        <v>1064</v>
      </c>
      <c r="L6" s="121">
        <v>46265</v>
      </c>
      <c r="M6" s="122">
        <v>0.20833333333333334</v>
      </c>
      <c r="N6" s="122">
        <v>0.21319444444444444</v>
      </c>
      <c r="O6" s="56" t="s">
        <v>1047</v>
      </c>
      <c r="P6" s="121">
        <v>46265</v>
      </c>
      <c r="Q6" s="122">
        <v>0.2673611111111111</v>
      </c>
      <c r="R6" s="122">
        <v>0.25465277777777778</v>
      </c>
      <c r="S6" s="56" t="s">
        <v>1047</v>
      </c>
      <c r="T6" s="56">
        <v>1</v>
      </c>
      <c r="U6" s="56">
        <v>46</v>
      </c>
      <c r="V6" s="56">
        <v>42.96</v>
      </c>
      <c r="W6" s="56">
        <v>40.450000000000003</v>
      </c>
      <c r="X6" s="56" t="s">
        <v>2624</v>
      </c>
      <c r="Y6" s="56" t="s">
        <v>2624</v>
      </c>
      <c r="Z6" s="56" t="s">
        <v>2624</v>
      </c>
      <c r="AA6" s="56" t="s">
        <v>270</v>
      </c>
      <c r="AB6" s="56">
        <v>14119956</v>
      </c>
      <c r="AC6" s="56" t="s">
        <v>270</v>
      </c>
      <c r="AD6" s="56">
        <v>14119956</v>
      </c>
      <c r="AE6" s="56" t="s">
        <v>2626</v>
      </c>
      <c r="AF6" s="56" t="s">
        <v>2627</v>
      </c>
      <c r="AG6" s="56" t="s">
        <v>2627</v>
      </c>
      <c r="AH6" s="56">
        <v>36</v>
      </c>
      <c r="AI6" s="56" t="s">
        <v>2628</v>
      </c>
      <c r="AJ6" s="56" t="s">
        <v>2629</v>
      </c>
      <c r="AK6" s="56">
        <v>530.63</v>
      </c>
      <c r="AL6" s="56" t="s">
        <v>2630</v>
      </c>
      <c r="AM6" s="56" t="s">
        <v>2631</v>
      </c>
      <c r="AN6" s="56" t="s">
        <v>2632</v>
      </c>
      <c r="AO6" s="56" t="s">
        <v>2627</v>
      </c>
      <c r="AP6" s="56" t="s">
        <v>2624</v>
      </c>
      <c r="AQ6" s="123">
        <v>4.8611111111110938E-3</v>
      </c>
      <c r="AR6" s="122">
        <v>-1.2708333333333321E-2</v>
      </c>
      <c r="AS6" s="56" t="s">
        <v>1048</v>
      </c>
      <c r="AT6" s="56" t="s">
        <v>1049</v>
      </c>
      <c r="AU6" s="56" t="s">
        <v>1050</v>
      </c>
      <c r="AV6" s="56">
        <v>36</v>
      </c>
      <c r="AW6" s="56" t="s">
        <v>1051</v>
      </c>
      <c r="AX6" s="56" t="s">
        <v>1548</v>
      </c>
      <c r="AY6" s="56" t="s">
        <v>1066</v>
      </c>
      <c r="AZ6" s="56" t="s">
        <v>1067</v>
      </c>
      <c r="BA6" s="56" t="s">
        <v>1549</v>
      </c>
      <c r="BB6" s="56" t="s">
        <v>1550</v>
      </c>
      <c r="BC6" s="56" t="s">
        <v>1057</v>
      </c>
      <c r="BD6" s="56" t="s">
        <v>1753</v>
      </c>
    </row>
    <row r="7" spans="1:56" x14ac:dyDescent="0.2">
      <c r="A7" s="56">
        <v>176538845</v>
      </c>
      <c r="B7" s="56" t="s">
        <v>2266</v>
      </c>
      <c r="C7" s="56" t="s">
        <v>2623</v>
      </c>
      <c r="D7" s="56" t="s">
        <v>2267</v>
      </c>
      <c r="E7" s="56" t="s">
        <v>1044</v>
      </c>
      <c r="F7" s="56">
        <v>108</v>
      </c>
      <c r="G7" s="56"/>
      <c r="H7" s="56">
        <v>5672</v>
      </c>
      <c r="I7" s="56">
        <v>6</v>
      </c>
      <c r="J7" s="56" t="s">
        <v>1045</v>
      </c>
      <c r="K7" s="56" t="s">
        <v>1079</v>
      </c>
      <c r="L7" s="121">
        <v>46265</v>
      </c>
      <c r="M7" s="122">
        <v>0.20833333333333334</v>
      </c>
      <c r="N7" s="122">
        <v>0.21180555555555555</v>
      </c>
      <c r="O7" s="56" t="s">
        <v>1047</v>
      </c>
      <c r="P7" s="121">
        <v>46265</v>
      </c>
      <c r="Q7" s="122">
        <v>0.2673611111111111</v>
      </c>
      <c r="R7" s="122">
        <v>0.25574074074074077</v>
      </c>
      <c r="S7" s="56" t="s">
        <v>1047</v>
      </c>
      <c r="T7" s="56">
        <v>1</v>
      </c>
      <c r="U7" s="56">
        <v>42</v>
      </c>
      <c r="V7" s="56">
        <v>27.41</v>
      </c>
      <c r="W7" s="56">
        <v>28.63</v>
      </c>
      <c r="X7" s="56" t="s">
        <v>2624</v>
      </c>
      <c r="Y7" s="56" t="s">
        <v>2624</v>
      </c>
      <c r="Z7" s="56" t="s">
        <v>2624</v>
      </c>
      <c r="AA7" s="56" t="s">
        <v>1003</v>
      </c>
      <c r="AB7" s="56">
        <v>14124002</v>
      </c>
      <c r="AC7" s="56" t="s">
        <v>1003</v>
      </c>
      <c r="AD7" s="56">
        <v>14124002</v>
      </c>
      <c r="AE7" s="56" t="s">
        <v>2626</v>
      </c>
      <c r="AF7" s="56" t="s">
        <v>2627</v>
      </c>
      <c r="AG7" s="56" t="s">
        <v>2627</v>
      </c>
      <c r="AH7" s="56">
        <v>36</v>
      </c>
      <c r="AI7" s="56" t="s">
        <v>2628</v>
      </c>
      <c r="AJ7" s="56" t="s">
        <v>2629</v>
      </c>
      <c r="AK7" s="56">
        <v>0</v>
      </c>
      <c r="AL7" s="56" t="s">
        <v>2630</v>
      </c>
      <c r="AM7" s="56" t="s">
        <v>2631</v>
      </c>
      <c r="AN7" s="56" t="s">
        <v>2632</v>
      </c>
      <c r="AO7" s="56" t="s">
        <v>2627</v>
      </c>
      <c r="AP7" s="56">
        <v>36</v>
      </c>
      <c r="AQ7" s="123">
        <v>3.4722222222222099E-3</v>
      </c>
      <c r="AR7" s="122">
        <v>-1.1620370370370336E-2</v>
      </c>
      <c r="AS7" s="56" t="s">
        <v>1048</v>
      </c>
      <c r="AT7" s="56" t="s">
        <v>1049</v>
      </c>
      <c r="AU7" s="56" t="s">
        <v>1050</v>
      </c>
      <c r="AV7" s="56">
        <v>36</v>
      </c>
      <c r="AW7" s="56" t="s">
        <v>1051</v>
      </c>
      <c r="AX7" s="56" t="s">
        <v>2268</v>
      </c>
      <c r="AY7" s="56" t="s">
        <v>1081</v>
      </c>
      <c r="AZ7" s="56" t="s">
        <v>1067</v>
      </c>
      <c r="BA7" s="56" t="s">
        <v>2269</v>
      </c>
      <c r="BB7" s="56" t="s">
        <v>2270</v>
      </c>
      <c r="BC7" s="56" t="s">
        <v>1057</v>
      </c>
      <c r="BD7" s="56" t="s">
        <v>2271</v>
      </c>
    </row>
    <row r="8" spans="1:56" x14ac:dyDescent="0.2">
      <c r="A8" s="56">
        <v>176545517</v>
      </c>
      <c r="B8" s="56" t="s">
        <v>1355</v>
      </c>
      <c r="C8" s="56" t="s">
        <v>2623</v>
      </c>
      <c r="D8" s="56" t="s">
        <v>1298</v>
      </c>
      <c r="E8" s="56" t="s">
        <v>1044</v>
      </c>
      <c r="F8" s="56">
        <v>204</v>
      </c>
      <c r="G8" s="56"/>
      <c r="H8" s="56">
        <v>7915</v>
      </c>
      <c r="I8" s="56">
        <v>6</v>
      </c>
      <c r="J8" s="56" t="s">
        <v>1045</v>
      </c>
      <c r="K8" s="56" t="s">
        <v>1079</v>
      </c>
      <c r="L8" s="121">
        <v>46265</v>
      </c>
      <c r="M8" s="122">
        <v>0.20833333333333334</v>
      </c>
      <c r="N8" s="122">
        <v>0.21458333333333332</v>
      </c>
      <c r="O8" s="56" t="s">
        <v>1047</v>
      </c>
      <c r="P8" s="121">
        <v>46265</v>
      </c>
      <c r="Q8" s="122">
        <v>0.2673611111111111</v>
      </c>
      <c r="R8" s="122">
        <v>0.24138888888888888</v>
      </c>
      <c r="S8" s="56" t="s">
        <v>1047</v>
      </c>
      <c r="T8" s="56">
        <v>1</v>
      </c>
      <c r="U8" s="56">
        <v>37</v>
      </c>
      <c r="V8" s="56">
        <v>32.020000000000003</v>
      </c>
      <c r="W8" s="56">
        <v>28.59</v>
      </c>
      <c r="X8" s="56" t="s">
        <v>2624</v>
      </c>
      <c r="Y8" s="56" t="s">
        <v>2624</v>
      </c>
      <c r="Z8" s="56" t="s">
        <v>2624</v>
      </c>
      <c r="AA8" s="56" t="s">
        <v>982</v>
      </c>
      <c r="AB8" s="56">
        <v>14123894</v>
      </c>
      <c r="AC8" s="56" t="s">
        <v>982</v>
      </c>
      <c r="AD8" s="56">
        <v>14123894</v>
      </c>
      <c r="AE8" s="56" t="s">
        <v>2626</v>
      </c>
      <c r="AF8" s="56" t="s">
        <v>2627</v>
      </c>
      <c r="AG8" s="56" t="s">
        <v>2627</v>
      </c>
      <c r="AH8" s="56">
        <v>36</v>
      </c>
      <c r="AI8" s="56" t="s">
        <v>2628</v>
      </c>
      <c r="AJ8" s="56" t="s">
        <v>2629</v>
      </c>
      <c r="AK8" s="56">
        <v>0</v>
      </c>
      <c r="AL8" s="56" t="s">
        <v>2630</v>
      </c>
      <c r="AM8" s="56" t="s">
        <v>2631</v>
      </c>
      <c r="AN8" s="56" t="s">
        <v>2632</v>
      </c>
      <c r="AO8" s="56" t="s">
        <v>2627</v>
      </c>
      <c r="AP8" s="56" t="s">
        <v>2624</v>
      </c>
      <c r="AQ8" s="123">
        <v>6.2499999999999778E-3</v>
      </c>
      <c r="AR8" s="122">
        <v>-2.597222222222223E-2</v>
      </c>
      <c r="AS8" s="56" t="s">
        <v>1048</v>
      </c>
      <c r="AT8" s="56" t="s">
        <v>1049</v>
      </c>
      <c r="AU8" s="56" t="s">
        <v>1050</v>
      </c>
      <c r="AV8" s="56">
        <v>36</v>
      </c>
      <c r="AW8" s="56" t="s">
        <v>1051</v>
      </c>
      <c r="AX8" s="56" t="s">
        <v>1299</v>
      </c>
      <c r="AY8" s="56" t="s">
        <v>1081</v>
      </c>
      <c r="AZ8" s="56" t="s">
        <v>1067</v>
      </c>
      <c r="BA8" s="56" t="s">
        <v>1300</v>
      </c>
      <c r="BB8" s="56" t="s">
        <v>1301</v>
      </c>
      <c r="BC8" s="56" t="s">
        <v>1057</v>
      </c>
      <c r="BD8" s="56" t="s">
        <v>1356</v>
      </c>
    </row>
    <row r="9" spans="1:56" x14ac:dyDescent="0.2">
      <c r="A9" s="56">
        <v>176551668</v>
      </c>
      <c r="B9" s="56" t="s">
        <v>2641</v>
      </c>
      <c r="C9" s="56" t="s">
        <v>2623</v>
      </c>
      <c r="D9" s="56" t="s">
        <v>1178</v>
      </c>
      <c r="E9" s="56" t="s">
        <v>1044</v>
      </c>
      <c r="F9" s="56">
        <v>9</v>
      </c>
      <c r="G9" s="56"/>
      <c r="H9" s="56">
        <v>4533</v>
      </c>
      <c r="I9" s="56">
        <v>6</v>
      </c>
      <c r="J9" s="56" t="s">
        <v>1045</v>
      </c>
      <c r="K9" s="56" t="s">
        <v>2048</v>
      </c>
      <c r="L9" s="121">
        <v>46265</v>
      </c>
      <c r="M9" s="122">
        <v>0.20833333333333334</v>
      </c>
      <c r="N9" s="122">
        <v>0.21319444444444444</v>
      </c>
      <c r="O9" s="56" t="s">
        <v>1047</v>
      </c>
      <c r="P9" s="121">
        <v>46265</v>
      </c>
      <c r="Q9" s="122">
        <v>0.23958333333333334</v>
      </c>
      <c r="R9" s="122">
        <v>0.23645833333333333</v>
      </c>
      <c r="S9" s="56" t="s">
        <v>1047</v>
      </c>
      <c r="T9" s="56">
        <v>1</v>
      </c>
      <c r="U9" s="56">
        <v>21</v>
      </c>
      <c r="V9" s="56">
        <v>18.63</v>
      </c>
      <c r="W9" s="56">
        <v>18.690000000000001</v>
      </c>
      <c r="X9" s="56" t="s">
        <v>2624</v>
      </c>
      <c r="Y9" s="56" t="s">
        <v>2624</v>
      </c>
      <c r="Z9" s="56" t="s">
        <v>2624</v>
      </c>
      <c r="AA9" s="56" t="s">
        <v>551</v>
      </c>
      <c r="AB9" s="56">
        <v>14123572</v>
      </c>
      <c r="AC9" s="56" t="s">
        <v>551</v>
      </c>
      <c r="AD9" s="56">
        <v>14123572</v>
      </c>
      <c r="AE9" s="56" t="s">
        <v>2626</v>
      </c>
      <c r="AF9" s="56" t="s">
        <v>2627</v>
      </c>
      <c r="AG9" s="56" t="s">
        <v>2627</v>
      </c>
      <c r="AH9" s="56">
        <v>36</v>
      </c>
      <c r="AI9" s="56" t="s">
        <v>2628</v>
      </c>
      <c r="AJ9" s="56" t="s">
        <v>2629</v>
      </c>
      <c r="AK9" s="56" t="s">
        <v>2624</v>
      </c>
      <c r="AL9" s="56" t="s">
        <v>2630</v>
      </c>
      <c r="AM9" s="56" t="s">
        <v>2632</v>
      </c>
      <c r="AN9" s="56" t="s">
        <v>2632</v>
      </c>
      <c r="AO9" s="56" t="s">
        <v>2627</v>
      </c>
      <c r="AP9" s="56" t="s">
        <v>2624</v>
      </c>
      <c r="AQ9" s="123">
        <v>4.8611111111110938E-3</v>
      </c>
      <c r="AR9" s="122">
        <v>-3.1250000000000167E-3</v>
      </c>
      <c r="AS9" s="56" t="s">
        <v>1048</v>
      </c>
      <c r="AT9" s="56" t="s">
        <v>1049</v>
      </c>
      <c r="AU9" s="56" t="s">
        <v>1050</v>
      </c>
      <c r="AV9" s="56">
        <v>36</v>
      </c>
      <c r="AW9" s="56" t="s">
        <v>1051</v>
      </c>
      <c r="AX9" s="56" t="s">
        <v>2642</v>
      </c>
      <c r="AY9" s="56" t="s">
        <v>1124</v>
      </c>
      <c r="AZ9" s="56" t="s">
        <v>1054</v>
      </c>
      <c r="BA9" s="56" t="s">
        <v>2643</v>
      </c>
      <c r="BB9" s="56" t="e">
        <v>#N/A</v>
      </c>
      <c r="BC9" s="56" t="s">
        <v>1057</v>
      </c>
      <c r="BD9" s="56" t="s">
        <v>2644</v>
      </c>
    </row>
    <row r="10" spans="1:56" x14ac:dyDescent="0.2">
      <c r="A10" s="56">
        <v>176548304</v>
      </c>
      <c r="B10" s="56" t="s">
        <v>2040</v>
      </c>
      <c r="C10" s="56" t="s">
        <v>2623</v>
      </c>
      <c r="D10" s="56" t="s">
        <v>2041</v>
      </c>
      <c r="E10" s="56" t="s">
        <v>1044</v>
      </c>
      <c r="F10" s="56">
        <v>51</v>
      </c>
      <c r="G10" s="56"/>
      <c r="H10" s="56">
        <v>4431</v>
      </c>
      <c r="I10" s="56">
        <v>6</v>
      </c>
      <c r="J10" s="56" t="s">
        <v>1045</v>
      </c>
      <c r="K10" s="56" t="s">
        <v>1075</v>
      </c>
      <c r="L10" s="121">
        <v>46265</v>
      </c>
      <c r="M10" s="122">
        <v>0.21041666666666667</v>
      </c>
      <c r="N10" s="122">
        <v>0.21458333333333332</v>
      </c>
      <c r="O10" s="56" t="s">
        <v>1047</v>
      </c>
      <c r="P10" s="121">
        <v>46265</v>
      </c>
      <c r="Q10" s="122">
        <v>0.2673611111111111</v>
      </c>
      <c r="R10" s="122">
        <v>0.25692129629629629</v>
      </c>
      <c r="S10" s="56" t="s">
        <v>1047</v>
      </c>
      <c r="T10" s="56">
        <v>1</v>
      </c>
      <c r="U10" s="56">
        <v>41</v>
      </c>
      <c r="V10" s="56">
        <v>36.56</v>
      </c>
      <c r="W10" s="56">
        <v>35.659999999999997</v>
      </c>
      <c r="X10" s="56" t="s">
        <v>2624</v>
      </c>
      <c r="Y10" s="56" t="s">
        <v>2624</v>
      </c>
      <c r="Z10" s="56" t="s">
        <v>2624</v>
      </c>
      <c r="AA10" s="56" t="s">
        <v>1149</v>
      </c>
      <c r="AB10" s="56">
        <v>14102875</v>
      </c>
      <c r="AC10" s="56" t="s">
        <v>1149</v>
      </c>
      <c r="AD10" s="56">
        <v>14102875</v>
      </c>
      <c r="AE10" s="56" t="s">
        <v>2626</v>
      </c>
      <c r="AF10" s="56" t="s">
        <v>2627</v>
      </c>
      <c r="AG10" s="56" t="s">
        <v>2627</v>
      </c>
      <c r="AH10" s="56">
        <v>36</v>
      </c>
      <c r="AI10" s="56" t="s">
        <v>2628</v>
      </c>
      <c r="AJ10" s="56" t="s">
        <v>2629</v>
      </c>
      <c r="AK10" s="56">
        <v>0</v>
      </c>
      <c r="AL10" s="56" t="s">
        <v>2630</v>
      </c>
      <c r="AM10" s="56" t="s">
        <v>2631</v>
      </c>
      <c r="AN10" s="56" t="s">
        <v>2632</v>
      </c>
      <c r="AO10" s="56" t="s">
        <v>2627</v>
      </c>
      <c r="AP10" s="56" t="s">
        <v>2624</v>
      </c>
      <c r="AQ10" s="123">
        <v>4.1666666666666519E-3</v>
      </c>
      <c r="AR10" s="122">
        <v>-1.0439814814814818E-2</v>
      </c>
      <c r="AS10" s="56" t="s">
        <v>1048</v>
      </c>
      <c r="AT10" s="56" t="s">
        <v>1049</v>
      </c>
      <c r="AU10" s="56" t="s">
        <v>1050</v>
      </c>
      <c r="AV10" s="56">
        <v>36</v>
      </c>
      <c r="AW10" s="56" t="s">
        <v>1051</v>
      </c>
      <c r="AX10" s="56" t="s">
        <v>2042</v>
      </c>
      <c r="AY10" s="56" t="s">
        <v>1076</v>
      </c>
      <c r="AZ10" s="56" t="s">
        <v>1067</v>
      </c>
      <c r="BA10" s="56" t="s">
        <v>2043</v>
      </c>
      <c r="BB10" s="56" t="s">
        <v>2044</v>
      </c>
      <c r="BC10" s="56" t="s">
        <v>1057</v>
      </c>
      <c r="BD10" s="56" t="s">
        <v>2045</v>
      </c>
    </row>
    <row r="11" spans="1:56" x14ac:dyDescent="0.2">
      <c r="A11" s="56">
        <v>176540220</v>
      </c>
      <c r="B11" s="56" t="s">
        <v>2645</v>
      </c>
      <c r="C11" s="56" t="s">
        <v>2623</v>
      </c>
      <c r="D11" s="56" t="s">
        <v>2646</v>
      </c>
      <c r="E11" s="56" t="s">
        <v>1044</v>
      </c>
      <c r="F11" s="56">
        <v>12</v>
      </c>
      <c r="G11" s="56"/>
      <c r="H11" s="56">
        <v>9700</v>
      </c>
      <c r="I11" s="56">
        <v>6</v>
      </c>
      <c r="J11" s="56" t="s">
        <v>1045</v>
      </c>
      <c r="K11" s="56" t="s">
        <v>1181</v>
      </c>
      <c r="L11" s="121">
        <v>46265</v>
      </c>
      <c r="M11" s="122">
        <v>0.21249999999999999</v>
      </c>
      <c r="N11" s="122">
        <v>0.21597222222222223</v>
      </c>
      <c r="O11" s="56" t="s">
        <v>1047</v>
      </c>
      <c r="P11" s="121">
        <v>46265</v>
      </c>
      <c r="Q11" s="122">
        <v>0.24652777777777779</v>
      </c>
      <c r="R11" s="122">
        <v>0.2388888888888889</v>
      </c>
      <c r="S11" s="56" t="s">
        <v>1047</v>
      </c>
      <c r="T11" s="56">
        <v>1</v>
      </c>
      <c r="U11" s="56">
        <v>18</v>
      </c>
      <c r="V11" s="56">
        <v>13.62</v>
      </c>
      <c r="W11" s="56">
        <v>14.08</v>
      </c>
      <c r="X11" s="56">
        <v>26.52</v>
      </c>
      <c r="Y11" s="56">
        <v>12.08</v>
      </c>
      <c r="Z11" s="56">
        <v>0.36</v>
      </c>
      <c r="AA11" s="56" t="s">
        <v>487</v>
      </c>
      <c r="AB11" s="56">
        <v>14123107</v>
      </c>
      <c r="AC11" s="56" t="s">
        <v>487</v>
      </c>
      <c r="AD11" s="56">
        <v>14123107</v>
      </c>
      <c r="AE11" s="56" t="s">
        <v>2626</v>
      </c>
      <c r="AF11" s="56" t="s">
        <v>2627</v>
      </c>
      <c r="AG11" s="56" t="s">
        <v>2627</v>
      </c>
      <c r="AH11" s="56">
        <v>36</v>
      </c>
      <c r="AI11" s="56" t="s">
        <v>2628</v>
      </c>
      <c r="AJ11" s="56" t="s">
        <v>2629</v>
      </c>
      <c r="AK11" s="56">
        <v>408.1</v>
      </c>
      <c r="AL11" s="56" t="s">
        <v>2630</v>
      </c>
      <c r="AM11" s="56" t="s">
        <v>2631</v>
      </c>
      <c r="AN11" s="56" t="s">
        <v>2632</v>
      </c>
      <c r="AO11" s="56" t="s">
        <v>2627</v>
      </c>
      <c r="AP11" s="56" t="s">
        <v>2624</v>
      </c>
      <c r="AQ11" s="123">
        <v>3.4722222222222376E-3</v>
      </c>
      <c r="AR11" s="122">
        <v>-7.6388888888888895E-3</v>
      </c>
      <c r="AS11" s="56" t="s">
        <v>1048</v>
      </c>
      <c r="AT11" s="56" t="s">
        <v>1049</v>
      </c>
      <c r="AU11" s="56" t="s">
        <v>1050</v>
      </c>
      <c r="AV11" s="56">
        <v>36</v>
      </c>
      <c r="AW11" s="56" t="s">
        <v>1051</v>
      </c>
      <c r="AX11" s="56" t="s">
        <v>2647</v>
      </c>
      <c r="AY11" s="56" t="s">
        <v>1140</v>
      </c>
      <c r="AZ11" s="56" t="s">
        <v>1062</v>
      </c>
      <c r="BA11" s="56" t="s">
        <v>2648</v>
      </c>
      <c r="BB11" s="56" t="s">
        <v>2649</v>
      </c>
      <c r="BC11" s="56" t="s">
        <v>1057</v>
      </c>
      <c r="BD11" s="56" t="s">
        <v>2650</v>
      </c>
    </row>
    <row r="12" spans="1:56" x14ac:dyDescent="0.2">
      <c r="A12" s="56">
        <v>176538871</v>
      </c>
      <c r="B12" s="56" t="s">
        <v>2651</v>
      </c>
      <c r="C12" s="56" t="s">
        <v>2623</v>
      </c>
      <c r="D12" s="56" t="s">
        <v>2652</v>
      </c>
      <c r="E12" s="56" t="s">
        <v>1044</v>
      </c>
      <c r="F12" s="56">
        <v>119</v>
      </c>
      <c r="G12" s="56"/>
      <c r="H12" s="56">
        <v>5771</v>
      </c>
      <c r="I12" s="56">
        <v>6</v>
      </c>
      <c r="J12" s="56" t="s">
        <v>1045</v>
      </c>
      <c r="K12" s="56" t="s">
        <v>1079</v>
      </c>
      <c r="L12" s="121">
        <v>46265</v>
      </c>
      <c r="M12" s="122">
        <v>0.21527777777777779</v>
      </c>
      <c r="N12" s="122">
        <v>0.22083333333333333</v>
      </c>
      <c r="O12" s="56" t="s">
        <v>1047</v>
      </c>
      <c r="P12" s="121">
        <v>46265</v>
      </c>
      <c r="Q12" s="122">
        <v>0.2673611111111111</v>
      </c>
      <c r="R12" s="122">
        <v>0.25721064814814815</v>
      </c>
      <c r="S12" s="56" t="s">
        <v>1047</v>
      </c>
      <c r="T12" s="56">
        <v>1</v>
      </c>
      <c r="U12" s="56">
        <v>38</v>
      </c>
      <c r="V12" s="56">
        <v>35.15</v>
      </c>
      <c r="W12" s="56">
        <v>33.93</v>
      </c>
      <c r="X12" s="56" t="s">
        <v>2624</v>
      </c>
      <c r="Y12" s="56" t="s">
        <v>2624</v>
      </c>
      <c r="Z12" s="56" t="s">
        <v>2624</v>
      </c>
      <c r="AA12" s="56" t="s">
        <v>256</v>
      </c>
      <c r="AB12" s="56">
        <v>14116853</v>
      </c>
      <c r="AC12" s="56" t="s">
        <v>256</v>
      </c>
      <c r="AD12" s="56">
        <v>14116853</v>
      </c>
      <c r="AE12" s="56" t="s">
        <v>2626</v>
      </c>
      <c r="AF12" s="56" t="s">
        <v>2627</v>
      </c>
      <c r="AG12" s="56" t="s">
        <v>2627</v>
      </c>
      <c r="AH12" s="56">
        <v>36</v>
      </c>
      <c r="AI12" s="56" t="s">
        <v>2628</v>
      </c>
      <c r="AJ12" s="56" t="s">
        <v>2629</v>
      </c>
      <c r="AK12" s="56">
        <v>0</v>
      </c>
      <c r="AL12" s="56" t="s">
        <v>2630</v>
      </c>
      <c r="AM12" s="56" t="s">
        <v>2631</v>
      </c>
      <c r="AN12" s="56" t="s">
        <v>2632</v>
      </c>
      <c r="AO12" s="56" t="s">
        <v>2627</v>
      </c>
      <c r="AP12" s="56" t="s">
        <v>2624</v>
      </c>
      <c r="AQ12" s="123">
        <v>5.5555555555555358E-3</v>
      </c>
      <c r="AR12" s="122">
        <v>-1.0150462962962958E-2</v>
      </c>
      <c r="AS12" s="56" t="s">
        <v>1048</v>
      </c>
      <c r="AT12" s="56" t="s">
        <v>1049</v>
      </c>
      <c r="AU12" s="56" t="s">
        <v>1050</v>
      </c>
      <c r="AV12" s="56">
        <v>36</v>
      </c>
      <c r="AW12" s="56" t="s">
        <v>1051</v>
      </c>
      <c r="AX12" s="56" t="s">
        <v>2653</v>
      </c>
      <c r="AY12" s="56" t="s">
        <v>1081</v>
      </c>
      <c r="AZ12" s="56" t="s">
        <v>1067</v>
      </c>
      <c r="BA12" s="56" t="s">
        <v>2654</v>
      </c>
      <c r="BB12" s="56" t="s">
        <v>2655</v>
      </c>
      <c r="BC12" s="56" t="s">
        <v>1057</v>
      </c>
      <c r="BD12" s="56" t="s">
        <v>2656</v>
      </c>
    </row>
    <row r="13" spans="1:56" x14ac:dyDescent="0.2">
      <c r="A13" s="56">
        <v>176551758</v>
      </c>
      <c r="B13" s="56" t="s">
        <v>2046</v>
      </c>
      <c r="C13" s="56" t="s">
        <v>2623</v>
      </c>
      <c r="D13" s="56" t="s">
        <v>2047</v>
      </c>
      <c r="E13" s="56" t="s">
        <v>1044</v>
      </c>
      <c r="F13" s="56">
        <v>12</v>
      </c>
      <c r="G13" s="56"/>
      <c r="H13" s="56">
        <v>7345</v>
      </c>
      <c r="I13" s="56">
        <v>6</v>
      </c>
      <c r="J13" s="56" t="s">
        <v>1045</v>
      </c>
      <c r="K13" s="56" t="s">
        <v>2048</v>
      </c>
      <c r="L13" s="121">
        <v>46265</v>
      </c>
      <c r="M13" s="122">
        <v>0.21527777777777779</v>
      </c>
      <c r="N13" s="122">
        <v>0.22430555555555556</v>
      </c>
      <c r="O13" s="56" t="s">
        <v>1047</v>
      </c>
      <c r="P13" s="121">
        <v>46265</v>
      </c>
      <c r="Q13" s="122">
        <v>0.23958333333333334</v>
      </c>
      <c r="R13" s="122">
        <v>0.23768518518518519</v>
      </c>
      <c r="S13" s="56" t="s">
        <v>1047</v>
      </c>
      <c r="T13" s="56">
        <v>1</v>
      </c>
      <c r="U13" s="56">
        <v>17</v>
      </c>
      <c r="V13" s="56">
        <v>14.46</v>
      </c>
      <c r="W13" s="56">
        <v>14</v>
      </c>
      <c r="X13" s="56" t="s">
        <v>2624</v>
      </c>
      <c r="Y13" s="56" t="s">
        <v>2624</v>
      </c>
      <c r="Z13" s="56" t="s">
        <v>2624</v>
      </c>
      <c r="AA13" s="56" t="s">
        <v>180</v>
      </c>
      <c r="AB13" s="56">
        <v>14117542</v>
      </c>
      <c r="AC13" s="56" t="s">
        <v>180</v>
      </c>
      <c r="AD13" s="56">
        <v>14117542</v>
      </c>
      <c r="AE13" s="56" t="s">
        <v>2626</v>
      </c>
      <c r="AF13" s="56" t="s">
        <v>2627</v>
      </c>
      <c r="AG13" s="56" t="s">
        <v>2627</v>
      </c>
      <c r="AH13" s="56">
        <v>36</v>
      </c>
      <c r="AI13" s="56" t="s">
        <v>2628</v>
      </c>
      <c r="AJ13" s="56" t="s">
        <v>2629</v>
      </c>
      <c r="AK13" s="56" t="s">
        <v>2624</v>
      </c>
      <c r="AL13" s="56" t="s">
        <v>2630</v>
      </c>
      <c r="AM13" s="56" t="s">
        <v>2632</v>
      </c>
      <c r="AN13" s="56" t="s">
        <v>2632</v>
      </c>
      <c r="AO13" s="56" t="s">
        <v>2627</v>
      </c>
      <c r="AP13" s="56" t="s">
        <v>2624</v>
      </c>
      <c r="AQ13" s="123">
        <v>9.0277777777777735E-3</v>
      </c>
      <c r="AR13" s="122">
        <v>-1.8981481481481488E-3</v>
      </c>
      <c r="AS13" s="56" t="s">
        <v>1048</v>
      </c>
      <c r="AT13" s="56" t="s">
        <v>1049</v>
      </c>
      <c r="AU13" s="56" t="s">
        <v>1050</v>
      </c>
      <c r="AV13" s="56">
        <v>36</v>
      </c>
      <c r="AW13" s="56" t="s">
        <v>1051</v>
      </c>
      <c r="AX13" s="56" t="s">
        <v>2049</v>
      </c>
      <c r="AY13" s="56" t="s">
        <v>1124</v>
      </c>
      <c r="AZ13" s="56" t="s">
        <v>1054</v>
      </c>
      <c r="BA13" s="56" t="s">
        <v>2050</v>
      </c>
      <c r="BB13" s="56" t="e">
        <v>#N/A</v>
      </c>
      <c r="BC13" s="56" t="s">
        <v>1057</v>
      </c>
      <c r="BD13" s="56" t="s">
        <v>2051</v>
      </c>
    </row>
    <row r="14" spans="1:56" x14ac:dyDescent="0.2">
      <c r="A14" s="56">
        <v>176538767</v>
      </c>
      <c r="B14" s="56" t="s">
        <v>2163</v>
      </c>
      <c r="C14" s="56" t="s">
        <v>2623</v>
      </c>
      <c r="D14" s="56" t="s">
        <v>1532</v>
      </c>
      <c r="E14" s="56" t="s">
        <v>1044</v>
      </c>
      <c r="F14" s="56">
        <v>80</v>
      </c>
      <c r="G14" s="56"/>
      <c r="H14" s="56">
        <v>13375</v>
      </c>
      <c r="I14" s="56">
        <v>6</v>
      </c>
      <c r="J14" s="56" t="s">
        <v>1045</v>
      </c>
      <c r="K14" s="56" t="s">
        <v>1079</v>
      </c>
      <c r="L14" s="121">
        <v>46265</v>
      </c>
      <c r="M14" s="122">
        <v>0.21875</v>
      </c>
      <c r="N14" s="122">
        <v>0.2326388888888889</v>
      </c>
      <c r="O14" s="56" t="s">
        <v>1047</v>
      </c>
      <c r="P14" s="121">
        <v>46265</v>
      </c>
      <c r="Q14" s="122">
        <v>0.2673611111111111</v>
      </c>
      <c r="R14" s="122">
        <v>0.25234953703703705</v>
      </c>
      <c r="S14" s="56" t="s">
        <v>1047</v>
      </c>
      <c r="T14" s="56">
        <v>1</v>
      </c>
      <c r="U14" s="56">
        <v>36</v>
      </c>
      <c r="V14" s="56">
        <v>22.36</v>
      </c>
      <c r="W14" s="56">
        <v>12.93</v>
      </c>
      <c r="X14" s="56" t="s">
        <v>2624</v>
      </c>
      <c r="Y14" s="56" t="s">
        <v>2624</v>
      </c>
      <c r="Z14" s="56" t="s">
        <v>2624</v>
      </c>
      <c r="AA14" s="56" t="s">
        <v>237</v>
      </c>
      <c r="AB14" s="56">
        <v>14117509</v>
      </c>
      <c r="AC14" s="56" t="s">
        <v>237</v>
      </c>
      <c r="AD14" s="56">
        <v>14117509</v>
      </c>
      <c r="AE14" s="56" t="s">
        <v>2626</v>
      </c>
      <c r="AF14" s="56" t="s">
        <v>2627</v>
      </c>
      <c r="AG14" s="56" t="s">
        <v>2627</v>
      </c>
      <c r="AH14" s="56">
        <v>36</v>
      </c>
      <c r="AI14" s="56" t="s">
        <v>2628</v>
      </c>
      <c r="AJ14" s="56" t="s">
        <v>2629</v>
      </c>
      <c r="AK14" s="56">
        <v>0</v>
      </c>
      <c r="AL14" s="56" t="s">
        <v>2630</v>
      </c>
      <c r="AM14" s="56" t="s">
        <v>2631</v>
      </c>
      <c r="AN14" s="56" t="s">
        <v>2632</v>
      </c>
      <c r="AO14" s="56" t="s">
        <v>2627</v>
      </c>
      <c r="AP14" s="56" t="s">
        <v>2624</v>
      </c>
      <c r="AQ14" s="123">
        <v>1.3888888888888895E-2</v>
      </c>
      <c r="AR14" s="122">
        <v>-1.5011574074074052E-2</v>
      </c>
      <c r="AS14" s="56" t="s">
        <v>1048</v>
      </c>
      <c r="AT14" s="56" t="s">
        <v>1049</v>
      </c>
      <c r="AU14" s="56" t="s">
        <v>1050</v>
      </c>
      <c r="AV14" s="56">
        <v>36</v>
      </c>
      <c r="AW14" s="56" t="s">
        <v>1051</v>
      </c>
      <c r="AX14" s="56" t="s">
        <v>1533</v>
      </c>
      <c r="AY14" s="56" t="s">
        <v>1081</v>
      </c>
      <c r="AZ14" s="56" t="s">
        <v>1067</v>
      </c>
      <c r="BA14" s="56" t="s">
        <v>1534</v>
      </c>
      <c r="BB14" s="56" t="s">
        <v>1535</v>
      </c>
      <c r="BC14" s="56" t="s">
        <v>1057</v>
      </c>
      <c r="BD14" s="56" t="s">
        <v>2164</v>
      </c>
    </row>
    <row r="15" spans="1:56" x14ac:dyDescent="0.2">
      <c r="A15" s="56">
        <v>176538838</v>
      </c>
      <c r="B15" s="56" t="s">
        <v>2657</v>
      </c>
      <c r="C15" s="56" t="s">
        <v>2623</v>
      </c>
      <c r="D15" s="56" t="s">
        <v>2658</v>
      </c>
      <c r="E15" s="56" t="s">
        <v>1044</v>
      </c>
      <c r="F15" s="56">
        <v>105</v>
      </c>
      <c r="G15" s="56"/>
      <c r="H15" s="56">
        <v>15993</v>
      </c>
      <c r="I15" s="56">
        <v>6</v>
      </c>
      <c r="J15" s="56" t="s">
        <v>1045</v>
      </c>
      <c r="K15" s="56" t="s">
        <v>1079</v>
      </c>
      <c r="L15" s="121">
        <v>46265</v>
      </c>
      <c r="M15" s="122">
        <v>0.21875</v>
      </c>
      <c r="N15" s="122">
        <v>0.22291666666666668</v>
      </c>
      <c r="O15" s="56" t="s">
        <v>1047</v>
      </c>
      <c r="P15" s="121">
        <v>46265</v>
      </c>
      <c r="Q15" s="122">
        <v>0.2673611111111111</v>
      </c>
      <c r="R15" s="122">
        <v>0.260625</v>
      </c>
      <c r="S15" s="56" t="s">
        <v>1047</v>
      </c>
      <c r="T15" s="56">
        <v>1</v>
      </c>
      <c r="U15" s="56">
        <v>38</v>
      </c>
      <c r="V15" s="56">
        <v>32.090000000000003</v>
      </c>
      <c r="W15" s="56">
        <v>34.450000000000003</v>
      </c>
      <c r="X15" s="56" t="s">
        <v>2624</v>
      </c>
      <c r="Y15" s="56" t="s">
        <v>2624</v>
      </c>
      <c r="Z15" s="56" t="s">
        <v>2624</v>
      </c>
      <c r="AA15" s="56" t="s">
        <v>992</v>
      </c>
      <c r="AB15" s="56">
        <v>14123925</v>
      </c>
      <c r="AC15" s="56" t="s">
        <v>992</v>
      </c>
      <c r="AD15" s="56">
        <v>14123925</v>
      </c>
      <c r="AE15" s="56" t="s">
        <v>2626</v>
      </c>
      <c r="AF15" s="56" t="s">
        <v>2627</v>
      </c>
      <c r="AG15" s="56" t="s">
        <v>2627</v>
      </c>
      <c r="AH15" s="56">
        <v>36</v>
      </c>
      <c r="AI15" s="56" t="s">
        <v>2628</v>
      </c>
      <c r="AJ15" s="56" t="s">
        <v>2629</v>
      </c>
      <c r="AK15" s="56">
        <v>0</v>
      </c>
      <c r="AL15" s="56" t="s">
        <v>2630</v>
      </c>
      <c r="AM15" s="56" t="s">
        <v>2631</v>
      </c>
      <c r="AN15" s="56" t="s">
        <v>2632</v>
      </c>
      <c r="AO15" s="56" t="s">
        <v>2627</v>
      </c>
      <c r="AP15" s="56" t="s">
        <v>2624</v>
      </c>
      <c r="AQ15" s="123">
        <v>4.1666666666666796E-3</v>
      </c>
      <c r="AR15" s="122">
        <v>-6.7361111111111094E-3</v>
      </c>
      <c r="AS15" s="56" t="s">
        <v>1048</v>
      </c>
      <c r="AT15" s="56" t="s">
        <v>1049</v>
      </c>
      <c r="AU15" s="56" t="s">
        <v>1050</v>
      </c>
      <c r="AV15" s="56">
        <v>36</v>
      </c>
      <c r="AW15" s="56" t="s">
        <v>1051</v>
      </c>
      <c r="AX15" s="56" t="s">
        <v>2659</v>
      </c>
      <c r="AY15" s="56" t="s">
        <v>1081</v>
      </c>
      <c r="AZ15" s="56" t="s">
        <v>1067</v>
      </c>
      <c r="BA15" s="56" t="s">
        <v>2660</v>
      </c>
      <c r="BB15" s="56" t="s">
        <v>2661</v>
      </c>
      <c r="BC15" s="56" t="s">
        <v>1057</v>
      </c>
      <c r="BD15" s="56" t="s">
        <v>2662</v>
      </c>
    </row>
    <row r="16" spans="1:56" x14ac:dyDescent="0.2">
      <c r="A16" s="56">
        <v>176548507</v>
      </c>
      <c r="B16" s="56" t="s">
        <v>2663</v>
      </c>
      <c r="C16" s="56" t="s">
        <v>2623</v>
      </c>
      <c r="D16" s="56" t="s">
        <v>1224</v>
      </c>
      <c r="E16" s="56" t="s">
        <v>1044</v>
      </c>
      <c r="F16" s="56">
        <v>227</v>
      </c>
      <c r="G16" s="56"/>
      <c r="H16" s="56">
        <v>4980</v>
      </c>
      <c r="I16" s="56">
        <v>6</v>
      </c>
      <c r="J16" s="56" t="s">
        <v>1045</v>
      </c>
      <c r="K16" s="56" t="s">
        <v>1079</v>
      </c>
      <c r="L16" s="121">
        <v>46265</v>
      </c>
      <c r="M16" s="122">
        <v>0.21875</v>
      </c>
      <c r="N16" s="122">
        <v>0.22430555555555556</v>
      </c>
      <c r="O16" s="56" t="s">
        <v>1047</v>
      </c>
      <c r="P16" s="121">
        <v>46265</v>
      </c>
      <c r="Q16" s="122">
        <v>0.2673611111111111</v>
      </c>
      <c r="R16" s="122">
        <v>0.25645833333333334</v>
      </c>
      <c r="S16" s="56" t="s">
        <v>1047</v>
      </c>
      <c r="T16" s="56">
        <v>1</v>
      </c>
      <c r="U16" s="56">
        <v>30</v>
      </c>
      <c r="V16" s="56">
        <v>24.54</v>
      </c>
      <c r="W16" s="56">
        <v>23.76</v>
      </c>
      <c r="X16" s="56" t="s">
        <v>2624</v>
      </c>
      <c r="Y16" s="56" t="s">
        <v>2624</v>
      </c>
      <c r="Z16" s="56" t="s">
        <v>2624</v>
      </c>
      <c r="AA16" s="56" t="s">
        <v>234</v>
      </c>
      <c r="AB16" s="56">
        <v>14119154</v>
      </c>
      <c r="AC16" s="56" t="s">
        <v>234</v>
      </c>
      <c r="AD16" s="56">
        <v>14119154</v>
      </c>
      <c r="AE16" s="56" t="s">
        <v>2626</v>
      </c>
      <c r="AF16" s="56" t="s">
        <v>2627</v>
      </c>
      <c r="AG16" s="56" t="s">
        <v>2627</v>
      </c>
      <c r="AH16" s="56">
        <v>36</v>
      </c>
      <c r="AI16" s="56" t="s">
        <v>2628</v>
      </c>
      <c r="AJ16" s="56" t="s">
        <v>2629</v>
      </c>
      <c r="AK16" s="56">
        <v>0</v>
      </c>
      <c r="AL16" s="56" t="s">
        <v>2630</v>
      </c>
      <c r="AM16" s="56" t="s">
        <v>2631</v>
      </c>
      <c r="AN16" s="56" t="s">
        <v>2632</v>
      </c>
      <c r="AO16" s="56" t="s">
        <v>2627</v>
      </c>
      <c r="AP16" s="56" t="s">
        <v>2624</v>
      </c>
      <c r="AQ16" s="123">
        <v>5.5555555555555636E-3</v>
      </c>
      <c r="AR16" s="122">
        <v>-1.0902777777777761E-2</v>
      </c>
      <c r="AS16" s="56" t="s">
        <v>1048</v>
      </c>
      <c r="AT16" s="56" t="s">
        <v>1049</v>
      </c>
      <c r="AU16" s="56" t="s">
        <v>1050</v>
      </c>
      <c r="AV16" s="56">
        <v>36</v>
      </c>
      <c r="AW16" s="56" t="s">
        <v>1051</v>
      </c>
      <c r="AX16" s="56" t="s">
        <v>2664</v>
      </c>
      <c r="AY16" s="56" t="s">
        <v>1081</v>
      </c>
      <c r="AZ16" s="56" t="s">
        <v>1067</v>
      </c>
      <c r="BA16" s="56" t="s">
        <v>2665</v>
      </c>
      <c r="BB16" s="56" t="s">
        <v>2666</v>
      </c>
      <c r="BC16" s="56" t="s">
        <v>1057</v>
      </c>
      <c r="BD16" s="56" t="s">
        <v>2667</v>
      </c>
    </row>
    <row r="17" spans="1:56" x14ac:dyDescent="0.2">
      <c r="A17" s="56">
        <v>176538621</v>
      </c>
      <c r="B17" s="56" t="s">
        <v>1511</v>
      </c>
      <c r="C17" s="56" t="s">
        <v>2623</v>
      </c>
      <c r="D17" s="56" t="s">
        <v>1512</v>
      </c>
      <c r="E17" s="56" t="s">
        <v>1044</v>
      </c>
      <c r="F17" s="56">
        <v>33</v>
      </c>
      <c r="G17" s="56"/>
      <c r="H17" s="56">
        <v>16734</v>
      </c>
      <c r="I17" s="56">
        <v>6</v>
      </c>
      <c r="J17" s="56" t="s">
        <v>1045</v>
      </c>
      <c r="K17" s="56" t="s">
        <v>1091</v>
      </c>
      <c r="L17" s="121">
        <v>46265</v>
      </c>
      <c r="M17" s="122">
        <v>0.22222222222222221</v>
      </c>
      <c r="N17" s="122">
        <v>0.23749999999999999</v>
      </c>
      <c r="O17" s="56" t="s">
        <v>1047</v>
      </c>
      <c r="P17" s="121">
        <v>46265</v>
      </c>
      <c r="Q17" s="122">
        <v>0.2673611111111111</v>
      </c>
      <c r="R17" s="122">
        <v>0.27815972222222224</v>
      </c>
      <c r="S17" s="56" t="s">
        <v>1047</v>
      </c>
      <c r="T17" s="56">
        <v>1</v>
      </c>
      <c r="U17" s="56">
        <v>26</v>
      </c>
      <c r="V17" s="56">
        <v>22.25</v>
      </c>
      <c r="W17" s="56">
        <v>23.85</v>
      </c>
      <c r="X17" s="56" t="s">
        <v>2624</v>
      </c>
      <c r="Y17" s="56" t="s">
        <v>2624</v>
      </c>
      <c r="Z17" s="56" t="s">
        <v>2624</v>
      </c>
      <c r="AA17" s="56" t="s">
        <v>68</v>
      </c>
      <c r="AB17" s="56">
        <v>14107967</v>
      </c>
      <c r="AC17" s="56" t="s">
        <v>68</v>
      </c>
      <c r="AD17" s="56">
        <v>14107967</v>
      </c>
      <c r="AE17" s="56" t="s">
        <v>2626</v>
      </c>
      <c r="AF17" s="56" t="s">
        <v>2627</v>
      </c>
      <c r="AG17" s="56" t="s">
        <v>2627</v>
      </c>
      <c r="AH17" s="56">
        <v>36</v>
      </c>
      <c r="AI17" s="56" t="s">
        <v>2628</v>
      </c>
      <c r="AJ17" s="56" t="s">
        <v>2640</v>
      </c>
      <c r="AK17" s="56">
        <v>0</v>
      </c>
      <c r="AL17" s="56" t="s">
        <v>2630</v>
      </c>
      <c r="AM17" s="56" t="s">
        <v>2631</v>
      </c>
      <c r="AN17" s="56" t="s">
        <v>2632</v>
      </c>
      <c r="AO17" s="56" t="s">
        <v>2627</v>
      </c>
      <c r="AP17" s="56" t="s">
        <v>2624</v>
      </c>
      <c r="AQ17" s="123">
        <v>1.5277777777777779E-2</v>
      </c>
      <c r="AR17" s="122">
        <v>1.0798611111111134E-2</v>
      </c>
      <c r="AS17" s="56" t="s">
        <v>1048</v>
      </c>
      <c r="AT17" s="56" t="s">
        <v>1059</v>
      </c>
      <c r="AU17" s="56" t="s">
        <v>1060</v>
      </c>
      <c r="AV17" s="56">
        <v>36</v>
      </c>
      <c r="AW17" s="56" t="s">
        <v>1051</v>
      </c>
      <c r="AX17" s="56" t="s">
        <v>1513</v>
      </c>
      <c r="AY17" s="56" t="s">
        <v>1093</v>
      </c>
      <c r="AZ17" s="56" t="s">
        <v>1067</v>
      </c>
      <c r="BA17" s="56" t="s">
        <v>1514</v>
      </c>
      <c r="BB17" s="56" t="s">
        <v>1515</v>
      </c>
      <c r="BC17" s="56" t="s">
        <v>1057</v>
      </c>
      <c r="BD17" s="56" t="s">
        <v>1516</v>
      </c>
    </row>
    <row r="18" spans="1:56" x14ac:dyDescent="0.2">
      <c r="A18" s="56">
        <v>176545733</v>
      </c>
      <c r="B18" s="56" t="s">
        <v>2668</v>
      </c>
      <c r="C18" s="56" t="s">
        <v>2623</v>
      </c>
      <c r="D18" s="56" t="s">
        <v>2669</v>
      </c>
      <c r="E18" s="56" t="s">
        <v>1044</v>
      </c>
      <c r="F18" s="56">
        <v>77</v>
      </c>
      <c r="G18" s="56" t="s">
        <v>2670</v>
      </c>
      <c r="H18" s="56">
        <v>5527</v>
      </c>
      <c r="I18" s="56">
        <v>6</v>
      </c>
      <c r="J18" s="56" t="s">
        <v>1045</v>
      </c>
      <c r="K18" s="56" t="s">
        <v>1116</v>
      </c>
      <c r="L18" s="121">
        <v>46265</v>
      </c>
      <c r="M18" s="122">
        <v>0.22222222222222221</v>
      </c>
      <c r="N18" s="122">
        <v>0.22569444444444445</v>
      </c>
      <c r="O18" s="56" t="s">
        <v>1047</v>
      </c>
      <c r="P18" s="121">
        <v>46265</v>
      </c>
      <c r="Q18" s="122">
        <v>0.28125</v>
      </c>
      <c r="R18" s="122">
        <v>0.25989583333333333</v>
      </c>
      <c r="S18" s="56" t="s">
        <v>1047</v>
      </c>
      <c r="T18" s="56">
        <v>1</v>
      </c>
      <c r="U18" s="56">
        <v>27</v>
      </c>
      <c r="V18" s="56">
        <v>23.23</v>
      </c>
      <c r="W18" s="56">
        <v>22.66</v>
      </c>
      <c r="X18" s="56" t="s">
        <v>2624</v>
      </c>
      <c r="Y18" s="56" t="s">
        <v>2624</v>
      </c>
      <c r="Z18" s="56" t="s">
        <v>2624</v>
      </c>
      <c r="AA18" s="56" t="s">
        <v>499</v>
      </c>
      <c r="AB18" s="56">
        <v>14123254</v>
      </c>
      <c r="AC18" s="56" t="s">
        <v>499</v>
      </c>
      <c r="AD18" s="56">
        <v>14123254</v>
      </c>
      <c r="AE18" s="56" t="s">
        <v>2626</v>
      </c>
      <c r="AF18" s="56" t="s">
        <v>2627</v>
      </c>
      <c r="AG18" s="56" t="s">
        <v>2627</v>
      </c>
      <c r="AH18" s="56">
        <v>36</v>
      </c>
      <c r="AI18" s="56" t="s">
        <v>2628</v>
      </c>
      <c r="AJ18" s="56" t="s">
        <v>2629</v>
      </c>
      <c r="AK18" s="56">
        <v>0</v>
      </c>
      <c r="AL18" s="56" t="s">
        <v>2630</v>
      </c>
      <c r="AM18" s="56" t="s">
        <v>2631</v>
      </c>
      <c r="AN18" s="56" t="s">
        <v>2632</v>
      </c>
      <c r="AO18" s="56" t="s">
        <v>2627</v>
      </c>
      <c r="AP18" s="56" t="s">
        <v>2624</v>
      </c>
      <c r="AQ18" s="123">
        <v>3.4722222222222376E-3</v>
      </c>
      <c r="AR18" s="122">
        <v>-2.1354166666666674E-2</v>
      </c>
      <c r="AS18" s="56" t="s">
        <v>1048</v>
      </c>
      <c r="AT18" s="56" t="s">
        <v>1049</v>
      </c>
      <c r="AU18" s="56" t="s">
        <v>1050</v>
      </c>
      <c r="AV18" s="56">
        <v>36</v>
      </c>
      <c r="AW18" s="56" t="s">
        <v>1051</v>
      </c>
      <c r="AX18" s="56" t="s">
        <v>2671</v>
      </c>
      <c r="AY18" s="56" t="s">
        <v>1118</v>
      </c>
      <c r="AZ18" s="56" t="s">
        <v>1054</v>
      </c>
      <c r="BA18" s="56" t="s">
        <v>2672</v>
      </c>
      <c r="BB18" s="56" t="s">
        <v>2673</v>
      </c>
      <c r="BC18" s="56" t="s">
        <v>1057</v>
      </c>
      <c r="BD18" s="56" t="s">
        <v>2674</v>
      </c>
    </row>
    <row r="19" spans="1:56" x14ac:dyDescent="0.2">
      <c r="A19" s="56">
        <v>176546909</v>
      </c>
      <c r="B19" s="56" t="s">
        <v>2675</v>
      </c>
      <c r="C19" s="56" t="s">
        <v>2623</v>
      </c>
      <c r="D19" s="56" t="s">
        <v>2676</v>
      </c>
      <c r="E19" s="56" t="s">
        <v>1044</v>
      </c>
      <c r="F19" s="56">
        <v>221</v>
      </c>
      <c r="G19" s="56"/>
      <c r="H19" s="56">
        <v>5423</v>
      </c>
      <c r="I19" s="56">
        <v>6</v>
      </c>
      <c r="J19" s="56" t="s">
        <v>1045</v>
      </c>
      <c r="K19" s="56" t="s">
        <v>1296</v>
      </c>
      <c r="L19" s="121">
        <v>46265</v>
      </c>
      <c r="M19" s="122">
        <v>0.22222222222222221</v>
      </c>
      <c r="N19" s="122">
        <v>0.22708333333333333</v>
      </c>
      <c r="O19" s="56" t="s">
        <v>1047</v>
      </c>
      <c r="P19" s="121">
        <v>46265</v>
      </c>
      <c r="Q19" s="122">
        <v>0.2673611111111111</v>
      </c>
      <c r="R19" s="122">
        <v>0.26046296296296295</v>
      </c>
      <c r="S19" s="56" t="s">
        <v>1047</v>
      </c>
      <c r="T19" s="56">
        <v>1</v>
      </c>
      <c r="U19" s="56">
        <v>12</v>
      </c>
      <c r="V19" s="56">
        <v>17.670000000000002</v>
      </c>
      <c r="W19" s="56">
        <v>17.91</v>
      </c>
      <c r="X19" s="56" t="s">
        <v>2624</v>
      </c>
      <c r="Y19" s="56" t="s">
        <v>2624</v>
      </c>
      <c r="Z19" s="56" t="s">
        <v>2624</v>
      </c>
      <c r="AA19" s="56" t="s">
        <v>993</v>
      </c>
      <c r="AB19" s="56">
        <v>14123926</v>
      </c>
      <c r="AC19" s="56" t="s">
        <v>993</v>
      </c>
      <c r="AD19" s="56">
        <v>14123926</v>
      </c>
      <c r="AE19" s="56" t="s">
        <v>2626</v>
      </c>
      <c r="AF19" s="56" t="s">
        <v>2627</v>
      </c>
      <c r="AG19" s="56" t="s">
        <v>2627</v>
      </c>
      <c r="AH19" s="56">
        <v>36</v>
      </c>
      <c r="AI19" s="56" t="s">
        <v>2628</v>
      </c>
      <c r="AJ19" s="56" t="s">
        <v>2629</v>
      </c>
      <c r="AK19" s="56">
        <v>0</v>
      </c>
      <c r="AL19" s="56" t="s">
        <v>2630</v>
      </c>
      <c r="AM19" s="56" t="s">
        <v>2631</v>
      </c>
      <c r="AN19" s="56" t="s">
        <v>2632</v>
      </c>
      <c r="AO19" s="56" t="s">
        <v>2627</v>
      </c>
      <c r="AP19" s="56">
        <v>49</v>
      </c>
      <c r="AQ19" s="123">
        <v>4.8611111111111216E-3</v>
      </c>
      <c r="AR19" s="122">
        <v>-6.8981481481481532E-3</v>
      </c>
      <c r="AS19" s="56" t="s">
        <v>1048</v>
      </c>
      <c r="AT19" s="56" t="s">
        <v>1049</v>
      </c>
      <c r="AU19" s="56" t="s">
        <v>1050</v>
      </c>
      <c r="AV19" s="56">
        <v>36</v>
      </c>
      <c r="AW19" s="56" t="s">
        <v>1051</v>
      </c>
      <c r="AX19" s="56" t="s">
        <v>2677</v>
      </c>
      <c r="AY19" s="56" t="s">
        <v>1297</v>
      </c>
      <c r="AZ19" s="56" t="s">
        <v>1067</v>
      </c>
      <c r="BA19" s="56" t="s">
        <v>2678</v>
      </c>
      <c r="BB19" s="56" t="s">
        <v>2679</v>
      </c>
      <c r="BC19" s="56" t="s">
        <v>1057</v>
      </c>
      <c r="BD19" s="56" t="s">
        <v>2680</v>
      </c>
    </row>
    <row r="20" spans="1:56" x14ac:dyDescent="0.2">
      <c r="A20" s="56">
        <v>176549079</v>
      </c>
      <c r="B20" s="56" t="s">
        <v>2681</v>
      </c>
      <c r="C20" s="56" t="s">
        <v>2623</v>
      </c>
      <c r="D20" s="56" t="s">
        <v>1180</v>
      </c>
      <c r="E20" s="56" t="s">
        <v>1044</v>
      </c>
      <c r="F20" s="56">
        <v>7</v>
      </c>
      <c r="G20" s="56"/>
      <c r="H20" s="56">
        <v>4984</v>
      </c>
      <c r="I20" s="56">
        <v>6</v>
      </c>
      <c r="J20" s="56" t="s">
        <v>1045</v>
      </c>
      <c r="K20" s="56" t="s">
        <v>2682</v>
      </c>
      <c r="L20" s="121">
        <v>46265</v>
      </c>
      <c r="M20" s="122">
        <v>0.22222222222222221</v>
      </c>
      <c r="N20" s="122">
        <v>0.22638888888888889</v>
      </c>
      <c r="O20" s="56" t="s">
        <v>1047</v>
      </c>
      <c r="P20" s="121">
        <v>46265</v>
      </c>
      <c r="Q20" s="122">
        <v>0.26041666666666669</v>
      </c>
      <c r="R20" s="122">
        <v>0.26502314814814815</v>
      </c>
      <c r="S20" s="56" t="s">
        <v>1047</v>
      </c>
      <c r="T20" s="56">
        <v>1</v>
      </c>
      <c r="U20" s="56">
        <v>21</v>
      </c>
      <c r="V20" s="56">
        <v>17.399999999999999</v>
      </c>
      <c r="W20" s="56">
        <v>17.690000000000001</v>
      </c>
      <c r="X20" s="56" t="s">
        <v>2624</v>
      </c>
      <c r="Y20" s="56" t="s">
        <v>2624</v>
      </c>
      <c r="Z20" s="56" t="s">
        <v>2624</v>
      </c>
      <c r="AA20" s="56" t="s">
        <v>910</v>
      </c>
      <c r="AB20" s="56">
        <v>14123652</v>
      </c>
      <c r="AC20" s="56" t="s">
        <v>910</v>
      </c>
      <c r="AD20" s="56">
        <v>14123652</v>
      </c>
      <c r="AE20" s="56" t="s">
        <v>2626</v>
      </c>
      <c r="AF20" s="56" t="s">
        <v>2627</v>
      </c>
      <c r="AG20" s="56" t="s">
        <v>2627</v>
      </c>
      <c r="AH20" s="56">
        <v>36</v>
      </c>
      <c r="AI20" s="56" t="s">
        <v>2628</v>
      </c>
      <c r="AJ20" s="56" t="s">
        <v>2640</v>
      </c>
      <c r="AK20" s="56">
        <v>0</v>
      </c>
      <c r="AL20" s="56" t="s">
        <v>2630</v>
      </c>
      <c r="AM20" s="56" t="s">
        <v>2631</v>
      </c>
      <c r="AN20" s="56" t="s">
        <v>2632</v>
      </c>
      <c r="AO20" s="56" t="s">
        <v>2627</v>
      </c>
      <c r="AP20" s="56" t="s">
        <v>2624</v>
      </c>
      <c r="AQ20" s="123">
        <v>4.1666666666666796E-3</v>
      </c>
      <c r="AR20" s="122">
        <v>4.6064814814814614E-3</v>
      </c>
      <c r="AS20" s="56" t="s">
        <v>1048</v>
      </c>
      <c r="AT20" s="56" t="s">
        <v>1059</v>
      </c>
      <c r="AU20" s="56" t="s">
        <v>1060</v>
      </c>
      <c r="AV20" s="56">
        <v>36</v>
      </c>
      <c r="AW20" s="56" t="s">
        <v>1051</v>
      </c>
      <c r="AX20" s="56" t="s">
        <v>2683</v>
      </c>
      <c r="AY20" s="56" t="s">
        <v>1140</v>
      </c>
      <c r="AZ20" s="56" t="s">
        <v>1062</v>
      </c>
      <c r="BA20" s="56" t="s">
        <v>2684</v>
      </c>
      <c r="BB20" s="56" t="s">
        <v>2685</v>
      </c>
      <c r="BC20" s="56" t="s">
        <v>1057</v>
      </c>
      <c r="BD20" s="56" t="s">
        <v>2686</v>
      </c>
    </row>
    <row r="21" spans="1:56" x14ac:dyDescent="0.2">
      <c r="A21" s="56">
        <v>176541791</v>
      </c>
      <c r="B21" s="56" t="s">
        <v>2687</v>
      </c>
      <c r="C21" s="56" t="s">
        <v>2623</v>
      </c>
      <c r="D21" s="56" t="s">
        <v>2688</v>
      </c>
      <c r="E21" s="56" t="s">
        <v>1044</v>
      </c>
      <c r="F21" s="56">
        <v>11</v>
      </c>
      <c r="G21" s="56"/>
      <c r="H21" s="56">
        <v>15185</v>
      </c>
      <c r="I21" s="56">
        <v>6</v>
      </c>
      <c r="J21" s="56" t="s">
        <v>1045</v>
      </c>
      <c r="K21" s="56" t="s">
        <v>1058</v>
      </c>
      <c r="L21" s="121">
        <v>46265</v>
      </c>
      <c r="M21" s="122">
        <v>0.22638888888888889</v>
      </c>
      <c r="N21" s="122">
        <v>0.23194444444444445</v>
      </c>
      <c r="O21" s="56" t="s">
        <v>1047</v>
      </c>
      <c r="P21" s="121">
        <v>46265</v>
      </c>
      <c r="Q21" s="122">
        <v>0.25</v>
      </c>
      <c r="R21" s="122">
        <v>0.24733796296296295</v>
      </c>
      <c r="S21" s="56" t="s">
        <v>1047</v>
      </c>
      <c r="T21" s="56">
        <v>1</v>
      </c>
      <c r="U21" s="56">
        <v>14</v>
      </c>
      <c r="V21" s="56">
        <v>9.91</v>
      </c>
      <c r="W21" s="56">
        <v>8.43</v>
      </c>
      <c r="X21" s="56" t="s">
        <v>2624</v>
      </c>
      <c r="Y21" s="56" t="s">
        <v>2624</v>
      </c>
      <c r="Z21" s="56" t="s">
        <v>2624</v>
      </c>
      <c r="AA21" s="56" t="s">
        <v>467</v>
      </c>
      <c r="AB21" s="56">
        <v>14122925</v>
      </c>
      <c r="AC21" s="56" t="s">
        <v>467</v>
      </c>
      <c r="AD21" s="56">
        <v>14122925</v>
      </c>
      <c r="AE21" s="56" t="s">
        <v>2626</v>
      </c>
      <c r="AF21" s="56" t="s">
        <v>2627</v>
      </c>
      <c r="AG21" s="56" t="s">
        <v>2627</v>
      </c>
      <c r="AH21" s="56">
        <v>36</v>
      </c>
      <c r="AI21" s="56" t="s">
        <v>2628</v>
      </c>
      <c r="AJ21" s="56" t="s">
        <v>2629</v>
      </c>
      <c r="AK21" s="56">
        <v>730</v>
      </c>
      <c r="AL21" s="56" t="s">
        <v>2630</v>
      </c>
      <c r="AM21" s="56" t="s">
        <v>2631</v>
      </c>
      <c r="AN21" s="56" t="s">
        <v>2632</v>
      </c>
      <c r="AO21" s="56" t="s">
        <v>2627</v>
      </c>
      <c r="AP21" s="56" t="s">
        <v>2624</v>
      </c>
      <c r="AQ21" s="123">
        <v>5.5555555555555636E-3</v>
      </c>
      <c r="AR21" s="122">
        <v>-2.6620370370370461E-3</v>
      </c>
      <c r="AS21" s="56" t="s">
        <v>1048</v>
      </c>
      <c r="AT21" s="56" t="s">
        <v>1049</v>
      </c>
      <c r="AU21" s="56" t="s">
        <v>1050</v>
      </c>
      <c r="AV21" s="56">
        <v>36</v>
      </c>
      <c r="AW21" s="56" t="s">
        <v>1051</v>
      </c>
      <c r="AX21" s="56" t="s">
        <v>2689</v>
      </c>
      <c r="AY21" s="56" t="s">
        <v>1061</v>
      </c>
      <c r="AZ21" s="56" t="s">
        <v>1062</v>
      </c>
      <c r="BA21" s="56" t="s">
        <v>2690</v>
      </c>
      <c r="BB21" s="56" t="s">
        <v>2691</v>
      </c>
      <c r="BC21" s="56" t="s">
        <v>1057</v>
      </c>
      <c r="BD21" s="56" t="s">
        <v>2692</v>
      </c>
    </row>
    <row r="22" spans="1:56" x14ac:dyDescent="0.2">
      <c r="A22" s="56">
        <v>176530495</v>
      </c>
      <c r="B22" s="56" t="s">
        <v>1631</v>
      </c>
      <c r="C22" s="56" t="s">
        <v>2623</v>
      </c>
      <c r="D22" s="56" t="s">
        <v>1632</v>
      </c>
      <c r="E22" s="56" t="s">
        <v>1044</v>
      </c>
      <c r="F22" s="56">
        <v>9</v>
      </c>
      <c r="G22" s="56"/>
      <c r="H22" s="56">
        <v>5923</v>
      </c>
      <c r="I22" s="56">
        <v>6</v>
      </c>
      <c r="J22" s="56" t="s">
        <v>1045</v>
      </c>
      <c r="K22" s="56" t="s">
        <v>1123</v>
      </c>
      <c r="L22" s="121">
        <v>46265</v>
      </c>
      <c r="M22" s="122">
        <v>0.22916666666666666</v>
      </c>
      <c r="N22" s="122">
        <v>0.23333333333333334</v>
      </c>
      <c r="O22" s="56" t="s">
        <v>1047</v>
      </c>
      <c r="P22" s="121">
        <v>46265</v>
      </c>
      <c r="Q22" s="122">
        <v>0.27083333333333331</v>
      </c>
      <c r="R22" s="122">
        <v>0.26597222222222222</v>
      </c>
      <c r="S22" s="56" t="s">
        <v>1047</v>
      </c>
      <c r="T22" s="56">
        <v>1</v>
      </c>
      <c r="U22" s="56">
        <v>22</v>
      </c>
      <c r="V22" s="56">
        <v>12.46</v>
      </c>
      <c r="W22" s="56">
        <v>20.079999999999998</v>
      </c>
      <c r="X22" s="56">
        <v>39.909999999999997</v>
      </c>
      <c r="Y22" s="56">
        <v>17.010000000000002</v>
      </c>
      <c r="Z22" s="56">
        <v>2.82</v>
      </c>
      <c r="AA22" s="56" t="s">
        <v>2000</v>
      </c>
      <c r="AB22" s="56">
        <v>14122133</v>
      </c>
      <c r="AC22" s="56" t="s">
        <v>2000</v>
      </c>
      <c r="AD22" s="56">
        <v>14122133</v>
      </c>
      <c r="AE22" s="56" t="s">
        <v>2626</v>
      </c>
      <c r="AF22" s="56" t="s">
        <v>2627</v>
      </c>
      <c r="AG22" s="56" t="s">
        <v>2627</v>
      </c>
      <c r="AH22" s="56">
        <v>36</v>
      </c>
      <c r="AI22" s="56" t="s">
        <v>2628</v>
      </c>
      <c r="AJ22" s="56" t="s">
        <v>2629</v>
      </c>
      <c r="AK22" s="56">
        <v>544.9</v>
      </c>
      <c r="AL22" s="56" t="s">
        <v>2630</v>
      </c>
      <c r="AM22" s="56" t="s">
        <v>2631</v>
      </c>
      <c r="AN22" s="56" t="s">
        <v>2632</v>
      </c>
      <c r="AO22" s="56" t="s">
        <v>2627</v>
      </c>
      <c r="AP22" s="56" t="s">
        <v>2624</v>
      </c>
      <c r="AQ22" s="123">
        <v>4.1666666666666796E-3</v>
      </c>
      <c r="AR22" s="122">
        <v>-4.8611111111110938E-3</v>
      </c>
      <c r="AS22" s="56" t="s">
        <v>1048</v>
      </c>
      <c r="AT22" s="56" t="s">
        <v>1049</v>
      </c>
      <c r="AU22" s="56" t="s">
        <v>1050</v>
      </c>
      <c r="AV22" s="56">
        <v>36</v>
      </c>
      <c r="AW22" s="56" t="s">
        <v>1051</v>
      </c>
      <c r="AX22" s="56" t="s">
        <v>1633</v>
      </c>
      <c r="AY22" s="56" t="s">
        <v>1124</v>
      </c>
      <c r="AZ22" s="56" t="s">
        <v>1054</v>
      </c>
      <c r="BA22" s="56" t="s">
        <v>1634</v>
      </c>
      <c r="BB22" s="56" t="s">
        <v>1635</v>
      </c>
      <c r="BC22" s="56" t="s">
        <v>1057</v>
      </c>
      <c r="BD22" s="56" t="s">
        <v>1636</v>
      </c>
    </row>
    <row r="23" spans="1:56" x14ac:dyDescent="0.2">
      <c r="A23" s="56">
        <v>176543738</v>
      </c>
      <c r="B23" s="56" t="s">
        <v>2057</v>
      </c>
      <c r="C23" s="56" t="s">
        <v>2623</v>
      </c>
      <c r="D23" s="56" t="s">
        <v>1326</v>
      </c>
      <c r="E23" s="56" t="s">
        <v>1044</v>
      </c>
      <c r="F23" s="56">
        <v>50</v>
      </c>
      <c r="G23" s="56" t="s">
        <v>2693</v>
      </c>
      <c r="H23" s="56">
        <v>12898</v>
      </c>
      <c r="I23" s="56">
        <v>6</v>
      </c>
      <c r="J23" s="56" t="s">
        <v>1045</v>
      </c>
      <c r="K23" s="56" t="s">
        <v>1116</v>
      </c>
      <c r="L23" s="121">
        <v>46265</v>
      </c>
      <c r="M23" s="122">
        <v>0.22916666666666666</v>
      </c>
      <c r="N23" s="122">
        <v>0.2326388888888889</v>
      </c>
      <c r="O23" s="56" t="s">
        <v>1047</v>
      </c>
      <c r="P23" s="121">
        <v>46265</v>
      </c>
      <c r="Q23" s="122">
        <v>0.28125</v>
      </c>
      <c r="R23" s="122">
        <v>0.26857638888888891</v>
      </c>
      <c r="S23" s="56" t="s">
        <v>1047</v>
      </c>
      <c r="T23" s="56">
        <v>1</v>
      </c>
      <c r="U23" s="56">
        <v>25</v>
      </c>
      <c r="V23" s="56">
        <v>27.27</v>
      </c>
      <c r="W23" s="56">
        <v>26.78</v>
      </c>
      <c r="X23" s="56" t="s">
        <v>2624</v>
      </c>
      <c r="Y23" s="56" t="s">
        <v>2624</v>
      </c>
      <c r="Z23" s="56" t="s">
        <v>2624</v>
      </c>
      <c r="AA23" s="56" t="s">
        <v>1889</v>
      </c>
      <c r="AB23" s="56">
        <v>14124143</v>
      </c>
      <c r="AC23" s="56" t="s">
        <v>1889</v>
      </c>
      <c r="AD23" s="56">
        <v>14124143</v>
      </c>
      <c r="AE23" s="56" t="s">
        <v>2626</v>
      </c>
      <c r="AF23" s="56" t="s">
        <v>2627</v>
      </c>
      <c r="AG23" s="56" t="s">
        <v>2627</v>
      </c>
      <c r="AH23" s="56">
        <v>36</v>
      </c>
      <c r="AI23" s="56" t="s">
        <v>2628</v>
      </c>
      <c r="AJ23" s="56" t="s">
        <v>2629</v>
      </c>
      <c r="AK23" s="56">
        <v>0</v>
      </c>
      <c r="AL23" s="56" t="s">
        <v>2630</v>
      </c>
      <c r="AM23" s="56" t="s">
        <v>2631</v>
      </c>
      <c r="AN23" s="56" t="s">
        <v>2632</v>
      </c>
      <c r="AO23" s="56" t="s">
        <v>2627</v>
      </c>
      <c r="AP23" s="56" t="s">
        <v>2624</v>
      </c>
      <c r="AQ23" s="123">
        <v>3.4722222222222376E-3</v>
      </c>
      <c r="AR23" s="122">
        <v>-1.2673611111111094E-2</v>
      </c>
      <c r="AS23" s="56" t="s">
        <v>1048</v>
      </c>
      <c r="AT23" s="56" t="s">
        <v>1049</v>
      </c>
      <c r="AU23" s="56" t="s">
        <v>1050</v>
      </c>
      <c r="AV23" s="56">
        <v>36</v>
      </c>
      <c r="AW23" s="56" t="s">
        <v>1051</v>
      </c>
      <c r="AX23" s="56" t="s">
        <v>1683</v>
      </c>
      <c r="AY23" s="56" t="s">
        <v>1128</v>
      </c>
      <c r="AZ23" s="56" t="s">
        <v>1054</v>
      </c>
      <c r="BA23" s="56" t="s">
        <v>1684</v>
      </c>
      <c r="BB23" s="56" t="s">
        <v>1685</v>
      </c>
      <c r="BC23" s="56" t="s">
        <v>1057</v>
      </c>
      <c r="BD23" s="56" t="s">
        <v>2058</v>
      </c>
    </row>
    <row r="24" spans="1:56" x14ac:dyDescent="0.2">
      <c r="A24" s="56">
        <v>176547616</v>
      </c>
      <c r="B24" s="56" t="s">
        <v>1114</v>
      </c>
      <c r="C24" s="56" t="s">
        <v>2623</v>
      </c>
      <c r="D24" s="56" t="s">
        <v>1115</v>
      </c>
      <c r="E24" s="56" t="s">
        <v>1044</v>
      </c>
      <c r="F24" s="56">
        <v>98</v>
      </c>
      <c r="G24" s="56" t="s">
        <v>2670</v>
      </c>
      <c r="H24" s="56">
        <v>14692</v>
      </c>
      <c r="I24" s="56">
        <v>6</v>
      </c>
      <c r="J24" s="56" t="s">
        <v>1045</v>
      </c>
      <c r="K24" s="56" t="s">
        <v>1116</v>
      </c>
      <c r="L24" s="121">
        <v>46265</v>
      </c>
      <c r="M24" s="122">
        <v>0.22916666666666666</v>
      </c>
      <c r="N24" s="122">
        <v>0.2361111111111111</v>
      </c>
      <c r="O24" s="56" t="s">
        <v>1047</v>
      </c>
      <c r="P24" s="121">
        <v>46265</v>
      </c>
      <c r="Q24" s="122">
        <v>0.28125</v>
      </c>
      <c r="R24" s="122">
        <v>0.27304398148148146</v>
      </c>
      <c r="S24" s="56" t="s">
        <v>1047</v>
      </c>
      <c r="T24" s="56">
        <v>1</v>
      </c>
      <c r="U24" s="56">
        <v>31</v>
      </c>
      <c r="V24" s="56">
        <v>26.76</v>
      </c>
      <c r="W24" s="56">
        <v>26.7</v>
      </c>
      <c r="X24" s="56" t="s">
        <v>2624</v>
      </c>
      <c r="Y24" s="56" t="s">
        <v>2624</v>
      </c>
      <c r="Z24" s="56" t="s">
        <v>2624</v>
      </c>
      <c r="AA24" s="56" t="s">
        <v>958</v>
      </c>
      <c r="AB24" s="56">
        <v>14123725</v>
      </c>
      <c r="AC24" s="56" t="s">
        <v>958</v>
      </c>
      <c r="AD24" s="56">
        <v>14123725</v>
      </c>
      <c r="AE24" s="56" t="s">
        <v>2626</v>
      </c>
      <c r="AF24" s="56" t="s">
        <v>2627</v>
      </c>
      <c r="AG24" s="56" t="s">
        <v>2627</v>
      </c>
      <c r="AH24" s="56">
        <v>36</v>
      </c>
      <c r="AI24" s="56" t="s">
        <v>2628</v>
      </c>
      <c r="AJ24" s="56" t="s">
        <v>2629</v>
      </c>
      <c r="AK24" s="56">
        <v>0</v>
      </c>
      <c r="AL24" s="56" t="s">
        <v>2630</v>
      </c>
      <c r="AM24" s="56" t="s">
        <v>2631</v>
      </c>
      <c r="AN24" s="56" t="s">
        <v>2632</v>
      </c>
      <c r="AO24" s="56" t="s">
        <v>2627</v>
      </c>
      <c r="AP24" s="56">
        <v>40</v>
      </c>
      <c r="AQ24" s="123">
        <v>6.9444444444444475E-3</v>
      </c>
      <c r="AR24" s="122">
        <v>-8.206018518518543E-3</v>
      </c>
      <c r="AS24" s="56" t="s">
        <v>1048</v>
      </c>
      <c r="AT24" s="56" t="s">
        <v>1049</v>
      </c>
      <c r="AU24" s="56" t="s">
        <v>1050</v>
      </c>
      <c r="AV24" s="56">
        <v>36</v>
      </c>
      <c r="AW24" s="56" t="s">
        <v>1051</v>
      </c>
      <c r="AX24" s="56" t="s">
        <v>1117</v>
      </c>
      <c r="AY24" s="56" t="s">
        <v>1118</v>
      </c>
      <c r="AZ24" s="56" t="s">
        <v>1054</v>
      </c>
      <c r="BA24" s="56" t="s">
        <v>1119</v>
      </c>
      <c r="BB24" s="56" t="s">
        <v>1120</v>
      </c>
      <c r="BC24" s="56" t="s">
        <v>1057</v>
      </c>
      <c r="BD24" s="56" t="s">
        <v>1121</v>
      </c>
    </row>
    <row r="25" spans="1:56" x14ac:dyDescent="0.2">
      <c r="A25" s="56">
        <v>176549218</v>
      </c>
      <c r="B25" s="56" t="s">
        <v>1736</v>
      </c>
      <c r="C25" s="56" t="s">
        <v>2623</v>
      </c>
      <c r="D25" s="56" t="s">
        <v>1737</v>
      </c>
      <c r="E25" s="56" t="s">
        <v>1044</v>
      </c>
      <c r="F25" s="56">
        <v>237</v>
      </c>
      <c r="G25" s="56"/>
      <c r="H25" s="56">
        <v>5530</v>
      </c>
      <c r="I25" s="56">
        <v>6</v>
      </c>
      <c r="J25" s="56" t="s">
        <v>1045</v>
      </c>
      <c r="K25" s="56" t="s">
        <v>1079</v>
      </c>
      <c r="L25" s="121">
        <v>46265</v>
      </c>
      <c r="M25" s="122">
        <v>0.22916666666666666</v>
      </c>
      <c r="N25" s="122">
        <v>0.2388888888888889</v>
      </c>
      <c r="O25" s="56" t="s">
        <v>1047</v>
      </c>
      <c r="P25" s="121">
        <v>46265</v>
      </c>
      <c r="Q25" s="122">
        <v>0.2673611111111111</v>
      </c>
      <c r="R25" s="122">
        <v>0.26252314814814814</v>
      </c>
      <c r="S25" s="56" t="s">
        <v>1047</v>
      </c>
      <c r="T25" s="56">
        <v>1</v>
      </c>
      <c r="U25" s="56">
        <v>19</v>
      </c>
      <c r="V25" s="56">
        <v>17.27</v>
      </c>
      <c r="W25" s="56">
        <v>17.420000000000002</v>
      </c>
      <c r="X25" s="56" t="s">
        <v>2624</v>
      </c>
      <c r="Y25" s="56" t="s">
        <v>2624</v>
      </c>
      <c r="Z25" s="56" t="s">
        <v>2624</v>
      </c>
      <c r="AA25" s="56" t="s">
        <v>309</v>
      </c>
      <c r="AB25" s="56">
        <v>14120925</v>
      </c>
      <c r="AC25" s="56" t="s">
        <v>309</v>
      </c>
      <c r="AD25" s="56">
        <v>14120925</v>
      </c>
      <c r="AE25" s="56" t="s">
        <v>2626</v>
      </c>
      <c r="AF25" s="56" t="s">
        <v>2627</v>
      </c>
      <c r="AG25" s="56" t="s">
        <v>2627</v>
      </c>
      <c r="AH25" s="56">
        <v>36</v>
      </c>
      <c r="AI25" s="56" t="s">
        <v>2628</v>
      </c>
      <c r="AJ25" s="56" t="s">
        <v>2629</v>
      </c>
      <c r="AK25" s="56">
        <v>0</v>
      </c>
      <c r="AL25" s="56" t="s">
        <v>2630</v>
      </c>
      <c r="AM25" s="56" t="s">
        <v>2631</v>
      </c>
      <c r="AN25" s="56" t="s">
        <v>2632</v>
      </c>
      <c r="AO25" s="56" t="s">
        <v>2627</v>
      </c>
      <c r="AP25" s="56" t="s">
        <v>2624</v>
      </c>
      <c r="AQ25" s="123">
        <v>9.7222222222222432E-3</v>
      </c>
      <c r="AR25" s="122">
        <v>-4.8379629629629606E-3</v>
      </c>
      <c r="AS25" s="56" t="s">
        <v>1048</v>
      </c>
      <c r="AT25" s="56" t="s">
        <v>1049</v>
      </c>
      <c r="AU25" s="56" t="s">
        <v>1050</v>
      </c>
      <c r="AV25" s="56">
        <v>36</v>
      </c>
      <c r="AW25" s="56" t="s">
        <v>1051</v>
      </c>
      <c r="AX25" s="56" t="s">
        <v>1738</v>
      </c>
      <c r="AY25" s="56" t="s">
        <v>1081</v>
      </c>
      <c r="AZ25" s="56" t="s">
        <v>1067</v>
      </c>
      <c r="BA25" s="56" t="s">
        <v>1739</v>
      </c>
      <c r="BB25" s="56" t="s">
        <v>1740</v>
      </c>
      <c r="BC25" s="56" t="s">
        <v>1057</v>
      </c>
      <c r="BD25" s="56" t="s">
        <v>1741</v>
      </c>
    </row>
    <row r="26" spans="1:56" x14ac:dyDescent="0.2">
      <c r="A26" s="56">
        <v>176545723</v>
      </c>
      <c r="B26" s="56" t="s">
        <v>1640</v>
      </c>
      <c r="C26" s="56" t="s">
        <v>2623</v>
      </c>
      <c r="D26" s="56" t="s">
        <v>1605</v>
      </c>
      <c r="E26" s="56" t="s">
        <v>1044</v>
      </c>
      <c r="F26" s="56">
        <v>73</v>
      </c>
      <c r="G26" s="56" t="s">
        <v>2693</v>
      </c>
      <c r="H26" s="56">
        <v>2528</v>
      </c>
      <c r="I26" s="56">
        <v>6</v>
      </c>
      <c r="J26" s="56" t="s">
        <v>1045</v>
      </c>
      <c r="K26" s="56" t="s">
        <v>1116</v>
      </c>
      <c r="L26" s="121">
        <v>46265</v>
      </c>
      <c r="M26" s="122">
        <v>0.2326388888888889</v>
      </c>
      <c r="N26" s="122">
        <v>0.26111111111111113</v>
      </c>
      <c r="O26" s="56" t="s">
        <v>1047</v>
      </c>
      <c r="P26" s="121">
        <v>46265</v>
      </c>
      <c r="Q26" s="122">
        <v>0.28125</v>
      </c>
      <c r="R26" s="122">
        <v>0.32222222222222224</v>
      </c>
      <c r="S26" s="56" t="s">
        <v>1047</v>
      </c>
      <c r="T26" s="56">
        <v>1</v>
      </c>
      <c r="U26" s="56">
        <v>29</v>
      </c>
      <c r="V26" s="56">
        <v>22.09</v>
      </c>
      <c r="W26" s="56">
        <v>5.24</v>
      </c>
      <c r="X26" s="56" t="s">
        <v>2624</v>
      </c>
      <c r="Y26" s="56" t="s">
        <v>2624</v>
      </c>
      <c r="Z26" s="56" t="s">
        <v>2624</v>
      </c>
      <c r="AA26" s="56" t="s">
        <v>902</v>
      </c>
      <c r="AB26" s="56">
        <v>14123634</v>
      </c>
      <c r="AC26" s="56" t="s">
        <v>902</v>
      </c>
      <c r="AD26" s="56">
        <v>14123634</v>
      </c>
      <c r="AE26" s="56" t="s">
        <v>2626</v>
      </c>
      <c r="AF26" s="56" t="s">
        <v>2627</v>
      </c>
      <c r="AG26" s="56" t="s">
        <v>2627</v>
      </c>
      <c r="AH26" s="56">
        <v>36</v>
      </c>
      <c r="AI26" s="56" t="s">
        <v>2628</v>
      </c>
      <c r="AJ26" s="56" t="s">
        <v>2640</v>
      </c>
      <c r="AK26" s="56">
        <v>0</v>
      </c>
      <c r="AL26" s="56" t="s">
        <v>2630</v>
      </c>
      <c r="AM26" s="56" t="s">
        <v>2631</v>
      </c>
      <c r="AN26" s="56" t="s">
        <v>2632</v>
      </c>
      <c r="AO26" s="56" t="s">
        <v>2627</v>
      </c>
      <c r="AP26" s="56" t="s">
        <v>2624</v>
      </c>
      <c r="AQ26" s="123">
        <v>2.8472222222222232E-2</v>
      </c>
      <c r="AR26" s="122">
        <v>4.0972222222222243E-2</v>
      </c>
      <c r="AS26" s="56" t="s">
        <v>1048</v>
      </c>
      <c r="AT26" s="56" t="s">
        <v>1059</v>
      </c>
      <c r="AU26" s="56" t="s">
        <v>1060</v>
      </c>
      <c r="AV26" s="56">
        <v>36</v>
      </c>
      <c r="AW26" s="56" t="s">
        <v>1051</v>
      </c>
      <c r="AX26" s="56" t="s">
        <v>1606</v>
      </c>
      <c r="AY26" s="56" t="s">
        <v>1118</v>
      </c>
      <c r="AZ26" s="56" t="s">
        <v>1054</v>
      </c>
      <c r="BA26" s="56" t="s">
        <v>1607</v>
      </c>
      <c r="BB26" s="56" t="s">
        <v>1608</v>
      </c>
      <c r="BC26" s="56" t="s">
        <v>1057</v>
      </c>
      <c r="BD26" s="56" t="s">
        <v>1641</v>
      </c>
    </row>
    <row r="27" spans="1:56" x14ac:dyDescent="0.2">
      <c r="A27" s="56">
        <v>176538978</v>
      </c>
      <c r="B27" s="56" t="s">
        <v>1430</v>
      </c>
      <c r="C27" s="56" t="s">
        <v>2623</v>
      </c>
      <c r="D27" s="56" t="s">
        <v>1431</v>
      </c>
      <c r="E27" s="56" t="s">
        <v>1044</v>
      </c>
      <c r="F27" s="56">
        <v>1</v>
      </c>
      <c r="G27" s="56"/>
      <c r="H27" s="56">
        <v>7943</v>
      </c>
      <c r="I27" s="56">
        <v>6</v>
      </c>
      <c r="J27" s="56" t="s">
        <v>1045</v>
      </c>
      <c r="K27" s="56" t="s">
        <v>1428</v>
      </c>
      <c r="L27" s="121">
        <v>46265</v>
      </c>
      <c r="M27" s="122">
        <v>0.2361111111111111</v>
      </c>
      <c r="N27" s="122">
        <v>0.30486111111111114</v>
      </c>
      <c r="O27" s="56" t="s">
        <v>1047</v>
      </c>
      <c r="P27" s="121">
        <v>46265</v>
      </c>
      <c r="Q27" s="122">
        <v>0.33333333333333331</v>
      </c>
      <c r="R27" s="122">
        <v>0.31736111111111109</v>
      </c>
      <c r="S27" s="56" t="s">
        <v>1047</v>
      </c>
      <c r="T27" s="56">
        <v>1</v>
      </c>
      <c r="U27" s="56">
        <v>29</v>
      </c>
      <c r="V27" s="56">
        <v>3.05</v>
      </c>
      <c r="W27" s="56">
        <v>1.75</v>
      </c>
      <c r="X27" s="56">
        <v>32.78</v>
      </c>
      <c r="Y27" s="56">
        <v>18.16</v>
      </c>
      <c r="Z27" s="56">
        <v>12.87</v>
      </c>
      <c r="AA27" s="56" t="s">
        <v>445</v>
      </c>
      <c r="AB27" s="56">
        <v>14122708</v>
      </c>
      <c r="AC27" s="56" t="s">
        <v>445</v>
      </c>
      <c r="AD27" s="56">
        <v>14122708</v>
      </c>
      <c r="AE27" s="56" t="s">
        <v>2626</v>
      </c>
      <c r="AF27" s="56" t="s">
        <v>2627</v>
      </c>
      <c r="AG27" s="56" t="s">
        <v>2627</v>
      </c>
      <c r="AH27" s="56">
        <v>36</v>
      </c>
      <c r="AI27" s="56" t="s">
        <v>2628</v>
      </c>
      <c r="AJ27" s="56" t="s">
        <v>2629</v>
      </c>
      <c r="AK27" s="56" t="s">
        <v>2624</v>
      </c>
      <c r="AL27" s="56">
        <v>0</v>
      </c>
      <c r="AM27" s="56" t="s">
        <v>2694</v>
      </c>
      <c r="AN27" s="56" t="s">
        <v>2632</v>
      </c>
      <c r="AO27" s="56" t="s">
        <v>2627</v>
      </c>
      <c r="AP27" s="56" t="s">
        <v>2624</v>
      </c>
      <c r="AQ27" s="123">
        <v>6.8750000000000033E-2</v>
      </c>
      <c r="AR27" s="122">
        <v>-1.5972222222222221E-2</v>
      </c>
      <c r="AS27" s="56" t="s">
        <v>1048</v>
      </c>
      <c r="AT27" s="56" t="s">
        <v>1049</v>
      </c>
      <c r="AU27" s="56" t="s">
        <v>1050</v>
      </c>
      <c r="AV27" s="56">
        <v>36</v>
      </c>
      <c r="AW27" s="56" t="s">
        <v>1051</v>
      </c>
      <c r="AX27" s="56" t="s">
        <v>1432</v>
      </c>
      <c r="AY27" s="56" t="s">
        <v>1159</v>
      </c>
      <c r="AZ27" s="56" t="s">
        <v>1062</v>
      </c>
      <c r="BA27" s="56" t="s">
        <v>1433</v>
      </c>
      <c r="BB27" s="56" t="s">
        <v>1434</v>
      </c>
      <c r="BC27" s="56" t="s">
        <v>1057</v>
      </c>
      <c r="BD27" s="56" t="s">
        <v>1758</v>
      </c>
    </row>
    <row r="28" spans="1:56" x14ac:dyDescent="0.2">
      <c r="A28" s="56">
        <v>176544211</v>
      </c>
      <c r="B28" s="56" t="s">
        <v>2695</v>
      </c>
      <c r="C28" s="56" t="s">
        <v>2623</v>
      </c>
      <c r="D28" s="56" t="s">
        <v>2696</v>
      </c>
      <c r="E28" s="56" t="s">
        <v>1044</v>
      </c>
      <c r="F28" s="56">
        <v>69</v>
      </c>
      <c r="G28" s="56" t="s">
        <v>2693</v>
      </c>
      <c r="H28" s="56">
        <v>4982</v>
      </c>
      <c r="I28" s="56">
        <v>6</v>
      </c>
      <c r="J28" s="56" t="s">
        <v>1045</v>
      </c>
      <c r="K28" s="56" t="s">
        <v>1116</v>
      </c>
      <c r="L28" s="121">
        <v>46265</v>
      </c>
      <c r="M28" s="122">
        <v>0.2361111111111111</v>
      </c>
      <c r="N28" s="122">
        <v>0.24097222222222223</v>
      </c>
      <c r="O28" s="56" t="s">
        <v>1047</v>
      </c>
      <c r="P28" s="121">
        <v>46265</v>
      </c>
      <c r="Q28" s="122">
        <v>0.28125</v>
      </c>
      <c r="R28" s="122">
        <v>0.28010416666666665</v>
      </c>
      <c r="S28" s="56" t="s">
        <v>1047</v>
      </c>
      <c r="T28" s="56">
        <v>1</v>
      </c>
      <c r="U28" s="56">
        <v>28</v>
      </c>
      <c r="V28" s="56">
        <v>22.72</v>
      </c>
      <c r="W28" s="56">
        <v>15.34</v>
      </c>
      <c r="X28" s="56" t="s">
        <v>2624</v>
      </c>
      <c r="Y28" s="56" t="s">
        <v>2624</v>
      </c>
      <c r="Z28" s="56" t="s">
        <v>2624</v>
      </c>
      <c r="AA28" s="56" t="s">
        <v>284</v>
      </c>
      <c r="AB28" s="56">
        <v>14111678</v>
      </c>
      <c r="AC28" s="56" t="s">
        <v>284</v>
      </c>
      <c r="AD28" s="56">
        <v>14111678</v>
      </c>
      <c r="AE28" s="56" t="s">
        <v>2626</v>
      </c>
      <c r="AF28" s="56" t="s">
        <v>2627</v>
      </c>
      <c r="AG28" s="56" t="s">
        <v>2627</v>
      </c>
      <c r="AH28" s="56">
        <v>36</v>
      </c>
      <c r="AI28" s="56" t="s">
        <v>2628</v>
      </c>
      <c r="AJ28" s="56" t="s">
        <v>2629</v>
      </c>
      <c r="AK28" s="56">
        <v>0</v>
      </c>
      <c r="AL28" s="56" t="s">
        <v>2630</v>
      </c>
      <c r="AM28" s="56" t="s">
        <v>2631</v>
      </c>
      <c r="AN28" s="56" t="s">
        <v>2632</v>
      </c>
      <c r="AO28" s="56" t="s">
        <v>2627</v>
      </c>
      <c r="AP28" s="56" t="s">
        <v>2624</v>
      </c>
      <c r="AQ28" s="123">
        <v>4.8611111111111216E-3</v>
      </c>
      <c r="AR28" s="122">
        <v>-1.1458333333333459E-3</v>
      </c>
      <c r="AS28" s="56" t="s">
        <v>1048</v>
      </c>
      <c r="AT28" s="56" t="s">
        <v>1049</v>
      </c>
      <c r="AU28" s="56" t="s">
        <v>1050</v>
      </c>
      <c r="AV28" s="56">
        <v>36</v>
      </c>
      <c r="AW28" s="56" t="s">
        <v>1051</v>
      </c>
      <c r="AX28" s="56" t="s">
        <v>2697</v>
      </c>
      <c r="AY28" s="56" t="s">
        <v>1128</v>
      </c>
      <c r="AZ28" s="56" t="s">
        <v>1054</v>
      </c>
      <c r="BA28" s="56" t="s">
        <v>2698</v>
      </c>
      <c r="BB28" s="56" t="s">
        <v>2699</v>
      </c>
      <c r="BC28" s="56" t="s">
        <v>1057</v>
      </c>
      <c r="BD28" s="56" t="s">
        <v>2700</v>
      </c>
    </row>
    <row r="29" spans="1:56" x14ac:dyDescent="0.2">
      <c r="A29" s="56">
        <v>176548851</v>
      </c>
      <c r="B29" s="56" t="s">
        <v>1230</v>
      </c>
      <c r="C29" s="56" t="s">
        <v>2623</v>
      </c>
      <c r="D29" s="56" t="s">
        <v>1231</v>
      </c>
      <c r="E29" s="56" t="s">
        <v>1044</v>
      </c>
      <c r="F29" s="56">
        <v>139</v>
      </c>
      <c r="G29" s="56" t="s">
        <v>2693</v>
      </c>
      <c r="H29" s="56">
        <v>10359</v>
      </c>
      <c r="I29" s="56">
        <v>6</v>
      </c>
      <c r="J29" s="56" t="s">
        <v>1045</v>
      </c>
      <c r="K29" s="56" t="s">
        <v>1116</v>
      </c>
      <c r="L29" s="121">
        <v>46265</v>
      </c>
      <c r="M29" s="122">
        <v>0.2361111111111111</v>
      </c>
      <c r="N29" s="122">
        <v>0.24166666666666667</v>
      </c>
      <c r="O29" s="56" t="s">
        <v>1047</v>
      </c>
      <c r="P29" s="121">
        <v>46265</v>
      </c>
      <c r="Q29" s="122">
        <v>0.28125</v>
      </c>
      <c r="R29" s="122">
        <v>0.26740740740740743</v>
      </c>
      <c r="S29" s="56" t="s">
        <v>1047</v>
      </c>
      <c r="T29" s="56">
        <v>1</v>
      </c>
      <c r="U29" s="56">
        <v>23</v>
      </c>
      <c r="V29" s="56">
        <v>23.47</v>
      </c>
      <c r="W29" s="56">
        <v>26.22</v>
      </c>
      <c r="X29" s="56" t="s">
        <v>2624</v>
      </c>
      <c r="Y29" s="56" t="s">
        <v>2624</v>
      </c>
      <c r="Z29" s="56" t="s">
        <v>2624</v>
      </c>
      <c r="AA29" s="56" t="s">
        <v>1232</v>
      </c>
      <c r="AB29" s="56">
        <v>14112026</v>
      </c>
      <c r="AC29" s="56" t="s">
        <v>1232</v>
      </c>
      <c r="AD29" s="56">
        <v>14112026</v>
      </c>
      <c r="AE29" s="56" t="s">
        <v>2626</v>
      </c>
      <c r="AF29" s="56" t="s">
        <v>2627</v>
      </c>
      <c r="AG29" s="56" t="s">
        <v>2627</v>
      </c>
      <c r="AH29" s="56">
        <v>36</v>
      </c>
      <c r="AI29" s="56" t="s">
        <v>2628</v>
      </c>
      <c r="AJ29" s="56" t="s">
        <v>2629</v>
      </c>
      <c r="AK29" s="56">
        <v>0</v>
      </c>
      <c r="AL29" s="56" t="s">
        <v>2630</v>
      </c>
      <c r="AM29" s="56" t="s">
        <v>2631</v>
      </c>
      <c r="AN29" s="56" t="s">
        <v>2632</v>
      </c>
      <c r="AO29" s="56" t="s">
        <v>2627</v>
      </c>
      <c r="AP29" s="56">
        <v>25</v>
      </c>
      <c r="AQ29" s="123">
        <v>5.5555555555555636E-3</v>
      </c>
      <c r="AR29" s="122">
        <v>-1.3842592592592573E-2</v>
      </c>
      <c r="AS29" s="56" t="s">
        <v>1048</v>
      </c>
      <c r="AT29" s="56" t="s">
        <v>1049</v>
      </c>
      <c r="AU29" s="56" t="s">
        <v>1050</v>
      </c>
      <c r="AV29" s="56">
        <v>36</v>
      </c>
      <c r="AW29" s="56" t="s">
        <v>1051</v>
      </c>
      <c r="AX29" s="56" t="s">
        <v>1233</v>
      </c>
      <c r="AY29" s="56" t="s">
        <v>1128</v>
      </c>
      <c r="AZ29" s="56" t="s">
        <v>1054</v>
      </c>
      <c r="BA29" s="56" t="s">
        <v>1234</v>
      </c>
      <c r="BB29" s="56" t="s">
        <v>1235</v>
      </c>
      <c r="BC29" s="56" t="s">
        <v>1057</v>
      </c>
      <c r="BD29" s="56" t="s">
        <v>1236</v>
      </c>
    </row>
    <row r="30" spans="1:56" x14ac:dyDescent="0.2">
      <c r="A30" s="56">
        <v>176550710</v>
      </c>
      <c r="B30" s="56" t="s">
        <v>1735</v>
      </c>
      <c r="C30" s="56" t="s">
        <v>2623</v>
      </c>
      <c r="D30" s="56" t="s">
        <v>1663</v>
      </c>
      <c r="E30" s="56" t="s">
        <v>1044</v>
      </c>
      <c r="F30" s="56">
        <v>256</v>
      </c>
      <c r="G30" s="56" t="s">
        <v>2693</v>
      </c>
      <c r="H30" s="56">
        <v>5353</v>
      </c>
      <c r="I30" s="56">
        <v>6</v>
      </c>
      <c r="J30" s="56" t="s">
        <v>1045</v>
      </c>
      <c r="K30" s="56" t="s">
        <v>1116</v>
      </c>
      <c r="L30" s="121">
        <v>46265</v>
      </c>
      <c r="M30" s="122">
        <v>0.2361111111111111</v>
      </c>
      <c r="N30" s="122">
        <v>0.25416666666666665</v>
      </c>
      <c r="O30" s="56" t="s">
        <v>1047</v>
      </c>
      <c r="P30" s="121">
        <v>46265</v>
      </c>
      <c r="Q30" s="122">
        <v>0.28125</v>
      </c>
      <c r="R30" s="122">
        <v>0.28346064814814814</v>
      </c>
      <c r="S30" s="56" t="s">
        <v>1047</v>
      </c>
      <c r="T30" s="56">
        <v>1</v>
      </c>
      <c r="U30" s="56">
        <v>16</v>
      </c>
      <c r="V30" s="56">
        <v>11.79</v>
      </c>
      <c r="W30" s="56">
        <v>10.79</v>
      </c>
      <c r="X30" s="56" t="s">
        <v>2624</v>
      </c>
      <c r="Y30" s="56" t="s">
        <v>2624</v>
      </c>
      <c r="Z30" s="56" t="s">
        <v>2624</v>
      </c>
      <c r="AA30" s="56" t="s">
        <v>1002</v>
      </c>
      <c r="AB30" s="56">
        <v>14123988</v>
      </c>
      <c r="AC30" s="56" t="s">
        <v>1002</v>
      </c>
      <c r="AD30" s="56">
        <v>14123988</v>
      </c>
      <c r="AE30" s="56" t="s">
        <v>2626</v>
      </c>
      <c r="AF30" s="56" t="s">
        <v>2627</v>
      </c>
      <c r="AG30" s="56" t="s">
        <v>2627</v>
      </c>
      <c r="AH30" s="56">
        <v>36</v>
      </c>
      <c r="AI30" s="56" t="s">
        <v>2628</v>
      </c>
      <c r="AJ30" s="56" t="s">
        <v>2640</v>
      </c>
      <c r="AK30" s="56">
        <v>0</v>
      </c>
      <c r="AL30" s="56" t="s">
        <v>2630</v>
      </c>
      <c r="AM30" s="56" t="s">
        <v>2631</v>
      </c>
      <c r="AN30" s="56" t="s">
        <v>2632</v>
      </c>
      <c r="AO30" s="56" t="s">
        <v>2627</v>
      </c>
      <c r="AP30" s="56" t="s">
        <v>2624</v>
      </c>
      <c r="AQ30" s="123">
        <v>1.8055555555555547E-2</v>
      </c>
      <c r="AR30" s="122">
        <v>2.2106481481481421E-3</v>
      </c>
      <c r="AS30" s="56" t="s">
        <v>1048</v>
      </c>
      <c r="AT30" s="56" t="s">
        <v>1049</v>
      </c>
      <c r="AU30" s="56" t="s">
        <v>1050</v>
      </c>
      <c r="AV30" s="56">
        <v>36</v>
      </c>
      <c r="AW30" s="56" t="s">
        <v>1051</v>
      </c>
      <c r="AX30" s="56" t="s">
        <v>1664</v>
      </c>
      <c r="AY30" s="56" t="s">
        <v>1128</v>
      </c>
      <c r="AZ30" s="56" t="s">
        <v>1054</v>
      </c>
      <c r="BA30" s="56" t="s">
        <v>1665</v>
      </c>
      <c r="BB30" s="56" t="s">
        <v>1666</v>
      </c>
      <c r="BC30" s="56" t="s">
        <v>1057</v>
      </c>
      <c r="BD30" s="56" t="s">
        <v>2253</v>
      </c>
    </row>
    <row r="31" spans="1:56" x14ac:dyDescent="0.2">
      <c r="A31" s="56">
        <v>176552029</v>
      </c>
      <c r="B31" s="56" t="s">
        <v>2100</v>
      </c>
      <c r="C31" s="56" t="s">
        <v>2623</v>
      </c>
      <c r="D31" s="56" t="s">
        <v>2101</v>
      </c>
      <c r="E31" s="56" t="s">
        <v>1044</v>
      </c>
      <c r="F31" s="56">
        <v>269</v>
      </c>
      <c r="G31" s="56" t="s">
        <v>2701</v>
      </c>
      <c r="H31" s="56">
        <v>6782</v>
      </c>
      <c r="I31" s="56">
        <v>6</v>
      </c>
      <c r="J31" s="56" t="s">
        <v>1045</v>
      </c>
      <c r="K31" s="56" t="s">
        <v>1116</v>
      </c>
      <c r="L31" s="121">
        <v>46265</v>
      </c>
      <c r="M31" s="122">
        <v>0.2361111111111111</v>
      </c>
      <c r="N31" s="122">
        <v>0.24444444444444444</v>
      </c>
      <c r="O31" s="56" t="s">
        <v>1047</v>
      </c>
      <c r="P31" s="121">
        <v>46265</v>
      </c>
      <c r="Q31" s="122">
        <v>0.28125</v>
      </c>
      <c r="R31" s="122">
        <v>0.28069444444444447</v>
      </c>
      <c r="S31" s="56" t="s">
        <v>1047</v>
      </c>
      <c r="T31" s="56">
        <v>1</v>
      </c>
      <c r="U31" s="56">
        <v>18</v>
      </c>
      <c r="V31" s="56">
        <v>13.57</v>
      </c>
      <c r="W31" s="56">
        <v>14.28</v>
      </c>
      <c r="X31" s="56" t="s">
        <v>2624</v>
      </c>
      <c r="Y31" s="56" t="s">
        <v>2624</v>
      </c>
      <c r="Z31" s="56" t="s">
        <v>2624</v>
      </c>
      <c r="AA31" s="56" t="s">
        <v>397</v>
      </c>
      <c r="AB31" s="56">
        <v>14122160</v>
      </c>
      <c r="AC31" s="56" t="s">
        <v>397</v>
      </c>
      <c r="AD31" s="56">
        <v>14122160</v>
      </c>
      <c r="AE31" s="56" t="s">
        <v>2626</v>
      </c>
      <c r="AF31" s="56" t="s">
        <v>2627</v>
      </c>
      <c r="AG31" s="56" t="s">
        <v>2627</v>
      </c>
      <c r="AH31" s="56">
        <v>36</v>
      </c>
      <c r="AI31" s="56" t="s">
        <v>2628</v>
      </c>
      <c r="AJ31" s="56" t="s">
        <v>2629</v>
      </c>
      <c r="AK31" s="56">
        <v>0</v>
      </c>
      <c r="AL31" s="56" t="s">
        <v>2630</v>
      </c>
      <c r="AM31" s="56" t="s">
        <v>2631</v>
      </c>
      <c r="AN31" s="56" t="s">
        <v>2632</v>
      </c>
      <c r="AO31" s="56" t="s">
        <v>2627</v>
      </c>
      <c r="AP31" s="56" t="s">
        <v>2624</v>
      </c>
      <c r="AQ31" s="123">
        <v>8.3333333333333315E-3</v>
      </c>
      <c r="AR31" s="122">
        <v>-5.5555555555553138E-4</v>
      </c>
      <c r="AS31" s="56" t="s">
        <v>1048</v>
      </c>
      <c r="AT31" s="56" t="s">
        <v>1049</v>
      </c>
      <c r="AU31" s="56" t="s">
        <v>1050</v>
      </c>
      <c r="AV31" s="56">
        <v>36</v>
      </c>
      <c r="AW31" s="56" t="s">
        <v>1051</v>
      </c>
      <c r="AX31" s="56" t="s">
        <v>2102</v>
      </c>
      <c r="AY31" s="56" t="s">
        <v>1118</v>
      </c>
      <c r="AZ31" s="56" t="s">
        <v>1054</v>
      </c>
      <c r="BA31" s="56" t="s">
        <v>2103</v>
      </c>
      <c r="BB31" s="56" t="e">
        <v>#N/A</v>
      </c>
      <c r="BC31" s="56" t="s">
        <v>1057</v>
      </c>
      <c r="BD31" s="56" t="s">
        <v>2104</v>
      </c>
    </row>
    <row r="32" spans="1:56" x14ac:dyDescent="0.2">
      <c r="A32" s="56">
        <v>176538533</v>
      </c>
      <c r="B32" s="56" t="s">
        <v>2290</v>
      </c>
      <c r="C32" s="56" t="s">
        <v>2623</v>
      </c>
      <c r="D32" s="56" t="s">
        <v>1472</v>
      </c>
      <c r="E32" s="56" t="s">
        <v>1044</v>
      </c>
      <c r="F32" s="56">
        <v>9</v>
      </c>
      <c r="G32" s="56"/>
      <c r="H32" s="56">
        <v>10362</v>
      </c>
      <c r="I32" s="56">
        <v>6</v>
      </c>
      <c r="J32" s="56" t="s">
        <v>1045</v>
      </c>
      <c r="K32" s="56" t="s">
        <v>1125</v>
      </c>
      <c r="L32" s="121">
        <v>46265</v>
      </c>
      <c r="M32" s="122">
        <v>0.24305555555555555</v>
      </c>
      <c r="N32" s="122">
        <v>0.24652777777777779</v>
      </c>
      <c r="O32" s="56" t="s">
        <v>1047</v>
      </c>
      <c r="P32" s="121">
        <v>46265</v>
      </c>
      <c r="Q32" s="122">
        <v>0.29166666666666669</v>
      </c>
      <c r="R32" s="122">
        <v>0.27924768518518517</v>
      </c>
      <c r="S32" s="56" t="s">
        <v>1047</v>
      </c>
      <c r="T32" s="56">
        <v>1</v>
      </c>
      <c r="U32" s="56">
        <v>27</v>
      </c>
      <c r="V32" s="56">
        <v>-4308.22</v>
      </c>
      <c r="W32" s="56">
        <v>24</v>
      </c>
      <c r="X32" s="56" t="s">
        <v>2624</v>
      </c>
      <c r="Y32" s="56" t="s">
        <v>2624</v>
      </c>
      <c r="Z32" s="56" t="s">
        <v>2624</v>
      </c>
      <c r="AA32" s="56" t="s">
        <v>103</v>
      </c>
      <c r="AB32" s="56">
        <v>14110465</v>
      </c>
      <c r="AC32" s="56" t="s">
        <v>103</v>
      </c>
      <c r="AD32" s="56">
        <v>14110465</v>
      </c>
      <c r="AE32" s="56" t="s">
        <v>2626</v>
      </c>
      <c r="AF32" s="56" t="s">
        <v>2627</v>
      </c>
      <c r="AG32" s="56" t="s">
        <v>2627</v>
      </c>
      <c r="AH32" s="56">
        <v>36</v>
      </c>
      <c r="AI32" s="56" t="s">
        <v>2628</v>
      </c>
      <c r="AJ32" s="56" t="s">
        <v>2629</v>
      </c>
      <c r="AK32" s="56">
        <v>1242</v>
      </c>
      <c r="AL32" s="56">
        <v>0</v>
      </c>
      <c r="AM32" s="56" t="s">
        <v>2694</v>
      </c>
      <c r="AN32" s="56" t="s">
        <v>2702</v>
      </c>
      <c r="AO32" s="56" t="s">
        <v>2627</v>
      </c>
      <c r="AP32" s="56" t="s">
        <v>2624</v>
      </c>
      <c r="AQ32" s="123">
        <v>3.4722222222222376E-3</v>
      </c>
      <c r="AR32" s="122">
        <v>-1.2418981481481517E-2</v>
      </c>
      <c r="AS32" s="56" t="s">
        <v>1048</v>
      </c>
      <c r="AT32" s="56" t="s">
        <v>1049</v>
      </c>
      <c r="AU32" s="56" t="s">
        <v>1050</v>
      </c>
      <c r="AV32" s="56">
        <v>36</v>
      </c>
      <c r="AW32" s="56" t="s">
        <v>1051</v>
      </c>
      <c r="AX32" s="56" t="s">
        <v>2703</v>
      </c>
      <c r="AY32" s="56" t="s">
        <v>1127</v>
      </c>
      <c r="AZ32" s="56" t="s">
        <v>1054</v>
      </c>
      <c r="BA32" s="56" t="s">
        <v>2704</v>
      </c>
      <c r="BB32" s="56" t="s">
        <v>2291</v>
      </c>
      <c r="BC32" s="56" t="s">
        <v>1057</v>
      </c>
      <c r="BD32" s="56" t="s">
        <v>2705</v>
      </c>
    </row>
    <row r="33" spans="1:56" x14ac:dyDescent="0.2">
      <c r="A33" s="56">
        <v>176538981</v>
      </c>
      <c r="B33" s="56" t="s">
        <v>1435</v>
      </c>
      <c r="C33" s="56" t="s">
        <v>2623</v>
      </c>
      <c r="D33" s="56" t="s">
        <v>1436</v>
      </c>
      <c r="E33" s="56" t="s">
        <v>1044</v>
      </c>
      <c r="F33" s="56">
        <v>4</v>
      </c>
      <c r="G33" s="56"/>
      <c r="H33" s="56">
        <v>13295</v>
      </c>
      <c r="I33" s="56">
        <v>7</v>
      </c>
      <c r="J33" s="56" t="s">
        <v>1045</v>
      </c>
      <c r="K33" s="56" t="s">
        <v>1428</v>
      </c>
      <c r="L33" s="121">
        <v>46265</v>
      </c>
      <c r="M33" s="122">
        <v>0.24305555555555555</v>
      </c>
      <c r="N33" s="122">
        <v>0.26597222222222222</v>
      </c>
      <c r="O33" s="56" t="s">
        <v>1047</v>
      </c>
      <c r="P33" s="121">
        <v>46265</v>
      </c>
      <c r="Q33" s="122">
        <v>0.33333333333333331</v>
      </c>
      <c r="R33" s="56"/>
      <c r="S33" s="56" t="s">
        <v>1148</v>
      </c>
      <c r="T33" s="56">
        <v>0</v>
      </c>
      <c r="U33" s="56">
        <v>17</v>
      </c>
      <c r="V33" s="56">
        <v>1.86</v>
      </c>
      <c r="W33" s="56">
        <v>16.48</v>
      </c>
      <c r="X33" s="56">
        <v>33.78</v>
      </c>
      <c r="Y33" s="56">
        <v>17.3</v>
      </c>
      <c r="Z33" s="56">
        <v>0</v>
      </c>
      <c r="AA33" s="56" t="s">
        <v>444</v>
      </c>
      <c r="AB33" s="56">
        <v>14122706</v>
      </c>
      <c r="AC33" s="56" t="s">
        <v>444</v>
      </c>
      <c r="AD33" s="56">
        <v>14122706</v>
      </c>
      <c r="AE33" s="56" t="s">
        <v>2626</v>
      </c>
      <c r="AF33" s="56" t="s">
        <v>2627</v>
      </c>
      <c r="AG33" s="56" t="s">
        <v>2627</v>
      </c>
      <c r="AH33" s="56">
        <v>36</v>
      </c>
      <c r="AI33" s="56" t="s">
        <v>2706</v>
      </c>
      <c r="AJ33" s="56" t="s">
        <v>2640</v>
      </c>
      <c r="AK33" s="56" t="s">
        <v>2624</v>
      </c>
      <c r="AL33" s="56">
        <v>0</v>
      </c>
      <c r="AM33" s="56" t="s">
        <v>2694</v>
      </c>
      <c r="AN33" s="56" t="s">
        <v>2632</v>
      </c>
      <c r="AO33" s="56" t="s">
        <v>2627</v>
      </c>
      <c r="AP33" s="56" t="s">
        <v>2624</v>
      </c>
      <c r="AQ33" s="123">
        <v>2.2916666666666669E-2</v>
      </c>
      <c r="AR33" s="122">
        <v>-0.33333333333333331</v>
      </c>
      <c r="AS33" s="56" t="s">
        <v>1048</v>
      </c>
      <c r="AT33" s="56" t="s">
        <v>1049</v>
      </c>
      <c r="AU33" s="56" t="s">
        <v>1050</v>
      </c>
      <c r="AV33" s="56">
        <v>36</v>
      </c>
      <c r="AW33" s="56" t="s">
        <v>1051</v>
      </c>
      <c r="AX33" s="56" t="s">
        <v>1437</v>
      </c>
      <c r="AY33" s="56" t="s">
        <v>1159</v>
      </c>
      <c r="AZ33" s="56" t="s">
        <v>1062</v>
      </c>
      <c r="BA33" s="56" t="s">
        <v>1438</v>
      </c>
      <c r="BB33" s="56" t="s">
        <v>1439</v>
      </c>
      <c r="BC33" s="56" t="s">
        <v>1057</v>
      </c>
      <c r="BD33" s="56" t="s">
        <v>1705</v>
      </c>
    </row>
    <row r="34" spans="1:56" x14ac:dyDescent="0.2">
      <c r="A34" s="56">
        <v>176541176</v>
      </c>
      <c r="B34" s="56" t="s">
        <v>2707</v>
      </c>
      <c r="C34" s="56" t="s">
        <v>2623</v>
      </c>
      <c r="D34" s="56" t="s">
        <v>2708</v>
      </c>
      <c r="E34" s="56" t="s">
        <v>1044</v>
      </c>
      <c r="F34" s="56">
        <v>49</v>
      </c>
      <c r="G34" s="56"/>
      <c r="H34" s="56">
        <v>6802</v>
      </c>
      <c r="I34" s="56">
        <v>6</v>
      </c>
      <c r="J34" s="56" t="s">
        <v>1045</v>
      </c>
      <c r="K34" s="56" t="s">
        <v>1162</v>
      </c>
      <c r="L34" s="121">
        <v>46265</v>
      </c>
      <c r="M34" s="122">
        <v>0.25</v>
      </c>
      <c r="N34" s="122">
        <v>0.2590277777777778</v>
      </c>
      <c r="O34" s="56" t="s">
        <v>1047</v>
      </c>
      <c r="P34" s="121">
        <v>46265</v>
      </c>
      <c r="Q34" s="122">
        <v>0.33333333333333331</v>
      </c>
      <c r="R34" s="122">
        <v>0.3087037037037037</v>
      </c>
      <c r="S34" s="56" t="s">
        <v>1047</v>
      </c>
      <c r="T34" s="56">
        <v>1</v>
      </c>
      <c r="U34" s="56">
        <v>48</v>
      </c>
      <c r="V34" s="56">
        <v>46.59</v>
      </c>
      <c r="W34" s="56">
        <v>46.22</v>
      </c>
      <c r="X34" s="56" t="s">
        <v>2624</v>
      </c>
      <c r="Y34" s="56" t="s">
        <v>2624</v>
      </c>
      <c r="Z34" s="56" t="s">
        <v>2624</v>
      </c>
      <c r="AA34" s="56" t="s">
        <v>136</v>
      </c>
      <c r="AB34" s="56">
        <v>14114431</v>
      </c>
      <c r="AC34" s="56" t="s">
        <v>136</v>
      </c>
      <c r="AD34" s="56">
        <v>14114431</v>
      </c>
      <c r="AE34" s="56" t="s">
        <v>2626</v>
      </c>
      <c r="AF34" s="56" t="s">
        <v>2627</v>
      </c>
      <c r="AG34" s="56" t="s">
        <v>2627</v>
      </c>
      <c r="AH34" s="56">
        <v>36</v>
      </c>
      <c r="AI34" s="56" t="s">
        <v>2628</v>
      </c>
      <c r="AJ34" s="56" t="s">
        <v>2629</v>
      </c>
      <c r="AK34" s="56">
        <v>0</v>
      </c>
      <c r="AL34" s="56" t="s">
        <v>2630</v>
      </c>
      <c r="AM34" s="56" t="s">
        <v>2631</v>
      </c>
      <c r="AN34" s="56" t="s">
        <v>2632</v>
      </c>
      <c r="AO34" s="56" t="s">
        <v>2627</v>
      </c>
      <c r="AP34" s="56" t="s">
        <v>2624</v>
      </c>
      <c r="AQ34" s="123">
        <v>9.0277777777778012E-3</v>
      </c>
      <c r="AR34" s="122">
        <v>-2.4629629629629612E-2</v>
      </c>
      <c r="AS34" s="56" t="s">
        <v>1048</v>
      </c>
      <c r="AT34" s="56" t="s">
        <v>1049</v>
      </c>
      <c r="AU34" s="56" t="s">
        <v>1050</v>
      </c>
      <c r="AV34" s="56">
        <v>36</v>
      </c>
      <c r="AW34" s="56" t="s">
        <v>1051</v>
      </c>
      <c r="AX34" s="56" t="s">
        <v>2709</v>
      </c>
      <c r="AY34" s="56" t="s">
        <v>1164</v>
      </c>
      <c r="AZ34" s="56" t="s">
        <v>1062</v>
      </c>
      <c r="BA34" s="56" t="s">
        <v>2710</v>
      </c>
      <c r="BB34" s="56" t="s">
        <v>2711</v>
      </c>
      <c r="BC34" s="56" t="s">
        <v>1057</v>
      </c>
      <c r="BD34" s="56" t="s">
        <v>2712</v>
      </c>
    </row>
    <row r="35" spans="1:56" x14ac:dyDescent="0.2">
      <c r="A35" s="56">
        <v>176544391</v>
      </c>
      <c r="B35" s="56" t="s">
        <v>2211</v>
      </c>
      <c r="C35" s="56" t="s">
        <v>2623</v>
      </c>
      <c r="D35" s="56" t="s">
        <v>2212</v>
      </c>
      <c r="E35" s="56" t="s">
        <v>1044</v>
      </c>
      <c r="F35" s="56">
        <v>9</v>
      </c>
      <c r="G35" s="56"/>
      <c r="H35" s="56">
        <v>14866</v>
      </c>
      <c r="I35" s="56">
        <v>5</v>
      </c>
      <c r="J35" s="56" t="s">
        <v>1045</v>
      </c>
      <c r="K35" s="56" t="s">
        <v>1428</v>
      </c>
      <c r="L35" s="121">
        <v>46265</v>
      </c>
      <c r="M35" s="122">
        <v>0.25</v>
      </c>
      <c r="N35" s="122">
        <v>0.25486111111111109</v>
      </c>
      <c r="O35" s="56" t="s">
        <v>1047</v>
      </c>
      <c r="P35" s="121">
        <v>46265</v>
      </c>
      <c r="Q35" s="122">
        <v>0.33333333333333331</v>
      </c>
      <c r="R35" s="56"/>
      <c r="S35" s="56" t="s">
        <v>1148</v>
      </c>
      <c r="T35" s="56"/>
      <c r="U35" s="56">
        <v>17</v>
      </c>
      <c r="V35" s="56" t="s">
        <v>2624</v>
      </c>
      <c r="W35" s="56">
        <v>20.399999999999999</v>
      </c>
      <c r="X35" s="56">
        <v>22.1</v>
      </c>
      <c r="Y35" s="56">
        <v>1.7</v>
      </c>
      <c r="Z35" s="56">
        <v>0</v>
      </c>
      <c r="AA35" s="56" t="s">
        <v>75</v>
      </c>
      <c r="AB35" s="56">
        <v>14108361</v>
      </c>
      <c r="AC35" s="56" t="s">
        <v>75</v>
      </c>
      <c r="AD35" s="56">
        <v>14108361</v>
      </c>
      <c r="AE35" s="56" t="s">
        <v>2626</v>
      </c>
      <c r="AF35" s="56" t="s">
        <v>2627</v>
      </c>
      <c r="AG35" s="56" t="s">
        <v>2627</v>
      </c>
      <c r="AH35" s="56">
        <v>36</v>
      </c>
      <c r="AI35" s="56" t="s">
        <v>2706</v>
      </c>
      <c r="AJ35" s="56" t="s">
        <v>2640</v>
      </c>
      <c r="AK35" s="56" t="s">
        <v>2624</v>
      </c>
      <c r="AL35" s="56">
        <v>0</v>
      </c>
      <c r="AM35" s="56" t="s">
        <v>2694</v>
      </c>
      <c r="AN35" s="56" t="s">
        <v>2632</v>
      </c>
      <c r="AO35" s="56" t="s">
        <v>2627</v>
      </c>
      <c r="AP35" s="56" t="s">
        <v>2624</v>
      </c>
      <c r="AQ35" s="123">
        <v>4.8611111111110938E-3</v>
      </c>
      <c r="AR35" s="122">
        <v>-0.33333333333333331</v>
      </c>
      <c r="AS35" s="56" t="s">
        <v>1048</v>
      </c>
      <c r="AT35" s="56" t="s">
        <v>1049</v>
      </c>
      <c r="AU35" s="56" t="s">
        <v>1050</v>
      </c>
      <c r="AV35" s="56">
        <v>36</v>
      </c>
      <c r="AW35" s="56" t="s">
        <v>1051</v>
      </c>
      <c r="AX35" s="56" t="s">
        <v>2213</v>
      </c>
      <c r="AY35" s="56" t="s">
        <v>1159</v>
      </c>
      <c r="AZ35" s="56" t="s">
        <v>1062</v>
      </c>
      <c r="BA35" s="56" t="s">
        <v>2214</v>
      </c>
      <c r="BB35" s="56" t="s">
        <v>2215</v>
      </c>
      <c r="BC35" s="56" t="s">
        <v>1057</v>
      </c>
      <c r="BD35" s="56" t="s">
        <v>2216</v>
      </c>
    </row>
    <row r="36" spans="1:56" x14ac:dyDescent="0.2">
      <c r="A36" s="56">
        <v>176543628</v>
      </c>
      <c r="B36" s="56" t="s">
        <v>1361</v>
      </c>
      <c r="C36" s="56" t="s">
        <v>2623</v>
      </c>
      <c r="D36" s="56" t="s">
        <v>1362</v>
      </c>
      <c r="E36" s="56" t="s">
        <v>1044</v>
      </c>
      <c r="F36" s="56">
        <v>28</v>
      </c>
      <c r="G36" s="56"/>
      <c r="H36" s="56">
        <v>15485</v>
      </c>
      <c r="I36" s="56">
        <v>6</v>
      </c>
      <c r="J36" s="56" t="s">
        <v>1045</v>
      </c>
      <c r="K36" s="56" t="s">
        <v>1046</v>
      </c>
      <c r="L36" s="121">
        <v>46265</v>
      </c>
      <c r="M36" s="122">
        <v>0.26041666666666669</v>
      </c>
      <c r="N36" s="122">
        <v>0.26458333333333334</v>
      </c>
      <c r="O36" s="56" t="s">
        <v>1047</v>
      </c>
      <c r="P36" s="121">
        <v>46265</v>
      </c>
      <c r="Q36" s="122">
        <v>0.3125</v>
      </c>
      <c r="R36" s="122">
        <v>0.30070601851851853</v>
      </c>
      <c r="S36" s="56" t="s">
        <v>1047</v>
      </c>
      <c r="T36" s="56">
        <v>1</v>
      </c>
      <c r="U36" s="56">
        <v>62</v>
      </c>
      <c r="V36" s="56">
        <v>58.79</v>
      </c>
      <c r="W36" s="56">
        <v>58.84</v>
      </c>
      <c r="X36" s="56" t="s">
        <v>2624</v>
      </c>
      <c r="Y36" s="56" t="s">
        <v>2624</v>
      </c>
      <c r="Z36" s="56" t="s">
        <v>2624</v>
      </c>
      <c r="AA36" s="56" t="s">
        <v>336</v>
      </c>
      <c r="AB36" s="56">
        <v>14110604</v>
      </c>
      <c r="AC36" s="56" t="s">
        <v>336</v>
      </c>
      <c r="AD36" s="56">
        <v>14110604</v>
      </c>
      <c r="AE36" s="56" t="s">
        <v>2626</v>
      </c>
      <c r="AF36" s="56" t="s">
        <v>2627</v>
      </c>
      <c r="AG36" s="56" t="s">
        <v>2627</v>
      </c>
      <c r="AH36" s="56">
        <v>36</v>
      </c>
      <c r="AI36" s="56" t="s">
        <v>2628</v>
      </c>
      <c r="AJ36" s="56" t="s">
        <v>2629</v>
      </c>
      <c r="AK36" s="56">
        <v>0</v>
      </c>
      <c r="AL36" s="56" t="s">
        <v>2630</v>
      </c>
      <c r="AM36" s="56" t="s">
        <v>2631</v>
      </c>
      <c r="AN36" s="56" t="s">
        <v>2632</v>
      </c>
      <c r="AO36" s="56" t="s">
        <v>2627</v>
      </c>
      <c r="AP36" s="56" t="s">
        <v>2624</v>
      </c>
      <c r="AQ36" s="123">
        <v>4.1666666666666519E-3</v>
      </c>
      <c r="AR36" s="122">
        <v>-1.1793981481481475E-2</v>
      </c>
      <c r="AS36" s="56" t="s">
        <v>1048</v>
      </c>
      <c r="AT36" s="56" t="s">
        <v>1049</v>
      </c>
      <c r="AU36" s="56" t="s">
        <v>1050</v>
      </c>
      <c r="AV36" s="56">
        <v>36</v>
      </c>
      <c r="AW36" s="56" t="s">
        <v>1051</v>
      </c>
      <c r="AX36" s="56" t="s">
        <v>1363</v>
      </c>
      <c r="AY36" s="56" t="s">
        <v>1053</v>
      </c>
      <c r="AZ36" s="56" t="s">
        <v>1054</v>
      </c>
      <c r="BA36" s="56" t="s">
        <v>1364</v>
      </c>
      <c r="BB36" s="56" t="s">
        <v>1365</v>
      </c>
      <c r="BC36" s="56" t="s">
        <v>1057</v>
      </c>
      <c r="BD36" s="56" t="s">
        <v>1366</v>
      </c>
    </row>
    <row r="37" spans="1:56" x14ac:dyDescent="0.2">
      <c r="A37" s="56">
        <v>176538551</v>
      </c>
      <c r="B37" s="56" t="s">
        <v>1367</v>
      </c>
      <c r="C37" s="56" t="s">
        <v>2623</v>
      </c>
      <c r="D37" s="56" t="s">
        <v>1368</v>
      </c>
      <c r="E37" s="56" t="s">
        <v>1044</v>
      </c>
      <c r="F37" s="56">
        <v>1</v>
      </c>
      <c r="G37" s="56" t="s">
        <v>2713</v>
      </c>
      <c r="H37" s="56">
        <v>16783</v>
      </c>
      <c r="I37" s="56">
        <v>6</v>
      </c>
      <c r="J37" s="56" t="s">
        <v>1045</v>
      </c>
      <c r="K37" s="56" t="s">
        <v>1091</v>
      </c>
      <c r="L37" s="121">
        <v>46265</v>
      </c>
      <c r="M37" s="122">
        <v>0.27430555555555558</v>
      </c>
      <c r="N37" s="122">
        <v>0.27916666666666667</v>
      </c>
      <c r="O37" s="56" t="s">
        <v>1047</v>
      </c>
      <c r="P37" s="121">
        <v>46265</v>
      </c>
      <c r="Q37" s="122">
        <v>0.33333333333333331</v>
      </c>
      <c r="R37" s="122">
        <v>0.31969907407407405</v>
      </c>
      <c r="S37" s="56" t="s">
        <v>1047</v>
      </c>
      <c r="T37" s="56">
        <v>1</v>
      </c>
      <c r="U37" s="56">
        <v>28</v>
      </c>
      <c r="V37" s="56">
        <v>25.16</v>
      </c>
      <c r="W37" s="56">
        <v>25.31</v>
      </c>
      <c r="X37" s="56" t="s">
        <v>2624</v>
      </c>
      <c r="Y37" s="56" t="s">
        <v>2624</v>
      </c>
      <c r="Z37" s="56" t="s">
        <v>2624</v>
      </c>
      <c r="AA37" s="56" t="s">
        <v>1805</v>
      </c>
      <c r="AB37" s="56">
        <v>14122067</v>
      </c>
      <c r="AC37" s="56" t="s">
        <v>1805</v>
      </c>
      <c r="AD37" s="56">
        <v>14122067</v>
      </c>
      <c r="AE37" s="56" t="s">
        <v>2626</v>
      </c>
      <c r="AF37" s="56" t="s">
        <v>2627</v>
      </c>
      <c r="AG37" s="56" t="s">
        <v>2627</v>
      </c>
      <c r="AH37" s="56">
        <v>36</v>
      </c>
      <c r="AI37" s="56" t="s">
        <v>2628</v>
      </c>
      <c r="AJ37" s="56" t="s">
        <v>2629</v>
      </c>
      <c r="AK37" s="56">
        <v>0</v>
      </c>
      <c r="AL37" s="56" t="s">
        <v>2630</v>
      </c>
      <c r="AM37" s="56" t="s">
        <v>2631</v>
      </c>
      <c r="AN37" s="56" t="s">
        <v>2632</v>
      </c>
      <c r="AO37" s="56" t="s">
        <v>2627</v>
      </c>
      <c r="AP37" s="56" t="s">
        <v>2624</v>
      </c>
      <c r="AQ37" s="123">
        <v>4.8611111111110938E-3</v>
      </c>
      <c r="AR37" s="122">
        <v>-1.3634259259259263E-2</v>
      </c>
      <c r="AS37" s="56" t="s">
        <v>1048</v>
      </c>
      <c r="AT37" s="56" t="s">
        <v>1049</v>
      </c>
      <c r="AU37" s="56" t="s">
        <v>1050</v>
      </c>
      <c r="AV37" s="56">
        <v>36</v>
      </c>
      <c r="AW37" s="56" t="s">
        <v>1051</v>
      </c>
      <c r="AX37" s="56" t="s">
        <v>1370</v>
      </c>
      <c r="AY37" s="56" t="s">
        <v>1093</v>
      </c>
      <c r="AZ37" s="56" t="s">
        <v>1067</v>
      </c>
      <c r="BA37" s="56" t="s">
        <v>1371</v>
      </c>
      <c r="BB37" s="56" t="s">
        <v>1372</v>
      </c>
      <c r="BC37" s="56" t="s">
        <v>1057</v>
      </c>
      <c r="BD37" s="56" t="s">
        <v>1373</v>
      </c>
    </row>
    <row r="38" spans="1:56" x14ac:dyDescent="0.2">
      <c r="A38" s="56">
        <v>176545063</v>
      </c>
      <c r="B38" s="56" t="s">
        <v>2325</v>
      </c>
      <c r="C38" s="56" t="s">
        <v>2623</v>
      </c>
      <c r="D38" s="56" t="s">
        <v>2326</v>
      </c>
      <c r="E38" s="56" t="s">
        <v>1044</v>
      </c>
      <c r="F38" s="56">
        <v>99</v>
      </c>
      <c r="G38" s="56" t="s">
        <v>2714</v>
      </c>
      <c r="H38" s="56">
        <v>17343</v>
      </c>
      <c r="I38" s="56">
        <v>6</v>
      </c>
      <c r="J38" s="56" t="s">
        <v>1045</v>
      </c>
      <c r="K38" s="56" t="s">
        <v>1374</v>
      </c>
      <c r="L38" s="121">
        <v>46265</v>
      </c>
      <c r="M38" s="122">
        <v>0.27638888888888891</v>
      </c>
      <c r="N38" s="122">
        <v>0.30486111111111114</v>
      </c>
      <c r="O38" s="56" t="s">
        <v>1047</v>
      </c>
      <c r="P38" s="121">
        <v>46265</v>
      </c>
      <c r="Q38" s="122">
        <v>0.34722222222222221</v>
      </c>
      <c r="R38" s="122">
        <v>0.35658564814814814</v>
      </c>
      <c r="S38" s="56" t="s">
        <v>1047</v>
      </c>
      <c r="T38" s="56">
        <v>1</v>
      </c>
      <c r="U38" s="56">
        <v>64</v>
      </c>
      <c r="V38" s="56">
        <v>60.42</v>
      </c>
      <c r="W38" s="56">
        <v>60.78</v>
      </c>
      <c r="X38" s="56" t="s">
        <v>2624</v>
      </c>
      <c r="Y38" s="56" t="s">
        <v>2624</v>
      </c>
      <c r="Z38" s="56" t="s">
        <v>2624</v>
      </c>
      <c r="AA38" s="56" t="s">
        <v>140</v>
      </c>
      <c r="AB38" s="56">
        <v>14115136</v>
      </c>
      <c r="AC38" s="56" t="s">
        <v>140</v>
      </c>
      <c r="AD38" s="56">
        <v>14115136</v>
      </c>
      <c r="AE38" s="56" t="s">
        <v>2626</v>
      </c>
      <c r="AF38" s="56" t="s">
        <v>2627</v>
      </c>
      <c r="AG38" s="56" t="s">
        <v>2627</v>
      </c>
      <c r="AH38" s="56">
        <v>36</v>
      </c>
      <c r="AI38" s="56" t="s">
        <v>2628</v>
      </c>
      <c r="AJ38" s="56" t="s">
        <v>2640</v>
      </c>
      <c r="AK38" s="56">
        <v>0</v>
      </c>
      <c r="AL38" s="56" t="s">
        <v>2630</v>
      </c>
      <c r="AM38" s="56" t="s">
        <v>2631</v>
      </c>
      <c r="AN38" s="56" t="s">
        <v>2632</v>
      </c>
      <c r="AO38" s="56" t="s">
        <v>2627</v>
      </c>
      <c r="AP38" s="56" t="s">
        <v>2624</v>
      </c>
      <c r="AQ38" s="123">
        <v>2.8472222222222232E-2</v>
      </c>
      <c r="AR38" s="122">
        <v>9.3634259259259278E-3</v>
      </c>
      <c r="AS38" s="56" t="s">
        <v>1048</v>
      </c>
      <c r="AT38" s="56" t="s">
        <v>1059</v>
      </c>
      <c r="AU38" s="56" t="s">
        <v>1060</v>
      </c>
      <c r="AV38" s="56">
        <v>36</v>
      </c>
      <c r="AW38" s="56" t="s">
        <v>1051</v>
      </c>
      <c r="AX38" s="56" t="s">
        <v>2327</v>
      </c>
      <c r="AY38" s="56" t="s">
        <v>1375</v>
      </c>
      <c r="AZ38" s="56" t="s">
        <v>1067</v>
      </c>
      <c r="BA38" s="56" t="s">
        <v>2328</v>
      </c>
      <c r="BB38" s="56" t="s">
        <v>2329</v>
      </c>
      <c r="BC38" s="56" t="s">
        <v>1057</v>
      </c>
      <c r="BD38" s="56" t="s">
        <v>2330</v>
      </c>
    </row>
    <row r="39" spans="1:56" x14ac:dyDescent="0.2">
      <c r="A39" s="56">
        <v>176545047</v>
      </c>
      <c r="B39" s="56" t="s">
        <v>2715</v>
      </c>
      <c r="C39" s="56" t="s">
        <v>2623</v>
      </c>
      <c r="D39" s="56" t="s">
        <v>2716</v>
      </c>
      <c r="E39" s="56" t="s">
        <v>1044</v>
      </c>
      <c r="F39" s="56">
        <v>83</v>
      </c>
      <c r="G39" s="56" t="s">
        <v>2714</v>
      </c>
      <c r="H39" s="56">
        <v>6353</v>
      </c>
      <c r="I39" s="56">
        <v>6</v>
      </c>
      <c r="J39" s="56" t="s">
        <v>1045</v>
      </c>
      <c r="K39" s="56" t="s">
        <v>1374</v>
      </c>
      <c r="L39" s="121">
        <v>46265</v>
      </c>
      <c r="M39" s="122">
        <v>0.27777777777777779</v>
      </c>
      <c r="N39" s="122">
        <v>0.30416666666666664</v>
      </c>
      <c r="O39" s="56" t="s">
        <v>1047</v>
      </c>
      <c r="P39" s="121">
        <v>46265</v>
      </c>
      <c r="Q39" s="122">
        <v>0.34722222222222221</v>
      </c>
      <c r="R39" s="122">
        <v>0.34556712962962965</v>
      </c>
      <c r="S39" s="56" t="s">
        <v>1047</v>
      </c>
      <c r="T39" s="56">
        <v>1</v>
      </c>
      <c r="U39" s="56">
        <v>35</v>
      </c>
      <c r="V39" s="56">
        <v>28.43</v>
      </c>
      <c r="W39" s="56">
        <v>28.67</v>
      </c>
      <c r="X39" s="56" t="s">
        <v>2624</v>
      </c>
      <c r="Y39" s="56" t="s">
        <v>2624</v>
      </c>
      <c r="Z39" s="56" t="s">
        <v>2624</v>
      </c>
      <c r="AA39" s="56" t="s">
        <v>1637</v>
      </c>
      <c r="AB39" s="56">
        <v>14121860</v>
      </c>
      <c r="AC39" s="56" t="s">
        <v>1637</v>
      </c>
      <c r="AD39" s="56">
        <v>14121860</v>
      </c>
      <c r="AE39" s="56" t="s">
        <v>2626</v>
      </c>
      <c r="AF39" s="56" t="s">
        <v>2627</v>
      </c>
      <c r="AG39" s="56" t="s">
        <v>2627</v>
      </c>
      <c r="AH39" s="56">
        <v>36</v>
      </c>
      <c r="AI39" s="56" t="s">
        <v>2628</v>
      </c>
      <c r="AJ39" s="56" t="s">
        <v>2629</v>
      </c>
      <c r="AK39" s="56">
        <v>0</v>
      </c>
      <c r="AL39" s="56" t="s">
        <v>2630</v>
      </c>
      <c r="AM39" s="56" t="s">
        <v>2631</v>
      </c>
      <c r="AN39" s="56" t="s">
        <v>2632</v>
      </c>
      <c r="AO39" s="56" t="s">
        <v>2627</v>
      </c>
      <c r="AP39" s="56" t="s">
        <v>2624</v>
      </c>
      <c r="AQ39" s="123">
        <v>2.6388888888888851E-2</v>
      </c>
      <c r="AR39" s="122">
        <v>-1.6550925925925553E-3</v>
      </c>
      <c r="AS39" s="56" t="s">
        <v>1048</v>
      </c>
      <c r="AT39" s="56" t="s">
        <v>1049</v>
      </c>
      <c r="AU39" s="56" t="s">
        <v>1050</v>
      </c>
      <c r="AV39" s="56">
        <v>36</v>
      </c>
      <c r="AW39" s="56" t="s">
        <v>1051</v>
      </c>
      <c r="AX39" s="56" t="s">
        <v>2717</v>
      </c>
      <c r="AY39" s="56" t="s">
        <v>1375</v>
      </c>
      <c r="AZ39" s="56" t="s">
        <v>1067</v>
      </c>
      <c r="BA39" s="56" t="s">
        <v>2718</v>
      </c>
      <c r="BB39" s="56" t="s">
        <v>2719</v>
      </c>
      <c r="BC39" s="56" t="s">
        <v>1057</v>
      </c>
      <c r="BD39" s="56" t="s">
        <v>2720</v>
      </c>
    </row>
    <row r="40" spans="1:56" x14ac:dyDescent="0.2">
      <c r="A40" s="56">
        <v>176545069</v>
      </c>
      <c r="B40" s="56" t="s">
        <v>2721</v>
      </c>
      <c r="C40" s="56" t="s">
        <v>2623</v>
      </c>
      <c r="D40" s="56" t="s">
        <v>2722</v>
      </c>
      <c r="E40" s="56" t="s">
        <v>1044</v>
      </c>
      <c r="F40" s="56">
        <v>105</v>
      </c>
      <c r="G40" s="56" t="s">
        <v>2714</v>
      </c>
      <c r="H40" s="56">
        <v>17340</v>
      </c>
      <c r="I40" s="56">
        <v>6</v>
      </c>
      <c r="J40" s="56" t="s">
        <v>1045</v>
      </c>
      <c r="K40" s="56" t="s">
        <v>1374</v>
      </c>
      <c r="L40" s="121">
        <v>46265</v>
      </c>
      <c r="M40" s="122">
        <v>0.27777777777777779</v>
      </c>
      <c r="N40" s="122">
        <v>0.30277777777777776</v>
      </c>
      <c r="O40" s="56" t="s">
        <v>1047</v>
      </c>
      <c r="P40" s="121">
        <v>46265</v>
      </c>
      <c r="Q40" s="122">
        <v>0.34722222222222221</v>
      </c>
      <c r="R40" s="122">
        <v>0.34395833333333331</v>
      </c>
      <c r="S40" s="56" t="s">
        <v>1047</v>
      </c>
      <c r="T40" s="56">
        <v>1</v>
      </c>
      <c r="U40" s="56">
        <v>47</v>
      </c>
      <c r="V40" s="56">
        <v>19.350000000000001</v>
      </c>
      <c r="W40" s="56">
        <v>43.42</v>
      </c>
      <c r="X40" s="56" t="s">
        <v>2624</v>
      </c>
      <c r="Y40" s="56" t="s">
        <v>2624</v>
      </c>
      <c r="Z40" s="56" t="s">
        <v>2624</v>
      </c>
      <c r="AA40" s="56" t="s">
        <v>70</v>
      </c>
      <c r="AB40" s="56">
        <v>14108111</v>
      </c>
      <c r="AC40" s="56" t="s">
        <v>70</v>
      </c>
      <c r="AD40" s="56">
        <v>14108111</v>
      </c>
      <c r="AE40" s="56" t="s">
        <v>2626</v>
      </c>
      <c r="AF40" s="56" t="s">
        <v>2627</v>
      </c>
      <c r="AG40" s="56" t="s">
        <v>2627</v>
      </c>
      <c r="AH40" s="56">
        <v>36</v>
      </c>
      <c r="AI40" s="56" t="s">
        <v>2628</v>
      </c>
      <c r="AJ40" s="56" t="s">
        <v>2629</v>
      </c>
      <c r="AK40" s="56">
        <v>0</v>
      </c>
      <c r="AL40" s="56" t="s">
        <v>2630</v>
      </c>
      <c r="AM40" s="56" t="s">
        <v>2631</v>
      </c>
      <c r="AN40" s="56" t="s">
        <v>2632</v>
      </c>
      <c r="AO40" s="56" t="s">
        <v>2627</v>
      </c>
      <c r="AP40" s="56" t="s">
        <v>2624</v>
      </c>
      <c r="AQ40" s="123">
        <v>2.4999999999999967E-2</v>
      </c>
      <c r="AR40" s="122">
        <v>-3.2638888888888995E-3</v>
      </c>
      <c r="AS40" s="56" t="s">
        <v>1048</v>
      </c>
      <c r="AT40" s="56" t="s">
        <v>1049</v>
      </c>
      <c r="AU40" s="56" t="s">
        <v>1050</v>
      </c>
      <c r="AV40" s="56">
        <v>36</v>
      </c>
      <c r="AW40" s="56" t="s">
        <v>1051</v>
      </c>
      <c r="AX40" s="56" t="s">
        <v>2723</v>
      </c>
      <c r="AY40" s="56" t="s">
        <v>1375</v>
      </c>
      <c r="AZ40" s="56" t="s">
        <v>1067</v>
      </c>
      <c r="BA40" s="56" t="s">
        <v>2724</v>
      </c>
      <c r="BB40" s="56" t="s">
        <v>2725</v>
      </c>
      <c r="BC40" s="56" t="s">
        <v>1057</v>
      </c>
      <c r="BD40" s="56" t="s">
        <v>2726</v>
      </c>
    </row>
    <row r="41" spans="1:56" x14ac:dyDescent="0.2">
      <c r="A41" s="56">
        <v>176538553</v>
      </c>
      <c r="B41" s="56" t="s">
        <v>2258</v>
      </c>
      <c r="C41" s="56" t="s">
        <v>2623</v>
      </c>
      <c r="D41" s="56" t="s">
        <v>2259</v>
      </c>
      <c r="E41" s="56" t="s">
        <v>1044</v>
      </c>
      <c r="F41" s="56">
        <v>3</v>
      </c>
      <c r="G41" s="56" t="s">
        <v>2713</v>
      </c>
      <c r="H41" s="56">
        <v>14676</v>
      </c>
      <c r="I41" s="56">
        <v>6</v>
      </c>
      <c r="J41" s="56" t="s">
        <v>1045</v>
      </c>
      <c r="K41" s="56" t="s">
        <v>1091</v>
      </c>
      <c r="L41" s="121">
        <v>46265</v>
      </c>
      <c r="M41" s="122">
        <v>0.28125</v>
      </c>
      <c r="N41" s="122">
        <v>0.29444444444444445</v>
      </c>
      <c r="O41" s="56" t="s">
        <v>1047</v>
      </c>
      <c r="P41" s="121">
        <v>46265</v>
      </c>
      <c r="Q41" s="122">
        <v>0.33333333333333331</v>
      </c>
      <c r="R41" s="122">
        <v>0.34251157407407407</v>
      </c>
      <c r="S41" s="56" t="s">
        <v>1047</v>
      </c>
      <c r="T41" s="56">
        <v>1</v>
      </c>
      <c r="U41" s="56">
        <v>27</v>
      </c>
      <c r="V41" s="56">
        <v>22.93</v>
      </c>
      <c r="W41" s="56">
        <v>24.75</v>
      </c>
      <c r="X41" s="56" t="s">
        <v>2624</v>
      </c>
      <c r="Y41" s="56" t="s">
        <v>2624</v>
      </c>
      <c r="Z41" s="56" t="s">
        <v>2624</v>
      </c>
      <c r="AA41" s="56" t="s">
        <v>1448</v>
      </c>
      <c r="AB41" s="56">
        <v>14115917</v>
      </c>
      <c r="AC41" s="56" t="s">
        <v>1448</v>
      </c>
      <c r="AD41" s="56">
        <v>14115917</v>
      </c>
      <c r="AE41" s="56" t="s">
        <v>2626</v>
      </c>
      <c r="AF41" s="56" t="s">
        <v>2627</v>
      </c>
      <c r="AG41" s="56" t="s">
        <v>2627</v>
      </c>
      <c r="AH41" s="56">
        <v>36</v>
      </c>
      <c r="AI41" s="56" t="s">
        <v>2628</v>
      </c>
      <c r="AJ41" s="56" t="s">
        <v>2640</v>
      </c>
      <c r="AK41" s="56">
        <v>0</v>
      </c>
      <c r="AL41" s="56" t="s">
        <v>2630</v>
      </c>
      <c r="AM41" s="56" t="s">
        <v>2631</v>
      </c>
      <c r="AN41" s="56" t="s">
        <v>2632</v>
      </c>
      <c r="AO41" s="56" t="s">
        <v>2627</v>
      </c>
      <c r="AP41" s="56" t="s">
        <v>2624</v>
      </c>
      <c r="AQ41" s="123">
        <v>1.3194444444444453E-2</v>
      </c>
      <c r="AR41" s="122">
        <v>9.1782407407407507E-3</v>
      </c>
      <c r="AS41" s="56" t="s">
        <v>1048</v>
      </c>
      <c r="AT41" s="56" t="s">
        <v>1059</v>
      </c>
      <c r="AU41" s="56" t="s">
        <v>1060</v>
      </c>
      <c r="AV41" s="56">
        <v>36</v>
      </c>
      <c r="AW41" s="56" t="s">
        <v>1051</v>
      </c>
      <c r="AX41" s="56" t="s">
        <v>2260</v>
      </c>
      <c r="AY41" s="56" t="s">
        <v>1093</v>
      </c>
      <c r="AZ41" s="56" t="s">
        <v>1067</v>
      </c>
      <c r="BA41" s="56" t="s">
        <v>2261</v>
      </c>
      <c r="BB41" s="56" t="s">
        <v>2262</v>
      </c>
      <c r="BC41" s="56" t="s">
        <v>1057</v>
      </c>
      <c r="BD41" s="56" t="s">
        <v>2263</v>
      </c>
    </row>
    <row r="42" spans="1:56" x14ac:dyDescent="0.2">
      <c r="A42" s="56">
        <v>176545080</v>
      </c>
      <c r="B42" s="56" t="s">
        <v>1563</v>
      </c>
      <c r="C42" s="56" t="s">
        <v>2623</v>
      </c>
      <c r="D42" s="56" t="s">
        <v>1509</v>
      </c>
      <c r="E42" s="56" t="s">
        <v>1044</v>
      </c>
      <c r="F42" s="56">
        <v>116</v>
      </c>
      <c r="G42" s="56" t="s">
        <v>2727</v>
      </c>
      <c r="H42" s="56">
        <v>16768</v>
      </c>
      <c r="I42" s="56">
        <v>6</v>
      </c>
      <c r="J42" s="56" t="s">
        <v>1045</v>
      </c>
      <c r="K42" s="56" t="s">
        <v>1374</v>
      </c>
      <c r="L42" s="121">
        <v>46265</v>
      </c>
      <c r="M42" s="122">
        <v>0.28125</v>
      </c>
      <c r="N42" s="122">
        <v>0.28472222222222221</v>
      </c>
      <c r="O42" s="56" t="s">
        <v>1047</v>
      </c>
      <c r="P42" s="121">
        <v>46265</v>
      </c>
      <c r="Q42" s="122">
        <v>0.34722222222222221</v>
      </c>
      <c r="R42" s="122">
        <v>0.33370370370370372</v>
      </c>
      <c r="S42" s="56" t="s">
        <v>1047</v>
      </c>
      <c r="T42" s="56">
        <v>1</v>
      </c>
      <c r="U42" s="56">
        <v>43</v>
      </c>
      <c r="V42" s="56">
        <v>41.1</v>
      </c>
      <c r="W42" s="56">
        <v>41.14</v>
      </c>
      <c r="X42" s="56" t="s">
        <v>2624</v>
      </c>
      <c r="Y42" s="56" t="s">
        <v>2624</v>
      </c>
      <c r="Z42" s="56" t="s">
        <v>2624</v>
      </c>
      <c r="AA42" s="56" t="s">
        <v>15</v>
      </c>
      <c r="AB42" s="56">
        <v>14100729</v>
      </c>
      <c r="AC42" s="56" t="s">
        <v>15</v>
      </c>
      <c r="AD42" s="56">
        <v>14100729</v>
      </c>
      <c r="AE42" s="56" t="s">
        <v>2626</v>
      </c>
      <c r="AF42" s="56" t="s">
        <v>2627</v>
      </c>
      <c r="AG42" s="56" t="s">
        <v>2627</v>
      </c>
      <c r="AH42" s="56">
        <v>36</v>
      </c>
      <c r="AI42" s="56" t="s">
        <v>2628</v>
      </c>
      <c r="AJ42" s="56" t="s">
        <v>2629</v>
      </c>
      <c r="AK42" s="56">
        <v>0</v>
      </c>
      <c r="AL42" s="56" t="s">
        <v>2630</v>
      </c>
      <c r="AM42" s="56" t="s">
        <v>2631</v>
      </c>
      <c r="AN42" s="56" t="s">
        <v>2632</v>
      </c>
      <c r="AO42" s="56" t="s">
        <v>2627</v>
      </c>
      <c r="AP42" s="56">
        <v>32</v>
      </c>
      <c r="AQ42" s="123">
        <v>3.4722222222222099E-3</v>
      </c>
      <c r="AR42" s="122">
        <v>-1.3518518518518485E-2</v>
      </c>
      <c r="AS42" s="56" t="s">
        <v>1048</v>
      </c>
      <c r="AT42" s="56" t="s">
        <v>1049</v>
      </c>
      <c r="AU42" s="56" t="s">
        <v>1050</v>
      </c>
      <c r="AV42" s="56">
        <v>36</v>
      </c>
      <c r="AW42" s="56" t="s">
        <v>1051</v>
      </c>
      <c r="AX42" s="56" t="s">
        <v>1564</v>
      </c>
      <c r="AY42" s="56" t="s">
        <v>1375</v>
      </c>
      <c r="AZ42" s="56" t="s">
        <v>1067</v>
      </c>
      <c r="BA42" s="56" t="s">
        <v>1565</v>
      </c>
      <c r="BB42" s="56" t="s">
        <v>1566</v>
      </c>
      <c r="BC42" s="56" t="s">
        <v>1057</v>
      </c>
      <c r="BD42" s="56" t="s">
        <v>1567</v>
      </c>
    </row>
    <row r="43" spans="1:56" x14ac:dyDescent="0.2">
      <c r="A43" s="56">
        <v>176545077</v>
      </c>
      <c r="B43" s="56" t="s">
        <v>1381</v>
      </c>
      <c r="C43" s="56" t="s">
        <v>2623</v>
      </c>
      <c r="D43" s="56" t="s">
        <v>1382</v>
      </c>
      <c r="E43" s="56" t="s">
        <v>1044</v>
      </c>
      <c r="F43" s="56">
        <v>113</v>
      </c>
      <c r="G43" s="56" t="s">
        <v>2727</v>
      </c>
      <c r="H43" s="56">
        <v>16736</v>
      </c>
      <c r="I43" s="56">
        <v>6</v>
      </c>
      <c r="J43" s="56" t="s">
        <v>1045</v>
      </c>
      <c r="K43" s="56" t="s">
        <v>1374</v>
      </c>
      <c r="L43" s="121">
        <v>46265</v>
      </c>
      <c r="M43" s="122">
        <v>0.28333333333333333</v>
      </c>
      <c r="N43" s="122">
        <v>0.28958333333333336</v>
      </c>
      <c r="O43" s="56" t="s">
        <v>1047</v>
      </c>
      <c r="P43" s="121">
        <v>46265</v>
      </c>
      <c r="Q43" s="122">
        <v>0.34722222222222221</v>
      </c>
      <c r="R43" s="122">
        <v>0.32273148148148151</v>
      </c>
      <c r="S43" s="56" t="s">
        <v>1047</v>
      </c>
      <c r="T43" s="56">
        <v>1</v>
      </c>
      <c r="U43" s="56">
        <v>30</v>
      </c>
      <c r="V43" s="56">
        <v>25.51</v>
      </c>
      <c r="W43" s="56">
        <v>27.57</v>
      </c>
      <c r="X43" s="56" t="s">
        <v>2624</v>
      </c>
      <c r="Y43" s="56" t="s">
        <v>2624</v>
      </c>
      <c r="Z43" s="56" t="s">
        <v>2624</v>
      </c>
      <c r="AA43" s="56" t="s">
        <v>19</v>
      </c>
      <c r="AB43" s="56">
        <v>14100740</v>
      </c>
      <c r="AC43" s="56" t="s">
        <v>19</v>
      </c>
      <c r="AD43" s="56">
        <v>14100740</v>
      </c>
      <c r="AE43" s="56" t="s">
        <v>2626</v>
      </c>
      <c r="AF43" s="56" t="s">
        <v>2627</v>
      </c>
      <c r="AG43" s="56" t="s">
        <v>2627</v>
      </c>
      <c r="AH43" s="56">
        <v>36</v>
      </c>
      <c r="AI43" s="56" t="s">
        <v>2628</v>
      </c>
      <c r="AJ43" s="56" t="s">
        <v>2629</v>
      </c>
      <c r="AK43" s="56">
        <v>0</v>
      </c>
      <c r="AL43" s="56" t="s">
        <v>2630</v>
      </c>
      <c r="AM43" s="56" t="s">
        <v>2631</v>
      </c>
      <c r="AN43" s="56" t="s">
        <v>2632</v>
      </c>
      <c r="AO43" s="56" t="s">
        <v>2627</v>
      </c>
      <c r="AP43" s="56" t="s">
        <v>2624</v>
      </c>
      <c r="AQ43" s="123">
        <v>6.2500000000000333E-3</v>
      </c>
      <c r="AR43" s="122">
        <v>-2.4490740740740702E-2</v>
      </c>
      <c r="AS43" s="56" t="s">
        <v>1048</v>
      </c>
      <c r="AT43" s="56" t="s">
        <v>1049</v>
      </c>
      <c r="AU43" s="56" t="s">
        <v>1050</v>
      </c>
      <c r="AV43" s="56">
        <v>36</v>
      </c>
      <c r="AW43" s="56" t="s">
        <v>1051</v>
      </c>
      <c r="AX43" s="56" t="s">
        <v>1383</v>
      </c>
      <c r="AY43" s="56" t="s">
        <v>1375</v>
      </c>
      <c r="AZ43" s="56" t="s">
        <v>1067</v>
      </c>
      <c r="BA43" s="56" t="s">
        <v>1384</v>
      </c>
      <c r="BB43" s="56" t="s">
        <v>1385</v>
      </c>
      <c r="BC43" s="56" t="s">
        <v>1057</v>
      </c>
      <c r="BD43" s="56" t="s">
        <v>1386</v>
      </c>
    </row>
    <row r="44" spans="1:56" x14ac:dyDescent="0.2">
      <c r="A44" s="56">
        <v>176544492</v>
      </c>
      <c r="B44" s="56" t="s">
        <v>2728</v>
      </c>
      <c r="C44" s="56" t="s">
        <v>2623</v>
      </c>
      <c r="D44" s="56" t="s">
        <v>1456</v>
      </c>
      <c r="E44" s="56" t="s">
        <v>1044</v>
      </c>
      <c r="F44" s="56">
        <v>22</v>
      </c>
      <c r="G44" s="56"/>
      <c r="H44" s="56">
        <v>13447</v>
      </c>
      <c r="I44" s="56">
        <v>6</v>
      </c>
      <c r="J44" s="56" t="s">
        <v>1045</v>
      </c>
      <c r="K44" s="56" t="s">
        <v>1457</v>
      </c>
      <c r="L44" s="121">
        <v>46265</v>
      </c>
      <c r="M44" s="122">
        <v>0.28472222222222221</v>
      </c>
      <c r="N44" s="122">
        <v>0.29305555555555557</v>
      </c>
      <c r="O44" s="56" t="s">
        <v>1047</v>
      </c>
      <c r="P44" s="121">
        <v>46265</v>
      </c>
      <c r="Q44" s="122">
        <v>0.3263888888888889</v>
      </c>
      <c r="R44" s="122">
        <v>0.32774305555555555</v>
      </c>
      <c r="S44" s="56" t="s">
        <v>1047</v>
      </c>
      <c r="T44" s="56">
        <v>1</v>
      </c>
      <c r="U44" s="56">
        <v>35</v>
      </c>
      <c r="V44" s="56">
        <v>24.28</v>
      </c>
      <c r="W44" s="56">
        <v>28.09</v>
      </c>
      <c r="X44" s="56" t="s">
        <v>2624</v>
      </c>
      <c r="Y44" s="56" t="s">
        <v>2624</v>
      </c>
      <c r="Z44" s="56" t="s">
        <v>2624</v>
      </c>
      <c r="AA44" s="56" t="s">
        <v>276</v>
      </c>
      <c r="AB44" s="56">
        <v>14120091</v>
      </c>
      <c r="AC44" s="56" t="s">
        <v>276</v>
      </c>
      <c r="AD44" s="56">
        <v>14120091</v>
      </c>
      <c r="AE44" s="56" t="s">
        <v>2626</v>
      </c>
      <c r="AF44" s="56" t="s">
        <v>2627</v>
      </c>
      <c r="AG44" s="56" t="s">
        <v>2627</v>
      </c>
      <c r="AH44" s="56">
        <v>36</v>
      </c>
      <c r="AI44" s="56" t="s">
        <v>2628</v>
      </c>
      <c r="AJ44" s="56" t="s">
        <v>2640</v>
      </c>
      <c r="AK44" s="56">
        <v>0</v>
      </c>
      <c r="AL44" s="56" t="s">
        <v>2630</v>
      </c>
      <c r="AM44" s="56" t="s">
        <v>2631</v>
      </c>
      <c r="AN44" s="56" t="s">
        <v>2632</v>
      </c>
      <c r="AO44" s="56" t="s">
        <v>2627</v>
      </c>
      <c r="AP44" s="56" t="s">
        <v>2624</v>
      </c>
      <c r="AQ44" s="123">
        <v>8.3333333333333592E-3</v>
      </c>
      <c r="AR44" s="122">
        <v>1.3541666666666563E-3</v>
      </c>
      <c r="AS44" s="56" t="s">
        <v>1048</v>
      </c>
      <c r="AT44" s="56" t="s">
        <v>1049</v>
      </c>
      <c r="AU44" s="56" t="s">
        <v>1050</v>
      </c>
      <c r="AV44" s="56">
        <v>36</v>
      </c>
      <c r="AW44" s="56" t="s">
        <v>1051</v>
      </c>
      <c r="AX44" s="56" t="s">
        <v>1458</v>
      </c>
      <c r="AY44" s="56" t="s">
        <v>1259</v>
      </c>
      <c r="AZ44" s="56" t="s">
        <v>1062</v>
      </c>
      <c r="BA44" s="56" t="s">
        <v>1459</v>
      </c>
      <c r="BB44" s="56" t="s">
        <v>2729</v>
      </c>
      <c r="BC44" s="56" t="s">
        <v>1057</v>
      </c>
      <c r="BD44" s="56" t="s">
        <v>2730</v>
      </c>
    </row>
    <row r="45" spans="1:56" x14ac:dyDescent="0.2">
      <c r="A45" s="56">
        <v>176545040</v>
      </c>
      <c r="B45" s="56" t="s">
        <v>1387</v>
      </c>
      <c r="C45" s="56" t="s">
        <v>2623</v>
      </c>
      <c r="D45" s="56" t="s">
        <v>1388</v>
      </c>
      <c r="E45" s="56" t="s">
        <v>1044</v>
      </c>
      <c r="F45" s="56">
        <v>76</v>
      </c>
      <c r="G45" s="56" t="s">
        <v>2714</v>
      </c>
      <c r="H45" s="56">
        <v>13408</v>
      </c>
      <c r="I45" s="56">
        <v>6</v>
      </c>
      <c r="J45" s="56" t="s">
        <v>1045</v>
      </c>
      <c r="K45" s="56" t="s">
        <v>1374</v>
      </c>
      <c r="L45" s="121">
        <v>46265</v>
      </c>
      <c r="M45" s="122">
        <v>0.28472222222222221</v>
      </c>
      <c r="N45" s="122">
        <v>0.30277777777777776</v>
      </c>
      <c r="O45" s="56" t="s">
        <v>1047</v>
      </c>
      <c r="P45" s="121">
        <v>46265</v>
      </c>
      <c r="Q45" s="122">
        <v>0.34722222222222221</v>
      </c>
      <c r="R45" s="122">
        <v>0.34092592592592591</v>
      </c>
      <c r="S45" s="56" t="s">
        <v>1047</v>
      </c>
      <c r="T45" s="56">
        <v>1</v>
      </c>
      <c r="U45" s="56">
        <v>35</v>
      </c>
      <c r="V45" s="56">
        <v>33.729999999999997</v>
      </c>
      <c r="W45" s="56">
        <v>33.82</v>
      </c>
      <c r="X45" s="56" t="s">
        <v>2624</v>
      </c>
      <c r="Y45" s="56" t="s">
        <v>2624</v>
      </c>
      <c r="Z45" s="56" t="s">
        <v>2624</v>
      </c>
      <c r="AA45" s="56" t="s">
        <v>545</v>
      </c>
      <c r="AB45" s="56">
        <v>14123559</v>
      </c>
      <c r="AC45" s="56" t="s">
        <v>545</v>
      </c>
      <c r="AD45" s="56">
        <v>14123559</v>
      </c>
      <c r="AE45" s="56" t="s">
        <v>2626</v>
      </c>
      <c r="AF45" s="56" t="s">
        <v>2627</v>
      </c>
      <c r="AG45" s="56" t="s">
        <v>2627</v>
      </c>
      <c r="AH45" s="56">
        <v>36</v>
      </c>
      <c r="AI45" s="56" t="s">
        <v>2628</v>
      </c>
      <c r="AJ45" s="56" t="s">
        <v>2629</v>
      </c>
      <c r="AK45" s="56">
        <v>0</v>
      </c>
      <c r="AL45" s="56" t="s">
        <v>2630</v>
      </c>
      <c r="AM45" s="56" t="s">
        <v>2631</v>
      </c>
      <c r="AN45" s="56" t="s">
        <v>2632</v>
      </c>
      <c r="AO45" s="56" t="s">
        <v>2627</v>
      </c>
      <c r="AP45" s="56" t="s">
        <v>2624</v>
      </c>
      <c r="AQ45" s="123">
        <v>1.8055555555555547E-2</v>
      </c>
      <c r="AR45" s="122">
        <v>-6.2962962962962998E-3</v>
      </c>
      <c r="AS45" s="56" t="s">
        <v>1048</v>
      </c>
      <c r="AT45" s="56" t="s">
        <v>1049</v>
      </c>
      <c r="AU45" s="56" t="s">
        <v>1050</v>
      </c>
      <c r="AV45" s="56">
        <v>36</v>
      </c>
      <c r="AW45" s="56" t="s">
        <v>1051</v>
      </c>
      <c r="AX45" s="56" t="s">
        <v>1389</v>
      </c>
      <c r="AY45" s="56" t="s">
        <v>1375</v>
      </c>
      <c r="AZ45" s="56" t="s">
        <v>1067</v>
      </c>
      <c r="BA45" s="56" t="s">
        <v>1390</v>
      </c>
      <c r="BB45" s="56" t="s">
        <v>1391</v>
      </c>
      <c r="BC45" s="56" t="s">
        <v>1057</v>
      </c>
      <c r="BD45" s="56" t="s">
        <v>1392</v>
      </c>
    </row>
    <row r="46" spans="1:56" x14ac:dyDescent="0.2">
      <c r="A46" s="56">
        <v>176543829</v>
      </c>
      <c r="B46" s="56" t="s">
        <v>2731</v>
      </c>
      <c r="C46" s="56" t="s">
        <v>2623</v>
      </c>
      <c r="D46" s="56" t="s">
        <v>2732</v>
      </c>
      <c r="E46" s="56" t="s">
        <v>1044</v>
      </c>
      <c r="F46" s="56">
        <v>52</v>
      </c>
      <c r="G46" s="56"/>
      <c r="H46" s="56">
        <v>15335</v>
      </c>
      <c r="I46" s="56">
        <v>6</v>
      </c>
      <c r="J46" s="56" t="s">
        <v>1045</v>
      </c>
      <c r="K46" s="56" t="s">
        <v>1116</v>
      </c>
      <c r="L46" s="121">
        <v>46265</v>
      </c>
      <c r="M46" s="122">
        <v>0.2951388888888889</v>
      </c>
      <c r="N46" s="122">
        <v>0.30208333333333331</v>
      </c>
      <c r="O46" s="56" t="s">
        <v>1047</v>
      </c>
      <c r="P46" s="121">
        <v>46265</v>
      </c>
      <c r="Q46" s="122">
        <v>0.34722222222222221</v>
      </c>
      <c r="R46" s="122">
        <v>0.35167824074074072</v>
      </c>
      <c r="S46" s="56" t="s">
        <v>1047</v>
      </c>
      <c r="T46" s="56">
        <v>1</v>
      </c>
      <c r="U46" s="56">
        <v>28</v>
      </c>
      <c r="V46" s="56">
        <v>23.65</v>
      </c>
      <c r="W46" s="56">
        <v>23.14</v>
      </c>
      <c r="X46" s="56" t="s">
        <v>2624</v>
      </c>
      <c r="Y46" s="56" t="s">
        <v>2624</v>
      </c>
      <c r="Z46" s="56" t="s">
        <v>2624</v>
      </c>
      <c r="AA46" s="56" t="s">
        <v>501</v>
      </c>
      <c r="AB46" s="56">
        <v>14123273</v>
      </c>
      <c r="AC46" s="56" t="s">
        <v>501</v>
      </c>
      <c r="AD46" s="56">
        <v>14123273</v>
      </c>
      <c r="AE46" s="56" t="s">
        <v>2626</v>
      </c>
      <c r="AF46" s="56" t="s">
        <v>2627</v>
      </c>
      <c r="AG46" s="56" t="s">
        <v>2627</v>
      </c>
      <c r="AH46" s="56">
        <v>36</v>
      </c>
      <c r="AI46" s="56" t="s">
        <v>2628</v>
      </c>
      <c r="AJ46" s="56" t="s">
        <v>2640</v>
      </c>
      <c r="AK46" s="56">
        <v>0</v>
      </c>
      <c r="AL46" s="56" t="s">
        <v>2630</v>
      </c>
      <c r="AM46" s="56" t="s">
        <v>2631</v>
      </c>
      <c r="AN46" s="56" t="s">
        <v>2632</v>
      </c>
      <c r="AO46" s="56" t="s">
        <v>2627</v>
      </c>
      <c r="AP46" s="56" t="s">
        <v>2624</v>
      </c>
      <c r="AQ46" s="123">
        <v>6.9444444444444198E-3</v>
      </c>
      <c r="AR46" s="122">
        <v>4.4560185185185119E-3</v>
      </c>
      <c r="AS46" s="56" t="s">
        <v>1048</v>
      </c>
      <c r="AT46" s="56" t="s">
        <v>1059</v>
      </c>
      <c r="AU46" s="56" t="s">
        <v>1060</v>
      </c>
      <c r="AV46" s="56">
        <v>36</v>
      </c>
      <c r="AW46" s="56" t="s">
        <v>1051</v>
      </c>
      <c r="AX46" s="56" t="s">
        <v>2733</v>
      </c>
      <c r="AY46" s="56" t="s">
        <v>1118</v>
      </c>
      <c r="AZ46" s="56" t="s">
        <v>1054</v>
      </c>
      <c r="BA46" s="56" t="s">
        <v>2734</v>
      </c>
      <c r="BB46" s="56" t="s">
        <v>2735</v>
      </c>
      <c r="BC46" s="56" t="s">
        <v>1057</v>
      </c>
      <c r="BD46" s="56" t="s">
        <v>2736</v>
      </c>
    </row>
    <row r="47" spans="1:56" x14ac:dyDescent="0.2">
      <c r="A47" s="56">
        <v>176545073</v>
      </c>
      <c r="B47" s="56" t="s">
        <v>1398</v>
      </c>
      <c r="C47" s="56" t="s">
        <v>2623</v>
      </c>
      <c r="D47" s="56" t="s">
        <v>1399</v>
      </c>
      <c r="E47" s="56" t="s">
        <v>1044</v>
      </c>
      <c r="F47" s="56">
        <v>109</v>
      </c>
      <c r="G47" s="56" t="s">
        <v>2727</v>
      </c>
      <c r="H47" s="56">
        <v>15995</v>
      </c>
      <c r="I47" s="56">
        <v>6</v>
      </c>
      <c r="J47" s="56" t="s">
        <v>1045</v>
      </c>
      <c r="K47" s="56" t="s">
        <v>1374</v>
      </c>
      <c r="L47" s="121">
        <v>46265</v>
      </c>
      <c r="M47" s="122">
        <v>0.2951388888888889</v>
      </c>
      <c r="N47" s="122">
        <v>0.30763888888888891</v>
      </c>
      <c r="O47" s="56" t="s">
        <v>1047</v>
      </c>
      <c r="P47" s="121">
        <v>46265</v>
      </c>
      <c r="Q47" s="122">
        <v>0.34722222222222221</v>
      </c>
      <c r="R47" s="122">
        <v>0.34206018518518516</v>
      </c>
      <c r="S47" s="56" t="s">
        <v>1047</v>
      </c>
      <c r="T47" s="56">
        <v>1</v>
      </c>
      <c r="U47" s="56">
        <v>22</v>
      </c>
      <c r="V47" s="56">
        <v>18.809999999999999</v>
      </c>
      <c r="W47" s="56">
        <v>19.27</v>
      </c>
      <c r="X47" s="56" t="s">
        <v>2624</v>
      </c>
      <c r="Y47" s="56" t="s">
        <v>2624</v>
      </c>
      <c r="Z47" s="56" t="s">
        <v>2624</v>
      </c>
      <c r="AA47" s="56" t="s">
        <v>311</v>
      </c>
      <c r="AB47" s="56">
        <v>14121015</v>
      </c>
      <c r="AC47" s="56" t="s">
        <v>311</v>
      </c>
      <c r="AD47" s="56">
        <v>14121015</v>
      </c>
      <c r="AE47" s="56" t="s">
        <v>2626</v>
      </c>
      <c r="AF47" s="56" t="s">
        <v>2627</v>
      </c>
      <c r="AG47" s="56" t="s">
        <v>2627</v>
      </c>
      <c r="AH47" s="56">
        <v>36</v>
      </c>
      <c r="AI47" s="56" t="s">
        <v>2628</v>
      </c>
      <c r="AJ47" s="56" t="s">
        <v>2629</v>
      </c>
      <c r="AK47" s="56">
        <v>0</v>
      </c>
      <c r="AL47" s="56" t="s">
        <v>2630</v>
      </c>
      <c r="AM47" s="56" t="s">
        <v>2631</v>
      </c>
      <c r="AN47" s="56" t="s">
        <v>2632</v>
      </c>
      <c r="AO47" s="56" t="s">
        <v>2627</v>
      </c>
      <c r="AP47" s="56" t="s">
        <v>2624</v>
      </c>
      <c r="AQ47" s="123">
        <v>1.2500000000000011E-2</v>
      </c>
      <c r="AR47" s="122">
        <v>-5.1620370370370483E-3</v>
      </c>
      <c r="AS47" s="56" t="s">
        <v>1048</v>
      </c>
      <c r="AT47" s="56" t="s">
        <v>1049</v>
      </c>
      <c r="AU47" s="56" t="s">
        <v>1050</v>
      </c>
      <c r="AV47" s="56">
        <v>36</v>
      </c>
      <c r="AW47" s="56" t="s">
        <v>1051</v>
      </c>
      <c r="AX47" s="56" t="s">
        <v>1400</v>
      </c>
      <c r="AY47" s="56" t="s">
        <v>1375</v>
      </c>
      <c r="AZ47" s="56" t="s">
        <v>1067</v>
      </c>
      <c r="BA47" s="56" t="s">
        <v>1401</v>
      </c>
      <c r="BB47" s="56" t="s">
        <v>1402</v>
      </c>
      <c r="BC47" s="56" t="s">
        <v>1057</v>
      </c>
      <c r="BD47" s="56" t="s">
        <v>1403</v>
      </c>
    </row>
    <row r="48" spans="1:56" x14ac:dyDescent="0.2">
      <c r="A48" s="56">
        <v>176545043</v>
      </c>
      <c r="B48" s="56" t="s">
        <v>2737</v>
      </c>
      <c r="C48" s="56" t="s">
        <v>2623</v>
      </c>
      <c r="D48" s="56" t="s">
        <v>2738</v>
      </c>
      <c r="E48" s="56" t="s">
        <v>1044</v>
      </c>
      <c r="F48" s="56">
        <v>79</v>
      </c>
      <c r="G48" s="56" t="s">
        <v>2714</v>
      </c>
      <c r="H48" s="56">
        <v>17342</v>
      </c>
      <c r="I48" s="56">
        <v>6</v>
      </c>
      <c r="J48" s="56" t="s">
        <v>1045</v>
      </c>
      <c r="K48" s="56" t="s">
        <v>1374</v>
      </c>
      <c r="L48" s="121">
        <v>46265</v>
      </c>
      <c r="M48" s="122">
        <v>0.29791666666666666</v>
      </c>
      <c r="N48" s="122">
        <v>0.31874999999999998</v>
      </c>
      <c r="O48" s="56" t="s">
        <v>1047</v>
      </c>
      <c r="P48" s="121">
        <v>46265</v>
      </c>
      <c r="Q48" s="122">
        <v>0.34722222222222221</v>
      </c>
      <c r="R48" s="122">
        <v>0.34524305555555557</v>
      </c>
      <c r="S48" s="56" t="s">
        <v>1047</v>
      </c>
      <c r="T48" s="56">
        <v>1</v>
      </c>
      <c r="U48" s="56">
        <v>17</v>
      </c>
      <c r="V48" s="56">
        <v>13.74</v>
      </c>
      <c r="W48" s="56">
        <v>13.42</v>
      </c>
      <c r="X48" s="56" t="s">
        <v>2624</v>
      </c>
      <c r="Y48" s="56" t="s">
        <v>2624</v>
      </c>
      <c r="Z48" s="56" t="s">
        <v>2624</v>
      </c>
      <c r="AA48" s="56" t="s">
        <v>11</v>
      </c>
      <c r="AB48" s="56">
        <v>14100724</v>
      </c>
      <c r="AC48" s="56" t="s">
        <v>11</v>
      </c>
      <c r="AD48" s="56">
        <v>14100724</v>
      </c>
      <c r="AE48" s="56" t="s">
        <v>2626</v>
      </c>
      <c r="AF48" s="56" t="s">
        <v>2627</v>
      </c>
      <c r="AG48" s="56" t="s">
        <v>2627</v>
      </c>
      <c r="AH48" s="56">
        <v>36</v>
      </c>
      <c r="AI48" s="56" t="s">
        <v>2628</v>
      </c>
      <c r="AJ48" s="56" t="s">
        <v>2629</v>
      </c>
      <c r="AK48" s="56">
        <v>0</v>
      </c>
      <c r="AL48" s="56" t="s">
        <v>2630</v>
      </c>
      <c r="AM48" s="56" t="s">
        <v>2631</v>
      </c>
      <c r="AN48" s="56" t="s">
        <v>2632</v>
      </c>
      <c r="AO48" s="56" t="s">
        <v>2627</v>
      </c>
      <c r="AP48" s="56" t="s">
        <v>2624</v>
      </c>
      <c r="AQ48" s="123">
        <v>2.0833333333333315E-2</v>
      </c>
      <c r="AR48" s="122">
        <v>-1.979166666666643E-3</v>
      </c>
      <c r="AS48" s="56" t="s">
        <v>1048</v>
      </c>
      <c r="AT48" s="56" t="s">
        <v>1049</v>
      </c>
      <c r="AU48" s="56" t="s">
        <v>1050</v>
      </c>
      <c r="AV48" s="56">
        <v>36</v>
      </c>
      <c r="AW48" s="56" t="s">
        <v>1051</v>
      </c>
      <c r="AX48" s="56" t="s">
        <v>2739</v>
      </c>
      <c r="AY48" s="56" t="s">
        <v>1375</v>
      </c>
      <c r="AZ48" s="56" t="s">
        <v>1067</v>
      </c>
      <c r="BA48" s="56" t="s">
        <v>2740</v>
      </c>
      <c r="BB48" s="56" t="s">
        <v>2741</v>
      </c>
      <c r="BC48" s="56" t="s">
        <v>1057</v>
      </c>
      <c r="BD48" s="56" t="s">
        <v>2742</v>
      </c>
    </row>
    <row r="49" spans="1:56" x14ac:dyDescent="0.2">
      <c r="A49" s="56">
        <v>176549443</v>
      </c>
      <c r="B49" s="56" t="s">
        <v>2743</v>
      </c>
      <c r="C49" s="56" t="s">
        <v>2623</v>
      </c>
      <c r="D49" s="56" t="s">
        <v>2744</v>
      </c>
      <c r="E49" s="56" t="s">
        <v>1044</v>
      </c>
      <c r="F49" s="56">
        <v>203</v>
      </c>
      <c r="G49" s="56" t="s">
        <v>2670</v>
      </c>
      <c r="H49" s="56">
        <v>13502</v>
      </c>
      <c r="I49" s="56">
        <v>6</v>
      </c>
      <c r="J49" s="56" t="s">
        <v>1045</v>
      </c>
      <c r="K49" s="56" t="s">
        <v>1116</v>
      </c>
      <c r="L49" s="121">
        <v>46265</v>
      </c>
      <c r="M49" s="122">
        <v>0.3</v>
      </c>
      <c r="N49" s="122">
        <v>0.30763888888888891</v>
      </c>
      <c r="O49" s="56" t="s">
        <v>1047</v>
      </c>
      <c r="P49" s="121">
        <v>46265</v>
      </c>
      <c r="Q49" s="122">
        <v>0.34722222222222221</v>
      </c>
      <c r="R49" s="122">
        <v>0.33234953703703701</v>
      </c>
      <c r="S49" s="56" t="s">
        <v>1047</v>
      </c>
      <c r="T49" s="56">
        <v>1</v>
      </c>
      <c r="U49" s="56">
        <v>24</v>
      </c>
      <c r="V49" s="56">
        <v>19.28</v>
      </c>
      <c r="W49" s="56">
        <v>18.98</v>
      </c>
      <c r="X49" s="56" t="s">
        <v>2624</v>
      </c>
      <c r="Y49" s="56" t="s">
        <v>2624</v>
      </c>
      <c r="Z49" s="56" t="s">
        <v>2624</v>
      </c>
      <c r="AA49" s="56" t="s">
        <v>554</v>
      </c>
      <c r="AB49" s="56">
        <v>14123591</v>
      </c>
      <c r="AC49" s="56" t="s">
        <v>554</v>
      </c>
      <c r="AD49" s="56">
        <v>14123591</v>
      </c>
      <c r="AE49" s="56" t="s">
        <v>2626</v>
      </c>
      <c r="AF49" s="56" t="s">
        <v>2627</v>
      </c>
      <c r="AG49" s="56" t="s">
        <v>2627</v>
      </c>
      <c r="AH49" s="56">
        <v>36</v>
      </c>
      <c r="AI49" s="56" t="s">
        <v>2628</v>
      </c>
      <c r="AJ49" s="56" t="s">
        <v>2629</v>
      </c>
      <c r="AK49" s="56">
        <v>0</v>
      </c>
      <c r="AL49" s="56" t="s">
        <v>2630</v>
      </c>
      <c r="AM49" s="56" t="s">
        <v>2631</v>
      </c>
      <c r="AN49" s="56" t="s">
        <v>2632</v>
      </c>
      <c r="AO49" s="56" t="s">
        <v>2627</v>
      </c>
      <c r="AP49" s="56" t="s">
        <v>2624</v>
      </c>
      <c r="AQ49" s="123">
        <v>7.6388888888889173E-3</v>
      </c>
      <c r="AR49" s="122">
        <v>-1.4872685185185197E-2</v>
      </c>
      <c r="AS49" s="56" t="s">
        <v>1048</v>
      </c>
      <c r="AT49" s="56" t="s">
        <v>1049</v>
      </c>
      <c r="AU49" s="56" t="s">
        <v>1050</v>
      </c>
      <c r="AV49" s="56">
        <v>36</v>
      </c>
      <c r="AW49" s="56" t="s">
        <v>1051</v>
      </c>
      <c r="AX49" s="56" t="s">
        <v>2745</v>
      </c>
      <c r="AY49" s="56" t="s">
        <v>1118</v>
      </c>
      <c r="AZ49" s="56" t="s">
        <v>1054</v>
      </c>
      <c r="BA49" s="56" t="s">
        <v>2746</v>
      </c>
      <c r="BB49" s="56" t="s">
        <v>2747</v>
      </c>
      <c r="BC49" s="56" t="s">
        <v>1057</v>
      </c>
      <c r="BD49" s="56" t="s">
        <v>2748</v>
      </c>
    </row>
    <row r="50" spans="1:56" x14ac:dyDescent="0.2">
      <c r="A50" s="56">
        <v>176535582</v>
      </c>
      <c r="B50" s="56" t="s">
        <v>2749</v>
      </c>
      <c r="C50" s="56" t="s">
        <v>2623</v>
      </c>
      <c r="D50" s="56" t="s">
        <v>2750</v>
      </c>
      <c r="E50" s="56" t="s">
        <v>1044</v>
      </c>
      <c r="F50" s="56">
        <v>5</v>
      </c>
      <c r="G50" s="56"/>
      <c r="H50" s="56">
        <v>4978</v>
      </c>
      <c r="I50" s="56">
        <v>6</v>
      </c>
      <c r="J50" s="56" t="s">
        <v>1045</v>
      </c>
      <c r="K50" s="56" t="s">
        <v>2751</v>
      </c>
      <c r="L50" s="121">
        <v>46265</v>
      </c>
      <c r="M50" s="122">
        <v>0.32291666666666669</v>
      </c>
      <c r="N50" s="122">
        <v>0.3263888888888889</v>
      </c>
      <c r="O50" s="56" t="s">
        <v>1047</v>
      </c>
      <c r="P50" s="121">
        <v>46265</v>
      </c>
      <c r="Q50" s="122">
        <v>0.37361111111111112</v>
      </c>
      <c r="R50" s="122">
        <v>0.36890046296296297</v>
      </c>
      <c r="S50" s="56" t="s">
        <v>1047</v>
      </c>
      <c r="T50" s="56">
        <v>1</v>
      </c>
      <c r="U50" s="56">
        <v>30</v>
      </c>
      <c r="V50" s="56">
        <v>28.3</v>
      </c>
      <c r="W50" s="56">
        <v>28.41</v>
      </c>
      <c r="X50" s="56" t="s">
        <v>2624</v>
      </c>
      <c r="Y50" s="56" t="s">
        <v>2624</v>
      </c>
      <c r="Z50" s="56" t="s">
        <v>2624</v>
      </c>
      <c r="AA50" s="56" t="s">
        <v>408</v>
      </c>
      <c r="AB50" s="56">
        <v>14122291</v>
      </c>
      <c r="AC50" s="56" t="s">
        <v>408</v>
      </c>
      <c r="AD50" s="56">
        <v>14122291</v>
      </c>
      <c r="AE50" s="56" t="s">
        <v>2626</v>
      </c>
      <c r="AF50" s="56" t="s">
        <v>2627</v>
      </c>
      <c r="AG50" s="56" t="s">
        <v>2627</v>
      </c>
      <c r="AH50" s="56">
        <v>36</v>
      </c>
      <c r="AI50" s="56" t="s">
        <v>2628</v>
      </c>
      <c r="AJ50" s="56" t="s">
        <v>2629</v>
      </c>
      <c r="AK50" s="56">
        <v>0</v>
      </c>
      <c r="AL50" s="56" t="s">
        <v>2630</v>
      </c>
      <c r="AM50" s="56" t="s">
        <v>2631</v>
      </c>
      <c r="AN50" s="56" t="s">
        <v>2632</v>
      </c>
      <c r="AO50" s="56" t="s">
        <v>2627</v>
      </c>
      <c r="AP50" s="56" t="s">
        <v>2624</v>
      </c>
      <c r="AQ50" s="123">
        <v>3.4722222222222099E-3</v>
      </c>
      <c r="AR50" s="122">
        <v>-4.7106481481481444E-3</v>
      </c>
      <c r="AS50" s="56" t="s">
        <v>1048</v>
      </c>
      <c r="AT50" s="56" t="s">
        <v>1049</v>
      </c>
      <c r="AU50" s="56" t="s">
        <v>1050</v>
      </c>
      <c r="AV50" s="56">
        <v>36</v>
      </c>
      <c r="AW50" s="56" t="s">
        <v>1051</v>
      </c>
      <c r="AX50" s="56" t="s">
        <v>2752</v>
      </c>
      <c r="AY50" s="56" t="s">
        <v>1140</v>
      </c>
      <c r="AZ50" s="56" t="s">
        <v>1062</v>
      </c>
      <c r="BA50" s="56" t="s">
        <v>2753</v>
      </c>
      <c r="BB50" s="56" t="s">
        <v>2754</v>
      </c>
      <c r="BC50" s="56" t="s">
        <v>1057</v>
      </c>
      <c r="BD50" s="56" t="s">
        <v>2755</v>
      </c>
    </row>
    <row r="51" spans="1:56" x14ac:dyDescent="0.2">
      <c r="A51" s="56">
        <v>176530482</v>
      </c>
      <c r="B51" s="56" t="s">
        <v>2279</v>
      </c>
      <c r="C51" s="56" t="s">
        <v>2623</v>
      </c>
      <c r="D51" s="56" t="s">
        <v>2197</v>
      </c>
      <c r="E51" s="56" t="s">
        <v>1044</v>
      </c>
      <c r="F51" s="56">
        <v>7</v>
      </c>
      <c r="G51" s="56"/>
      <c r="H51" s="56">
        <v>6063</v>
      </c>
      <c r="I51" s="56">
        <v>6</v>
      </c>
      <c r="J51" s="56" t="s">
        <v>1045</v>
      </c>
      <c r="K51" s="56" t="s">
        <v>1123</v>
      </c>
      <c r="L51" s="121">
        <v>46265</v>
      </c>
      <c r="M51" s="122">
        <v>0.51388888888888884</v>
      </c>
      <c r="N51" s="122">
        <v>0.53541666666666665</v>
      </c>
      <c r="O51" s="56" t="s">
        <v>1047</v>
      </c>
      <c r="P51" s="121">
        <v>46265</v>
      </c>
      <c r="Q51" s="122">
        <v>0.60416666666666663</v>
      </c>
      <c r="R51" s="122">
        <v>0.60069444444444442</v>
      </c>
      <c r="S51" s="56" t="s">
        <v>1047</v>
      </c>
      <c r="T51" s="56">
        <v>1</v>
      </c>
      <c r="U51" s="56">
        <v>38</v>
      </c>
      <c r="V51" s="56">
        <v>31.5</v>
      </c>
      <c r="W51" s="56">
        <v>24.75</v>
      </c>
      <c r="X51" s="56" t="s">
        <v>2624</v>
      </c>
      <c r="Y51" s="56" t="s">
        <v>2624</v>
      </c>
      <c r="Z51" s="56" t="s">
        <v>2624</v>
      </c>
      <c r="AA51" s="56" t="s">
        <v>2756</v>
      </c>
      <c r="AB51" s="56">
        <v>14123336</v>
      </c>
      <c r="AC51" s="56" t="s">
        <v>2756</v>
      </c>
      <c r="AD51" s="56">
        <v>14123336</v>
      </c>
      <c r="AE51" s="56" t="s">
        <v>2626</v>
      </c>
      <c r="AF51" s="56" t="s">
        <v>2627</v>
      </c>
      <c r="AG51" s="56" t="s">
        <v>2627</v>
      </c>
      <c r="AH51" s="56">
        <v>36</v>
      </c>
      <c r="AI51" s="56" t="s">
        <v>2628</v>
      </c>
      <c r="AJ51" s="56" t="s">
        <v>2629</v>
      </c>
      <c r="AK51" s="56">
        <v>612.41</v>
      </c>
      <c r="AL51" s="56" t="s">
        <v>2630</v>
      </c>
      <c r="AM51" s="56" t="s">
        <v>2631</v>
      </c>
      <c r="AN51" s="56" t="s">
        <v>2632</v>
      </c>
      <c r="AO51" s="56" t="s">
        <v>2627</v>
      </c>
      <c r="AP51" s="56" t="s">
        <v>2624</v>
      </c>
      <c r="AQ51" s="123">
        <v>2.1527777777777812E-2</v>
      </c>
      <c r="AR51" s="122">
        <v>-3.4722222222222099E-3</v>
      </c>
      <c r="AS51" s="56" t="s">
        <v>1048</v>
      </c>
      <c r="AT51" s="56" t="s">
        <v>1049</v>
      </c>
      <c r="AU51" s="56" t="s">
        <v>1050</v>
      </c>
      <c r="AV51" s="56">
        <v>36</v>
      </c>
      <c r="AW51" s="56" t="s">
        <v>1051</v>
      </c>
      <c r="AX51" s="56" t="s">
        <v>2198</v>
      </c>
      <c r="AY51" s="56" t="s">
        <v>1124</v>
      </c>
      <c r="AZ51" s="56" t="s">
        <v>1054</v>
      </c>
      <c r="BA51" s="56" t="s">
        <v>2199</v>
      </c>
      <c r="BB51" s="56" t="s">
        <v>2200</v>
      </c>
      <c r="BC51" s="56" t="s">
        <v>1133</v>
      </c>
      <c r="BD51" s="56" t="s">
        <v>2280</v>
      </c>
    </row>
    <row r="52" spans="1:56" x14ac:dyDescent="0.2">
      <c r="A52" s="56">
        <v>176531487</v>
      </c>
      <c r="B52" s="56" t="s">
        <v>1252</v>
      </c>
      <c r="C52" s="56" t="s">
        <v>2623</v>
      </c>
      <c r="D52" s="56" t="s">
        <v>1180</v>
      </c>
      <c r="E52" s="56" t="s">
        <v>1044</v>
      </c>
      <c r="F52" s="56">
        <v>1</v>
      </c>
      <c r="G52" s="56"/>
      <c r="H52" s="56">
        <v>5351</v>
      </c>
      <c r="I52" s="56">
        <v>6</v>
      </c>
      <c r="J52" s="56" t="s">
        <v>1045</v>
      </c>
      <c r="K52" s="56" t="s">
        <v>1181</v>
      </c>
      <c r="L52" s="121">
        <v>46265</v>
      </c>
      <c r="M52" s="122">
        <v>0.51388888888888884</v>
      </c>
      <c r="N52" s="122">
        <v>0.51736111111111116</v>
      </c>
      <c r="O52" s="56" t="s">
        <v>1047</v>
      </c>
      <c r="P52" s="121">
        <v>46265</v>
      </c>
      <c r="Q52" s="122">
        <v>0.57986111111111116</v>
      </c>
      <c r="R52" s="122">
        <v>0.5727430555555556</v>
      </c>
      <c r="S52" s="56" t="s">
        <v>1047</v>
      </c>
      <c r="T52" s="56">
        <v>1</v>
      </c>
      <c r="U52" s="56">
        <v>26</v>
      </c>
      <c r="V52" s="56">
        <v>21.32</v>
      </c>
      <c r="W52" s="56">
        <v>20.67</v>
      </c>
      <c r="X52" s="56" t="s">
        <v>2624</v>
      </c>
      <c r="Y52" s="56" t="s">
        <v>2624</v>
      </c>
      <c r="Z52" s="56" t="s">
        <v>2624</v>
      </c>
      <c r="AA52" s="56" t="s">
        <v>32</v>
      </c>
      <c r="AB52" s="56">
        <v>14102730</v>
      </c>
      <c r="AC52" s="56" t="s">
        <v>32</v>
      </c>
      <c r="AD52" s="56">
        <v>14102730</v>
      </c>
      <c r="AE52" s="56" t="s">
        <v>2626</v>
      </c>
      <c r="AF52" s="56" t="s">
        <v>2627</v>
      </c>
      <c r="AG52" s="56" t="s">
        <v>2627</v>
      </c>
      <c r="AH52" s="56">
        <v>36</v>
      </c>
      <c r="AI52" s="56" t="s">
        <v>2628</v>
      </c>
      <c r="AJ52" s="56" t="s">
        <v>2629</v>
      </c>
      <c r="AK52" s="56">
        <v>522.74</v>
      </c>
      <c r="AL52" s="56" t="s">
        <v>2630</v>
      </c>
      <c r="AM52" s="56" t="s">
        <v>2631</v>
      </c>
      <c r="AN52" s="56" t="s">
        <v>2632</v>
      </c>
      <c r="AO52" s="56" t="s">
        <v>2627</v>
      </c>
      <c r="AP52" s="56">
        <v>12</v>
      </c>
      <c r="AQ52" s="123">
        <v>3.4722222222223209E-3</v>
      </c>
      <c r="AR52" s="122">
        <v>-7.118055555555558E-3</v>
      </c>
      <c r="AS52" s="56" t="s">
        <v>1048</v>
      </c>
      <c r="AT52" s="56" t="s">
        <v>1049</v>
      </c>
      <c r="AU52" s="56" t="s">
        <v>1050</v>
      </c>
      <c r="AV52" s="56">
        <v>36</v>
      </c>
      <c r="AW52" s="56" t="s">
        <v>1051</v>
      </c>
      <c r="AX52" s="56" t="s">
        <v>1182</v>
      </c>
      <c r="AY52" s="56" t="s">
        <v>1140</v>
      </c>
      <c r="AZ52" s="56" t="s">
        <v>1062</v>
      </c>
      <c r="BA52" s="56" t="s">
        <v>1183</v>
      </c>
      <c r="BB52" s="56" t="s">
        <v>1184</v>
      </c>
      <c r="BC52" s="56" t="s">
        <v>1133</v>
      </c>
      <c r="BD52" s="56" t="s">
        <v>1253</v>
      </c>
    </row>
    <row r="53" spans="1:56" x14ac:dyDescent="0.2">
      <c r="A53" s="56">
        <v>176540491</v>
      </c>
      <c r="B53" s="56" t="s">
        <v>1404</v>
      </c>
      <c r="C53" s="56" t="s">
        <v>2623</v>
      </c>
      <c r="D53" s="56" t="s">
        <v>1405</v>
      </c>
      <c r="E53" s="56" t="s">
        <v>1044</v>
      </c>
      <c r="F53" s="56">
        <v>33</v>
      </c>
      <c r="G53" s="56"/>
      <c r="H53" s="56">
        <v>11387</v>
      </c>
      <c r="I53" s="56">
        <v>6</v>
      </c>
      <c r="J53" s="56" t="s">
        <v>1045</v>
      </c>
      <c r="K53" s="56" t="s">
        <v>1406</v>
      </c>
      <c r="L53" s="121">
        <v>46265</v>
      </c>
      <c r="M53" s="122">
        <v>0.52083333333333337</v>
      </c>
      <c r="N53" s="122">
        <v>0.53194444444444444</v>
      </c>
      <c r="O53" s="56" t="s">
        <v>1047</v>
      </c>
      <c r="P53" s="121">
        <v>46265</v>
      </c>
      <c r="Q53" s="122">
        <v>0.57291666666666663</v>
      </c>
      <c r="R53" s="122">
        <v>0.58151620370370372</v>
      </c>
      <c r="S53" s="56" t="s">
        <v>1047</v>
      </c>
      <c r="T53" s="56">
        <v>1</v>
      </c>
      <c r="U53" s="56">
        <v>32</v>
      </c>
      <c r="V53" s="56">
        <v>27.89</v>
      </c>
      <c r="W53" s="56">
        <v>28.12</v>
      </c>
      <c r="X53" s="56" t="s">
        <v>2624</v>
      </c>
      <c r="Y53" s="56" t="s">
        <v>2624</v>
      </c>
      <c r="Z53" s="56" t="s">
        <v>2624</v>
      </c>
      <c r="AA53" s="56"/>
      <c r="AB53" s="56"/>
      <c r="AC53" s="56" t="s">
        <v>1187</v>
      </c>
      <c r="AD53" s="56"/>
      <c r="AE53" s="56" t="s">
        <v>2626</v>
      </c>
      <c r="AF53" s="56" t="s">
        <v>2627</v>
      </c>
      <c r="AG53" s="56" t="s">
        <v>2627</v>
      </c>
      <c r="AH53" s="56">
        <v>36</v>
      </c>
      <c r="AI53" s="56" t="s">
        <v>2628</v>
      </c>
      <c r="AJ53" s="56" t="s">
        <v>2640</v>
      </c>
      <c r="AK53" s="56">
        <v>0</v>
      </c>
      <c r="AL53" s="56" t="s">
        <v>2630</v>
      </c>
      <c r="AM53" s="56" t="s">
        <v>2631</v>
      </c>
      <c r="AN53" s="56" t="s">
        <v>2632</v>
      </c>
      <c r="AO53" s="56" t="s">
        <v>2627</v>
      </c>
      <c r="AP53" s="56" t="s">
        <v>2624</v>
      </c>
      <c r="AQ53" s="123">
        <v>1.1111111111111072E-2</v>
      </c>
      <c r="AR53" s="122">
        <v>8.5995370370370861E-3</v>
      </c>
      <c r="AS53" s="56" t="s">
        <v>1048</v>
      </c>
      <c r="AT53" s="56" t="s">
        <v>1059</v>
      </c>
      <c r="AU53" s="56" t="s">
        <v>1060</v>
      </c>
      <c r="AV53" s="56">
        <v>36</v>
      </c>
      <c r="AW53" s="56" t="s">
        <v>1051</v>
      </c>
      <c r="AX53" s="56" t="s">
        <v>1407</v>
      </c>
      <c r="AY53" s="56" t="s">
        <v>1259</v>
      </c>
      <c r="AZ53" s="56" t="s">
        <v>1062</v>
      </c>
      <c r="BA53" s="56" t="s">
        <v>1408</v>
      </c>
      <c r="BB53" s="56" t="s">
        <v>1409</v>
      </c>
      <c r="BC53" s="56" t="s">
        <v>1133</v>
      </c>
      <c r="BD53" s="56" t="s">
        <v>1410</v>
      </c>
    </row>
    <row r="54" spans="1:56" x14ac:dyDescent="0.2">
      <c r="A54" s="56">
        <v>176541810</v>
      </c>
      <c r="B54" s="56" t="s">
        <v>1134</v>
      </c>
      <c r="C54" s="56" t="s">
        <v>2623</v>
      </c>
      <c r="D54" s="56" t="s">
        <v>1070</v>
      </c>
      <c r="E54" s="56" t="s">
        <v>1044</v>
      </c>
      <c r="F54" s="56">
        <v>17</v>
      </c>
      <c r="G54" s="56"/>
      <c r="H54" s="56">
        <v>15192</v>
      </c>
      <c r="I54" s="56">
        <v>6</v>
      </c>
      <c r="J54" s="56" t="s">
        <v>1045</v>
      </c>
      <c r="K54" s="56" t="s">
        <v>1058</v>
      </c>
      <c r="L54" s="121">
        <v>46265</v>
      </c>
      <c r="M54" s="122">
        <v>0.52083333333333337</v>
      </c>
      <c r="N54" s="122">
        <v>0.53402777777777777</v>
      </c>
      <c r="O54" s="56" t="s">
        <v>1047</v>
      </c>
      <c r="P54" s="121">
        <v>46265</v>
      </c>
      <c r="Q54" s="122">
        <v>0.60416666666666663</v>
      </c>
      <c r="R54" s="122">
        <v>0.58951388888888889</v>
      </c>
      <c r="S54" s="56" t="s">
        <v>1047</v>
      </c>
      <c r="T54" s="56">
        <v>1</v>
      </c>
      <c r="U54" s="56">
        <v>37</v>
      </c>
      <c r="V54" s="56">
        <v>33.03</v>
      </c>
      <c r="W54" s="56">
        <v>37.520000000000003</v>
      </c>
      <c r="X54" s="56" t="s">
        <v>2624</v>
      </c>
      <c r="Y54" s="56" t="s">
        <v>2624</v>
      </c>
      <c r="Z54" s="56" t="s">
        <v>2624</v>
      </c>
      <c r="AA54" s="56" t="s">
        <v>2625</v>
      </c>
      <c r="AB54" s="56">
        <v>14122103</v>
      </c>
      <c r="AC54" s="56" t="s">
        <v>2625</v>
      </c>
      <c r="AD54" s="56">
        <v>14122103</v>
      </c>
      <c r="AE54" s="56" t="s">
        <v>2626</v>
      </c>
      <c r="AF54" s="56" t="s">
        <v>2627</v>
      </c>
      <c r="AG54" s="56" t="s">
        <v>2627</v>
      </c>
      <c r="AH54" s="56">
        <v>36</v>
      </c>
      <c r="AI54" s="56" t="s">
        <v>2628</v>
      </c>
      <c r="AJ54" s="56" t="s">
        <v>2629</v>
      </c>
      <c r="AK54" s="56">
        <v>815</v>
      </c>
      <c r="AL54" s="56" t="s">
        <v>2630</v>
      </c>
      <c r="AM54" s="56" t="s">
        <v>2631</v>
      </c>
      <c r="AN54" s="56" t="s">
        <v>2632</v>
      </c>
      <c r="AO54" s="56" t="s">
        <v>2627</v>
      </c>
      <c r="AP54" s="56" t="s">
        <v>2624</v>
      </c>
      <c r="AQ54" s="123">
        <v>1.3194444444444398E-2</v>
      </c>
      <c r="AR54" s="122">
        <v>-1.4652777777777737E-2</v>
      </c>
      <c r="AS54" s="56" t="s">
        <v>1048</v>
      </c>
      <c r="AT54" s="56" t="s">
        <v>1049</v>
      </c>
      <c r="AU54" s="56" t="s">
        <v>1050</v>
      </c>
      <c r="AV54" s="56">
        <v>36</v>
      </c>
      <c r="AW54" s="56" t="s">
        <v>1051</v>
      </c>
      <c r="AX54" s="56" t="s">
        <v>1071</v>
      </c>
      <c r="AY54" s="56" t="s">
        <v>1061</v>
      </c>
      <c r="AZ54" s="56" t="s">
        <v>1062</v>
      </c>
      <c r="BA54" s="56" t="s">
        <v>1072</v>
      </c>
      <c r="BB54" s="56" t="s">
        <v>1073</v>
      </c>
      <c r="BC54" s="56" t="s">
        <v>1133</v>
      </c>
      <c r="BD54" s="56" t="s">
        <v>1135</v>
      </c>
    </row>
    <row r="55" spans="1:56" x14ac:dyDescent="0.2">
      <c r="A55" s="56">
        <v>176550818</v>
      </c>
      <c r="B55" s="56" t="s">
        <v>2757</v>
      </c>
      <c r="C55" s="56" t="s">
        <v>2623</v>
      </c>
      <c r="D55" s="56" t="s">
        <v>2758</v>
      </c>
      <c r="E55" s="56" t="s">
        <v>1044</v>
      </c>
      <c r="F55" s="56">
        <v>3</v>
      </c>
      <c r="G55" s="56"/>
      <c r="H55" s="56">
        <v>11852</v>
      </c>
      <c r="I55" s="56">
        <v>6</v>
      </c>
      <c r="J55" s="56" t="s">
        <v>1045</v>
      </c>
      <c r="K55" s="56" t="s">
        <v>2276</v>
      </c>
      <c r="L55" s="121">
        <v>46265</v>
      </c>
      <c r="M55" s="122">
        <v>0.52569444444444446</v>
      </c>
      <c r="N55" s="122">
        <v>0.54513888888888884</v>
      </c>
      <c r="O55" s="56" t="s">
        <v>1047</v>
      </c>
      <c r="P55" s="121">
        <v>46265</v>
      </c>
      <c r="Q55" s="122">
        <v>0.57291666666666663</v>
      </c>
      <c r="R55" s="122">
        <v>0.56603009259259263</v>
      </c>
      <c r="S55" s="56" t="s">
        <v>1047</v>
      </c>
      <c r="T55" s="56">
        <v>1</v>
      </c>
      <c r="U55" s="56">
        <v>64</v>
      </c>
      <c r="V55" s="56">
        <v>52.13</v>
      </c>
      <c r="W55" s="56">
        <v>30.48</v>
      </c>
      <c r="X55" s="56" t="s">
        <v>2624</v>
      </c>
      <c r="Y55" s="56" t="s">
        <v>2624</v>
      </c>
      <c r="Z55" s="56" t="s">
        <v>2624</v>
      </c>
      <c r="AA55" s="56" t="s">
        <v>492</v>
      </c>
      <c r="AB55" s="56">
        <v>14123193</v>
      </c>
      <c r="AC55" s="56" t="s">
        <v>492</v>
      </c>
      <c r="AD55" s="56">
        <v>14123193</v>
      </c>
      <c r="AE55" s="56" t="s">
        <v>2626</v>
      </c>
      <c r="AF55" s="56" t="s">
        <v>2627</v>
      </c>
      <c r="AG55" s="56" t="s">
        <v>2627</v>
      </c>
      <c r="AH55" s="56">
        <v>36</v>
      </c>
      <c r="AI55" s="56" t="s">
        <v>2628</v>
      </c>
      <c r="AJ55" s="56" t="s">
        <v>2629</v>
      </c>
      <c r="AK55" s="56">
        <v>0</v>
      </c>
      <c r="AL55" s="56" t="s">
        <v>2630</v>
      </c>
      <c r="AM55" s="56" t="s">
        <v>2631</v>
      </c>
      <c r="AN55" s="56" t="s">
        <v>2632</v>
      </c>
      <c r="AO55" s="56" t="s">
        <v>2627</v>
      </c>
      <c r="AP55" s="56" t="s">
        <v>2624</v>
      </c>
      <c r="AQ55" s="123">
        <v>1.9444444444444375E-2</v>
      </c>
      <c r="AR55" s="122">
        <v>-6.8865740740740033E-3</v>
      </c>
      <c r="AS55" s="56" t="s">
        <v>1048</v>
      </c>
      <c r="AT55" s="56" t="s">
        <v>1049</v>
      </c>
      <c r="AU55" s="56" t="s">
        <v>1050</v>
      </c>
      <c r="AV55" s="56">
        <v>36</v>
      </c>
      <c r="AW55" s="56" t="s">
        <v>1051</v>
      </c>
      <c r="AX55" s="56" t="s">
        <v>2759</v>
      </c>
      <c r="AY55" s="56" t="s">
        <v>1159</v>
      </c>
      <c r="AZ55" s="56" t="s">
        <v>1062</v>
      </c>
      <c r="BA55" s="56" t="s">
        <v>2760</v>
      </c>
      <c r="BB55" s="56" t="s">
        <v>2761</v>
      </c>
      <c r="BC55" s="56" t="s">
        <v>1133</v>
      </c>
      <c r="BD55" s="56" t="s">
        <v>2762</v>
      </c>
    </row>
    <row r="56" spans="1:56" x14ac:dyDescent="0.2">
      <c r="A56" s="56">
        <v>176538828</v>
      </c>
      <c r="B56" s="56" t="s">
        <v>2763</v>
      </c>
      <c r="C56" s="56" t="s">
        <v>2623</v>
      </c>
      <c r="D56" s="56" t="s">
        <v>1186</v>
      </c>
      <c r="E56" s="56" t="s">
        <v>1044</v>
      </c>
      <c r="F56" s="56">
        <v>101</v>
      </c>
      <c r="G56" s="56"/>
      <c r="H56" s="56">
        <v>10747</v>
      </c>
      <c r="I56" s="56">
        <v>6</v>
      </c>
      <c r="J56" s="56" t="s">
        <v>1045</v>
      </c>
      <c r="K56" s="56" t="s">
        <v>1079</v>
      </c>
      <c r="L56" s="121">
        <v>46265</v>
      </c>
      <c r="M56" s="122">
        <v>0.52777777777777779</v>
      </c>
      <c r="N56" s="122">
        <v>0.53194444444444444</v>
      </c>
      <c r="O56" s="56" t="s">
        <v>1047</v>
      </c>
      <c r="P56" s="121">
        <v>46265</v>
      </c>
      <c r="Q56" s="122">
        <v>0.60069444444444442</v>
      </c>
      <c r="R56" s="122">
        <v>0.57461805555555556</v>
      </c>
      <c r="S56" s="56" t="s">
        <v>1047</v>
      </c>
      <c r="T56" s="56">
        <v>1</v>
      </c>
      <c r="U56" s="56">
        <v>43</v>
      </c>
      <c r="V56" s="56">
        <v>36.200000000000003</v>
      </c>
      <c r="W56" s="56">
        <v>37.229999999999997</v>
      </c>
      <c r="X56" s="56" t="s">
        <v>2624</v>
      </c>
      <c r="Y56" s="56" t="s">
        <v>2624</v>
      </c>
      <c r="Z56" s="56" t="s">
        <v>2624</v>
      </c>
      <c r="AA56" s="56" t="s">
        <v>527</v>
      </c>
      <c r="AB56" s="56">
        <v>14123488</v>
      </c>
      <c r="AC56" s="56" t="s">
        <v>527</v>
      </c>
      <c r="AD56" s="56">
        <v>14123488</v>
      </c>
      <c r="AE56" s="56" t="s">
        <v>2626</v>
      </c>
      <c r="AF56" s="56" t="s">
        <v>2627</v>
      </c>
      <c r="AG56" s="56" t="s">
        <v>2627</v>
      </c>
      <c r="AH56" s="56">
        <v>36</v>
      </c>
      <c r="AI56" s="56" t="s">
        <v>2628</v>
      </c>
      <c r="AJ56" s="56" t="s">
        <v>2629</v>
      </c>
      <c r="AK56" s="56">
        <v>0</v>
      </c>
      <c r="AL56" s="56" t="s">
        <v>2630</v>
      </c>
      <c r="AM56" s="56" t="s">
        <v>2631</v>
      </c>
      <c r="AN56" s="56" t="s">
        <v>2632</v>
      </c>
      <c r="AO56" s="56" t="s">
        <v>2627</v>
      </c>
      <c r="AP56" s="56" t="s">
        <v>2624</v>
      </c>
      <c r="AQ56" s="123">
        <v>4.1666666666666519E-3</v>
      </c>
      <c r="AR56" s="122">
        <v>-2.6076388888888857E-2</v>
      </c>
      <c r="AS56" s="56" t="s">
        <v>1048</v>
      </c>
      <c r="AT56" s="56" t="s">
        <v>1049</v>
      </c>
      <c r="AU56" s="56" t="s">
        <v>1050</v>
      </c>
      <c r="AV56" s="56">
        <v>36</v>
      </c>
      <c r="AW56" s="56" t="s">
        <v>1051</v>
      </c>
      <c r="AX56" s="56" t="s">
        <v>1188</v>
      </c>
      <c r="AY56" s="56" t="s">
        <v>1081</v>
      </c>
      <c r="AZ56" s="56" t="s">
        <v>1067</v>
      </c>
      <c r="BA56" s="56" t="s">
        <v>1189</v>
      </c>
      <c r="BB56" s="56" t="s">
        <v>1190</v>
      </c>
      <c r="BC56" s="56" t="s">
        <v>1133</v>
      </c>
      <c r="BD56" s="56" t="s">
        <v>2764</v>
      </c>
    </row>
    <row r="57" spans="1:56" x14ac:dyDescent="0.2">
      <c r="A57" s="56">
        <v>176548513</v>
      </c>
      <c r="B57" s="56" t="s">
        <v>2115</v>
      </c>
      <c r="C57" s="56" t="s">
        <v>2623</v>
      </c>
      <c r="D57" s="56" t="s">
        <v>2116</v>
      </c>
      <c r="E57" s="56" t="s">
        <v>1044</v>
      </c>
      <c r="F57" s="56">
        <v>497</v>
      </c>
      <c r="G57" s="56"/>
      <c r="H57" s="56">
        <v>5719</v>
      </c>
      <c r="I57" s="56">
        <v>6</v>
      </c>
      <c r="J57" s="56" t="s">
        <v>1045</v>
      </c>
      <c r="K57" s="56" t="s">
        <v>1064</v>
      </c>
      <c r="L57" s="121">
        <v>46265</v>
      </c>
      <c r="M57" s="122">
        <v>0.52777777777777779</v>
      </c>
      <c r="N57" s="122">
        <v>0.54166666666666663</v>
      </c>
      <c r="O57" s="56" t="s">
        <v>1047</v>
      </c>
      <c r="P57" s="121">
        <v>46265</v>
      </c>
      <c r="Q57" s="122">
        <v>0.60069444444444442</v>
      </c>
      <c r="R57" s="122">
        <v>0.60445601851851849</v>
      </c>
      <c r="S57" s="56" t="s">
        <v>1047</v>
      </c>
      <c r="T57" s="56">
        <v>1</v>
      </c>
      <c r="U57" s="56">
        <v>43</v>
      </c>
      <c r="V57" s="56">
        <v>35.04</v>
      </c>
      <c r="W57" s="56">
        <v>39.74</v>
      </c>
      <c r="X57" s="56" t="s">
        <v>2624</v>
      </c>
      <c r="Y57" s="56" t="s">
        <v>2624</v>
      </c>
      <c r="Z57" s="56" t="s">
        <v>2624</v>
      </c>
      <c r="AA57" s="56" t="s">
        <v>144</v>
      </c>
      <c r="AB57" s="56">
        <v>14115536</v>
      </c>
      <c r="AC57" s="56" t="s">
        <v>144</v>
      </c>
      <c r="AD57" s="56">
        <v>14115536</v>
      </c>
      <c r="AE57" s="56" t="s">
        <v>2626</v>
      </c>
      <c r="AF57" s="56" t="s">
        <v>2627</v>
      </c>
      <c r="AG57" s="56" t="s">
        <v>2627</v>
      </c>
      <c r="AH57" s="56">
        <v>36</v>
      </c>
      <c r="AI57" s="56" t="s">
        <v>2628</v>
      </c>
      <c r="AJ57" s="56" t="s">
        <v>2640</v>
      </c>
      <c r="AK57" s="56">
        <v>0</v>
      </c>
      <c r="AL57" s="56" t="s">
        <v>2630</v>
      </c>
      <c r="AM57" s="56" t="s">
        <v>2631</v>
      </c>
      <c r="AN57" s="56" t="s">
        <v>2632</v>
      </c>
      <c r="AO57" s="56" t="s">
        <v>2627</v>
      </c>
      <c r="AP57" s="56" t="s">
        <v>2624</v>
      </c>
      <c r="AQ57" s="123">
        <v>1.388888888888884E-2</v>
      </c>
      <c r="AR57" s="122">
        <v>3.76157407407407E-3</v>
      </c>
      <c r="AS57" s="56" t="s">
        <v>1048</v>
      </c>
      <c r="AT57" s="56" t="s">
        <v>1059</v>
      </c>
      <c r="AU57" s="56" t="s">
        <v>1060</v>
      </c>
      <c r="AV57" s="56">
        <v>36</v>
      </c>
      <c r="AW57" s="56" t="s">
        <v>1051</v>
      </c>
      <c r="AX57" s="56" t="s">
        <v>2117</v>
      </c>
      <c r="AY57" s="56" t="s">
        <v>1066</v>
      </c>
      <c r="AZ57" s="56" t="s">
        <v>1067</v>
      </c>
      <c r="BA57" s="56" t="s">
        <v>2118</v>
      </c>
      <c r="BB57" s="56" t="s">
        <v>2119</v>
      </c>
      <c r="BC57" s="56" t="s">
        <v>1133</v>
      </c>
      <c r="BD57" s="56" t="s">
        <v>2765</v>
      </c>
    </row>
    <row r="58" spans="1:56" x14ac:dyDescent="0.2">
      <c r="A58" s="56">
        <v>176531118</v>
      </c>
      <c r="B58" s="56" t="s">
        <v>2766</v>
      </c>
      <c r="C58" s="56" t="s">
        <v>2623</v>
      </c>
      <c r="D58" s="56" t="s">
        <v>1547</v>
      </c>
      <c r="E58" s="56" t="s">
        <v>1044</v>
      </c>
      <c r="F58" s="56">
        <v>61</v>
      </c>
      <c r="G58" s="56"/>
      <c r="H58" s="56">
        <v>16744</v>
      </c>
      <c r="I58" s="56">
        <v>6</v>
      </c>
      <c r="J58" s="56" t="s">
        <v>1045</v>
      </c>
      <c r="K58" s="56" t="s">
        <v>1064</v>
      </c>
      <c r="L58" s="121">
        <v>46265</v>
      </c>
      <c r="M58" s="122">
        <v>0.53472222222222221</v>
      </c>
      <c r="N58" s="122">
        <v>0.53819444444444442</v>
      </c>
      <c r="O58" s="56" t="s">
        <v>1047</v>
      </c>
      <c r="P58" s="121">
        <v>46265</v>
      </c>
      <c r="Q58" s="122">
        <v>0.60069444444444442</v>
      </c>
      <c r="R58" s="122">
        <v>0.58511574074074069</v>
      </c>
      <c r="S58" s="56" t="s">
        <v>1047</v>
      </c>
      <c r="T58" s="56">
        <v>1</v>
      </c>
      <c r="U58" s="56">
        <v>46</v>
      </c>
      <c r="V58" s="56">
        <v>42.96</v>
      </c>
      <c r="W58" s="56">
        <v>45.56</v>
      </c>
      <c r="X58" s="56" t="s">
        <v>2624</v>
      </c>
      <c r="Y58" s="56" t="s">
        <v>2624</v>
      </c>
      <c r="Z58" s="56" t="s">
        <v>2624</v>
      </c>
      <c r="AA58" s="56" t="s">
        <v>270</v>
      </c>
      <c r="AB58" s="56">
        <v>14119956</v>
      </c>
      <c r="AC58" s="56" t="s">
        <v>270</v>
      </c>
      <c r="AD58" s="56">
        <v>14119956</v>
      </c>
      <c r="AE58" s="56" t="s">
        <v>2626</v>
      </c>
      <c r="AF58" s="56" t="s">
        <v>2627</v>
      </c>
      <c r="AG58" s="56" t="s">
        <v>2627</v>
      </c>
      <c r="AH58" s="56">
        <v>36</v>
      </c>
      <c r="AI58" s="56" t="s">
        <v>2628</v>
      </c>
      <c r="AJ58" s="56" t="s">
        <v>2629</v>
      </c>
      <c r="AK58" s="56">
        <v>530.63</v>
      </c>
      <c r="AL58" s="56" t="s">
        <v>2630</v>
      </c>
      <c r="AM58" s="56" t="s">
        <v>2631</v>
      </c>
      <c r="AN58" s="56" t="s">
        <v>2632</v>
      </c>
      <c r="AO58" s="56" t="s">
        <v>2627</v>
      </c>
      <c r="AP58" s="56" t="s">
        <v>2624</v>
      </c>
      <c r="AQ58" s="123">
        <v>3.4722222222222099E-3</v>
      </c>
      <c r="AR58" s="122">
        <v>-1.5578703703703733E-2</v>
      </c>
      <c r="AS58" s="56" t="s">
        <v>1048</v>
      </c>
      <c r="AT58" s="56" t="s">
        <v>1049</v>
      </c>
      <c r="AU58" s="56" t="s">
        <v>1050</v>
      </c>
      <c r="AV58" s="56">
        <v>36</v>
      </c>
      <c r="AW58" s="56" t="s">
        <v>1051</v>
      </c>
      <c r="AX58" s="56" t="s">
        <v>1548</v>
      </c>
      <c r="AY58" s="56" t="s">
        <v>1066</v>
      </c>
      <c r="AZ58" s="56" t="s">
        <v>1067</v>
      </c>
      <c r="BA58" s="56" t="s">
        <v>1549</v>
      </c>
      <c r="BB58" s="56" t="s">
        <v>1550</v>
      </c>
      <c r="BC58" s="56" t="s">
        <v>1133</v>
      </c>
      <c r="BD58" s="56" t="s">
        <v>2767</v>
      </c>
    </row>
    <row r="59" spans="1:56" x14ac:dyDescent="0.2">
      <c r="A59" s="56">
        <v>176531133</v>
      </c>
      <c r="B59" s="56" t="s">
        <v>2768</v>
      </c>
      <c r="C59" s="56" t="s">
        <v>2623</v>
      </c>
      <c r="D59" s="56" t="s">
        <v>1268</v>
      </c>
      <c r="E59" s="56" t="s">
        <v>1044</v>
      </c>
      <c r="F59" s="56">
        <v>68</v>
      </c>
      <c r="G59" s="56"/>
      <c r="H59" s="56">
        <v>16363</v>
      </c>
      <c r="I59" s="56">
        <v>6</v>
      </c>
      <c r="J59" s="56" t="s">
        <v>1045</v>
      </c>
      <c r="K59" s="56" t="s">
        <v>1064</v>
      </c>
      <c r="L59" s="121">
        <v>46265</v>
      </c>
      <c r="M59" s="122">
        <v>0.53472222222222221</v>
      </c>
      <c r="N59" s="122">
        <v>0.54374999999999996</v>
      </c>
      <c r="O59" s="56" t="s">
        <v>1047</v>
      </c>
      <c r="P59" s="121">
        <v>46265</v>
      </c>
      <c r="Q59" s="122">
        <v>0.60069444444444442</v>
      </c>
      <c r="R59" s="122">
        <v>0.58827546296296296</v>
      </c>
      <c r="S59" s="56" t="s">
        <v>1047</v>
      </c>
      <c r="T59" s="56">
        <v>1</v>
      </c>
      <c r="U59" s="56">
        <v>33</v>
      </c>
      <c r="V59" s="56">
        <v>28.2</v>
      </c>
      <c r="W59" s="56">
        <v>29.01</v>
      </c>
      <c r="X59" s="56" t="s">
        <v>2624</v>
      </c>
      <c r="Y59" s="56" t="s">
        <v>2624</v>
      </c>
      <c r="Z59" s="56" t="s">
        <v>2624</v>
      </c>
      <c r="AA59" s="56" t="s">
        <v>2390</v>
      </c>
      <c r="AB59" s="56">
        <v>14124189</v>
      </c>
      <c r="AC59" s="56" t="s">
        <v>2390</v>
      </c>
      <c r="AD59" s="56">
        <v>14124189</v>
      </c>
      <c r="AE59" s="56" t="s">
        <v>2626</v>
      </c>
      <c r="AF59" s="56" t="s">
        <v>2627</v>
      </c>
      <c r="AG59" s="56" t="s">
        <v>2627</v>
      </c>
      <c r="AH59" s="56">
        <v>36</v>
      </c>
      <c r="AI59" s="56" t="s">
        <v>2628</v>
      </c>
      <c r="AJ59" s="56" t="s">
        <v>2629</v>
      </c>
      <c r="AK59" s="56">
        <v>530.63</v>
      </c>
      <c r="AL59" s="56" t="s">
        <v>2630</v>
      </c>
      <c r="AM59" s="56" t="s">
        <v>2631</v>
      </c>
      <c r="AN59" s="56" t="s">
        <v>2632</v>
      </c>
      <c r="AO59" s="56" t="s">
        <v>2627</v>
      </c>
      <c r="AP59" s="56" t="s">
        <v>2624</v>
      </c>
      <c r="AQ59" s="123">
        <v>9.0277777777777457E-3</v>
      </c>
      <c r="AR59" s="122">
        <v>-1.2418981481481461E-2</v>
      </c>
      <c r="AS59" s="56" t="s">
        <v>1048</v>
      </c>
      <c r="AT59" s="56" t="s">
        <v>1049</v>
      </c>
      <c r="AU59" s="56" t="s">
        <v>1050</v>
      </c>
      <c r="AV59" s="56">
        <v>36</v>
      </c>
      <c r="AW59" s="56" t="s">
        <v>1051</v>
      </c>
      <c r="AX59" s="56" t="s">
        <v>1269</v>
      </c>
      <c r="AY59" s="56" t="s">
        <v>1066</v>
      </c>
      <c r="AZ59" s="56" t="s">
        <v>1067</v>
      </c>
      <c r="BA59" s="56" t="s">
        <v>1270</v>
      </c>
      <c r="BB59" s="56" t="s">
        <v>1271</v>
      </c>
      <c r="BC59" s="56" t="s">
        <v>1133</v>
      </c>
      <c r="BD59" s="56" t="s">
        <v>2769</v>
      </c>
    </row>
    <row r="60" spans="1:56" x14ac:dyDescent="0.2">
      <c r="A60" s="56">
        <v>176544710</v>
      </c>
      <c r="B60" s="56" t="s">
        <v>2770</v>
      </c>
      <c r="C60" s="56" t="s">
        <v>2623</v>
      </c>
      <c r="D60" s="56" t="s">
        <v>2771</v>
      </c>
      <c r="E60" s="56" t="s">
        <v>1044</v>
      </c>
      <c r="F60" s="56">
        <v>142</v>
      </c>
      <c r="G60" s="56"/>
      <c r="H60" s="56">
        <v>15993</v>
      </c>
      <c r="I60" s="56">
        <v>6</v>
      </c>
      <c r="J60" s="56" t="s">
        <v>1045</v>
      </c>
      <c r="K60" s="56" t="s">
        <v>1079</v>
      </c>
      <c r="L60" s="121">
        <v>46265</v>
      </c>
      <c r="M60" s="122">
        <v>0.53472222222222221</v>
      </c>
      <c r="N60" s="122">
        <v>0.53819444444444442</v>
      </c>
      <c r="O60" s="56" t="s">
        <v>1047</v>
      </c>
      <c r="P60" s="121">
        <v>46265</v>
      </c>
      <c r="Q60" s="122">
        <v>0.60069444444444442</v>
      </c>
      <c r="R60" s="122">
        <v>0.59663194444444445</v>
      </c>
      <c r="S60" s="56" t="s">
        <v>1047</v>
      </c>
      <c r="T60" s="56">
        <v>1</v>
      </c>
      <c r="U60" s="56">
        <v>38</v>
      </c>
      <c r="V60" s="56">
        <v>30.23</v>
      </c>
      <c r="W60" s="56">
        <v>33.53</v>
      </c>
      <c r="X60" s="56" t="s">
        <v>2624</v>
      </c>
      <c r="Y60" s="56" t="s">
        <v>2624</v>
      </c>
      <c r="Z60" s="56" t="s">
        <v>2624</v>
      </c>
      <c r="AA60" s="56" t="s">
        <v>992</v>
      </c>
      <c r="AB60" s="56">
        <v>14123925</v>
      </c>
      <c r="AC60" s="56" t="s">
        <v>992</v>
      </c>
      <c r="AD60" s="56">
        <v>14123925</v>
      </c>
      <c r="AE60" s="56" t="s">
        <v>2626</v>
      </c>
      <c r="AF60" s="56" t="s">
        <v>2627</v>
      </c>
      <c r="AG60" s="56" t="s">
        <v>2627</v>
      </c>
      <c r="AH60" s="56">
        <v>36</v>
      </c>
      <c r="AI60" s="56" t="s">
        <v>2628</v>
      </c>
      <c r="AJ60" s="56" t="s">
        <v>2629</v>
      </c>
      <c r="AK60" s="56">
        <v>0</v>
      </c>
      <c r="AL60" s="56" t="s">
        <v>2630</v>
      </c>
      <c r="AM60" s="56" t="s">
        <v>2631</v>
      </c>
      <c r="AN60" s="56" t="s">
        <v>2632</v>
      </c>
      <c r="AO60" s="56" t="s">
        <v>2627</v>
      </c>
      <c r="AP60" s="56" t="s">
        <v>2624</v>
      </c>
      <c r="AQ60" s="123">
        <v>3.4722222222222099E-3</v>
      </c>
      <c r="AR60" s="122">
        <v>-4.0624999999999689E-3</v>
      </c>
      <c r="AS60" s="56" t="s">
        <v>1048</v>
      </c>
      <c r="AT60" s="56" t="s">
        <v>1049</v>
      </c>
      <c r="AU60" s="56" t="s">
        <v>1050</v>
      </c>
      <c r="AV60" s="56">
        <v>36</v>
      </c>
      <c r="AW60" s="56" t="s">
        <v>1051</v>
      </c>
      <c r="AX60" s="56" t="s">
        <v>2772</v>
      </c>
      <c r="AY60" s="56" t="s">
        <v>1081</v>
      </c>
      <c r="AZ60" s="56" t="s">
        <v>1067</v>
      </c>
      <c r="BA60" s="56" t="s">
        <v>2773</v>
      </c>
      <c r="BB60" s="56" t="s">
        <v>2774</v>
      </c>
      <c r="BC60" s="56" t="s">
        <v>1133</v>
      </c>
      <c r="BD60" s="56" t="s">
        <v>2775</v>
      </c>
    </row>
    <row r="61" spans="1:56" x14ac:dyDescent="0.2">
      <c r="A61" s="56">
        <v>176530496</v>
      </c>
      <c r="B61" s="56" t="s">
        <v>2128</v>
      </c>
      <c r="C61" s="56" t="s">
        <v>2623</v>
      </c>
      <c r="D61" s="56" t="s">
        <v>1632</v>
      </c>
      <c r="E61" s="56" t="s">
        <v>1044</v>
      </c>
      <c r="F61" s="56">
        <v>9</v>
      </c>
      <c r="G61" s="56"/>
      <c r="H61" s="56">
        <v>5923</v>
      </c>
      <c r="I61" s="56">
        <v>6</v>
      </c>
      <c r="J61" s="56" t="s">
        <v>1045</v>
      </c>
      <c r="K61" s="56" t="s">
        <v>1123</v>
      </c>
      <c r="L61" s="121">
        <v>46265</v>
      </c>
      <c r="M61" s="122">
        <v>0.53819444444444442</v>
      </c>
      <c r="N61" s="122">
        <v>0.54305555555555551</v>
      </c>
      <c r="O61" s="56" t="s">
        <v>1047</v>
      </c>
      <c r="P61" s="121">
        <v>46265</v>
      </c>
      <c r="Q61" s="122">
        <v>0.60416666666666663</v>
      </c>
      <c r="R61" s="122">
        <v>0.57499999999999996</v>
      </c>
      <c r="S61" s="56" t="s">
        <v>1047</v>
      </c>
      <c r="T61" s="56">
        <v>1</v>
      </c>
      <c r="U61" s="56">
        <v>22</v>
      </c>
      <c r="V61" s="56">
        <v>12.46</v>
      </c>
      <c r="W61" s="56">
        <v>17.14</v>
      </c>
      <c r="X61" s="56">
        <v>34.42</v>
      </c>
      <c r="Y61" s="56">
        <v>14.74</v>
      </c>
      <c r="Z61" s="56">
        <v>2.54</v>
      </c>
      <c r="AA61" s="56" t="s">
        <v>2000</v>
      </c>
      <c r="AB61" s="56">
        <v>14122133</v>
      </c>
      <c r="AC61" s="56" t="s">
        <v>2000</v>
      </c>
      <c r="AD61" s="56">
        <v>14122133</v>
      </c>
      <c r="AE61" s="56" t="s">
        <v>2626</v>
      </c>
      <c r="AF61" s="56" t="s">
        <v>2627</v>
      </c>
      <c r="AG61" s="56" t="s">
        <v>2627</v>
      </c>
      <c r="AH61" s="56">
        <v>36</v>
      </c>
      <c r="AI61" s="56" t="s">
        <v>2628</v>
      </c>
      <c r="AJ61" s="56" t="s">
        <v>2629</v>
      </c>
      <c r="AK61" s="56">
        <v>544.9</v>
      </c>
      <c r="AL61" s="56" t="s">
        <v>2630</v>
      </c>
      <c r="AM61" s="56" t="s">
        <v>2631</v>
      </c>
      <c r="AN61" s="56" t="s">
        <v>2632</v>
      </c>
      <c r="AO61" s="56" t="s">
        <v>2627</v>
      </c>
      <c r="AP61" s="56" t="s">
        <v>2624</v>
      </c>
      <c r="AQ61" s="123">
        <v>4.8611111111110938E-3</v>
      </c>
      <c r="AR61" s="122">
        <v>-2.9166666666666674E-2</v>
      </c>
      <c r="AS61" s="56" t="s">
        <v>1048</v>
      </c>
      <c r="AT61" s="56" t="s">
        <v>1049</v>
      </c>
      <c r="AU61" s="56" t="s">
        <v>1050</v>
      </c>
      <c r="AV61" s="56">
        <v>36</v>
      </c>
      <c r="AW61" s="56" t="s">
        <v>1051</v>
      </c>
      <c r="AX61" s="56" t="s">
        <v>1633</v>
      </c>
      <c r="AY61" s="56" t="s">
        <v>1124</v>
      </c>
      <c r="AZ61" s="56" t="s">
        <v>1054</v>
      </c>
      <c r="BA61" s="56" t="s">
        <v>1634</v>
      </c>
      <c r="BB61" s="56" t="s">
        <v>1635</v>
      </c>
      <c r="BC61" s="56" t="s">
        <v>1133</v>
      </c>
      <c r="BD61" s="56" t="s">
        <v>2129</v>
      </c>
    </row>
    <row r="62" spans="1:56" x14ac:dyDescent="0.2">
      <c r="A62" s="56">
        <v>176538846</v>
      </c>
      <c r="B62" s="56" t="s">
        <v>1282</v>
      </c>
      <c r="C62" s="56" t="s">
        <v>2623</v>
      </c>
      <c r="D62" s="56" t="s">
        <v>1283</v>
      </c>
      <c r="E62" s="56" t="s">
        <v>1044</v>
      </c>
      <c r="F62" s="56">
        <v>109</v>
      </c>
      <c r="G62" s="56"/>
      <c r="H62" s="56">
        <v>5672</v>
      </c>
      <c r="I62" s="56">
        <v>6</v>
      </c>
      <c r="J62" s="56" t="s">
        <v>1045</v>
      </c>
      <c r="K62" s="56" t="s">
        <v>1079</v>
      </c>
      <c r="L62" s="121">
        <v>46265</v>
      </c>
      <c r="M62" s="122">
        <v>0.53819444444444442</v>
      </c>
      <c r="N62" s="122">
        <v>0.54236111111111107</v>
      </c>
      <c r="O62" s="56" t="s">
        <v>1047</v>
      </c>
      <c r="P62" s="121">
        <v>46265</v>
      </c>
      <c r="Q62" s="122">
        <v>0.60069444444444442</v>
      </c>
      <c r="R62" s="122">
        <v>0.58070601851851855</v>
      </c>
      <c r="S62" s="56" t="s">
        <v>1047</v>
      </c>
      <c r="T62" s="56">
        <v>1</v>
      </c>
      <c r="U62" s="56">
        <v>42</v>
      </c>
      <c r="V62" s="56">
        <v>25.13</v>
      </c>
      <c r="W62" s="56">
        <v>27.15</v>
      </c>
      <c r="X62" s="56" t="s">
        <v>2624</v>
      </c>
      <c r="Y62" s="56" t="s">
        <v>2624</v>
      </c>
      <c r="Z62" s="56" t="s">
        <v>2624</v>
      </c>
      <c r="AA62" s="56" t="s">
        <v>1003</v>
      </c>
      <c r="AB62" s="56">
        <v>14124002</v>
      </c>
      <c r="AC62" s="56" t="s">
        <v>1003</v>
      </c>
      <c r="AD62" s="56">
        <v>14124002</v>
      </c>
      <c r="AE62" s="56" t="s">
        <v>2626</v>
      </c>
      <c r="AF62" s="56" t="s">
        <v>2627</v>
      </c>
      <c r="AG62" s="56" t="s">
        <v>2627</v>
      </c>
      <c r="AH62" s="56">
        <v>36</v>
      </c>
      <c r="AI62" s="56" t="s">
        <v>2628</v>
      </c>
      <c r="AJ62" s="56" t="s">
        <v>2629</v>
      </c>
      <c r="AK62" s="56">
        <v>0</v>
      </c>
      <c r="AL62" s="56" t="s">
        <v>2630</v>
      </c>
      <c r="AM62" s="56" t="s">
        <v>2631</v>
      </c>
      <c r="AN62" s="56" t="s">
        <v>2632</v>
      </c>
      <c r="AO62" s="56" t="s">
        <v>2627</v>
      </c>
      <c r="AP62" s="56">
        <v>43</v>
      </c>
      <c r="AQ62" s="123">
        <v>4.1666666666666519E-3</v>
      </c>
      <c r="AR62" s="122">
        <v>-1.9988425925925868E-2</v>
      </c>
      <c r="AS62" s="56" t="s">
        <v>1048</v>
      </c>
      <c r="AT62" s="56" t="s">
        <v>1049</v>
      </c>
      <c r="AU62" s="56" t="s">
        <v>1050</v>
      </c>
      <c r="AV62" s="56">
        <v>36</v>
      </c>
      <c r="AW62" s="56" t="s">
        <v>1051</v>
      </c>
      <c r="AX62" s="56" t="s">
        <v>1284</v>
      </c>
      <c r="AY62" s="56" t="s">
        <v>1081</v>
      </c>
      <c r="AZ62" s="56" t="s">
        <v>1067</v>
      </c>
      <c r="BA62" s="56" t="s">
        <v>1285</v>
      </c>
      <c r="BB62" s="56" t="s">
        <v>1286</v>
      </c>
      <c r="BC62" s="56" t="s">
        <v>1133</v>
      </c>
      <c r="BD62" s="56" t="s">
        <v>1287</v>
      </c>
    </row>
    <row r="63" spans="1:56" x14ac:dyDescent="0.2">
      <c r="A63" s="56">
        <v>176541780</v>
      </c>
      <c r="B63" s="56" t="s">
        <v>2776</v>
      </c>
      <c r="C63" s="56" t="s">
        <v>2623</v>
      </c>
      <c r="D63" s="56" t="s">
        <v>1173</v>
      </c>
      <c r="E63" s="56" t="s">
        <v>1044</v>
      </c>
      <c r="F63" s="56">
        <v>7</v>
      </c>
      <c r="G63" s="56"/>
      <c r="H63" s="56">
        <v>15765</v>
      </c>
      <c r="I63" s="56">
        <v>6</v>
      </c>
      <c r="J63" s="56" t="s">
        <v>1045</v>
      </c>
      <c r="K63" s="56" t="s">
        <v>1058</v>
      </c>
      <c r="L63" s="121">
        <v>46265</v>
      </c>
      <c r="M63" s="122">
        <v>0.53819444444444442</v>
      </c>
      <c r="N63" s="122">
        <v>0.54166666666666663</v>
      </c>
      <c r="O63" s="56" t="s">
        <v>1047</v>
      </c>
      <c r="P63" s="121">
        <v>46265</v>
      </c>
      <c r="Q63" s="122">
        <v>0.60416666666666663</v>
      </c>
      <c r="R63" s="122">
        <v>0.58681712962962962</v>
      </c>
      <c r="S63" s="56" t="s">
        <v>1047</v>
      </c>
      <c r="T63" s="56">
        <v>1</v>
      </c>
      <c r="U63" s="56">
        <v>34</v>
      </c>
      <c r="V63" s="56">
        <v>28.41</v>
      </c>
      <c r="W63" s="56">
        <v>29.5</v>
      </c>
      <c r="X63" s="56" t="s">
        <v>2624</v>
      </c>
      <c r="Y63" s="56" t="s">
        <v>2624</v>
      </c>
      <c r="Z63" s="56" t="s">
        <v>2624</v>
      </c>
      <c r="AA63" s="56" t="s">
        <v>1174</v>
      </c>
      <c r="AB63" s="56">
        <v>14113198</v>
      </c>
      <c r="AC63" s="56" t="s">
        <v>1174</v>
      </c>
      <c r="AD63" s="56">
        <v>14113198</v>
      </c>
      <c r="AE63" s="56" t="s">
        <v>2626</v>
      </c>
      <c r="AF63" s="56" t="s">
        <v>2627</v>
      </c>
      <c r="AG63" s="56" t="s">
        <v>2627</v>
      </c>
      <c r="AH63" s="56">
        <v>36</v>
      </c>
      <c r="AI63" s="56" t="s">
        <v>2628</v>
      </c>
      <c r="AJ63" s="56" t="s">
        <v>2629</v>
      </c>
      <c r="AK63" s="56">
        <v>842</v>
      </c>
      <c r="AL63" s="56" t="s">
        <v>2630</v>
      </c>
      <c r="AM63" s="56" t="s">
        <v>2631</v>
      </c>
      <c r="AN63" s="56" t="s">
        <v>2632</v>
      </c>
      <c r="AO63" s="56" t="s">
        <v>2627</v>
      </c>
      <c r="AP63" s="56" t="s">
        <v>2624</v>
      </c>
      <c r="AQ63" s="123">
        <v>3.4722222222222099E-3</v>
      </c>
      <c r="AR63" s="122">
        <v>-1.7349537037037011E-2</v>
      </c>
      <c r="AS63" s="56" t="s">
        <v>1048</v>
      </c>
      <c r="AT63" s="56" t="s">
        <v>1049</v>
      </c>
      <c r="AU63" s="56" t="s">
        <v>1050</v>
      </c>
      <c r="AV63" s="56">
        <v>36</v>
      </c>
      <c r="AW63" s="56" t="s">
        <v>1051</v>
      </c>
      <c r="AX63" s="56" t="s">
        <v>1175</v>
      </c>
      <c r="AY63" s="56" t="s">
        <v>1061</v>
      </c>
      <c r="AZ63" s="56" t="s">
        <v>1062</v>
      </c>
      <c r="BA63" s="56" t="s">
        <v>1176</v>
      </c>
      <c r="BB63" s="56" t="s">
        <v>1177</v>
      </c>
      <c r="BC63" s="56" t="s">
        <v>1133</v>
      </c>
      <c r="BD63" s="56" t="s">
        <v>2777</v>
      </c>
    </row>
    <row r="64" spans="1:56" x14ac:dyDescent="0.2">
      <c r="A64" s="56">
        <v>176541783</v>
      </c>
      <c r="B64" s="56" t="s">
        <v>1585</v>
      </c>
      <c r="C64" s="56" t="s">
        <v>2623</v>
      </c>
      <c r="D64" s="56" t="s">
        <v>1106</v>
      </c>
      <c r="E64" s="56" t="s">
        <v>1044</v>
      </c>
      <c r="F64" s="56">
        <v>8</v>
      </c>
      <c r="G64" s="56"/>
      <c r="H64" s="56">
        <v>11827</v>
      </c>
      <c r="I64" s="56">
        <v>6</v>
      </c>
      <c r="J64" s="56" t="s">
        <v>1045</v>
      </c>
      <c r="K64" s="56" t="s">
        <v>1058</v>
      </c>
      <c r="L64" s="121">
        <v>46265</v>
      </c>
      <c r="M64" s="122">
        <v>0.53819444444444442</v>
      </c>
      <c r="N64" s="122">
        <v>0.55625000000000002</v>
      </c>
      <c r="O64" s="56" t="s">
        <v>1047</v>
      </c>
      <c r="P64" s="121">
        <v>46265</v>
      </c>
      <c r="Q64" s="122">
        <v>0.60416666666666663</v>
      </c>
      <c r="R64" s="122">
        <v>0.59642361111111108</v>
      </c>
      <c r="S64" s="56" t="s">
        <v>1047</v>
      </c>
      <c r="T64" s="56">
        <v>1</v>
      </c>
      <c r="U64" s="56">
        <v>31</v>
      </c>
      <c r="V64" s="56">
        <v>26.23</v>
      </c>
      <c r="W64" s="56">
        <v>31.28</v>
      </c>
      <c r="X64" s="56" t="s">
        <v>2624</v>
      </c>
      <c r="Y64" s="56" t="s">
        <v>2624</v>
      </c>
      <c r="Z64" s="56" t="s">
        <v>2624</v>
      </c>
      <c r="AA64" s="56"/>
      <c r="AB64" s="56"/>
      <c r="AC64" s="56" t="s">
        <v>1187</v>
      </c>
      <c r="AD64" s="56"/>
      <c r="AE64" s="56" t="s">
        <v>2626</v>
      </c>
      <c r="AF64" s="56" t="s">
        <v>2627</v>
      </c>
      <c r="AG64" s="56" t="s">
        <v>2627</v>
      </c>
      <c r="AH64" s="56">
        <v>36</v>
      </c>
      <c r="AI64" s="56" t="s">
        <v>2628</v>
      </c>
      <c r="AJ64" s="56" t="s">
        <v>2629</v>
      </c>
      <c r="AK64" s="56">
        <v>782</v>
      </c>
      <c r="AL64" s="56" t="s">
        <v>2630</v>
      </c>
      <c r="AM64" s="56" t="s">
        <v>2631</v>
      </c>
      <c r="AN64" s="56" t="s">
        <v>2632</v>
      </c>
      <c r="AO64" s="56" t="s">
        <v>2627</v>
      </c>
      <c r="AP64" s="56" t="s">
        <v>2624</v>
      </c>
      <c r="AQ64" s="123">
        <v>1.8055555555555602E-2</v>
      </c>
      <c r="AR64" s="122">
        <v>-7.7430555555555447E-3</v>
      </c>
      <c r="AS64" s="56" t="s">
        <v>1048</v>
      </c>
      <c r="AT64" s="56" t="s">
        <v>1049</v>
      </c>
      <c r="AU64" s="56" t="s">
        <v>1050</v>
      </c>
      <c r="AV64" s="56">
        <v>36</v>
      </c>
      <c r="AW64" s="56" t="s">
        <v>1051</v>
      </c>
      <c r="AX64" s="56" t="s">
        <v>1107</v>
      </c>
      <c r="AY64" s="56" t="s">
        <v>1061</v>
      </c>
      <c r="AZ64" s="56" t="s">
        <v>1062</v>
      </c>
      <c r="BA64" s="56" t="s">
        <v>1108</v>
      </c>
      <c r="BB64" s="56" t="s">
        <v>1109</v>
      </c>
      <c r="BC64" s="56" t="s">
        <v>1133</v>
      </c>
      <c r="BD64" s="56" t="s">
        <v>1586</v>
      </c>
    </row>
    <row r="65" spans="1:56" x14ac:dyDescent="0.2">
      <c r="A65" s="56">
        <v>176547787</v>
      </c>
      <c r="B65" s="56" t="s">
        <v>2174</v>
      </c>
      <c r="C65" s="56" t="s">
        <v>2623</v>
      </c>
      <c r="D65" s="56" t="s">
        <v>2175</v>
      </c>
      <c r="E65" s="56" t="s">
        <v>1044</v>
      </c>
      <c r="F65" s="56">
        <v>84</v>
      </c>
      <c r="G65" s="56"/>
      <c r="H65" s="56">
        <v>13844</v>
      </c>
      <c r="I65" s="56">
        <v>6</v>
      </c>
      <c r="J65" s="56" t="s">
        <v>1045</v>
      </c>
      <c r="K65" s="56" t="s">
        <v>1091</v>
      </c>
      <c r="L65" s="121">
        <v>46265</v>
      </c>
      <c r="M65" s="122">
        <v>0.53819444444444442</v>
      </c>
      <c r="N65" s="122">
        <v>0.5444444444444444</v>
      </c>
      <c r="O65" s="56" t="s">
        <v>1047</v>
      </c>
      <c r="P65" s="121">
        <v>46265</v>
      </c>
      <c r="Q65" s="122">
        <v>0.60069444444444442</v>
      </c>
      <c r="R65" s="122">
        <v>0.58680555555555558</v>
      </c>
      <c r="S65" s="56" t="s">
        <v>1047</v>
      </c>
      <c r="T65" s="56">
        <v>1</v>
      </c>
      <c r="U65" s="56">
        <v>23</v>
      </c>
      <c r="V65" s="56">
        <v>20.92</v>
      </c>
      <c r="W65" s="56">
        <v>19.77</v>
      </c>
      <c r="X65" s="56" t="s">
        <v>2624</v>
      </c>
      <c r="Y65" s="56" t="s">
        <v>2624</v>
      </c>
      <c r="Z65" s="56" t="s">
        <v>2624</v>
      </c>
      <c r="AA65" s="56" t="s">
        <v>412</v>
      </c>
      <c r="AB65" s="56">
        <v>14122329</v>
      </c>
      <c r="AC65" s="56" t="s">
        <v>412</v>
      </c>
      <c r="AD65" s="56">
        <v>14122329</v>
      </c>
      <c r="AE65" s="56" t="s">
        <v>2626</v>
      </c>
      <c r="AF65" s="56" t="s">
        <v>2627</v>
      </c>
      <c r="AG65" s="56" t="s">
        <v>2627</v>
      </c>
      <c r="AH65" s="56">
        <v>36</v>
      </c>
      <c r="AI65" s="56" t="s">
        <v>2628</v>
      </c>
      <c r="AJ65" s="56" t="s">
        <v>2629</v>
      </c>
      <c r="AK65" s="56">
        <v>0</v>
      </c>
      <c r="AL65" s="56" t="s">
        <v>2630</v>
      </c>
      <c r="AM65" s="56" t="s">
        <v>2631</v>
      </c>
      <c r="AN65" s="56" t="s">
        <v>2632</v>
      </c>
      <c r="AO65" s="56" t="s">
        <v>2627</v>
      </c>
      <c r="AP65" s="56" t="s">
        <v>2624</v>
      </c>
      <c r="AQ65" s="123">
        <v>6.2499999999999778E-3</v>
      </c>
      <c r="AR65" s="122">
        <v>-1.388888888888884E-2</v>
      </c>
      <c r="AS65" s="56" t="s">
        <v>1048</v>
      </c>
      <c r="AT65" s="56" t="s">
        <v>1049</v>
      </c>
      <c r="AU65" s="56" t="s">
        <v>1050</v>
      </c>
      <c r="AV65" s="56">
        <v>36</v>
      </c>
      <c r="AW65" s="56" t="s">
        <v>1051</v>
      </c>
      <c r="AX65" s="56" t="s">
        <v>2176</v>
      </c>
      <c r="AY65" s="56" t="s">
        <v>1093</v>
      </c>
      <c r="AZ65" s="56" t="s">
        <v>1067</v>
      </c>
      <c r="BA65" s="56" t="s">
        <v>2177</v>
      </c>
      <c r="BB65" s="56" t="s">
        <v>2178</v>
      </c>
      <c r="BC65" s="56" t="s">
        <v>1133</v>
      </c>
      <c r="BD65" s="56" t="s">
        <v>2179</v>
      </c>
    </row>
    <row r="66" spans="1:56" x14ac:dyDescent="0.2">
      <c r="A66" s="56">
        <v>176538890</v>
      </c>
      <c r="B66" s="56" t="s">
        <v>1750</v>
      </c>
      <c r="C66" s="56" t="s">
        <v>2623</v>
      </c>
      <c r="D66" s="56" t="s">
        <v>1523</v>
      </c>
      <c r="E66" s="56" t="s">
        <v>1044</v>
      </c>
      <c r="F66" s="56">
        <v>125</v>
      </c>
      <c r="G66" s="56"/>
      <c r="H66" s="56">
        <v>15994</v>
      </c>
      <c r="I66" s="56">
        <v>6</v>
      </c>
      <c r="J66" s="56" t="s">
        <v>1045</v>
      </c>
      <c r="K66" s="56" t="s">
        <v>1079</v>
      </c>
      <c r="L66" s="121">
        <v>46265</v>
      </c>
      <c r="M66" s="122">
        <v>0.54166666666666663</v>
      </c>
      <c r="N66" s="122">
        <v>0.55277777777777781</v>
      </c>
      <c r="O66" s="56" t="s">
        <v>1047</v>
      </c>
      <c r="P66" s="121">
        <v>46265</v>
      </c>
      <c r="Q66" s="122">
        <v>0.60069444444444442</v>
      </c>
      <c r="R66" s="122">
        <v>0.58770833333333339</v>
      </c>
      <c r="S66" s="56" t="s">
        <v>1047</v>
      </c>
      <c r="T66" s="56">
        <v>1</v>
      </c>
      <c r="U66" s="56">
        <v>21</v>
      </c>
      <c r="V66" s="56">
        <v>20.71</v>
      </c>
      <c r="W66" s="56">
        <v>21.38</v>
      </c>
      <c r="X66" s="56" t="s">
        <v>2624</v>
      </c>
      <c r="Y66" s="56" t="s">
        <v>2624</v>
      </c>
      <c r="Z66" s="56" t="s">
        <v>2624</v>
      </c>
      <c r="AA66" s="56" t="s">
        <v>313</v>
      </c>
      <c r="AB66" s="56">
        <v>14121104</v>
      </c>
      <c r="AC66" s="56" t="s">
        <v>313</v>
      </c>
      <c r="AD66" s="56">
        <v>14121104</v>
      </c>
      <c r="AE66" s="56" t="s">
        <v>2626</v>
      </c>
      <c r="AF66" s="56" t="s">
        <v>2627</v>
      </c>
      <c r="AG66" s="56" t="s">
        <v>2627</v>
      </c>
      <c r="AH66" s="56">
        <v>36</v>
      </c>
      <c r="AI66" s="56" t="s">
        <v>2628</v>
      </c>
      <c r="AJ66" s="56" t="s">
        <v>2629</v>
      </c>
      <c r="AK66" s="56">
        <v>0</v>
      </c>
      <c r="AL66" s="56" t="s">
        <v>2630</v>
      </c>
      <c r="AM66" s="56" t="s">
        <v>2631</v>
      </c>
      <c r="AN66" s="56" t="s">
        <v>2632</v>
      </c>
      <c r="AO66" s="56" t="s">
        <v>2627</v>
      </c>
      <c r="AP66" s="56" t="s">
        <v>2624</v>
      </c>
      <c r="AQ66" s="123">
        <v>1.1111111111111183E-2</v>
      </c>
      <c r="AR66" s="122">
        <v>-1.2986111111111032E-2</v>
      </c>
      <c r="AS66" s="56" t="s">
        <v>1048</v>
      </c>
      <c r="AT66" s="56" t="s">
        <v>1049</v>
      </c>
      <c r="AU66" s="56" t="s">
        <v>1050</v>
      </c>
      <c r="AV66" s="56">
        <v>36</v>
      </c>
      <c r="AW66" s="56" t="s">
        <v>1051</v>
      </c>
      <c r="AX66" s="56" t="s">
        <v>1524</v>
      </c>
      <c r="AY66" s="56" t="s">
        <v>1081</v>
      </c>
      <c r="AZ66" s="56" t="s">
        <v>1067</v>
      </c>
      <c r="BA66" s="56" t="s">
        <v>1525</v>
      </c>
      <c r="BB66" s="56" t="s">
        <v>1526</v>
      </c>
      <c r="BC66" s="56" t="s">
        <v>1133</v>
      </c>
      <c r="BD66" s="56" t="s">
        <v>1751</v>
      </c>
    </row>
    <row r="67" spans="1:56" x14ac:dyDescent="0.2">
      <c r="A67" s="56">
        <v>176548508</v>
      </c>
      <c r="B67" s="56" t="s">
        <v>2778</v>
      </c>
      <c r="C67" s="56" t="s">
        <v>2623</v>
      </c>
      <c r="D67" s="56" t="s">
        <v>1224</v>
      </c>
      <c r="E67" s="56" t="s">
        <v>1044</v>
      </c>
      <c r="F67" s="56">
        <v>227</v>
      </c>
      <c r="G67" s="56"/>
      <c r="H67" s="56">
        <v>4980</v>
      </c>
      <c r="I67" s="56">
        <v>6</v>
      </c>
      <c r="J67" s="56" t="s">
        <v>1045</v>
      </c>
      <c r="K67" s="56" t="s">
        <v>1079</v>
      </c>
      <c r="L67" s="121">
        <v>46265</v>
      </c>
      <c r="M67" s="122">
        <v>0.54166666666666663</v>
      </c>
      <c r="N67" s="122">
        <v>0.54583333333333328</v>
      </c>
      <c r="O67" s="56" t="s">
        <v>1047</v>
      </c>
      <c r="P67" s="121">
        <v>46265</v>
      </c>
      <c r="Q67" s="122">
        <v>0.60069444444444442</v>
      </c>
      <c r="R67" s="122">
        <v>0.57791666666666663</v>
      </c>
      <c r="S67" s="56" t="s">
        <v>1047</v>
      </c>
      <c r="T67" s="56">
        <v>1</v>
      </c>
      <c r="U67" s="56">
        <v>30</v>
      </c>
      <c r="V67" s="56">
        <v>24.54</v>
      </c>
      <c r="W67" s="56">
        <v>24.87</v>
      </c>
      <c r="X67" s="56" t="s">
        <v>2624</v>
      </c>
      <c r="Y67" s="56" t="s">
        <v>2624</v>
      </c>
      <c r="Z67" s="56" t="s">
        <v>2624</v>
      </c>
      <c r="AA67" s="56" t="s">
        <v>234</v>
      </c>
      <c r="AB67" s="56">
        <v>14119154</v>
      </c>
      <c r="AC67" s="56" t="s">
        <v>234</v>
      </c>
      <c r="AD67" s="56">
        <v>14119154</v>
      </c>
      <c r="AE67" s="56" t="s">
        <v>2626</v>
      </c>
      <c r="AF67" s="56" t="s">
        <v>2627</v>
      </c>
      <c r="AG67" s="56" t="s">
        <v>2627</v>
      </c>
      <c r="AH67" s="56">
        <v>36</v>
      </c>
      <c r="AI67" s="56" t="s">
        <v>2628</v>
      </c>
      <c r="AJ67" s="56" t="s">
        <v>2629</v>
      </c>
      <c r="AK67" s="56">
        <v>0</v>
      </c>
      <c r="AL67" s="56" t="s">
        <v>2630</v>
      </c>
      <c r="AM67" s="56" t="s">
        <v>2631</v>
      </c>
      <c r="AN67" s="56" t="s">
        <v>2632</v>
      </c>
      <c r="AO67" s="56" t="s">
        <v>2627</v>
      </c>
      <c r="AP67" s="56" t="s">
        <v>2624</v>
      </c>
      <c r="AQ67" s="123">
        <v>4.1666666666666519E-3</v>
      </c>
      <c r="AR67" s="122">
        <v>-2.2777777777777786E-2</v>
      </c>
      <c r="AS67" s="56" t="s">
        <v>1048</v>
      </c>
      <c r="AT67" s="56" t="s">
        <v>1049</v>
      </c>
      <c r="AU67" s="56" t="s">
        <v>1050</v>
      </c>
      <c r="AV67" s="56">
        <v>36</v>
      </c>
      <c r="AW67" s="56" t="s">
        <v>1051</v>
      </c>
      <c r="AX67" s="56" t="s">
        <v>2664</v>
      </c>
      <c r="AY67" s="56" t="s">
        <v>1081</v>
      </c>
      <c r="AZ67" s="56" t="s">
        <v>1067</v>
      </c>
      <c r="BA67" s="56" t="s">
        <v>2665</v>
      </c>
      <c r="BB67" s="56" t="s">
        <v>2666</v>
      </c>
      <c r="BC67" s="56" t="s">
        <v>1133</v>
      </c>
      <c r="BD67" s="56" t="s">
        <v>2779</v>
      </c>
    </row>
    <row r="68" spans="1:56" x14ac:dyDescent="0.2">
      <c r="A68" s="56">
        <v>176549853</v>
      </c>
      <c r="B68" s="56" t="s">
        <v>2780</v>
      </c>
      <c r="C68" s="56" t="s">
        <v>2623</v>
      </c>
      <c r="D68" s="56" t="s">
        <v>2781</v>
      </c>
      <c r="E68" s="56" t="s">
        <v>1044</v>
      </c>
      <c r="F68" s="56">
        <v>20</v>
      </c>
      <c r="G68" s="56"/>
      <c r="H68" s="56">
        <v>5425</v>
      </c>
      <c r="I68" s="56">
        <v>6</v>
      </c>
      <c r="J68" s="56" t="s">
        <v>1045</v>
      </c>
      <c r="K68" s="56" t="s">
        <v>1181</v>
      </c>
      <c r="L68" s="121">
        <v>46265</v>
      </c>
      <c r="M68" s="122">
        <v>0.54166666666666663</v>
      </c>
      <c r="N68" s="122">
        <v>0.54513888888888884</v>
      </c>
      <c r="O68" s="56" t="s">
        <v>1047</v>
      </c>
      <c r="P68" s="121">
        <v>46265</v>
      </c>
      <c r="Q68" s="122">
        <v>0.57986111111111116</v>
      </c>
      <c r="R68" s="122">
        <v>0.5744097222222222</v>
      </c>
      <c r="S68" s="56" t="s">
        <v>1047</v>
      </c>
      <c r="T68" s="56">
        <v>1</v>
      </c>
      <c r="U68" s="56">
        <v>11</v>
      </c>
      <c r="V68" s="56">
        <v>8.09</v>
      </c>
      <c r="W68" s="56">
        <v>8</v>
      </c>
      <c r="X68" s="56" t="s">
        <v>2624</v>
      </c>
      <c r="Y68" s="56" t="s">
        <v>2624</v>
      </c>
      <c r="Z68" s="56" t="s">
        <v>2624</v>
      </c>
      <c r="AA68" s="56" t="s">
        <v>1510</v>
      </c>
      <c r="AB68" s="56">
        <v>14123536</v>
      </c>
      <c r="AC68" s="56" t="s">
        <v>1510</v>
      </c>
      <c r="AD68" s="56">
        <v>14123536</v>
      </c>
      <c r="AE68" s="56" t="s">
        <v>2626</v>
      </c>
      <c r="AF68" s="56" t="s">
        <v>2627</v>
      </c>
      <c r="AG68" s="56" t="s">
        <v>2627</v>
      </c>
      <c r="AH68" s="56">
        <v>36</v>
      </c>
      <c r="AI68" s="56" t="s">
        <v>2628</v>
      </c>
      <c r="AJ68" s="56" t="s">
        <v>2629</v>
      </c>
      <c r="AK68" s="56">
        <v>0</v>
      </c>
      <c r="AL68" s="56" t="s">
        <v>2630</v>
      </c>
      <c r="AM68" s="56" t="s">
        <v>2631</v>
      </c>
      <c r="AN68" s="56" t="s">
        <v>2632</v>
      </c>
      <c r="AO68" s="56" t="s">
        <v>2627</v>
      </c>
      <c r="AP68" s="56" t="s">
        <v>2624</v>
      </c>
      <c r="AQ68" s="123">
        <v>3.4722222222222099E-3</v>
      </c>
      <c r="AR68" s="122">
        <v>-5.4513888888889639E-3</v>
      </c>
      <c r="AS68" s="56" t="s">
        <v>1048</v>
      </c>
      <c r="AT68" s="56" t="s">
        <v>1049</v>
      </c>
      <c r="AU68" s="56" t="s">
        <v>1050</v>
      </c>
      <c r="AV68" s="56">
        <v>36</v>
      </c>
      <c r="AW68" s="56" t="s">
        <v>1051</v>
      </c>
      <c r="AX68" s="56" t="s">
        <v>2782</v>
      </c>
      <c r="AY68" s="56" t="s">
        <v>1140</v>
      </c>
      <c r="AZ68" s="56" t="s">
        <v>1062</v>
      </c>
      <c r="BA68" s="56" t="s">
        <v>2783</v>
      </c>
      <c r="BB68" s="56" t="s">
        <v>2784</v>
      </c>
      <c r="BC68" s="56" t="s">
        <v>1133</v>
      </c>
      <c r="BD68" s="56" t="s">
        <v>2785</v>
      </c>
    </row>
    <row r="69" spans="1:56" x14ac:dyDescent="0.2">
      <c r="A69" s="56">
        <v>176538768</v>
      </c>
      <c r="B69" s="56" t="s">
        <v>2786</v>
      </c>
      <c r="C69" s="56" t="s">
        <v>2623</v>
      </c>
      <c r="D69" s="56" t="s">
        <v>1532</v>
      </c>
      <c r="E69" s="56" t="s">
        <v>1044</v>
      </c>
      <c r="F69" s="56">
        <v>80</v>
      </c>
      <c r="G69" s="56"/>
      <c r="H69" s="56">
        <v>13375</v>
      </c>
      <c r="I69" s="56">
        <v>6</v>
      </c>
      <c r="J69" s="56" t="s">
        <v>1045</v>
      </c>
      <c r="K69" s="56" t="s">
        <v>1079</v>
      </c>
      <c r="L69" s="121">
        <v>46265</v>
      </c>
      <c r="M69" s="122">
        <v>0.54513888888888884</v>
      </c>
      <c r="N69" s="122">
        <v>0.5541666666666667</v>
      </c>
      <c r="O69" s="56" t="s">
        <v>1047</v>
      </c>
      <c r="P69" s="121">
        <v>46265</v>
      </c>
      <c r="Q69" s="122">
        <v>0.60069444444444442</v>
      </c>
      <c r="R69" s="122">
        <v>0.60313657407407406</v>
      </c>
      <c r="S69" s="56" t="s">
        <v>1047</v>
      </c>
      <c r="T69" s="56">
        <v>1</v>
      </c>
      <c r="U69" s="56">
        <v>36</v>
      </c>
      <c r="V69" s="56">
        <v>22.36</v>
      </c>
      <c r="W69" s="56">
        <v>32.61</v>
      </c>
      <c r="X69" s="56" t="s">
        <v>2624</v>
      </c>
      <c r="Y69" s="56" t="s">
        <v>2624</v>
      </c>
      <c r="Z69" s="56" t="s">
        <v>2624</v>
      </c>
      <c r="AA69" s="56" t="s">
        <v>237</v>
      </c>
      <c r="AB69" s="56">
        <v>14117509</v>
      </c>
      <c r="AC69" s="56" t="s">
        <v>237</v>
      </c>
      <c r="AD69" s="56">
        <v>14117509</v>
      </c>
      <c r="AE69" s="56" t="s">
        <v>2626</v>
      </c>
      <c r="AF69" s="56" t="s">
        <v>2627</v>
      </c>
      <c r="AG69" s="56" t="s">
        <v>2627</v>
      </c>
      <c r="AH69" s="56">
        <v>36</v>
      </c>
      <c r="AI69" s="56" t="s">
        <v>2628</v>
      </c>
      <c r="AJ69" s="56" t="s">
        <v>2640</v>
      </c>
      <c r="AK69" s="56">
        <v>0</v>
      </c>
      <c r="AL69" s="56" t="s">
        <v>2630</v>
      </c>
      <c r="AM69" s="56" t="s">
        <v>2631</v>
      </c>
      <c r="AN69" s="56" t="s">
        <v>2632</v>
      </c>
      <c r="AO69" s="56" t="s">
        <v>2627</v>
      </c>
      <c r="AP69" s="56" t="s">
        <v>2624</v>
      </c>
      <c r="AQ69" s="123">
        <v>9.0277777777778567E-3</v>
      </c>
      <c r="AR69" s="122">
        <v>2.4421296296296413E-3</v>
      </c>
      <c r="AS69" s="56" t="s">
        <v>1048</v>
      </c>
      <c r="AT69" s="56" t="s">
        <v>1049</v>
      </c>
      <c r="AU69" s="56" t="s">
        <v>1050</v>
      </c>
      <c r="AV69" s="56">
        <v>36</v>
      </c>
      <c r="AW69" s="56" t="s">
        <v>1051</v>
      </c>
      <c r="AX69" s="56" t="s">
        <v>1533</v>
      </c>
      <c r="AY69" s="56" t="s">
        <v>1081</v>
      </c>
      <c r="AZ69" s="56" t="s">
        <v>1067</v>
      </c>
      <c r="BA69" s="56" t="s">
        <v>1534</v>
      </c>
      <c r="BB69" s="56" t="s">
        <v>1535</v>
      </c>
      <c r="BC69" s="56" t="s">
        <v>1133</v>
      </c>
      <c r="BD69" s="56" t="s">
        <v>2787</v>
      </c>
    </row>
    <row r="70" spans="1:56" x14ac:dyDescent="0.2">
      <c r="A70" s="56">
        <v>176548184</v>
      </c>
      <c r="B70" s="56" t="s">
        <v>1629</v>
      </c>
      <c r="C70" s="56" t="s">
        <v>2623</v>
      </c>
      <c r="D70" s="56" t="s">
        <v>1342</v>
      </c>
      <c r="E70" s="56" t="s">
        <v>1044</v>
      </c>
      <c r="F70" s="56">
        <v>87</v>
      </c>
      <c r="G70" s="56"/>
      <c r="H70" s="56">
        <v>14676</v>
      </c>
      <c r="I70" s="56">
        <v>6</v>
      </c>
      <c r="J70" s="56" t="s">
        <v>1045</v>
      </c>
      <c r="K70" s="56" t="s">
        <v>1091</v>
      </c>
      <c r="L70" s="121">
        <v>46265</v>
      </c>
      <c r="M70" s="122">
        <v>0.54861111111111116</v>
      </c>
      <c r="N70" s="122">
        <v>0.57291666666666663</v>
      </c>
      <c r="O70" s="56" t="s">
        <v>1047</v>
      </c>
      <c r="P70" s="121">
        <v>46265</v>
      </c>
      <c r="Q70" s="122">
        <v>0.60069444444444442</v>
      </c>
      <c r="R70" s="122">
        <v>0.58888888888888891</v>
      </c>
      <c r="S70" s="56" t="s">
        <v>1047</v>
      </c>
      <c r="T70" s="56">
        <v>1</v>
      </c>
      <c r="U70" s="56">
        <v>17</v>
      </c>
      <c r="V70" s="56">
        <v>13.2</v>
      </c>
      <c r="W70" s="56">
        <v>9.48</v>
      </c>
      <c r="X70" s="56">
        <v>26.81</v>
      </c>
      <c r="Y70" s="56">
        <v>14.91</v>
      </c>
      <c r="Z70" s="56">
        <v>2.42</v>
      </c>
      <c r="AA70" s="56" t="s">
        <v>217</v>
      </c>
      <c r="AB70" s="56">
        <v>14118811</v>
      </c>
      <c r="AC70" s="56" t="s">
        <v>217</v>
      </c>
      <c r="AD70" s="56">
        <v>14118811</v>
      </c>
      <c r="AE70" s="56" t="s">
        <v>2626</v>
      </c>
      <c r="AF70" s="56" t="s">
        <v>2627</v>
      </c>
      <c r="AG70" s="56" t="s">
        <v>2627</v>
      </c>
      <c r="AH70" s="56">
        <v>36</v>
      </c>
      <c r="AI70" s="56" t="s">
        <v>2628</v>
      </c>
      <c r="AJ70" s="56" t="s">
        <v>2629</v>
      </c>
      <c r="AK70" s="56">
        <v>0</v>
      </c>
      <c r="AL70" s="56" t="s">
        <v>2630</v>
      </c>
      <c r="AM70" s="56" t="s">
        <v>2631</v>
      </c>
      <c r="AN70" s="56" t="s">
        <v>2632</v>
      </c>
      <c r="AO70" s="56" t="s">
        <v>2627</v>
      </c>
      <c r="AP70" s="56" t="s">
        <v>2624</v>
      </c>
      <c r="AQ70" s="123">
        <v>2.4305555555555469E-2</v>
      </c>
      <c r="AR70" s="122">
        <v>-1.1805555555555514E-2</v>
      </c>
      <c r="AS70" s="56" t="s">
        <v>1048</v>
      </c>
      <c r="AT70" s="56" t="s">
        <v>1049</v>
      </c>
      <c r="AU70" s="56" t="s">
        <v>1050</v>
      </c>
      <c r="AV70" s="56">
        <v>36</v>
      </c>
      <c r="AW70" s="56" t="s">
        <v>1051</v>
      </c>
      <c r="AX70" s="56" t="s">
        <v>1343</v>
      </c>
      <c r="AY70" s="56" t="s">
        <v>1093</v>
      </c>
      <c r="AZ70" s="56" t="s">
        <v>1067</v>
      </c>
      <c r="BA70" s="56" t="s">
        <v>1344</v>
      </c>
      <c r="BB70" s="56" t="s">
        <v>1345</v>
      </c>
      <c r="BC70" s="56" t="s">
        <v>1133</v>
      </c>
      <c r="BD70" s="56" t="s">
        <v>1630</v>
      </c>
    </row>
    <row r="71" spans="1:56" x14ac:dyDescent="0.2">
      <c r="A71" s="56">
        <v>176548877</v>
      </c>
      <c r="B71" s="56" t="s">
        <v>2788</v>
      </c>
      <c r="C71" s="56" t="s">
        <v>2623</v>
      </c>
      <c r="D71" s="56" t="s">
        <v>1504</v>
      </c>
      <c r="E71" s="56" t="s">
        <v>1044</v>
      </c>
      <c r="F71" s="56">
        <v>149</v>
      </c>
      <c r="G71" s="56" t="s">
        <v>2693</v>
      </c>
      <c r="H71" s="56">
        <v>13754</v>
      </c>
      <c r="I71" s="56">
        <v>8</v>
      </c>
      <c r="J71" s="56" t="s">
        <v>1045</v>
      </c>
      <c r="K71" s="56" t="s">
        <v>1116</v>
      </c>
      <c r="L71" s="121">
        <v>46265</v>
      </c>
      <c r="M71" s="122">
        <v>0.55000000000000004</v>
      </c>
      <c r="N71" s="122">
        <v>0.55347222222222225</v>
      </c>
      <c r="O71" s="56" t="s">
        <v>1047</v>
      </c>
      <c r="P71" s="121">
        <v>46265</v>
      </c>
      <c r="Q71" s="122">
        <v>0.61458333333333337</v>
      </c>
      <c r="R71" s="122">
        <v>0.58912037037037035</v>
      </c>
      <c r="S71" s="56" t="s">
        <v>1047</v>
      </c>
      <c r="T71" s="56">
        <v>0</v>
      </c>
      <c r="U71" s="56">
        <v>20</v>
      </c>
      <c r="V71" s="56">
        <v>19.84</v>
      </c>
      <c r="W71" s="56">
        <v>22.72</v>
      </c>
      <c r="X71" s="56" t="s">
        <v>2624</v>
      </c>
      <c r="Y71" s="56" t="s">
        <v>2624</v>
      </c>
      <c r="Z71" s="56" t="s">
        <v>2624</v>
      </c>
      <c r="AA71" s="56" t="s">
        <v>221</v>
      </c>
      <c r="AB71" s="56">
        <v>14118889</v>
      </c>
      <c r="AC71" s="56" t="s">
        <v>221</v>
      </c>
      <c r="AD71" s="56">
        <v>14118889</v>
      </c>
      <c r="AE71" s="56" t="s">
        <v>2626</v>
      </c>
      <c r="AF71" s="56" t="s">
        <v>2627</v>
      </c>
      <c r="AG71" s="56" t="s">
        <v>2627</v>
      </c>
      <c r="AH71" s="56">
        <v>36</v>
      </c>
      <c r="AI71" s="56" t="s">
        <v>2628</v>
      </c>
      <c r="AJ71" s="56" t="s">
        <v>2629</v>
      </c>
      <c r="AK71" s="56">
        <v>0</v>
      </c>
      <c r="AL71" s="56" t="s">
        <v>2630</v>
      </c>
      <c r="AM71" s="56" t="s">
        <v>2631</v>
      </c>
      <c r="AN71" s="56" t="s">
        <v>2632</v>
      </c>
      <c r="AO71" s="56" t="s">
        <v>2627</v>
      </c>
      <c r="AP71" s="56" t="s">
        <v>2624</v>
      </c>
      <c r="AQ71" s="123">
        <v>3.4722222222222099E-3</v>
      </c>
      <c r="AR71" s="122">
        <v>-2.5462962962963021E-2</v>
      </c>
      <c r="AS71" s="56" t="s">
        <v>1048</v>
      </c>
      <c r="AT71" s="56" t="s">
        <v>1049</v>
      </c>
      <c r="AU71" s="56" t="s">
        <v>1050</v>
      </c>
      <c r="AV71" s="56">
        <v>36</v>
      </c>
      <c r="AW71" s="56" t="s">
        <v>1051</v>
      </c>
      <c r="AX71" s="56" t="s">
        <v>1505</v>
      </c>
      <c r="AY71" s="56" t="s">
        <v>1128</v>
      </c>
      <c r="AZ71" s="56" t="s">
        <v>1054</v>
      </c>
      <c r="BA71" s="56" t="s">
        <v>1506</v>
      </c>
      <c r="BB71" s="56" t="s">
        <v>1507</v>
      </c>
      <c r="BC71" s="56" t="s">
        <v>1133</v>
      </c>
      <c r="BD71" s="56" t="s">
        <v>2789</v>
      </c>
    </row>
    <row r="72" spans="1:56" x14ac:dyDescent="0.2">
      <c r="A72" s="56">
        <v>176547617</v>
      </c>
      <c r="B72" s="56" t="s">
        <v>1309</v>
      </c>
      <c r="C72" s="56" t="s">
        <v>2623</v>
      </c>
      <c r="D72" s="56" t="s">
        <v>1115</v>
      </c>
      <c r="E72" s="56" t="s">
        <v>1044</v>
      </c>
      <c r="F72" s="56">
        <v>98</v>
      </c>
      <c r="G72" s="56" t="s">
        <v>2670</v>
      </c>
      <c r="H72" s="56">
        <v>14692</v>
      </c>
      <c r="I72" s="56">
        <v>6</v>
      </c>
      <c r="J72" s="56" t="s">
        <v>1045</v>
      </c>
      <c r="K72" s="56" t="s">
        <v>1116</v>
      </c>
      <c r="L72" s="121">
        <v>46265</v>
      </c>
      <c r="M72" s="122">
        <v>0.55208333333333337</v>
      </c>
      <c r="N72" s="122">
        <v>0.55555555555555558</v>
      </c>
      <c r="O72" s="56" t="s">
        <v>1047</v>
      </c>
      <c r="P72" s="121">
        <v>46265</v>
      </c>
      <c r="Q72" s="122">
        <v>0.61458333333333337</v>
      </c>
      <c r="R72" s="122">
        <v>0.60396990740740741</v>
      </c>
      <c r="S72" s="56" t="s">
        <v>1047</v>
      </c>
      <c r="T72" s="56">
        <v>1</v>
      </c>
      <c r="U72" s="56">
        <v>31</v>
      </c>
      <c r="V72" s="56">
        <v>26.76</v>
      </c>
      <c r="W72" s="56">
        <v>26.72</v>
      </c>
      <c r="X72" s="56" t="s">
        <v>2624</v>
      </c>
      <c r="Y72" s="56" t="s">
        <v>2624</v>
      </c>
      <c r="Z72" s="56" t="s">
        <v>2624</v>
      </c>
      <c r="AA72" s="56" t="s">
        <v>958</v>
      </c>
      <c r="AB72" s="56">
        <v>14123725</v>
      </c>
      <c r="AC72" s="56" t="s">
        <v>958</v>
      </c>
      <c r="AD72" s="56">
        <v>14123725</v>
      </c>
      <c r="AE72" s="56" t="s">
        <v>2626</v>
      </c>
      <c r="AF72" s="56" t="s">
        <v>2627</v>
      </c>
      <c r="AG72" s="56" t="s">
        <v>2627</v>
      </c>
      <c r="AH72" s="56">
        <v>36</v>
      </c>
      <c r="AI72" s="56" t="s">
        <v>2628</v>
      </c>
      <c r="AJ72" s="56" t="s">
        <v>2629</v>
      </c>
      <c r="AK72" s="56">
        <v>0</v>
      </c>
      <c r="AL72" s="56" t="s">
        <v>2630</v>
      </c>
      <c r="AM72" s="56" t="s">
        <v>2631</v>
      </c>
      <c r="AN72" s="56" t="s">
        <v>2632</v>
      </c>
      <c r="AO72" s="56" t="s">
        <v>2627</v>
      </c>
      <c r="AP72" s="56">
        <v>37</v>
      </c>
      <c r="AQ72" s="123">
        <v>3.4722222222222099E-3</v>
      </c>
      <c r="AR72" s="122">
        <v>-1.0613425925925957E-2</v>
      </c>
      <c r="AS72" s="56" t="s">
        <v>1048</v>
      </c>
      <c r="AT72" s="56" t="s">
        <v>1049</v>
      </c>
      <c r="AU72" s="56" t="s">
        <v>1050</v>
      </c>
      <c r="AV72" s="56">
        <v>36</v>
      </c>
      <c r="AW72" s="56" t="s">
        <v>1051</v>
      </c>
      <c r="AX72" s="56" t="s">
        <v>1117</v>
      </c>
      <c r="AY72" s="56" t="s">
        <v>1118</v>
      </c>
      <c r="AZ72" s="56" t="s">
        <v>1054</v>
      </c>
      <c r="BA72" s="56" t="s">
        <v>1119</v>
      </c>
      <c r="BB72" s="56" t="s">
        <v>1120</v>
      </c>
      <c r="BC72" s="56" t="s">
        <v>1133</v>
      </c>
      <c r="BD72" s="56" t="s">
        <v>1310</v>
      </c>
    </row>
    <row r="73" spans="1:56" x14ac:dyDescent="0.2">
      <c r="A73" s="56">
        <v>176532578</v>
      </c>
      <c r="B73" s="56" t="s">
        <v>2072</v>
      </c>
      <c r="C73" s="56" t="s">
        <v>2623</v>
      </c>
      <c r="D73" s="56" t="s">
        <v>2073</v>
      </c>
      <c r="E73" s="56" t="s">
        <v>1044</v>
      </c>
      <c r="F73" s="56">
        <v>18</v>
      </c>
      <c r="G73" s="56"/>
      <c r="H73" s="56">
        <v>5429</v>
      </c>
      <c r="I73" s="56">
        <v>6</v>
      </c>
      <c r="J73" s="56" t="s">
        <v>1045</v>
      </c>
      <c r="K73" s="56" t="s">
        <v>1123</v>
      </c>
      <c r="L73" s="121">
        <v>46265</v>
      </c>
      <c r="M73" s="122">
        <v>0.55555555555555558</v>
      </c>
      <c r="N73" s="122">
        <v>0.56805555555555554</v>
      </c>
      <c r="O73" s="56" t="s">
        <v>1047</v>
      </c>
      <c r="P73" s="121">
        <v>46265</v>
      </c>
      <c r="Q73" s="122">
        <v>0.60416666666666663</v>
      </c>
      <c r="R73" s="122">
        <v>0.59998842592592594</v>
      </c>
      <c r="S73" s="56" t="s">
        <v>1047</v>
      </c>
      <c r="T73" s="56">
        <v>1</v>
      </c>
      <c r="U73" s="56">
        <v>16</v>
      </c>
      <c r="V73" s="56">
        <v>9.8699999999999992</v>
      </c>
      <c r="W73" s="56">
        <v>9.75</v>
      </c>
      <c r="X73" s="56" t="s">
        <v>2624</v>
      </c>
      <c r="Y73" s="56" t="s">
        <v>2624</v>
      </c>
      <c r="Z73" s="56" t="s">
        <v>2624</v>
      </c>
      <c r="AA73" s="56" t="s">
        <v>446</v>
      </c>
      <c r="AB73" s="56">
        <v>14122709</v>
      </c>
      <c r="AC73" s="56" t="s">
        <v>446</v>
      </c>
      <c r="AD73" s="56">
        <v>14122709</v>
      </c>
      <c r="AE73" s="56" t="s">
        <v>2626</v>
      </c>
      <c r="AF73" s="56" t="s">
        <v>2627</v>
      </c>
      <c r="AG73" s="56" t="s">
        <v>2627</v>
      </c>
      <c r="AH73" s="56">
        <v>36</v>
      </c>
      <c r="AI73" s="56" t="s">
        <v>2628</v>
      </c>
      <c r="AJ73" s="56" t="s">
        <v>2629</v>
      </c>
      <c r="AK73" s="56">
        <v>584.1</v>
      </c>
      <c r="AL73" s="56" t="s">
        <v>2630</v>
      </c>
      <c r="AM73" s="56" t="s">
        <v>2631</v>
      </c>
      <c r="AN73" s="56" t="s">
        <v>2632</v>
      </c>
      <c r="AO73" s="56" t="s">
        <v>2627</v>
      </c>
      <c r="AP73" s="56" t="s">
        <v>2624</v>
      </c>
      <c r="AQ73" s="123">
        <v>1.2499999999999956E-2</v>
      </c>
      <c r="AR73" s="122">
        <v>-4.1782407407406907E-3</v>
      </c>
      <c r="AS73" s="56" t="s">
        <v>1048</v>
      </c>
      <c r="AT73" s="56" t="s">
        <v>1049</v>
      </c>
      <c r="AU73" s="56" t="s">
        <v>1050</v>
      </c>
      <c r="AV73" s="56">
        <v>36</v>
      </c>
      <c r="AW73" s="56" t="s">
        <v>1051</v>
      </c>
      <c r="AX73" s="56" t="s">
        <v>2074</v>
      </c>
      <c r="AY73" s="56" t="s">
        <v>1124</v>
      </c>
      <c r="AZ73" s="56" t="s">
        <v>1054</v>
      </c>
      <c r="BA73" s="56" t="s">
        <v>2075</v>
      </c>
      <c r="BB73" s="56" t="s">
        <v>2076</v>
      </c>
      <c r="BC73" s="56" t="s">
        <v>1133</v>
      </c>
      <c r="BD73" s="56" t="s">
        <v>2077</v>
      </c>
    </row>
    <row r="74" spans="1:56" x14ac:dyDescent="0.2">
      <c r="A74" s="56">
        <v>176546910</v>
      </c>
      <c r="B74" s="56" t="s">
        <v>2790</v>
      </c>
      <c r="C74" s="56" t="s">
        <v>2623</v>
      </c>
      <c r="D74" s="56" t="s">
        <v>2676</v>
      </c>
      <c r="E74" s="56" t="s">
        <v>1044</v>
      </c>
      <c r="F74" s="56">
        <v>221</v>
      </c>
      <c r="G74" s="56"/>
      <c r="H74" s="56">
        <v>5423</v>
      </c>
      <c r="I74" s="56">
        <v>6</v>
      </c>
      <c r="J74" s="56" t="s">
        <v>1045</v>
      </c>
      <c r="K74" s="56" t="s">
        <v>1296</v>
      </c>
      <c r="L74" s="121">
        <v>46265</v>
      </c>
      <c r="M74" s="122">
        <v>0.55555555555555558</v>
      </c>
      <c r="N74" s="122">
        <v>0.56388888888888888</v>
      </c>
      <c r="O74" s="56" t="s">
        <v>1047</v>
      </c>
      <c r="P74" s="121">
        <v>46265</v>
      </c>
      <c r="Q74" s="122">
        <v>0.60069444444444442</v>
      </c>
      <c r="R74" s="122">
        <v>0.5992939814814815</v>
      </c>
      <c r="S74" s="56" t="s">
        <v>1047</v>
      </c>
      <c r="T74" s="56">
        <v>1</v>
      </c>
      <c r="U74" s="56">
        <v>12</v>
      </c>
      <c r="V74" s="56">
        <v>17.670000000000002</v>
      </c>
      <c r="W74" s="56">
        <v>17.940000000000001</v>
      </c>
      <c r="X74" s="56" t="s">
        <v>2624</v>
      </c>
      <c r="Y74" s="56" t="s">
        <v>2624</v>
      </c>
      <c r="Z74" s="56" t="s">
        <v>2624</v>
      </c>
      <c r="AA74" s="56" t="s">
        <v>993</v>
      </c>
      <c r="AB74" s="56">
        <v>14123926</v>
      </c>
      <c r="AC74" s="56" t="s">
        <v>993</v>
      </c>
      <c r="AD74" s="56">
        <v>14123926</v>
      </c>
      <c r="AE74" s="56" t="s">
        <v>2626</v>
      </c>
      <c r="AF74" s="56" t="s">
        <v>2627</v>
      </c>
      <c r="AG74" s="56" t="s">
        <v>2627</v>
      </c>
      <c r="AH74" s="56">
        <v>36</v>
      </c>
      <c r="AI74" s="56" t="s">
        <v>2628</v>
      </c>
      <c r="AJ74" s="56" t="s">
        <v>2629</v>
      </c>
      <c r="AK74" s="56">
        <v>0</v>
      </c>
      <c r="AL74" s="56" t="s">
        <v>2630</v>
      </c>
      <c r="AM74" s="56" t="s">
        <v>2631</v>
      </c>
      <c r="AN74" s="56" t="s">
        <v>2632</v>
      </c>
      <c r="AO74" s="56" t="s">
        <v>2627</v>
      </c>
      <c r="AP74" s="56" t="s">
        <v>2624</v>
      </c>
      <c r="AQ74" s="123">
        <v>8.3333333333333037E-3</v>
      </c>
      <c r="AR74" s="122">
        <v>-1.4004629629629228E-3</v>
      </c>
      <c r="AS74" s="56" t="s">
        <v>1048</v>
      </c>
      <c r="AT74" s="56" t="s">
        <v>1049</v>
      </c>
      <c r="AU74" s="56" t="s">
        <v>1050</v>
      </c>
      <c r="AV74" s="56">
        <v>36</v>
      </c>
      <c r="AW74" s="56" t="s">
        <v>1051</v>
      </c>
      <c r="AX74" s="56" t="s">
        <v>2677</v>
      </c>
      <c r="AY74" s="56" t="s">
        <v>1297</v>
      </c>
      <c r="AZ74" s="56" t="s">
        <v>1067</v>
      </c>
      <c r="BA74" s="56" t="s">
        <v>2678</v>
      </c>
      <c r="BB74" s="56" t="s">
        <v>2679</v>
      </c>
      <c r="BC74" s="56" t="s">
        <v>1133</v>
      </c>
      <c r="BD74" s="56" t="s">
        <v>2791</v>
      </c>
    </row>
    <row r="75" spans="1:56" x14ac:dyDescent="0.2">
      <c r="A75" s="56">
        <v>176548643</v>
      </c>
      <c r="B75" s="56" t="s">
        <v>2792</v>
      </c>
      <c r="C75" s="56" t="s">
        <v>2623</v>
      </c>
      <c r="D75" s="56" t="s">
        <v>2793</v>
      </c>
      <c r="E75" s="56" t="s">
        <v>1044</v>
      </c>
      <c r="F75" s="56">
        <v>229</v>
      </c>
      <c r="G75" s="56"/>
      <c r="H75" s="56">
        <v>5530</v>
      </c>
      <c r="I75" s="56">
        <v>6</v>
      </c>
      <c r="J75" s="56" t="s">
        <v>1045</v>
      </c>
      <c r="K75" s="56" t="s">
        <v>1079</v>
      </c>
      <c r="L75" s="121">
        <v>46265</v>
      </c>
      <c r="M75" s="122">
        <v>0.55555555555555558</v>
      </c>
      <c r="N75" s="122">
        <v>0.55972222222222223</v>
      </c>
      <c r="O75" s="56" t="s">
        <v>1047</v>
      </c>
      <c r="P75" s="121">
        <v>46265</v>
      </c>
      <c r="Q75" s="122">
        <v>0.60069444444444442</v>
      </c>
      <c r="R75" s="122">
        <v>0.58402777777777781</v>
      </c>
      <c r="S75" s="56" t="s">
        <v>1047</v>
      </c>
      <c r="T75" s="56">
        <v>1</v>
      </c>
      <c r="U75" s="56">
        <v>19</v>
      </c>
      <c r="V75" s="56">
        <v>15.4</v>
      </c>
      <c r="W75" s="56">
        <v>10.119999999999999</v>
      </c>
      <c r="X75" s="56">
        <v>30.49</v>
      </c>
      <c r="Y75" s="56">
        <v>15.27</v>
      </c>
      <c r="Z75" s="56">
        <v>5.0999999999999996</v>
      </c>
      <c r="AA75" s="56" t="s">
        <v>309</v>
      </c>
      <c r="AB75" s="56">
        <v>14120925</v>
      </c>
      <c r="AC75" s="56" t="s">
        <v>309</v>
      </c>
      <c r="AD75" s="56">
        <v>14120925</v>
      </c>
      <c r="AE75" s="56" t="s">
        <v>2626</v>
      </c>
      <c r="AF75" s="56" t="s">
        <v>2627</v>
      </c>
      <c r="AG75" s="56" t="s">
        <v>2627</v>
      </c>
      <c r="AH75" s="56">
        <v>36</v>
      </c>
      <c r="AI75" s="56" t="s">
        <v>2628</v>
      </c>
      <c r="AJ75" s="56" t="s">
        <v>2629</v>
      </c>
      <c r="AK75" s="56">
        <v>0</v>
      </c>
      <c r="AL75" s="56" t="s">
        <v>2630</v>
      </c>
      <c r="AM75" s="56" t="s">
        <v>2631</v>
      </c>
      <c r="AN75" s="56" t="s">
        <v>2632</v>
      </c>
      <c r="AO75" s="56" t="s">
        <v>2627</v>
      </c>
      <c r="AP75" s="56" t="s">
        <v>2624</v>
      </c>
      <c r="AQ75" s="123">
        <v>4.1666666666666519E-3</v>
      </c>
      <c r="AR75" s="122">
        <v>-1.6666666666666607E-2</v>
      </c>
      <c r="AS75" s="56" t="s">
        <v>1048</v>
      </c>
      <c r="AT75" s="56" t="s">
        <v>1049</v>
      </c>
      <c r="AU75" s="56" t="s">
        <v>1050</v>
      </c>
      <c r="AV75" s="56">
        <v>36</v>
      </c>
      <c r="AW75" s="56" t="s">
        <v>1051</v>
      </c>
      <c r="AX75" s="56" t="s">
        <v>2794</v>
      </c>
      <c r="AY75" s="56" t="s">
        <v>1081</v>
      </c>
      <c r="AZ75" s="56" t="s">
        <v>1067</v>
      </c>
      <c r="BA75" s="56" t="s">
        <v>2795</v>
      </c>
      <c r="BB75" s="56" t="s">
        <v>2796</v>
      </c>
      <c r="BC75" s="56" t="s">
        <v>1133</v>
      </c>
      <c r="BD75" s="56" t="s">
        <v>2797</v>
      </c>
    </row>
    <row r="76" spans="1:56" x14ac:dyDescent="0.2">
      <c r="A76" s="56">
        <v>176538916</v>
      </c>
      <c r="B76" s="56" t="s">
        <v>2798</v>
      </c>
      <c r="C76" s="56" t="s">
        <v>2623</v>
      </c>
      <c r="D76" s="56" t="s">
        <v>2799</v>
      </c>
      <c r="E76" s="56" t="s">
        <v>1044</v>
      </c>
      <c r="F76" s="56">
        <v>104</v>
      </c>
      <c r="G76" s="56"/>
      <c r="H76" s="56">
        <v>5474</v>
      </c>
      <c r="I76" s="56">
        <v>6</v>
      </c>
      <c r="J76" s="56" t="s">
        <v>1045</v>
      </c>
      <c r="K76" s="56" t="s">
        <v>1296</v>
      </c>
      <c r="L76" s="121">
        <v>46265</v>
      </c>
      <c r="M76" s="122">
        <v>0.55902777777777779</v>
      </c>
      <c r="N76" s="122">
        <v>0.56944444444444442</v>
      </c>
      <c r="O76" s="56" t="s">
        <v>1047</v>
      </c>
      <c r="P76" s="121">
        <v>46265</v>
      </c>
      <c r="Q76" s="122">
        <v>0.60069444444444442</v>
      </c>
      <c r="R76" s="122">
        <v>0.5930671296296296</v>
      </c>
      <c r="S76" s="56" t="s">
        <v>1047</v>
      </c>
      <c r="T76" s="56">
        <v>1</v>
      </c>
      <c r="U76" s="56">
        <v>26</v>
      </c>
      <c r="V76" s="56">
        <v>20.02</v>
      </c>
      <c r="W76" s="56">
        <v>17.440000000000001</v>
      </c>
      <c r="X76" s="56" t="s">
        <v>2624</v>
      </c>
      <c r="Y76" s="56" t="s">
        <v>2624</v>
      </c>
      <c r="Z76" s="56" t="s">
        <v>2624</v>
      </c>
      <c r="AA76" s="56" t="s">
        <v>2032</v>
      </c>
      <c r="AB76" s="56"/>
      <c r="AC76" s="56" t="s">
        <v>2032</v>
      </c>
      <c r="AD76" s="56"/>
      <c r="AE76" s="56" t="s">
        <v>2626</v>
      </c>
      <c r="AF76" s="56" t="s">
        <v>2627</v>
      </c>
      <c r="AG76" s="56" t="s">
        <v>2627</v>
      </c>
      <c r="AH76" s="56">
        <v>36</v>
      </c>
      <c r="AI76" s="56" t="s">
        <v>2628</v>
      </c>
      <c r="AJ76" s="56" t="s">
        <v>2629</v>
      </c>
      <c r="AK76" s="56">
        <v>0</v>
      </c>
      <c r="AL76" s="56" t="s">
        <v>2630</v>
      </c>
      <c r="AM76" s="56" t="s">
        <v>2631</v>
      </c>
      <c r="AN76" s="56" t="s">
        <v>2632</v>
      </c>
      <c r="AO76" s="56" t="s">
        <v>2627</v>
      </c>
      <c r="AP76" s="56" t="s">
        <v>2624</v>
      </c>
      <c r="AQ76" s="123">
        <v>1.041666666666663E-2</v>
      </c>
      <c r="AR76" s="122">
        <v>-7.6273148148148229E-3</v>
      </c>
      <c r="AS76" s="56" t="s">
        <v>1048</v>
      </c>
      <c r="AT76" s="56" t="s">
        <v>1049</v>
      </c>
      <c r="AU76" s="56" t="s">
        <v>1050</v>
      </c>
      <c r="AV76" s="56">
        <v>36</v>
      </c>
      <c r="AW76" s="56" t="s">
        <v>1051</v>
      </c>
      <c r="AX76" s="56" t="s">
        <v>2800</v>
      </c>
      <c r="AY76" s="56" t="s">
        <v>1297</v>
      </c>
      <c r="AZ76" s="56" t="s">
        <v>1067</v>
      </c>
      <c r="BA76" s="56" t="s">
        <v>2801</v>
      </c>
      <c r="BB76" s="56" t="s">
        <v>2802</v>
      </c>
      <c r="BC76" s="56" t="s">
        <v>1133</v>
      </c>
      <c r="BD76" s="56" t="s">
        <v>2803</v>
      </c>
    </row>
    <row r="77" spans="1:56" x14ac:dyDescent="0.2">
      <c r="A77" s="56">
        <v>176544041</v>
      </c>
      <c r="B77" s="56" t="s">
        <v>2078</v>
      </c>
      <c r="C77" s="56" t="s">
        <v>2623</v>
      </c>
      <c r="D77" s="56" t="s">
        <v>1200</v>
      </c>
      <c r="E77" s="56" t="s">
        <v>1044</v>
      </c>
      <c r="F77" s="56">
        <v>63</v>
      </c>
      <c r="G77" s="56" t="s">
        <v>2693</v>
      </c>
      <c r="H77" s="56">
        <v>2528</v>
      </c>
      <c r="I77" s="56">
        <v>6</v>
      </c>
      <c r="J77" s="56" t="s">
        <v>1045</v>
      </c>
      <c r="K77" s="56" t="s">
        <v>1116</v>
      </c>
      <c r="L77" s="121">
        <v>46265</v>
      </c>
      <c r="M77" s="122">
        <v>0.5625</v>
      </c>
      <c r="N77" s="122">
        <v>0.5708333333333333</v>
      </c>
      <c r="O77" s="56" t="s">
        <v>1047</v>
      </c>
      <c r="P77" s="121">
        <v>46265</v>
      </c>
      <c r="Q77" s="122">
        <v>0.61458333333333337</v>
      </c>
      <c r="R77" s="122">
        <v>0.62954861111111116</v>
      </c>
      <c r="S77" s="56" t="s">
        <v>1047</v>
      </c>
      <c r="T77" s="56">
        <v>1</v>
      </c>
      <c r="U77" s="56">
        <v>28</v>
      </c>
      <c r="V77" s="56">
        <v>19.54</v>
      </c>
      <c r="W77" s="56">
        <v>5.77</v>
      </c>
      <c r="X77" s="56" t="s">
        <v>2624</v>
      </c>
      <c r="Y77" s="56" t="s">
        <v>2624</v>
      </c>
      <c r="Z77" s="56" t="s">
        <v>2624</v>
      </c>
      <c r="AA77" s="56" t="s">
        <v>902</v>
      </c>
      <c r="AB77" s="56">
        <v>14123634</v>
      </c>
      <c r="AC77" s="56" t="s">
        <v>902</v>
      </c>
      <c r="AD77" s="56">
        <v>14123634</v>
      </c>
      <c r="AE77" s="56" t="s">
        <v>2626</v>
      </c>
      <c r="AF77" s="56" t="s">
        <v>2627</v>
      </c>
      <c r="AG77" s="56" t="s">
        <v>2627</v>
      </c>
      <c r="AH77" s="56">
        <v>36</v>
      </c>
      <c r="AI77" s="56" t="s">
        <v>2628</v>
      </c>
      <c r="AJ77" s="56" t="s">
        <v>2640</v>
      </c>
      <c r="AK77" s="56">
        <v>0</v>
      </c>
      <c r="AL77" s="56" t="s">
        <v>2630</v>
      </c>
      <c r="AM77" s="56" t="s">
        <v>2631</v>
      </c>
      <c r="AN77" s="56" t="s">
        <v>2632</v>
      </c>
      <c r="AO77" s="56" t="s">
        <v>2627</v>
      </c>
      <c r="AP77" s="56" t="s">
        <v>2624</v>
      </c>
      <c r="AQ77" s="123">
        <v>8.3333333333333037E-3</v>
      </c>
      <c r="AR77" s="122">
        <v>1.4965277777777786E-2</v>
      </c>
      <c r="AS77" s="56" t="s">
        <v>1048</v>
      </c>
      <c r="AT77" s="56" t="s">
        <v>1059</v>
      </c>
      <c r="AU77" s="56" t="s">
        <v>1060</v>
      </c>
      <c r="AV77" s="56">
        <v>36</v>
      </c>
      <c r="AW77" s="56" t="s">
        <v>1051</v>
      </c>
      <c r="AX77" s="56" t="s">
        <v>1357</v>
      </c>
      <c r="AY77" s="56" t="s">
        <v>1128</v>
      </c>
      <c r="AZ77" s="56" t="s">
        <v>1054</v>
      </c>
      <c r="BA77" s="56" t="s">
        <v>1358</v>
      </c>
      <c r="BB77" s="56" t="s">
        <v>1359</v>
      </c>
      <c r="BC77" s="56" t="s">
        <v>1133</v>
      </c>
      <c r="BD77" s="56" t="s">
        <v>2079</v>
      </c>
    </row>
    <row r="78" spans="1:56" x14ac:dyDescent="0.2">
      <c r="A78" s="56">
        <v>176548413</v>
      </c>
      <c r="B78" s="56" t="s">
        <v>1316</v>
      </c>
      <c r="C78" s="56" t="s">
        <v>2623</v>
      </c>
      <c r="D78" s="56" t="s">
        <v>1317</v>
      </c>
      <c r="E78" s="56" t="s">
        <v>1044</v>
      </c>
      <c r="F78" s="56">
        <v>114</v>
      </c>
      <c r="G78" s="56" t="s">
        <v>2670</v>
      </c>
      <c r="H78" s="56">
        <v>13500</v>
      </c>
      <c r="I78" s="56">
        <v>6</v>
      </c>
      <c r="J78" s="56" t="s">
        <v>1045</v>
      </c>
      <c r="K78" s="56" t="s">
        <v>1116</v>
      </c>
      <c r="L78" s="121">
        <v>46265</v>
      </c>
      <c r="M78" s="122">
        <v>0.56805555555555554</v>
      </c>
      <c r="N78" s="122">
        <v>0.58333333333333337</v>
      </c>
      <c r="O78" s="56" t="s">
        <v>1047</v>
      </c>
      <c r="P78" s="121">
        <v>46265</v>
      </c>
      <c r="Q78" s="122">
        <v>0.61458333333333337</v>
      </c>
      <c r="R78" s="122">
        <v>0.61752314814814813</v>
      </c>
      <c r="S78" s="56" t="s">
        <v>1047</v>
      </c>
      <c r="T78" s="56">
        <v>1</v>
      </c>
      <c r="U78" s="56">
        <v>26</v>
      </c>
      <c r="V78" s="56">
        <v>20.91</v>
      </c>
      <c r="W78" s="56">
        <v>20.72</v>
      </c>
      <c r="X78" s="56" t="s">
        <v>2624</v>
      </c>
      <c r="Y78" s="56" t="s">
        <v>2624</v>
      </c>
      <c r="Z78" s="56" t="s">
        <v>2624</v>
      </c>
      <c r="AA78" s="56" t="s">
        <v>485</v>
      </c>
      <c r="AB78" s="56">
        <v>14123083</v>
      </c>
      <c r="AC78" s="56" t="s">
        <v>485</v>
      </c>
      <c r="AD78" s="56">
        <v>14123083</v>
      </c>
      <c r="AE78" s="56" t="s">
        <v>2626</v>
      </c>
      <c r="AF78" s="56" t="s">
        <v>2627</v>
      </c>
      <c r="AG78" s="56" t="s">
        <v>2627</v>
      </c>
      <c r="AH78" s="56">
        <v>36</v>
      </c>
      <c r="AI78" s="56" t="s">
        <v>2628</v>
      </c>
      <c r="AJ78" s="56" t="s">
        <v>2640</v>
      </c>
      <c r="AK78" s="56">
        <v>0</v>
      </c>
      <c r="AL78" s="56" t="s">
        <v>2630</v>
      </c>
      <c r="AM78" s="56" t="s">
        <v>2631</v>
      </c>
      <c r="AN78" s="56" t="s">
        <v>2632</v>
      </c>
      <c r="AO78" s="56" t="s">
        <v>2627</v>
      </c>
      <c r="AP78" s="56" t="s">
        <v>2624</v>
      </c>
      <c r="AQ78" s="123">
        <v>1.5277777777777835E-2</v>
      </c>
      <c r="AR78" s="122">
        <v>2.9398148148147563E-3</v>
      </c>
      <c r="AS78" s="56" t="s">
        <v>1048</v>
      </c>
      <c r="AT78" s="56" t="s">
        <v>1049</v>
      </c>
      <c r="AU78" s="56" t="s">
        <v>1050</v>
      </c>
      <c r="AV78" s="56">
        <v>36</v>
      </c>
      <c r="AW78" s="56" t="s">
        <v>1051</v>
      </c>
      <c r="AX78" s="56" t="s">
        <v>1318</v>
      </c>
      <c r="AY78" s="56" t="s">
        <v>1118</v>
      </c>
      <c r="AZ78" s="56" t="s">
        <v>1054</v>
      </c>
      <c r="BA78" s="56" t="s">
        <v>1319</v>
      </c>
      <c r="BB78" s="56" t="s">
        <v>1320</v>
      </c>
      <c r="BC78" s="56" t="s">
        <v>1133</v>
      </c>
      <c r="BD78" s="56" t="s">
        <v>1321</v>
      </c>
    </row>
    <row r="79" spans="1:56" x14ac:dyDescent="0.2">
      <c r="A79" s="56">
        <v>176538878</v>
      </c>
      <c r="B79" s="56" t="s">
        <v>2804</v>
      </c>
      <c r="C79" s="56" t="s">
        <v>2623</v>
      </c>
      <c r="D79" s="56" t="s">
        <v>2805</v>
      </c>
      <c r="E79" s="56" t="s">
        <v>1044</v>
      </c>
      <c r="F79" s="56">
        <v>121</v>
      </c>
      <c r="G79" s="56"/>
      <c r="H79" s="56">
        <v>16768</v>
      </c>
      <c r="I79" s="56">
        <v>6</v>
      </c>
      <c r="J79" s="56" t="s">
        <v>1045</v>
      </c>
      <c r="K79" s="56" t="s">
        <v>1079</v>
      </c>
      <c r="L79" s="121">
        <v>46265</v>
      </c>
      <c r="M79" s="122">
        <v>0.56944444444444442</v>
      </c>
      <c r="N79" s="122">
        <v>0.57361111111111107</v>
      </c>
      <c r="O79" s="56" t="s">
        <v>1047</v>
      </c>
      <c r="P79" s="121">
        <v>46265</v>
      </c>
      <c r="Q79" s="122">
        <v>0.60069444444444442</v>
      </c>
      <c r="R79" s="122">
        <v>0.59765046296296298</v>
      </c>
      <c r="S79" s="56" t="s">
        <v>1047</v>
      </c>
      <c r="T79" s="56">
        <v>1</v>
      </c>
      <c r="U79" s="56">
        <v>19</v>
      </c>
      <c r="V79" s="56">
        <v>18.34</v>
      </c>
      <c r="W79" s="56">
        <v>18.75</v>
      </c>
      <c r="X79" s="56" t="s">
        <v>2624</v>
      </c>
      <c r="Y79" s="56" t="s">
        <v>2624</v>
      </c>
      <c r="Z79" s="56" t="s">
        <v>2624</v>
      </c>
      <c r="AA79" s="56"/>
      <c r="AB79" s="56"/>
      <c r="AC79" s="56" t="s">
        <v>1187</v>
      </c>
      <c r="AD79" s="56"/>
      <c r="AE79" s="56" t="s">
        <v>2626</v>
      </c>
      <c r="AF79" s="56" t="s">
        <v>2627</v>
      </c>
      <c r="AG79" s="56" t="s">
        <v>2627</v>
      </c>
      <c r="AH79" s="56">
        <v>36</v>
      </c>
      <c r="AI79" s="56" t="s">
        <v>2628</v>
      </c>
      <c r="AJ79" s="56" t="s">
        <v>2629</v>
      </c>
      <c r="AK79" s="56">
        <v>0</v>
      </c>
      <c r="AL79" s="56" t="s">
        <v>2630</v>
      </c>
      <c r="AM79" s="56" t="s">
        <v>2631</v>
      </c>
      <c r="AN79" s="56" t="s">
        <v>2632</v>
      </c>
      <c r="AO79" s="56" t="s">
        <v>2627</v>
      </c>
      <c r="AP79" s="56">
        <v>49</v>
      </c>
      <c r="AQ79" s="123">
        <v>4.1666666666666519E-3</v>
      </c>
      <c r="AR79" s="122">
        <v>-3.0439814814814392E-3</v>
      </c>
      <c r="AS79" s="56" t="s">
        <v>1048</v>
      </c>
      <c r="AT79" s="56" t="s">
        <v>1049</v>
      </c>
      <c r="AU79" s="56" t="s">
        <v>1050</v>
      </c>
      <c r="AV79" s="56">
        <v>36</v>
      </c>
      <c r="AW79" s="56" t="s">
        <v>1051</v>
      </c>
      <c r="AX79" s="56" t="s">
        <v>2806</v>
      </c>
      <c r="AY79" s="56" t="s">
        <v>1081</v>
      </c>
      <c r="AZ79" s="56" t="s">
        <v>1067</v>
      </c>
      <c r="BA79" s="56" t="s">
        <v>2807</v>
      </c>
      <c r="BB79" s="56" t="s">
        <v>2808</v>
      </c>
      <c r="BC79" s="56" t="s">
        <v>1133</v>
      </c>
      <c r="BD79" s="56" t="s">
        <v>2809</v>
      </c>
    </row>
    <row r="80" spans="1:56" x14ac:dyDescent="0.2">
      <c r="A80" s="56">
        <v>176548423</v>
      </c>
      <c r="B80" s="56" t="s">
        <v>2810</v>
      </c>
      <c r="C80" s="56" t="s">
        <v>2623</v>
      </c>
      <c r="D80" s="56" t="s">
        <v>2811</v>
      </c>
      <c r="E80" s="56" t="s">
        <v>1044</v>
      </c>
      <c r="F80" s="56">
        <v>118</v>
      </c>
      <c r="G80" s="56" t="s">
        <v>2670</v>
      </c>
      <c r="H80" s="56">
        <v>4200</v>
      </c>
      <c r="I80" s="56">
        <v>6</v>
      </c>
      <c r="J80" s="56" t="s">
        <v>1045</v>
      </c>
      <c r="K80" s="56" t="s">
        <v>1116</v>
      </c>
      <c r="L80" s="121">
        <v>46265</v>
      </c>
      <c r="M80" s="122">
        <v>0.56944444444444442</v>
      </c>
      <c r="N80" s="122">
        <v>0.57847222222222228</v>
      </c>
      <c r="O80" s="56" t="s">
        <v>1047</v>
      </c>
      <c r="P80" s="121">
        <v>46265</v>
      </c>
      <c r="Q80" s="122">
        <v>0.61458333333333337</v>
      </c>
      <c r="R80" s="122">
        <v>0.61984953703703705</v>
      </c>
      <c r="S80" s="56" t="s">
        <v>1047</v>
      </c>
      <c r="T80" s="56">
        <v>1</v>
      </c>
      <c r="U80" s="56">
        <v>20</v>
      </c>
      <c r="V80" s="56">
        <v>14.57</v>
      </c>
      <c r="W80" s="56">
        <v>6.1</v>
      </c>
      <c r="X80" s="56" t="s">
        <v>2624</v>
      </c>
      <c r="Y80" s="56" t="s">
        <v>2624</v>
      </c>
      <c r="Z80" s="56" t="s">
        <v>2624</v>
      </c>
      <c r="AA80" s="56" t="s">
        <v>177</v>
      </c>
      <c r="AB80" s="56">
        <v>14117160</v>
      </c>
      <c r="AC80" s="56" t="s">
        <v>177</v>
      </c>
      <c r="AD80" s="56">
        <v>14117160</v>
      </c>
      <c r="AE80" s="56" t="s">
        <v>2626</v>
      </c>
      <c r="AF80" s="56" t="s">
        <v>2627</v>
      </c>
      <c r="AG80" s="56" t="s">
        <v>2627</v>
      </c>
      <c r="AH80" s="56">
        <v>36</v>
      </c>
      <c r="AI80" s="56" t="s">
        <v>2628</v>
      </c>
      <c r="AJ80" s="56" t="s">
        <v>2640</v>
      </c>
      <c r="AK80" s="56">
        <v>0</v>
      </c>
      <c r="AL80" s="56" t="s">
        <v>2630</v>
      </c>
      <c r="AM80" s="56" t="s">
        <v>2631</v>
      </c>
      <c r="AN80" s="56" t="s">
        <v>2632</v>
      </c>
      <c r="AO80" s="56" t="s">
        <v>2627</v>
      </c>
      <c r="AP80" s="56" t="s">
        <v>2624</v>
      </c>
      <c r="AQ80" s="123">
        <v>9.0277777777778567E-3</v>
      </c>
      <c r="AR80" s="122">
        <v>5.2662037037036757E-3</v>
      </c>
      <c r="AS80" s="56" t="s">
        <v>1048</v>
      </c>
      <c r="AT80" s="56" t="s">
        <v>1059</v>
      </c>
      <c r="AU80" s="56" t="s">
        <v>1060</v>
      </c>
      <c r="AV80" s="56">
        <v>36</v>
      </c>
      <c r="AW80" s="56" t="s">
        <v>1051</v>
      </c>
      <c r="AX80" s="56" t="s">
        <v>2812</v>
      </c>
      <c r="AY80" s="56" t="s">
        <v>1118</v>
      </c>
      <c r="AZ80" s="56" t="s">
        <v>1054</v>
      </c>
      <c r="BA80" s="56" t="s">
        <v>2813</v>
      </c>
      <c r="BB80" s="56" t="s">
        <v>2814</v>
      </c>
      <c r="BC80" s="56" t="s">
        <v>1133</v>
      </c>
      <c r="BD80" s="56" t="s">
        <v>2815</v>
      </c>
    </row>
    <row r="81" spans="1:56" x14ac:dyDescent="0.2">
      <c r="A81" s="56">
        <v>176541792</v>
      </c>
      <c r="B81" s="56" t="s">
        <v>2816</v>
      </c>
      <c r="C81" s="56" t="s">
        <v>2623</v>
      </c>
      <c r="D81" s="56" t="s">
        <v>2688</v>
      </c>
      <c r="E81" s="56" t="s">
        <v>1044</v>
      </c>
      <c r="F81" s="56">
        <v>11</v>
      </c>
      <c r="G81" s="56"/>
      <c r="H81" s="56">
        <v>15185</v>
      </c>
      <c r="I81" s="56">
        <v>6</v>
      </c>
      <c r="J81" s="56" t="s">
        <v>1045</v>
      </c>
      <c r="K81" s="56" t="s">
        <v>1058</v>
      </c>
      <c r="L81" s="121">
        <v>46265</v>
      </c>
      <c r="M81" s="122">
        <v>0.57361111111111107</v>
      </c>
      <c r="N81" s="122">
        <v>0.57916666666666672</v>
      </c>
      <c r="O81" s="56" t="s">
        <v>1047</v>
      </c>
      <c r="P81" s="121">
        <v>46265</v>
      </c>
      <c r="Q81" s="122">
        <v>0.60416666666666663</v>
      </c>
      <c r="R81" s="122">
        <v>0.59236111111111112</v>
      </c>
      <c r="S81" s="56" t="s">
        <v>1047</v>
      </c>
      <c r="T81" s="56">
        <v>1</v>
      </c>
      <c r="U81" s="56">
        <v>14</v>
      </c>
      <c r="V81" s="56">
        <v>9.91</v>
      </c>
      <c r="W81" s="56">
        <v>8.39</v>
      </c>
      <c r="X81" s="56" t="s">
        <v>2624</v>
      </c>
      <c r="Y81" s="56" t="s">
        <v>2624</v>
      </c>
      <c r="Z81" s="56" t="s">
        <v>2624</v>
      </c>
      <c r="AA81" s="56" t="s">
        <v>467</v>
      </c>
      <c r="AB81" s="56">
        <v>14122925</v>
      </c>
      <c r="AC81" s="56" t="s">
        <v>467</v>
      </c>
      <c r="AD81" s="56">
        <v>14122925</v>
      </c>
      <c r="AE81" s="56" t="s">
        <v>2626</v>
      </c>
      <c r="AF81" s="56" t="s">
        <v>2627</v>
      </c>
      <c r="AG81" s="56" t="s">
        <v>2627</v>
      </c>
      <c r="AH81" s="56">
        <v>36</v>
      </c>
      <c r="AI81" s="56" t="s">
        <v>2628</v>
      </c>
      <c r="AJ81" s="56" t="s">
        <v>2629</v>
      </c>
      <c r="AK81" s="56">
        <v>730</v>
      </c>
      <c r="AL81" s="56" t="s">
        <v>2630</v>
      </c>
      <c r="AM81" s="56" t="s">
        <v>2631</v>
      </c>
      <c r="AN81" s="56" t="s">
        <v>2632</v>
      </c>
      <c r="AO81" s="56" t="s">
        <v>2627</v>
      </c>
      <c r="AP81" s="56" t="s">
        <v>2624</v>
      </c>
      <c r="AQ81" s="123">
        <v>5.5555555555556468E-3</v>
      </c>
      <c r="AR81" s="122">
        <v>-1.1805555555555514E-2</v>
      </c>
      <c r="AS81" s="56" t="s">
        <v>1048</v>
      </c>
      <c r="AT81" s="56" t="s">
        <v>1049</v>
      </c>
      <c r="AU81" s="56" t="s">
        <v>1050</v>
      </c>
      <c r="AV81" s="56">
        <v>36</v>
      </c>
      <c r="AW81" s="56" t="s">
        <v>1051</v>
      </c>
      <c r="AX81" s="56" t="s">
        <v>2689</v>
      </c>
      <c r="AY81" s="56" t="s">
        <v>1061</v>
      </c>
      <c r="AZ81" s="56" t="s">
        <v>1062</v>
      </c>
      <c r="BA81" s="56" t="s">
        <v>2690</v>
      </c>
      <c r="BB81" s="56" t="s">
        <v>2691</v>
      </c>
      <c r="BC81" s="56" t="s">
        <v>1133</v>
      </c>
      <c r="BD81" s="56" t="s">
        <v>2817</v>
      </c>
    </row>
    <row r="82" spans="1:56" x14ac:dyDescent="0.2">
      <c r="A82" s="56">
        <v>176543883</v>
      </c>
      <c r="B82" s="56" t="s">
        <v>2818</v>
      </c>
      <c r="C82" s="56" t="s">
        <v>2623</v>
      </c>
      <c r="D82" s="56" t="s">
        <v>2819</v>
      </c>
      <c r="E82" s="56" t="s">
        <v>1044</v>
      </c>
      <c r="F82" s="56">
        <v>56</v>
      </c>
      <c r="G82" s="56" t="s">
        <v>2670</v>
      </c>
      <c r="H82" s="56">
        <v>15316</v>
      </c>
      <c r="I82" s="56">
        <v>6</v>
      </c>
      <c r="J82" s="56" t="s">
        <v>1045</v>
      </c>
      <c r="K82" s="56" t="s">
        <v>1116</v>
      </c>
      <c r="L82" s="121">
        <v>46265</v>
      </c>
      <c r="M82" s="122">
        <v>0.57708333333333328</v>
      </c>
      <c r="N82" s="122">
        <v>0.61388888888888893</v>
      </c>
      <c r="O82" s="56" t="s">
        <v>1047</v>
      </c>
      <c r="P82" s="121">
        <v>46265</v>
      </c>
      <c r="Q82" s="122">
        <v>0.61458333333333337</v>
      </c>
      <c r="R82" s="122">
        <v>0.64106481481481481</v>
      </c>
      <c r="S82" s="56" t="s">
        <v>1047</v>
      </c>
      <c r="T82" s="56">
        <v>1</v>
      </c>
      <c r="U82" s="56">
        <v>29</v>
      </c>
      <c r="V82" s="56">
        <v>20.52</v>
      </c>
      <c r="W82" s="56">
        <v>8.7200000000000006</v>
      </c>
      <c r="X82" s="56" t="s">
        <v>2624</v>
      </c>
      <c r="Y82" s="56" t="s">
        <v>2624</v>
      </c>
      <c r="Z82" s="56" t="s">
        <v>2624</v>
      </c>
      <c r="AA82" s="56" t="s">
        <v>1473</v>
      </c>
      <c r="AB82" s="56">
        <v>14118505</v>
      </c>
      <c r="AC82" s="56" t="s">
        <v>1473</v>
      </c>
      <c r="AD82" s="56">
        <v>14118505</v>
      </c>
      <c r="AE82" s="56" t="s">
        <v>2626</v>
      </c>
      <c r="AF82" s="56" t="s">
        <v>2627</v>
      </c>
      <c r="AG82" s="56" t="s">
        <v>2627</v>
      </c>
      <c r="AH82" s="56">
        <v>36</v>
      </c>
      <c r="AI82" s="56" t="s">
        <v>2628</v>
      </c>
      <c r="AJ82" s="56" t="s">
        <v>2640</v>
      </c>
      <c r="AK82" s="56">
        <v>0</v>
      </c>
      <c r="AL82" s="56" t="s">
        <v>2630</v>
      </c>
      <c r="AM82" s="56" t="s">
        <v>2631</v>
      </c>
      <c r="AN82" s="56" t="s">
        <v>2632</v>
      </c>
      <c r="AO82" s="56" t="s">
        <v>2627</v>
      </c>
      <c r="AP82" s="56" t="s">
        <v>2624</v>
      </c>
      <c r="AQ82" s="123">
        <v>3.6805555555555647E-2</v>
      </c>
      <c r="AR82" s="122">
        <v>2.6481481481481439E-2</v>
      </c>
      <c r="AS82" s="56" t="s">
        <v>1048</v>
      </c>
      <c r="AT82" s="56" t="s">
        <v>1059</v>
      </c>
      <c r="AU82" s="56" t="s">
        <v>1060</v>
      </c>
      <c r="AV82" s="56">
        <v>36</v>
      </c>
      <c r="AW82" s="56" t="s">
        <v>1051</v>
      </c>
      <c r="AX82" s="56" t="s">
        <v>2820</v>
      </c>
      <c r="AY82" s="56" t="s">
        <v>1118</v>
      </c>
      <c r="AZ82" s="56" t="s">
        <v>1054</v>
      </c>
      <c r="BA82" s="56" t="s">
        <v>2821</v>
      </c>
      <c r="BB82" s="56" t="s">
        <v>2822</v>
      </c>
      <c r="BC82" s="56" t="s">
        <v>1133</v>
      </c>
      <c r="BD82" s="56" t="s">
        <v>2823</v>
      </c>
    </row>
    <row r="83" spans="1:56" x14ac:dyDescent="0.2">
      <c r="A83" s="56">
        <v>176548408</v>
      </c>
      <c r="B83" s="56" t="s">
        <v>2824</v>
      </c>
      <c r="C83" s="56" t="s">
        <v>2623</v>
      </c>
      <c r="D83" s="56" t="s">
        <v>2281</v>
      </c>
      <c r="E83" s="56" t="s">
        <v>1044</v>
      </c>
      <c r="F83" s="56">
        <v>112</v>
      </c>
      <c r="G83" s="56" t="s">
        <v>2693</v>
      </c>
      <c r="H83" s="56">
        <v>4983</v>
      </c>
      <c r="I83" s="56">
        <v>6</v>
      </c>
      <c r="J83" s="56" t="s">
        <v>1045</v>
      </c>
      <c r="K83" s="56" t="s">
        <v>1116</v>
      </c>
      <c r="L83" s="121">
        <v>46265</v>
      </c>
      <c r="M83" s="122">
        <v>0.57986111111111116</v>
      </c>
      <c r="N83" s="122">
        <v>0.59236111111111112</v>
      </c>
      <c r="O83" s="56" t="s">
        <v>1047</v>
      </c>
      <c r="P83" s="121">
        <v>46265</v>
      </c>
      <c r="Q83" s="122">
        <v>0.61458333333333337</v>
      </c>
      <c r="R83" s="122">
        <v>0.61534722222222227</v>
      </c>
      <c r="S83" s="56" t="s">
        <v>1047</v>
      </c>
      <c r="T83" s="56">
        <v>1</v>
      </c>
      <c r="U83" s="56">
        <v>17</v>
      </c>
      <c r="V83" s="56">
        <v>11.83</v>
      </c>
      <c r="W83" s="56">
        <v>18.350000000000001</v>
      </c>
      <c r="X83" s="56" t="s">
        <v>2624</v>
      </c>
      <c r="Y83" s="56" t="s">
        <v>2624</v>
      </c>
      <c r="Z83" s="56" t="s">
        <v>2624</v>
      </c>
      <c r="AA83" s="56" t="s">
        <v>437</v>
      </c>
      <c r="AB83" s="56">
        <v>14122621</v>
      </c>
      <c r="AC83" s="56" t="s">
        <v>437</v>
      </c>
      <c r="AD83" s="56">
        <v>14122621</v>
      </c>
      <c r="AE83" s="56" t="s">
        <v>2626</v>
      </c>
      <c r="AF83" s="56" t="s">
        <v>2627</v>
      </c>
      <c r="AG83" s="56" t="s">
        <v>2627</v>
      </c>
      <c r="AH83" s="56">
        <v>36</v>
      </c>
      <c r="AI83" s="56" t="s">
        <v>2628</v>
      </c>
      <c r="AJ83" s="56" t="s">
        <v>2640</v>
      </c>
      <c r="AK83" s="56">
        <v>0</v>
      </c>
      <c r="AL83" s="56" t="s">
        <v>2630</v>
      </c>
      <c r="AM83" s="56" t="s">
        <v>2631</v>
      </c>
      <c r="AN83" s="56" t="s">
        <v>2632</v>
      </c>
      <c r="AO83" s="56" t="s">
        <v>2627</v>
      </c>
      <c r="AP83" s="56" t="s">
        <v>2624</v>
      </c>
      <c r="AQ83" s="123">
        <v>1.2499999999999956E-2</v>
      </c>
      <c r="AR83" s="122">
        <v>7.6388888888889728E-4</v>
      </c>
      <c r="AS83" s="56" t="s">
        <v>1048</v>
      </c>
      <c r="AT83" s="56" t="s">
        <v>1049</v>
      </c>
      <c r="AU83" s="56" t="s">
        <v>1050</v>
      </c>
      <c r="AV83" s="56">
        <v>36</v>
      </c>
      <c r="AW83" s="56" t="s">
        <v>1051</v>
      </c>
      <c r="AX83" s="56" t="s">
        <v>2825</v>
      </c>
      <c r="AY83" s="56" t="s">
        <v>1128</v>
      </c>
      <c r="AZ83" s="56" t="s">
        <v>1054</v>
      </c>
      <c r="BA83" s="56" t="s">
        <v>2826</v>
      </c>
      <c r="BB83" s="56" t="s">
        <v>2827</v>
      </c>
      <c r="BC83" s="56" t="s">
        <v>1133</v>
      </c>
      <c r="BD83" s="56" t="s">
        <v>2828</v>
      </c>
    </row>
    <row r="84" spans="1:56" x14ac:dyDescent="0.2">
      <c r="A84" s="56">
        <v>176531492</v>
      </c>
      <c r="B84" s="56" t="s">
        <v>1588</v>
      </c>
      <c r="C84" s="56" t="s">
        <v>2623</v>
      </c>
      <c r="D84" s="56" t="s">
        <v>1589</v>
      </c>
      <c r="E84" s="56" t="s">
        <v>1044</v>
      </c>
      <c r="F84" s="56">
        <v>2</v>
      </c>
      <c r="G84" s="56" t="s">
        <v>2829</v>
      </c>
      <c r="H84" s="56">
        <v>6384</v>
      </c>
      <c r="I84" s="56">
        <v>6</v>
      </c>
      <c r="J84" s="56" t="s">
        <v>1045</v>
      </c>
      <c r="K84" s="56" t="s">
        <v>1181</v>
      </c>
      <c r="L84" s="121">
        <v>46265</v>
      </c>
      <c r="M84" s="122">
        <v>0.67708333333333337</v>
      </c>
      <c r="N84" s="122">
        <v>0.68194444444444446</v>
      </c>
      <c r="O84" s="56" t="s">
        <v>1047</v>
      </c>
      <c r="P84" s="121">
        <v>46265</v>
      </c>
      <c r="Q84" s="122">
        <v>0.74305555555555558</v>
      </c>
      <c r="R84" s="122">
        <v>0.75028935185185186</v>
      </c>
      <c r="S84" s="56" t="s">
        <v>1047</v>
      </c>
      <c r="T84" s="56">
        <v>1</v>
      </c>
      <c r="U84" s="56">
        <v>32</v>
      </c>
      <c r="V84" s="56">
        <v>122.42</v>
      </c>
      <c r="W84" s="56">
        <v>28.05</v>
      </c>
      <c r="X84" s="56" t="s">
        <v>2624</v>
      </c>
      <c r="Y84" s="56" t="s">
        <v>2624</v>
      </c>
      <c r="Z84" s="56" t="s">
        <v>2624</v>
      </c>
      <c r="AA84" s="56" t="s">
        <v>459</v>
      </c>
      <c r="AB84" s="56">
        <v>14122871</v>
      </c>
      <c r="AC84" s="56" t="s">
        <v>459</v>
      </c>
      <c r="AD84" s="56">
        <v>14122871</v>
      </c>
      <c r="AE84" s="56" t="s">
        <v>2626</v>
      </c>
      <c r="AF84" s="56" t="s">
        <v>2627</v>
      </c>
      <c r="AG84" s="56" t="s">
        <v>2627</v>
      </c>
      <c r="AH84" s="56">
        <v>36</v>
      </c>
      <c r="AI84" s="56" t="s">
        <v>2628</v>
      </c>
      <c r="AJ84" s="56" t="s">
        <v>2640</v>
      </c>
      <c r="AK84" s="56">
        <v>447.41</v>
      </c>
      <c r="AL84" s="56" t="s">
        <v>2630</v>
      </c>
      <c r="AM84" s="56" t="s">
        <v>2631</v>
      </c>
      <c r="AN84" s="56" t="s">
        <v>2632</v>
      </c>
      <c r="AO84" s="56" t="s">
        <v>2627</v>
      </c>
      <c r="AP84" s="56" t="s">
        <v>2624</v>
      </c>
      <c r="AQ84" s="123">
        <v>4.8611111111110938E-3</v>
      </c>
      <c r="AR84" s="122">
        <v>7.2337962962962798E-3</v>
      </c>
      <c r="AS84" s="56" t="s">
        <v>1048</v>
      </c>
      <c r="AT84" s="56" t="s">
        <v>1059</v>
      </c>
      <c r="AU84" s="56" t="s">
        <v>1060</v>
      </c>
      <c r="AV84" s="56">
        <v>36</v>
      </c>
      <c r="AW84" s="56" t="s">
        <v>1051</v>
      </c>
      <c r="AX84" s="56" t="s">
        <v>1590</v>
      </c>
      <c r="AY84" s="56" t="s">
        <v>1140</v>
      </c>
      <c r="AZ84" s="56" t="s">
        <v>1062</v>
      </c>
      <c r="BA84" s="56" t="s">
        <v>1591</v>
      </c>
      <c r="BB84" s="56" t="s">
        <v>1592</v>
      </c>
      <c r="BC84" s="56" t="s">
        <v>1057</v>
      </c>
      <c r="BD84" s="56" t="s">
        <v>2830</v>
      </c>
    </row>
    <row r="85" spans="1:56" x14ac:dyDescent="0.2">
      <c r="A85" s="56">
        <v>176531493</v>
      </c>
      <c r="B85" s="56" t="s">
        <v>1474</v>
      </c>
      <c r="C85" s="56" t="s">
        <v>2623</v>
      </c>
      <c r="D85" s="56" t="s">
        <v>1475</v>
      </c>
      <c r="E85" s="56" t="s">
        <v>1044</v>
      </c>
      <c r="F85" s="56">
        <v>3</v>
      </c>
      <c r="G85" s="56"/>
      <c r="H85" s="56">
        <v>5351</v>
      </c>
      <c r="I85" s="56">
        <v>6</v>
      </c>
      <c r="J85" s="56" t="s">
        <v>1045</v>
      </c>
      <c r="K85" s="56" t="s">
        <v>1181</v>
      </c>
      <c r="L85" s="121">
        <v>46265</v>
      </c>
      <c r="M85" s="122">
        <v>0.69097222222222221</v>
      </c>
      <c r="N85" s="122">
        <v>0.6958333333333333</v>
      </c>
      <c r="O85" s="56" t="s">
        <v>1047</v>
      </c>
      <c r="P85" s="121">
        <v>46265</v>
      </c>
      <c r="Q85" s="122">
        <v>0.74305555555555558</v>
      </c>
      <c r="R85" s="122">
        <v>0.73819444444444449</v>
      </c>
      <c r="S85" s="56" t="s">
        <v>1047</v>
      </c>
      <c r="T85" s="56">
        <v>1</v>
      </c>
      <c r="U85" s="56">
        <v>24</v>
      </c>
      <c r="V85" s="56">
        <v>21.51</v>
      </c>
      <c r="W85" s="56">
        <v>21.15</v>
      </c>
      <c r="X85" s="56">
        <v>24.63</v>
      </c>
      <c r="Y85" s="56">
        <v>3.47</v>
      </c>
      <c r="Z85" s="56">
        <v>0.01</v>
      </c>
      <c r="AA85" s="56" t="s">
        <v>32</v>
      </c>
      <c r="AB85" s="56">
        <v>14102730</v>
      </c>
      <c r="AC85" s="56" t="s">
        <v>32</v>
      </c>
      <c r="AD85" s="56">
        <v>14102730</v>
      </c>
      <c r="AE85" s="56" t="s">
        <v>2626</v>
      </c>
      <c r="AF85" s="56" t="s">
        <v>2627</v>
      </c>
      <c r="AG85" s="56" t="s">
        <v>2627</v>
      </c>
      <c r="AH85" s="56">
        <v>36</v>
      </c>
      <c r="AI85" s="56" t="s">
        <v>2628</v>
      </c>
      <c r="AJ85" s="56" t="s">
        <v>2629</v>
      </c>
      <c r="AK85" s="56">
        <v>522.74</v>
      </c>
      <c r="AL85" s="56" t="s">
        <v>2630</v>
      </c>
      <c r="AM85" s="56" t="s">
        <v>2631</v>
      </c>
      <c r="AN85" s="56" t="s">
        <v>2632</v>
      </c>
      <c r="AO85" s="56" t="s">
        <v>2627</v>
      </c>
      <c r="AP85" s="56">
        <v>29</v>
      </c>
      <c r="AQ85" s="123">
        <v>4.8611111111110938E-3</v>
      </c>
      <c r="AR85" s="122">
        <v>-4.8611111111110938E-3</v>
      </c>
      <c r="AS85" s="56" t="s">
        <v>1048</v>
      </c>
      <c r="AT85" s="56" t="s">
        <v>1049</v>
      </c>
      <c r="AU85" s="56" t="s">
        <v>1050</v>
      </c>
      <c r="AV85" s="56">
        <v>36</v>
      </c>
      <c r="AW85" s="56" t="s">
        <v>1051</v>
      </c>
      <c r="AX85" s="56" t="s">
        <v>1476</v>
      </c>
      <c r="AY85" s="56" t="s">
        <v>1140</v>
      </c>
      <c r="AZ85" s="56" t="s">
        <v>1062</v>
      </c>
      <c r="BA85" s="56" t="s">
        <v>1477</v>
      </c>
      <c r="BB85" s="56" t="s">
        <v>1478</v>
      </c>
      <c r="BC85" s="56" t="s">
        <v>1057</v>
      </c>
      <c r="BD85" s="56" t="s">
        <v>1479</v>
      </c>
    </row>
    <row r="86" spans="1:56" x14ac:dyDescent="0.2">
      <c r="A86" s="56">
        <v>176543615</v>
      </c>
      <c r="B86" s="56" t="s">
        <v>1480</v>
      </c>
      <c r="C86" s="56" t="s">
        <v>2623</v>
      </c>
      <c r="D86" s="56" t="s">
        <v>1481</v>
      </c>
      <c r="E86" s="56" t="s">
        <v>1044</v>
      </c>
      <c r="F86" s="56">
        <v>18</v>
      </c>
      <c r="G86" s="56"/>
      <c r="H86" s="56">
        <v>11943</v>
      </c>
      <c r="I86" s="56">
        <v>6</v>
      </c>
      <c r="J86" s="56" t="s">
        <v>1045</v>
      </c>
      <c r="K86" s="56" t="s">
        <v>1046</v>
      </c>
      <c r="L86" s="121">
        <v>46265</v>
      </c>
      <c r="M86" s="122">
        <v>0.70486111111111116</v>
      </c>
      <c r="N86" s="122">
        <v>0.72152777777777777</v>
      </c>
      <c r="O86" s="56" t="s">
        <v>1047</v>
      </c>
      <c r="P86" s="121">
        <v>46265</v>
      </c>
      <c r="Q86" s="122">
        <v>0.76041666666666663</v>
      </c>
      <c r="R86" s="122">
        <v>0.7487731481481481</v>
      </c>
      <c r="S86" s="56" t="s">
        <v>1047</v>
      </c>
      <c r="T86" s="56">
        <v>1</v>
      </c>
      <c r="U86" s="56">
        <v>35</v>
      </c>
      <c r="V86" s="56">
        <v>18.48</v>
      </c>
      <c r="W86" s="56">
        <v>17.8</v>
      </c>
      <c r="X86" s="56" t="s">
        <v>2624</v>
      </c>
      <c r="Y86" s="56" t="s">
        <v>2624</v>
      </c>
      <c r="Z86" s="56" t="s">
        <v>2624</v>
      </c>
      <c r="AA86" s="56" t="s">
        <v>158</v>
      </c>
      <c r="AB86" s="56">
        <v>14116262</v>
      </c>
      <c r="AC86" s="56" t="s">
        <v>158</v>
      </c>
      <c r="AD86" s="56">
        <v>14116262</v>
      </c>
      <c r="AE86" s="56" t="s">
        <v>2626</v>
      </c>
      <c r="AF86" s="56" t="s">
        <v>2627</v>
      </c>
      <c r="AG86" s="56" t="s">
        <v>2627</v>
      </c>
      <c r="AH86" s="56">
        <v>36</v>
      </c>
      <c r="AI86" s="56" t="s">
        <v>2628</v>
      </c>
      <c r="AJ86" s="56" t="s">
        <v>2629</v>
      </c>
      <c r="AK86" s="56">
        <v>0</v>
      </c>
      <c r="AL86" s="56" t="s">
        <v>2630</v>
      </c>
      <c r="AM86" s="56" t="s">
        <v>2631</v>
      </c>
      <c r="AN86" s="56" t="s">
        <v>2632</v>
      </c>
      <c r="AO86" s="56" t="s">
        <v>2627</v>
      </c>
      <c r="AP86" s="56" t="s">
        <v>2624</v>
      </c>
      <c r="AQ86" s="123">
        <v>1.6666666666666607E-2</v>
      </c>
      <c r="AR86" s="122">
        <v>-1.1643518518518525E-2</v>
      </c>
      <c r="AS86" s="56" t="s">
        <v>1048</v>
      </c>
      <c r="AT86" s="56" t="s">
        <v>1049</v>
      </c>
      <c r="AU86" s="56" t="s">
        <v>1050</v>
      </c>
      <c r="AV86" s="56">
        <v>36</v>
      </c>
      <c r="AW86" s="56" t="s">
        <v>1051</v>
      </c>
      <c r="AX86" s="56" t="s">
        <v>1482</v>
      </c>
      <c r="AY86" s="56" t="s">
        <v>1053</v>
      </c>
      <c r="AZ86" s="56" t="s">
        <v>1054</v>
      </c>
      <c r="BA86" s="56" t="s">
        <v>1483</v>
      </c>
      <c r="BB86" s="56" t="s">
        <v>1484</v>
      </c>
      <c r="BC86" s="56" t="s">
        <v>1133</v>
      </c>
      <c r="BD86" s="56" t="s">
        <v>1485</v>
      </c>
    </row>
    <row r="87" spans="1:56" x14ac:dyDescent="0.2">
      <c r="A87" s="56">
        <v>176548265</v>
      </c>
      <c r="B87" s="56" t="s">
        <v>2831</v>
      </c>
      <c r="C87" s="56" t="s">
        <v>2623</v>
      </c>
      <c r="D87" s="56" t="s">
        <v>2832</v>
      </c>
      <c r="E87" s="56" t="s">
        <v>1044</v>
      </c>
      <c r="F87" s="56">
        <v>31</v>
      </c>
      <c r="G87" s="56" t="s">
        <v>2833</v>
      </c>
      <c r="H87" s="56">
        <v>4444</v>
      </c>
      <c r="I87" s="56">
        <v>6</v>
      </c>
      <c r="J87" s="56" t="s">
        <v>1045</v>
      </c>
      <c r="K87" s="56" t="s">
        <v>1075</v>
      </c>
      <c r="L87" s="121">
        <v>46265</v>
      </c>
      <c r="M87" s="122">
        <v>0.71875</v>
      </c>
      <c r="N87" s="122">
        <v>0.72569444444444442</v>
      </c>
      <c r="O87" s="56" t="s">
        <v>1047</v>
      </c>
      <c r="P87" s="121">
        <v>46265</v>
      </c>
      <c r="Q87" s="122">
        <v>0.76736111111111116</v>
      </c>
      <c r="R87" s="122">
        <v>0.76340277777777776</v>
      </c>
      <c r="S87" s="56" t="s">
        <v>1047</v>
      </c>
      <c r="T87" s="56">
        <v>1</v>
      </c>
      <c r="U87" s="56">
        <v>24</v>
      </c>
      <c r="V87" s="56">
        <v>19.63</v>
      </c>
      <c r="W87" s="56">
        <v>21.94</v>
      </c>
      <c r="X87" s="56" t="s">
        <v>2624</v>
      </c>
      <c r="Y87" s="56" t="s">
        <v>2624</v>
      </c>
      <c r="Z87" s="56" t="s">
        <v>2624</v>
      </c>
      <c r="AA87" s="56" t="s">
        <v>348</v>
      </c>
      <c r="AB87" s="56">
        <v>14114324</v>
      </c>
      <c r="AC87" s="56" t="s">
        <v>348</v>
      </c>
      <c r="AD87" s="56">
        <v>14114324</v>
      </c>
      <c r="AE87" s="56" t="s">
        <v>2626</v>
      </c>
      <c r="AF87" s="56" t="s">
        <v>2627</v>
      </c>
      <c r="AG87" s="56" t="s">
        <v>2627</v>
      </c>
      <c r="AH87" s="56">
        <v>36</v>
      </c>
      <c r="AI87" s="56" t="s">
        <v>2628</v>
      </c>
      <c r="AJ87" s="56" t="s">
        <v>2629</v>
      </c>
      <c r="AK87" s="56">
        <v>0</v>
      </c>
      <c r="AL87" s="56" t="s">
        <v>2630</v>
      </c>
      <c r="AM87" s="56" t="s">
        <v>2631</v>
      </c>
      <c r="AN87" s="56" t="s">
        <v>2632</v>
      </c>
      <c r="AO87" s="56" t="s">
        <v>2627</v>
      </c>
      <c r="AP87" s="56" t="s">
        <v>2624</v>
      </c>
      <c r="AQ87" s="123">
        <v>6.9444444444444198E-3</v>
      </c>
      <c r="AR87" s="122">
        <v>-3.958333333333397E-3</v>
      </c>
      <c r="AS87" s="56" t="s">
        <v>1048</v>
      </c>
      <c r="AT87" s="56" t="s">
        <v>1049</v>
      </c>
      <c r="AU87" s="56" t="s">
        <v>1050</v>
      </c>
      <c r="AV87" s="56">
        <v>36</v>
      </c>
      <c r="AW87" s="56" t="s">
        <v>1051</v>
      </c>
      <c r="AX87" s="56" t="s">
        <v>2834</v>
      </c>
      <c r="AY87" s="56" t="s">
        <v>1076</v>
      </c>
      <c r="AZ87" s="56" t="s">
        <v>1067</v>
      </c>
      <c r="BA87" s="56" t="s">
        <v>2835</v>
      </c>
      <c r="BB87" s="56" t="s">
        <v>2836</v>
      </c>
      <c r="BC87" s="56" t="s">
        <v>1133</v>
      </c>
      <c r="BD87" s="56" t="s">
        <v>2837</v>
      </c>
    </row>
    <row r="88" spans="1:56" x14ac:dyDescent="0.2">
      <c r="A88" s="56">
        <v>176539212</v>
      </c>
      <c r="B88" s="56" t="s">
        <v>2838</v>
      </c>
      <c r="C88" s="56" t="s">
        <v>2623</v>
      </c>
      <c r="D88" s="56" t="s">
        <v>1205</v>
      </c>
      <c r="E88" s="56" t="s">
        <v>1044</v>
      </c>
      <c r="F88" s="56">
        <v>4</v>
      </c>
      <c r="G88" s="56"/>
      <c r="H88" s="56">
        <v>5922</v>
      </c>
      <c r="I88" s="56">
        <v>6</v>
      </c>
      <c r="J88" s="56" t="s">
        <v>1045</v>
      </c>
      <c r="K88" s="56" t="s">
        <v>1192</v>
      </c>
      <c r="L88" s="121">
        <v>46265</v>
      </c>
      <c r="M88" s="122">
        <v>0.83194444444444449</v>
      </c>
      <c r="N88" s="122">
        <v>0.93402777777777779</v>
      </c>
      <c r="O88" s="56" t="s">
        <v>1047</v>
      </c>
      <c r="P88" s="121">
        <v>46265</v>
      </c>
      <c r="Q88" s="122">
        <v>0.89583333333333337</v>
      </c>
      <c r="R88" s="56"/>
      <c r="S88" s="56" t="s">
        <v>1148</v>
      </c>
      <c r="T88" s="56">
        <v>1</v>
      </c>
      <c r="U88" s="56">
        <v>34</v>
      </c>
      <c r="V88" s="56">
        <v>31.31</v>
      </c>
      <c r="W88" s="56" t="s">
        <v>2624</v>
      </c>
      <c r="X88" s="56" t="s">
        <v>2624</v>
      </c>
      <c r="Y88" s="56" t="s">
        <v>2624</v>
      </c>
      <c r="Z88" s="56" t="s">
        <v>2624</v>
      </c>
      <c r="AA88" s="56" t="s">
        <v>57</v>
      </c>
      <c r="AB88" s="56">
        <v>14107167</v>
      </c>
      <c r="AC88" s="56" t="s">
        <v>57</v>
      </c>
      <c r="AD88" s="56">
        <v>14107167</v>
      </c>
      <c r="AE88" s="56" t="s">
        <v>2626</v>
      </c>
      <c r="AF88" s="56" t="s">
        <v>2627</v>
      </c>
      <c r="AG88" s="56" t="s">
        <v>2627</v>
      </c>
      <c r="AH88" s="56">
        <v>36</v>
      </c>
      <c r="AI88" s="56" t="s">
        <v>2706</v>
      </c>
      <c r="AJ88" s="56" t="s">
        <v>2640</v>
      </c>
      <c r="AK88" s="56">
        <v>647.36</v>
      </c>
      <c r="AL88" s="56" t="s">
        <v>2630</v>
      </c>
      <c r="AM88" s="56" t="s">
        <v>2631</v>
      </c>
      <c r="AN88" s="56" t="s">
        <v>2632</v>
      </c>
      <c r="AO88" s="56" t="s">
        <v>2627</v>
      </c>
      <c r="AP88" s="56" t="s">
        <v>2624</v>
      </c>
      <c r="AQ88" s="123">
        <v>0.1020833333333333</v>
      </c>
      <c r="AR88" s="122">
        <v>-0.89583333333333337</v>
      </c>
      <c r="AS88" s="56" t="s">
        <v>1048</v>
      </c>
      <c r="AT88" s="56" t="s">
        <v>1049</v>
      </c>
      <c r="AU88" s="56" t="s">
        <v>1050</v>
      </c>
      <c r="AV88" s="56">
        <v>36</v>
      </c>
      <c r="AW88" s="56" t="s">
        <v>1051</v>
      </c>
      <c r="AX88" s="56" t="s">
        <v>1206</v>
      </c>
      <c r="AY88" s="56" t="s">
        <v>1124</v>
      </c>
      <c r="AZ88" s="56" t="s">
        <v>1054</v>
      </c>
      <c r="BA88" s="56" t="s">
        <v>1207</v>
      </c>
      <c r="BB88" s="56" t="s">
        <v>1208</v>
      </c>
      <c r="BC88" s="56" t="s">
        <v>1157</v>
      </c>
      <c r="BD88" s="56" t="s">
        <v>2839</v>
      </c>
    </row>
    <row r="89" spans="1:56" x14ac:dyDescent="0.2">
      <c r="A89" s="56">
        <v>176544969</v>
      </c>
      <c r="B89" s="56" t="s">
        <v>2840</v>
      </c>
      <c r="C89" s="56" t="s">
        <v>2623</v>
      </c>
      <c r="D89" s="56" t="s">
        <v>2841</v>
      </c>
      <c r="E89" s="56" t="s">
        <v>1044</v>
      </c>
      <c r="F89" s="56">
        <v>39</v>
      </c>
      <c r="G89" s="56"/>
      <c r="H89" s="56">
        <v>13444</v>
      </c>
      <c r="I89" s="56">
        <v>6</v>
      </c>
      <c r="J89" s="56" t="s">
        <v>1045</v>
      </c>
      <c r="K89" s="56" t="s">
        <v>1112</v>
      </c>
      <c r="L89" s="121">
        <v>46265</v>
      </c>
      <c r="M89" s="122">
        <v>0.84027777777777779</v>
      </c>
      <c r="N89" s="122">
        <v>0.84722222222222221</v>
      </c>
      <c r="O89" s="56" t="s">
        <v>1047</v>
      </c>
      <c r="P89" s="121">
        <v>46265</v>
      </c>
      <c r="Q89" s="122">
        <v>0.90625</v>
      </c>
      <c r="R89" s="122">
        <v>0.90138888888888891</v>
      </c>
      <c r="S89" s="56" t="s">
        <v>1449</v>
      </c>
      <c r="T89" s="56">
        <v>1</v>
      </c>
      <c r="U89" s="56">
        <v>58</v>
      </c>
      <c r="V89" s="56">
        <v>50.96</v>
      </c>
      <c r="W89" s="56">
        <v>56.98</v>
      </c>
      <c r="X89" s="56" t="s">
        <v>2624</v>
      </c>
      <c r="Y89" s="56" t="s">
        <v>2624</v>
      </c>
      <c r="Z89" s="56" t="s">
        <v>2624</v>
      </c>
      <c r="AA89" s="56" t="s">
        <v>469</v>
      </c>
      <c r="AB89" s="56">
        <v>14122928</v>
      </c>
      <c r="AC89" s="56" t="s">
        <v>469</v>
      </c>
      <c r="AD89" s="56">
        <v>14122928</v>
      </c>
      <c r="AE89" s="56" t="s">
        <v>2626</v>
      </c>
      <c r="AF89" s="56" t="s">
        <v>2627</v>
      </c>
      <c r="AG89" s="56" t="s">
        <v>2627</v>
      </c>
      <c r="AH89" s="56">
        <v>36</v>
      </c>
      <c r="AI89" s="56" t="s">
        <v>2842</v>
      </c>
      <c r="AJ89" s="56" t="s">
        <v>2629</v>
      </c>
      <c r="AK89" s="56">
        <v>0</v>
      </c>
      <c r="AL89" s="56" t="s">
        <v>2630</v>
      </c>
      <c r="AM89" s="56" t="s">
        <v>2631</v>
      </c>
      <c r="AN89" s="56" t="s">
        <v>2632</v>
      </c>
      <c r="AO89" s="56" t="s">
        <v>2627</v>
      </c>
      <c r="AP89" s="56" t="s">
        <v>2624</v>
      </c>
      <c r="AQ89" s="123">
        <v>6.9444444444444198E-3</v>
      </c>
      <c r="AR89" s="122">
        <v>-4.8611111111110938E-3</v>
      </c>
      <c r="AS89" s="56" t="s">
        <v>1048</v>
      </c>
      <c r="AT89" s="56" t="s">
        <v>1049</v>
      </c>
      <c r="AU89" s="56" t="s">
        <v>1050</v>
      </c>
      <c r="AV89" s="56">
        <v>36</v>
      </c>
      <c r="AW89" s="56" t="s">
        <v>1051</v>
      </c>
      <c r="AX89" s="56" t="s">
        <v>2843</v>
      </c>
      <c r="AY89" s="56" t="s">
        <v>1113</v>
      </c>
      <c r="AZ89" s="56" t="s">
        <v>1062</v>
      </c>
      <c r="BA89" s="56" t="s">
        <v>2844</v>
      </c>
      <c r="BB89" s="56" t="s">
        <v>2845</v>
      </c>
      <c r="BC89" s="56" t="s">
        <v>1157</v>
      </c>
      <c r="BD89" s="56" t="s">
        <v>2846</v>
      </c>
    </row>
    <row r="90" spans="1:56" x14ac:dyDescent="0.2">
      <c r="A90" s="56">
        <v>176535043</v>
      </c>
      <c r="B90" s="56" t="s">
        <v>2847</v>
      </c>
      <c r="C90" s="56" t="s">
        <v>2623</v>
      </c>
      <c r="D90" s="56" t="s">
        <v>1411</v>
      </c>
      <c r="E90" s="56" t="s">
        <v>1044</v>
      </c>
      <c r="F90" s="56">
        <v>38</v>
      </c>
      <c r="G90" s="56"/>
      <c r="H90" s="56">
        <v>5877</v>
      </c>
      <c r="I90" s="56">
        <v>6</v>
      </c>
      <c r="J90" s="56" t="s">
        <v>1045</v>
      </c>
      <c r="K90" s="56" t="s">
        <v>1123</v>
      </c>
      <c r="L90" s="121">
        <v>46265</v>
      </c>
      <c r="M90" s="122">
        <v>0.84722222222222221</v>
      </c>
      <c r="N90" s="122">
        <v>0.85069444444444442</v>
      </c>
      <c r="O90" s="56" t="s">
        <v>1047</v>
      </c>
      <c r="P90" s="121">
        <v>46265</v>
      </c>
      <c r="Q90" s="122">
        <v>0.90277777777777779</v>
      </c>
      <c r="R90" s="122">
        <v>0.90069444444444446</v>
      </c>
      <c r="S90" s="56" t="s">
        <v>1047</v>
      </c>
      <c r="T90" s="56">
        <v>1</v>
      </c>
      <c r="U90" s="56">
        <v>26</v>
      </c>
      <c r="V90" s="56">
        <v>23.05</v>
      </c>
      <c r="W90" s="56">
        <v>22.81</v>
      </c>
      <c r="X90" s="56" t="s">
        <v>2624</v>
      </c>
      <c r="Y90" s="56" t="s">
        <v>2624</v>
      </c>
      <c r="Z90" s="56" t="s">
        <v>2624</v>
      </c>
      <c r="AA90" s="56" t="s">
        <v>291</v>
      </c>
      <c r="AB90" s="56">
        <v>14120489</v>
      </c>
      <c r="AC90" s="56" t="s">
        <v>291</v>
      </c>
      <c r="AD90" s="56">
        <v>14120489</v>
      </c>
      <c r="AE90" s="56" t="s">
        <v>2626</v>
      </c>
      <c r="AF90" s="56" t="s">
        <v>2627</v>
      </c>
      <c r="AG90" s="56" t="s">
        <v>2627</v>
      </c>
      <c r="AH90" s="56">
        <v>36</v>
      </c>
      <c r="AI90" s="56" t="s">
        <v>2628</v>
      </c>
      <c r="AJ90" s="56" t="s">
        <v>2629</v>
      </c>
      <c r="AK90" s="56">
        <v>483.41</v>
      </c>
      <c r="AL90" s="56" t="s">
        <v>2630</v>
      </c>
      <c r="AM90" s="56" t="s">
        <v>2631</v>
      </c>
      <c r="AN90" s="56" t="s">
        <v>2632</v>
      </c>
      <c r="AO90" s="56" t="s">
        <v>2627</v>
      </c>
      <c r="AP90" s="56" t="s">
        <v>2624</v>
      </c>
      <c r="AQ90" s="123">
        <v>3.4722222222222099E-3</v>
      </c>
      <c r="AR90" s="122">
        <v>-2.0833333333333259E-3</v>
      </c>
      <c r="AS90" s="56" t="s">
        <v>1048</v>
      </c>
      <c r="AT90" s="56" t="s">
        <v>1049</v>
      </c>
      <c r="AU90" s="56" t="s">
        <v>1050</v>
      </c>
      <c r="AV90" s="56">
        <v>36</v>
      </c>
      <c r="AW90" s="56" t="s">
        <v>1051</v>
      </c>
      <c r="AX90" s="56" t="s">
        <v>1412</v>
      </c>
      <c r="AY90" s="56" t="s">
        <v>1124</v>
      </c>
      <c r="AZ90" s="56" t="s">
        <v>1054</v>
      </c>
      <c r="BA90" s="56" t="s">
        <v>1413</v>
      </c>
      <c r="BB90" s="56" t="s">
        <v>1414</v>
      </c>
      <c r="BC90" s="56" t="s">
        <v>1157</v>
      </c>
      <c r="BD90" s="56" t="s">
        <v>2848</v>
      </c>
    </row>
    <row r="91" spans="1:56" x14ac:dyDescent="0.2">
      <c r="A91" s="56">
        <v>176541811</v>
      </c>
      <c r="B91" s="56" t="s">
        <v>2849</v>
      </c>
      <c r="C91" s="56" t="s">
        <v>2623</v>
      </c>
      <c r="D91" s="56" t="s">
        <v>1070</v>
      </c>
      <c r="E91" s="56" t="s">
        <v>1044</v>
      </c>
      <c r="F91" s="56">
        <v>17</v>
      </c>
      <c r="G91" s="56"/>
      <c r="H91" s="56">
        <v>15192</v>
      </c>
      <c r="I91" s="56">
        <v>6</v>
      </c>
      <c r="J91" s="56" t="s">
        <v>1045</v>
      </c>
      <c r="K91" s="56" t="s">
        <v>1058</v>
      </c>
      <c r="L91" s="121">
        <v>46265</v>
      </c>
      <c r="M91" s="122">
        <v>0.85416666666666663</v>
      </c>
      <c r="N91" s="122">
        <v>0.85972222222222228</v>
      </c>
      <c r="O91" s="56" t="s">
        <v>1047</v>
      </c>
      <c r="P91" s="121">
        <v>46265</v>
      </c>
      <c r="Q91" s="122">
        <v>0.91666666666666663</v>
      </c>
      <c r="R91" s="122">
        <v>0.91527777777777775</v>
      </c>
      <c r="S91" s="56" t="s">
        <v>1047</v>
      </c>
      <c r="T91" s="56">
        <v>1</v>
      </c>
      <c r="U91" s="56">
        <v>37</v>
      </c>
      <c r="V91" s="56">
        <v>33.03</v>
      </c>
      <c r="W91" s="56">
        <v>34.299999999999997</v>
      </c>
      <c r="X91" s="56" t="s">
        <v>2624</v>
      </c>
      <c r="Y91" s="56" t="s">
        <v>2624</v>
      </c>
      <c r="Z91" s="56" t="s">
        <v>2624</v>
      </c>
      <c r="AA91" s="56" t="s">
        <v>2625</v>
      </c>
      <c r="AB91" s="56">
        <v>14122103</v>
      </c>
      <c r="AC91" s="56" t="s">
        <v>2625</v>
      </c>
      <c r="AD91" s="56">
        <v>14122103</v>
      </c>
      <c r="AE91" s="56" t="s">
        <v>2626</v>
      </c>
      <c r="AF91" s="56" t="s">
        <v>2627</v>
      </c>
      <c r="AG91" s="56" t="s">
        <v>2627</v>
      </c>
      <c r="AH91" s="56">
        <v>36</v>
      </c>
      <c r="AI91" s="56" t="s">
        <v>2628</v>
      </c>
      <c r="AJ91" s="56" t="s">
        <v>2629</v>
      </c>
      <c r="AK91" s="56">
        <v>815</v>
      </c>
      <c r="AL91" s="56" t="s">
        <v>2630</v>
      </c>
      <c r="AM91" s="56" t="s">
        <v>2631</v>
      </c>
      <c r="AN91" s="56" t="s">
        <v>2632</v>
      </c>
      <c r="AO91" s="56" t="s">
        <v>2627</v>
      </c>
      <c r="AP91" s="56" t="s">
        <v>2624</v>
      </c>
      <c r="AQ91" s="123">
        <v>5.5555555555556468E-3</v>
      </c>
      <c r="AR91" s="122">
        <v>-1.388888888888884E-3</v>
      </c>
      <c r="AS91" s="56" t="s">
        <v>1048</v>
      </c>
      <c r="AT91" s="56" t="s">
        <v>1049</v>
      </c>
      <c r="AU91" s="56" t="s">
        <v>1050</v>
      </c>
      <c r="AV91" s="56">
        <v>36</v>
      </c>
      <c r="AW91" s="56" t="s">
        <v>1051</v>
      </c>
      <c r="AX91" s="56" t="s">
        <v>1071</v>
      </c>
      <c r="AY91" s="56" t="s">
        <v>1061</v>
      </c>
      <c r="AZ91" s="56" t="s">
        <v>1062</v>
      </c>
      <c r="BA91" s="56" t="s">
        <v>1072</v>
      </c>
      <c r="BB91" s="56" t="s">
        <v>1073</v>
      </c>
      <c r="BC91" s="56" t="s">
        <v>1157</v>
      </c>
      <c r="BD91" s="56" t="s">
        <v>2850</v>
      </c>
    </row>
    <row r="92" spans="1:56" x14ac:dyDescent="0.2">
      <c r="A92" s="56">
        <v>176530497</v>
      </c>
      <c r="B92" s="56" t="s">
        <v>2851</v>
      </c>
      <c r="C92" s="56" t="s">
        <v>2623</v>
      </c>
      <c r="D92" s="56" t="s">
        <v>1632</v>
      </c>
      <c r="E92" s="56" t="s">
        <v>1044</v>
      </c>
      <c r="F92" s="56">
        <v>9</v>
      </c>
      <c r="G92" s="56"/>
      <c r="H92" s="56">
        <v>6900</v>
      </c>
      <c r="I92" s="56">
        <v>6</v>
      </c>
      <c r="J92" s="56" t="s">
        <v>1045</v>
      </c>
      <c r="K92" s="56" t="s">
        <v>1123</v>
      </c>
      <c r="L92" s="121">
        <v>46265</v>
      </c>
      <c r="M92" s="122">
        <v>0.85763888888888884</v>
      </c>
      <c r="N92" s="122">
        <v>0.88888888888888884</v>
      </c>
      <c r="O92" s="56" t="s">
        <v>1047</v>
      </c>
      <c r="P92" s="121">
        <v>46265</v>
      </c>
      <c r="Q92" s="122">
        <v>0.90277777777777779</v>
      </c>
      <c r="R92" s="122">
        <v>0.91249999999999998</v>
      </c>
      <c r="S92" s="56" t="s">
        <v>1047</v>
      </c>
      <c r="T92" s="56">
        <v>1</v>
      </c>
      <c r="U92" s="56">
        <v>22</v>
      </c>
      <c r="V92" s="56">
        <v>12.46</v>
      </c>
      <c r="W92" s="56">
        <v>16.12</v>
      </c>
      <c r="X92" s="56" t="s">
        <v>2624</v>
      </c>
      <c r="Y92" s="56" t="s">
        <v>2624</v>
      </c>
      <c r="Z92" s="56" t="s">
        <v>2624</v>
      </c>
      <c r="AA92" s="56" t="s">
        <v>201</v>
      </c>
      <c r="AB92" s="56">
        <v>14118440</v>
      </c>
      <c r="AC92" s="56" t="s">
        <v>201</v>
      </c>
      <c r="AD92" s="56">
        <v>14118440</v>
      </c>
      <c r="AE92" s="56" t="s">
        <v>2626</v>
      </c>
      <c r="AF92" s="56" t="s">
        <v>2627</v>
      </c>
      <c r="AG92" s="56" t="s">
        <v>2627</v>
      </c>
      <c r="AH92" s="56">
        <v>36</v>
      </c>
      <c r="AI92" s="56" t="s">
        <v>2628</v>
      </c>
      <c r="AJ92" s="56" t="s">
        <v>2640</v>
      </c>
      <c r="AK92" s="56">
        <v>544.9</v>
      </c>
      <c r="AL92" s="56" t="s">
        <v>2630</v>
      </c>
      <c r="AM92" s="56" t="s">
        <v>2631</v>
      </c>
      <c r="AN92" s="56" t="s">
        <v>2632</v>
      </c>
      <c r="AO92" s="56" t="s">
        <v>2627</v>
      </c>
      <c r="AP92" s="56" t="s">
        <v>2624</v>
      </c>
      <c r="AQ92" s="123">
        <v>3.125E-2</v>
      </c>
      <c r="AR92" s="122">
        <v>9.7222222222221877E-3</v>
      </c>
      <c r="AS92" s="56" t="s">
        <v>1048</v>
      </c>
      <c r="AT92" s="56" t="s">
        <v>1059</v>
      </c>
      <c r="AU92" s="56" t="s">
        <v>1060</v>
      </c>
      <c r="AV92" s="56">
        <v>36</v>
      </c>
      <c r="AW92" s="56" t="s">
        <v>1051</v>
      </c>
      <c r="AX92" s="56" t="s">
        <v>1633</v>
      </c>
      <c r="AY92" s="56" t="s">
        <v>1124</v>
      </c>
      <c r="AZ92" s="56" t="s">
        <v>1054</v>
      </c>
      <c r="BA92" s="56" t="s">
        <v>1634</v>
      </c>
      <c r="BB92" s="56" t="s">
        <v>1635</v>
      </c>
      <c r="BC92" s="56" t="s">
        <v>1157</v>
      </c>
      <c r="BD92" s="56" t="s">
        <v>2852</v>
      </c>
    </row>
    <row r="93" spans="1:56" x14ac:dyDescent="0.2">
      <c r="A93" s="56">
        <v>176548503</v>
      </c>
      <c r="B93" s="56" t="s">
        <v>2853</v>
      </c>
      <c r="C93" s="56" t="s">
        <v>2623</v>
      </c>
      <c r="D93" s="56" t="s">
        <v>2854</v>
      </c>
      <c r="E93" s="56" t="s">
        <v>1044</v>
      </c>
      <c r="F93" s="56">
        <v>490</v>
      </c>
      <c r="G93" s="56"/>
      <c r="H93" s="56">
        <v>6979</v>
      </c>
      <c r="I93" s="56">
        <v>6</v>
      </c>
      <c r="J93" s="56" t="s">
        <v>1045</v>
      </c>
      <c r="K93" s="56" t="s">
        <v>1064</v>
      </c>
      <c r="L93" s="121">
        <v>46265</v>
      </c>
      <c r="M93" s="122">
        <v>0.86805555555555558</v>
      </c>
      <c r="N93" s="122">
        <v>0.87291666666666667</v>
      </c>
      <c r="O93" s="56" t="s">
        <v>1047</v>
      </c>
      <c r="P93" s="121">
        <v>46265</v>
      </c>
      <c r="Q93" s="122">
        <v>0.93402777777777779</v>
      </c>
      <c r="R93" s="122">
        <v>0.9243055555555556</v>
      </c>
      <c r="S93" s="56" t="s">
        <v>1047</v>
      </c>
      <c r="T93" s="56">
        <v>1</v>
      </c>
      <c r="U93" s="56">
        <v>42</v>
      </c>
      <c r="V93" s="56">
        <v>-3532.76</v>
      </c>
      <c r="W93" s="56">
        <v>37.119999999999997</v>
      </c>
      <c r="X93" s="56" t="s">
        <v>2624</v>
      </c>
      <c r="Y93" s="56" t="s">
        <v>2624</v>
      </c>
      <c r="Z93" s="56" t="s">
        <v>2624</v>
      </c>
      <c r="AA93" s="56" t="s">
        <v>442</v>
      </c>
      <c r="AB93" s="56">
        <v>14122685</v>
      </c>
      <c r="AC93" s="56" t="s">
        <v>442</v>
      </c>
      <c r="AD93" s="56">
        <v>14122685</v>
      </c>
      <c r="AE93" s="56" t="s">
        <v>2626</v>
      </c>
      <c r="AF93" s="56" t="s">
        <v>2627</v>
      </c>
      <c r="AG93" s="56" t="s">
        <v>2627</v>
      </c>
      <c r="AH93" s="56">
        <v>36</v>
      </c>
      <c r="AI93" s="56" t="s">
        <v>2628</v>
      </c>
      <c r="AJ93" s="56" t="s">
        <v>2629</v>
      </c>
      <c r="AK93" s="56">
        <v>0</v>
      </c>
      <c r="AL93" s="56" t="s">
        <v>2630</v>
      </c>
      <c r="AM93" s="56" t="s">
        <v>2631</v>
      </c>
      <c r="AN93" s="56" t="s">
        <v>2632</v>
      </c>
      <c r="AO93" s="56" t="s">
        <v>2627</v>
      </c>
      <c r="AP93" s="56" t="s">
        <v>2624</v>
      </c>
      <c r="AQ93" s="123">
        <v>4.8611111111110938E-3</v>
      </c>
      <c r="AR93" s="122">
        <v>-9.7222222222221877E-3</v>
      </c>
      <c r="AS93" s="56" t="s">
        <v>1048</v>
      </c>
      <c r="AT93" s="56" t="s">
        <v>1049</v>
      </c>
      <c r="AU93" s="56" t="s">
        <v>1050</v>
      </c>
      <c r="AV93" s="56">
        <v>36</v>
      </c>
      <c r="AW93" s="56" t="s">
        <v>1051</v>
      </c>
      <c r="AX93" s="56" t="s">
        <v>2855</v>
      </c>
      <c r="AY93" s="56" t="s">
        <v>1066</v>
      </c>
      <c r="AZ93" s="56" t="s">
        <v>1067</v>
      </c>
      <c r="BA93" s="56" t="s">
        <v>2856</v>
      </c>
      <c r="BB93" s="56" t="s">
        <v>2857</v>
      </c>
      <c r="BC93" s="56" t="s">
        <v>1157</v>
      </c>
      <c r="BD93" s="56" t="s">
        <v>2858</v>
      </c>
    </row>
    <row r="94" spans="1:56" x14ac:dyDescent="0.2">
      <c r="A94" s="56">
        <v>176548546</v>
      </c>
      <c r="B94" s="56" t="s">
        <v>2859</v>
      </c>
      <c r="C94" s="56" t="s">
        <v>2623</v>
      </c>
      <c r="D94" s="56" t="s">
        <v>1217</v>
      </c>
      <c r="E94" s="56" t="s">
        <v>1044</v>
      </c>
      <c r="F94" s="56">
        <v>125</v>
      </c>
      <c r="G94" s="56" t="s">
        <v>2693</v>
      </c>
      <c r="H94" s="56">
        <v>17090</v>
      </c>
      <c r="I94" s="56">
        <v>6</v>
      </c>
      <c r="J94" s="56" t="s">
        <v>1045</v>
      </c>
      <c r="K94" s="56" t="s">
        <v>1116</v>
      </c>
      <c r="L94" s="121">
        <v>46265</v>
      </c>
      <c r="M94" s="122">
        <v>0.86944444444444446</v>
      </c>
      <c r="N94" s="122">
        <v>0.87291666666666667</v>
      </c>
      <c r="O94" s="56" t="s">
        <v>1047</v>
      </c>
      <c r="P94" s="121">
        <v>46265</v>
      </c>
      <c r="Q94" s="122">
        <v>0.92708333333333337</v>
      </c>
      <c r="R94" s="122">
        <v>0.91388888888888886</v>
      </c>
      <c r="S94" s="56" t="s">
        <v>1047</v>
      </c>
      <c r="T94" s="56">
        <v>1</v>
      </c>
      <c r="U94" s="56">
        <v>34</v>
      </c>
      <c r="V94" s="56">
        <v>28.89</v>
      </c>
      <c r="W94" s="56">
        <v>28.8</v>
      </c>
      <c r="X94" s="56" t="s">
        <v>2624</v>
      </c>
      <c r="Y94" s="56" t="s">
        <v>2624</v>
      </c>
      <c r="Z94" s="56" t="s">
        <v>2624</v>
      </c>
      <c r="AA94" s="56" t="s">
        <v>2398</v>
      </c>
      <c r="AB94" s="56">
        <v>14124261</v>
      </c>
      <c r="AC94" s="56" t="s">
        <v>2398</v>
      </c>
      <c r="AD94" s="56">
        <v>14124261</v>
      </c>
      <c r="AE94" s="56" t="s">
        <v>2626</v>
      </c>
      <c r="AF94" s="56" t="s">
        <v>2627</v>
      </c>
      <c r="AG94" s="56" t="s">
        <v>2627</v>
      </c>
      <c r="AH94" s="56">
        <v>36</v>
      </c>
      <c r="AI94" s="56" t="s">
        <v>2628</v>
      </c>
      <c r="AJ94" s="56" t="s">
        <v>2629</v>
      </c>
      <c r="AK94" s="56">
        <v>0</v>
      </c>
      <c r="AL94" s="56" t="s">
        <v>2630</v>
      </c>
      <c r="AM94" s="56" t="s">
        <v>2631</v>
      </c>
      <c r="AN94" s="56" t="s">
        <v>2632</v>
      </c>
      <c r="AO94" s="56" t="s">
        <v>2627</v>
      </c>
      <c r="AP94" s="56" t="s">
        <v>2624</v>
      </c>
      <c r="AQ94" s="123">
        <v>3.4722222222222099E-3</v>
      </c>
      <c r="AR94" s="122">
        <v>-1.3194444444444509E-2</v>
      </c>
      <c r="AS94" s="56" t="s">
        <v>1048</v>
      </c>
      <c r="AT94" s="56" t="s">
        <v>1049</v>
      </c>
      <c r="AU94" s="56" t="s">
        <v>1050</v>
      </c>
      <c r="AV94" s="56">
        <v>36</v>
      </c>
      <c r="AW94" s="56" t="s">
        <v>1051</v>
      </c>
      <c r="AX94" s="56" t="s">
        <v>2309</v>
      </c>
      <c r="AY94" s="56" t="s">
        <v>1128</v>
      </c>
      <c r="AZ94" s="56" t="s">
        <v>1054</v>
      </c>
      <c r="BA94" s="56" t="s">
        <v>2310</v>
      </c>
      <c r="BB94" s="56" t="s">
        <v>2311</v>
      </c>
      <c r="BC94" s="56" t="s">
        <v>1157</v>
      </c>
      <c r="BD94" s="56" t="s">
        <v>2860</v>
      </c>
    </row>
    <row r="95" spans="1:56" x14ac:dyDescent="0.2">
      <c r="A95" s="56">
        <v>176549454</v>
      </c>
      <c r="B95" s="56" t="s">
        <v>2861</v>
      </c>
      <c r="C95" s="56" t="s">
        <v>2623</v>
      </c>
      <c r="D95" s="56" t="s">
        <v>2862</v>
      </c>
      <c r="E95" s="56" t="s">
        <v>1044</v>
      </c>
      <c r="F95" s="56">
        <v>213</v>
      </c>
      <c r="G95" s="56" t="s">
        <v>2693</v>
      </c>
      <c r="H95" s="56">
        <v>5001</v>
      </c>
      <c r="I95" s="56">
        <v>6</v>
      </c>
      <c r="J95" s="56" t="s">
        <v>1045</v>
      </c>
      <c r="K95" s="56" t="s">
        <v>1116</v>
      </c>
      <c r="L95" s="121">
        <v>46265</v>
      </c>
      <c r="M95" s="122">
        <v>0.87361111111111112</v>
      </c>
      <c r="N95" s="122">
        <v>0.87708333333333333</v>
      </c>
      <c r="O95" s="56" t="s">
        <v>1047</v>
      </c>
      <c r="P95" s="121">
        <v>46265</v>
      </c>
      <c r="Q95" s="122">
        <v>0.92708333333333337</v>
      </c>
      <c r="R95" s="122">
        <v>0.91527777777777775</v>
      </c>
      <c r="S95" s="56" t="s">
        <v>1047</v>
      </c>
      <c r="T95" s="56">
        <v>1</v>
      </c>
      <c r="U95" s="56">
        <v>33</v>
      </c>
      <c r="V95" s="56">
        <v>29.57</v>
      </c>
      <c r="W95" s="56">
        <v>30.03</v>
      </c>
      <c r="X95" s="56" t="s">
        <v>2624</v>
      </c>
      <c r="Y95" s="56" t="s">
        <v>2624</v>
      </c>
      <c r="Z95" s="56" t="s">
        <v>2624</v>
      </c>
      <c r="AA95" s="56" t="s">
        <v>331</v>
      </c>
      <c r="AB95" s="56">
        <v>14121328</v>
      </c>
      <c r="AC95" s="56" t="s">
        <v>331</v>
      </c>
      <c r="AD95" s="56">
        <v>14121328</v>
      </c>
      <c r="AE95" s="56" t="s">
        <v>2626</v>
      </c>
      <c r="AF95" s="56" t="s">
        <v>2627</v>
      </c>
      <c r="AG95" s="56" t="s">
        <v>2627</v>
      </c>
      <c r="AH95" s="56">
        <v>36</v>
      </c>
      <c r="AI95" s="56" t="s">
        <v>2628</v>
      </c>
      <c r="AJ95" s="56" t="s">
        <v>2629</v>
      </c>
      <c r="AK95" s="56">
        <v>0</v>
      </c>
      <c r="AL95" s="56" t="s">
        <v>2630</v>
      </c>
      <c r="AM95" s="56" t="s">
        <v>2631</v>
      </c>
      <c r="AN95" s="56" t="s">
        <v>2632</v>
      </c>
      <c r="AO95" s="56" t="s">
        <v>2627</v>
      </c>
      <c r="AP95" s="56" t="s">
        <v>2624</v>
      </c>
      <c r="AQ95" s="123">
        <v>3.4722222222222099E-3</v>
      </c>
      <c r="AR95" s="122">
        <v>-1.1805555555555625E-2</v>
      </c>
      <c r="AS95" s="56" t="s">
        <v>1048</v>
      </c>
      <c r="AT95" s="56" t="s">
        <v>1049</v>
      </c>
      <c r="AU95" s="56" t="s">
        <v>1050</v>
      </c>
      <c r="AV95" s="56">
        <v>36</v>
      </c>
      <c r="AW95" s="56" t="s">
        <v>1051</v>
      </c>
      <c r="AX95" s="56" t="s">
        <v>2863</v>
      </c>
      <c r="AY95" s="56" t="s">
        <v>1246</v>
      </c>
      <c r="AZ95" s="56" t="s">
        <v>1054</v>
      </c>
      <c r="BA95" s="56" t="s">
        <v>2864</v>
      </c>
      <c r="BB95" s="56" t="s">
        <v>2865</v>
      </c>
      <c r="BC95" s="56" t="s">
        <v>1157</v>
      </c>
      <c r="BD95" s="56" t="s">
        <v>2866</v>
      </c>
    </row>
    <row r="96" spans="1:56" x14ac:dyDescent="0.2">
      <c r="A96" s="56">
        <v>176531119</v>
      </c>
      <c r="B96" s="56" t="s">
        <v>1546</v>
      </c>
      <c r="C96" s="56" t="s">
        <v>2623</v>
      </c>
      <c r="D96" s="56" t="s">
        <v>1547</v>
      </c>
      <c r="E96" s="56" t="s">
        <v>1044</v>
      </c>
      <c r="F96" s="56">
        <v>61</v>
      </c>
      <c r="G96" s="56"/>
      <c r="H96" s="56">
        <v>16744</v>
      </c>
      <c r="I96" s="56">
        <v>6</v>
      </c>
      <c r="J96" s="56" t="s">
        <v>1045</v>
      </c>
      <c r="K96" s="56" t="s">
        <v>1064</v>
      </c>
      <c r="L96" s="121">
        <v>46265</v>
      </c>
      <c r="M96" s="122">
        <v>0.875</v>
      </c>
      <c r="N96" s="122">
        <v>0.87986111111111109</v>
      </c>
      <c r="O96" s="56" t="s">
        <v>1047</v>
      </c>
      <c r="P96" s="121">
        <v>46265</v>
      </c>
      <c r="Q96" s="122">
        <v>0.93402777777777779</v>
      </c>
      <c r="R96" s="122">
        <v>0.95625000000000004</v>
      </c>
      <c r="S96" s="56" t="s">
        <v>1047</v>
      </c>
      <c r="T96" s="56">
        <v>1</v>
      </c>
      <c r="U96" s="56">
        <v>46</v>
      </c>
      <c r="V96" s="56">
        <v>42.96</v>
      </c>
      <c r="W96" s="56">
        <v>45.7</v>
      </c>
      <c r="X96" s="56" t="s">
        <v>2624</v>
      </c>
      <c r="Y96" s="56" t="s">
        <v>2624</v>
      </c>
      <c r="Z96" s="56" t="s">
        <v>2624</v>
      </c>
      <c r="AA96" s="56" t="s">
        <v>270</v>
      </c>
      <c r="AB96" s="56">
        <v>14119956</v>
      </c>
      <c r="AC96" s="56" t="s">
        <v>270</v>
      </c>
      <c r="AD96" s="56">
        <v>14119956</v>
      </c>
      <c r="AE96" s="56" t="s">
        <v>2626</v>
      </c>
      <c r="AF96" s="56" t="s">
        <v>2627</v>
      </c>
      <c r="AG96" s="56" t="s">
        <v>2627</v>
      </c>
      <c r="AH96" s="56">
        <v>36</v>
      </c>
      <c r="AI96" s="56" t="s">
        <v>2628</v>
      </c>
      <c r="AJ96" s="56" t="s">
        <v>2640</v>
      </c>
      <c r="AK96" s="56">
        <v>530.63</v>
      </c>
      <c r="AL96" s="56" t="s">
        <v>2630</v>
      </c>
      <c r="AM96" s="56" t="s">
        <v>2631</v>
      </c>
      <c r="AN96" s="56" t="s">
        <v>2632</v>
      </c>
      <c r="AO96" s="56" t="s">
        <v>2627</v>
      </c>
      <c r="AP96" s="56" t="s">
        <v>2624</v>
      </c>
      <c r="AQ96" s="123">
        <v>4.8611111111110938E-3</v>
      </c>
      <c r="AR96" s="122">
        <v>2.2222222222222254E-2</v>
      </c>
      <c r="AS96" s="56" t="s">
        <v>1048</v>
      </c>
      <c r="AT96" s="56" t="s">
        <v>1059</v>
      </c>
      <c r="AU96" s="56" t="s">
        <v>1060</v>
      </c>
      <c r="AV96" s="56">
        <v>36</v>
      </c>
      <c r="AW96" s="56" t="s">
        <v>1051</v>
      </c>
      <c r="AX96" s="56" t="s">
        <v>1548</v>
      </c>
      <c r="AY96" s="56" t="s">
        <v>1066</v>
      </c>
      <c r="AZ96" s="56" t="s">
        <v>1067</v>
      </c>
      <c r="BA96" s="56" t="s">
        <v>1549</v>
      </c>
      <c r="BB96" s="56" t="s">
        <v>1550</v>
      </c>
      <c r="BC96" s="56" t="s">
        <v>1157</v>
      </c>
      <c r="BD96" s="56" t="s">
        <v>1551</v>
      </c>
    </row>
    <row r="97" spans="1:56" x14ac:dyDescent="0.2">
      <c r="A97" s="56">
        <v>176542693</v>
      </c>
      <c r="B97" s="56" t="s">
        <v>1594</v>
      </c>
      <c r="C97" s="56" t="s">
        <v>2623</v>
      </c>
      <c r="D97" s="56" t="s">
        <v>1219</v>
      </c>
      <c r="E97" s="56" t="s">
        <v>1044</v>
      </c>
      <c r="F97" s="56">
        <v>22</v>
      </c>
      <c r="G97" s="56" t="s">
        <v>2670</v>
      </c>
      <c r="H97" s="56">
        <v>15320</v>
      </c>
      <c r="I97" s="56">
        <v>6</v>
      </c>
      <c r="J97" s="56" t="s">
        <v>1045</v>
      </c>
      <c r="K97" s="56" t="s">
        <v>1116</v>
      </c>
      <c r="L97" s="121">
        <v>46265</v>
      </c>
      <c r="M97" s="122">
        <v>0.875</v>
      </c>
      <c r="N97" s="122">
        <v>0.88749999999999996</v>
      </c>
      <c r="O97" s="56" t="s">
        <v>1047</v>
      </c>
      <c r="P97" s="121">
        <v>46265</v>
      </c>
      <c r="Q97" s="122">
        <v>0.92708333333333337</v>
      </c>
      <c r="R97" s="122">
        <v>0.92291666666666672</v>
      </c>
      <c r="S97" s="56" t="s">
        <v>1047</v>
      </c>
      <c r="T97" s="56">
        <v>1</v>
      </c>
      <c r="U97" s="56">
        <v>36</v>
      </c>
      <c r="V97" s="56">
        <v>26.97</v>
      </c>
      <c r="W97" s="56">
        <v>26.96</v>
      </c>
      <c r="X97" s="56" t="s">
        <v>2624</v>
      </c>
      <c r="Y97" s="56" t="s">
        <v>2624</v>
      </c>
      <c r="Z97" s="56" t="s">
        <v>2624</v>
      </c>
      <c r="AA97" s="56" t="s">
        <v>436</v>
      </c>
      <c r="AB97" s="56">
        <v>14122618</v>
      </c>
      <c r="AC97" s="56" t="s">
        <v>436</v>
      </c>
      <c r="AD97" s="56">
        <v>14122618</v>
      </c>
      <c r="AE97" s="56" t="s">
        <v>2626</v>
      </c>
      <c r="AF97" s="56" t="s">
        <v>2627</v>
      </c>
      <c r="AG97" s="56" t="s">
        <v>2627</v>
      </c>
      <c r="AH97" s="56">
        <v>36</v>
      </c>
      <c r="AI97" s="56" t="s">
        <v>2628</v>
      </c>
      <c r="AJ97" s="56" t="s">
        <v>2629</v>
      </c>
      <c r="AK97" s="56">
        <v>0</v>
      </c>
      <c r="AL97" s="56" t="s">
        <v>2630</v>
      </c>
      <c r="AM97" s="56" t="s">
        <v>2631</v>
      </c>
      <c r="AN97" s="56" t="s">
        <v>2632</v>
      </c>
      <c r="AO97" s="56" t="s">
        <v>2627</v>
      </c>
      <c r="AP97" s="56">
        <v>8</v>
      </c>
      <c r="AQ97" s="123">
        <v>1.2499999999999956E-2</v>
      </c>
      <c r="AR97" s="122">
        <v>-4.1666666666666519E-3</v>
      </c>
      <c r="AS97" s="56" t="s">
        <v>1048</v>
      </c>
      <c r="AT97" s="56" t="s">
        <v>1049</v>
      </c>
      <c r="AU97" s="56" t="s">
        <v>1050</v>
      </c>
      <c r="AV97" s="56">
        <v>36</v>
      </c>
      <c r="AW97" s="56" t="s">
        <v>1051</v>
      </c>
      <c r="AX97" s="56" t="s">
        <v>1220</v>
      </c>
      <c r="AY97" s="56" t="s">
        <v>1118</v>
      </c>
      <c r="AZ97" s="56" t="s">
        <v>1054</v>
      </c>
      <c r="BA97" s="56" t="s">
        <v>1221</v>
      </c>
      <c r="BB97" s="56" t="s">
        <v>1222</v>
      </c>
      <c r="BC97" s="56" t="s">
        <v>1157</v>
      </c>
      <c r="BD97" s="56" t="s">
        <v>1595</v>
      </c>
    </row>
    <row r="98" spans="1:56" x14ac:dyDescent="0.2">
      <c r="A98" s="56">
        <v>176546836</v>
      </c>
      <c r="B98" s="56" t="s">
        <v>2292</v>
      </c>
      <c r="C98" s="56" t="s">
        <v>2623</v>
      </c>
      <c r="D98" s="56" t="s">
        <v>2293</v>
      </c>
      <c r="E98" s="56" t="s">
        <v>1044</v>
      </c>
      <c r="F98" s="56">
        <v>70</v>
      </c>
      <c r="G98" s="56"/>
      <c r="H98" s="56">
        <v>15991</v>
      </c>
      <c r="I98" s="56">
        <v>6</v>
      </c>
      <c r="J98" s="56" t="s">
        <v>1045</v>
      </c>
      <c r="K98" s="56" t="s">
        <v>1091</v>
      </c>
      <c r="L98" s="121">
        <v>46265</v>
      </c>
      <c r="M98" s="122">
        <v>0.875</v>
      </c>
      <c r="N98" s="122">
        <v>0.88124999999999998</v>
      </c>
      <c r="O98" s="56" t="s">
        <v>1047</v>
      </c>
      <c r="P98" s="121">
        <v>46265</v>
      </c>
      <c r="Q98" s="122">
        <v>0.93402777777777779</v>
      </c>
      <c r="R98" s="122">
        <v>0.93263888888888891</v>
      </c>
      <c r="S98" s="56" t="s">
        <v>1047</v>
      </c>
      <c r="T98" s="56">
        <v>1</v>
      </c>
      <c r="U98" s="56">
        <v>42</v>
      </c>
      <c r="V98" s="56">
        <v>40.159999999999997</v>
      </c>
      <c r="W98" s="56">
        <v>57.29</v>
      </c>
      <c r="X98" s="56" t="s">
        <v>2624</v>
      </c>
      <c r="Y98" s="56" t="s">
        <v>2624</v>
      </c>
      <c r="Z98" s="56" t="s">
        <v>2624</v>
      </c>
      <c r="AA98" s="56" t="s">
        <v>1987</v>
      </c>
      <c r="AB98" s="56">
        <v>14124159</v>
      </c>
      <c r="AC98" s="56" t="s">
        <v>1987</v>
      </c>
      <c r="AD98" s="56">
        <v>14124159</v>
      </c>
      <c r="AE98" s="56" t="s">
        <v>2626</v>
      </c>
      <c r="AF98" s="56" t="s">
        <v>2627</v>
      </c>
      <c r="AG98" s="56" t="s">
        <v>2627</v>
      </c>
      <c r="AH98" s="56">
        <v>36</v>
      </c>
      <c r="AI98" s="56" t="s">
        <v>2628</v>
      </c>
      <c r="AJ98" s="56" t="s">
        <v>2629</v>
      </c>
      <c r="AK98" s="56">
        <v>0</v>
      </c>
      <c r="AL98" s="56" t="s">
        <v>2630</v>
      </c>
      <c r="AM98" s="56" t="s">
        <v>2631</v>
      </c>
      <c r="AN98" s="56" t="s">
        <v>2632</v>
      </c>
      <c r="AO98" s="56" t="s">
        <v>2627</v>
      </c>
      <c r="AP98" s="56" t="s">
        <v>2624</v>
      </c>
      <c r="AQ98" s="123">
        <v>6.2499999999999778E-3</v>
      </c>
      <c r="AR98" s="122">
        <v>-1.388888888888884E-3</v>
      </c>
      <c r="AS98" s="56" t="s">
        <v>1048</v>
      </c>
      <c r="AT98" s="56" t="s">
        <v>1049</v>
      </c>
      <c r="AU98" s="56" t="s">
        <v>1050</v>
      </c>
      <c r="AV98" s="56">
        <v>36</v>
      </c>
      <c r="AW98" s="56" t="s">
        <v>1051</v>
      </c>
      <c r="AX98" s="56" t="s">
        <v>2294</v>
      </c>
      <c r="AY98" s="56" t="s">
        <v>1093</v>
      </c>
      <c r="AZ98" s="56" t="s">
        <v>1067</v>
      </c>
      <c r="BA98" s="56" t="s">
        <v>2295</v>
      </c>
      <c r="BB98" s="56" t="s">
        <v>2296</v>
      </c>
      <c r="BC98" s="56" t="s">
        <v>1157</v>
      </c>
      <c r="BD98" s="56" t="s">
        <v>2297</v>
      </c>
    </row>
    <row r="99" spans="1:56" x14ac:dyDescent="0.2">
      <c r="A99" s="56">
        <v>176548863</v>
      </c>
      <c r="B99" s="56" t="s">
        <v>2867</v>
      </c>
      <c r="C99" s="56" t="s">
        <v>2623</v>
      </c>
      <c r="D99" s="56" t="s">
        <v>1754</v>
      </c>
      <c r="E99" s="56" t="s">
        <v>1044</v>
      </c>
      <c r="F99" s="56">
        <v>143</v>
      </c>
      <c r="G99" s="56" t="s">
        <v>2693</v>
      </c>
      <c r="H99" s="56">
        <v>14708</v>
      </c>
      <c r="I99" s="56">
        <v>6</v>
      </c>
      <c r="J99" s="56" t="s">
        <v>1045</v>
      </c>
      <c r="K99" s="56" t="s">
        <v>1116</v>
      </c>
      <c r="L99" s="121">
        <v>46265</v>
      </c>
      <c r="M99" s="122">
        <v>0.87638888888888888</v>
      </c>
      <c r="N99" s="122">
        <v>0.89027777777777772</v>
      </c>
      <c r="O99" s="56" t="s">
        <v>1047</v>
      </c>
      <c r="P99" s="121">
        <v>46265</v>
      </c>
      <c r="Q99" s="122">
        <v>0.92708333333333337</v>
      </c>
      <c r="R99" s="122">
        <v>0.91736111111111107</v>
      </c>
      <c r="S99" s="56" t="s">
        <v>1047</v>
      </c>
      <c r="T99" s="56">
        <v>1</v>
      </c>
      <c r="U99" s="56">
        <v>21</v>
      </c>
      <c r="V99" s="56">
        <v>20.72</v>
      </c>
      <c r="W99" s="56">
        <v>20.78</v>
      </c>
      <c r="X99" s="56" t="s">
        <v>2624</v>
      </c>
      <c r="Y99" s="56" t="s">
        <v>2624</v>
      </c>
      <c r="Z99" s="56" t="s">
        <v>2624</v>
      </c>
      <c r="AA99" s="56" t="s">
        <v>382</v>
      </c>
      <c r="AB99" s="56">
        <v>14122072</v>
      </c>
      <c r="AC99" s="56" t="s">
        <v>382</v>
      </c>
      <c r="AD99" s="56">
        <v>14122072</v>
      </c>
      <c r="AE99" s="56" t="s">
        <v>2626</v>
      </c>
      <c r="AF99" s="56" t="s">
        <v>2627</v>
      </c>
      <c r="AG99" s="56" t="s">
        <v>2627</v>
      </c>
      <c r="AH99" s="56">
        <v>36</v>
      </c>
      <c r="AI99" s="56" t="s">
        <v>2628</v>
      </c>
      <c r="AJ99" s="56" t="s">
        <v>2629</v>
      </c>
      <c r="AK99" s="56">
        <v>0</v>
      </c>
      <c r="AL99" s="56" t="s">
        <v>2630</v>
      </c>
      <c r="AM99" s="56" t="s">
        <v>2631</v>
      </c>
      <c r="AN99" s="56" t="s">
        <v>2632</v>
      </c>
      <c r="AO99" s="56" t="s">
        <v>2627</v>
      </c>
      <c r="AP99" s="56">
        <v>0</v>
      </c>
      <c r="AQ99" s="123">
        <v>1.388888888888884E-2</v>
      </c>
      <c r="AR99" s="122">
        <v>-9.7222222222222987E-3</v>
      </c>
      <c r="AS99" s="56" t="s">
        <v>1048</v>
      </c>
      <c r="AT99" s="56" t="s">
        <v>1049</v>
      </c>
      <c r="AU99" s="56" t="s">
        <v>1050</v>
      </c>
      <c r="AV99" s="56">
        <v>36</v>
      </c>
      <c r="AW99" s="56" t="s">
        <v>1051</v>
      </c>
      <c r="AX99" s="56" t="s">
        <v>1755</v>
      </c>
      <c r="AY99" s="56" t="s">
        <v>1128</v>
      </c>
      <c r="AZ99" s="56" t="s">
        <v>1054</v>
      </c>
      <c r="BA99" s="56" t="s">
        <v>1756</v>
      </c>
      <c r="BB99" s="56" t="s">
        <v>1757</v>
      </c>
      <c r="BC99" s="56" t="s">
        <v>1157</v>
      </c>
      <c r="BD99" s="56" t="s">
        <v>2868</v>
      </c>
    </row>
    <row r="100" spans="1:56" x14ac:dyDescent="0.2">
      <c r="A100" s="56">
        <v>176550707</v>
      </c>
      <c r="B100" s="56" t="s">
        <v>2869</v>
      </c>
      <c r="C100" s="56" t="s">
        <v>2623</v>
      </c>
      <c r="D100" s="56" t="s">
        <v>2181</v>
      </c>
      <c r="E100" s="56" t="s">
        <v>1044</v>
      </c>
      <c r="F100" s="56">
        <v>254</v>
      </c>
      <c r="G100" s="56" t="s">
        <v>2693</v>
      </c>
      <c r="H100" s="56">
        <v>13850</v>
      </c>
      <c r="I100" s="56">
        <v>6</v>
      </c>
      <c r="J100" s="56" t="s">
        <v>1045</v>
      </c>
      <c r="K100" s="56" t="s">
        <v>1116</v>
      </c>
      <c r="L100" s="121">
        <v>46265</v>
      </c>
      <c r="M100" s="122">
        <v>0.88124999999999998</v>
      </c>
      <c r="N100" s="122">
        <v>0.88472222222222219</v>
      </c>
      <c r="O100" s="56" t="s">
        <v>1047</v>
      </c>
      <c r="P100" s="121">
        <v>46265</v>
      </c>
      <c r="Q100" s="122">
        <v>0.92708333333333337</v>
      </c>
      <c r="R100" s="122">
        <v>0.91319444444444442</v>
      </c>
      <c r="S100" s="56" t="s">
        <v>1047</v>
      </c>
      <c r="T100" s="56">
        <v>1</v>
      </c>
      <c r="U100" s="56">
        <v>47</v>
      </c>
      <c r="V100" s="56">
        <v>42</v>
      </c>
      <c r="W100" s="56">
        <v>41.69</v>
      </c>
      <c r="X100" s="56" t="s">
        <v>2624</v>
      </c>
      <c r="Y100" s="56" t="s">
        <v>2624</v>
      </c>
      <c r="Z100" s="56" t="s">
        <v>2624</v>
      </c>
      <c r="AA100" s="56" t="s">
        <v>907</v>
      </c>
      <c r="AB100" s="56">
        <v>14123649</v>
      </c>
      <c r="AC100" s="56" t="s">
        <v>907</v>
      </c>
      <c r="AD100" s="56">
        <v>14123649</v>
      </c>
      <c r="AE100" s="56" t="s">
        <v>2626</v>
      </c>
      <c r="AF100" s="56" t="s">
        <v>2627</v>
      </c>
      <c r="AG100" s="56" t="s">
        <v>2627</v>
      </c>
      <c r="AH100" s="56">
        <v>36</v>
      </c>
      <c r="AI100" s="56" t="s">
        <v>2628</v>
      </c>
      <c r="AJ100" s="56" t="s">
        <v>2629</v>
      </c>
      <c r="AK100" s="56">
        <v>0</v>
      </c>
      <c r="AL100" s="56" t="s">
        <v>2630</v>
      </c>
      <c r="AM100" s="56" t="s">
        <v>2631</v>
      </c>
      <c r="AN100" s="56" t="s">
        <v>2632</v>
      </c>
      <c r="AO100" s="56" t="s">
        <v>2627</v>
      </c>
      <c r="AP100" s="56" t="s">
        <v>2624</v>
      </c>
      <c r="AQ100" s="123">
        <v>3.4722222222222099E-3</v>
      </c>
      <c r="AR100" s="122">
        <v>-1.3888888888888951E-2</v>
      </c>
      <c r="AS100" s="56" t="s">
        <v>1048</v>
      </c>
      <c r="AT100" s="56" t="s">
        <v>1049</v>
      </c>
      <c r="AU100" s="56" t="s">
        <v>1050</v>
      </c>
      <c r="AV100" s="56">
        <v>36</v>
      </c>
      <c r="AW100" s="56" t="s">
        <v>1051</v>
      </c>
      <c r="AX100" s="56" t="s">
        <v>2182</v>
      </c>
      <c r="AY100" s="56" t="s">
        <v>1128</v>
      </c>
      <c r="AZ100" s="56" t="s">
        <v>1054</v>
      </c>
      <c r="BA100" s="56" t="s">
        <v>2183</v>
      </c>
      <c r="BB100" s="56" t="s">
        <v>2184</v>
      </c>
      <c r="BC100" s="56" t="s">
        <v>1157</v>
      </c>
      <c r="BD100" s="56" t="s">
        <v>2870</v>
      </c>
    </row>
    <row r="101" spans="1:56" x14ac:dyDescent="0.2">
      <c r="A101" s="56">
        <v>176531134</v>
      </c>
      <c r="B101" s="56" t="s">
        <v>1553</v>
      </c>
      <c r="C101" s="56" t="s">
        <v>2623</v>
      </c>
      <c r="D101" s="56" t="s">
        <v>1268</v>
      </c>
      <c r="E101" s="56" t="s">
        <v>1044</v>
      </c>
      <c r="F101" s="56">
        <v>68</v>
      </c>
      <c r="G101" s="56"/>
      <c r="H101" s="56">
        <v>16363</v>
      </c>
      <c r="I101" s="56">
        <v>6</v>
      </c>
      <c r="J101" s="56" t="s">
        <v>1045</v>
      </c>
      <c r="K101" s="56" t="s">
        <v>1064</v>
      </c>
      <c r="L101" s="121">
        <v>46265</v>
      </c>
      <c r="M101" s="122">
        <v>0.88194444444444442</v>
      </c>
      <c r="N101" s="122">
        <v>0.88958333333333328</v>
      </c>
      <c r="O101" s="56" t="s">
        <v>1047</v>
      </c>
      <c r="P101" s="121">
        <v>46265</v>
      </c>
      <c r="Q101" s="122">
        <v>0.93402777777777779</v>
      </c>
      <c r="R101" s="122">
        <v>0.93402777777777779</v>
      </c>
      <c r="S101" s="56" t="s">
        <v>1047</v>
      </c>
      <c r="T101" s="56">
        <v>1</v>
      </c>
      <c r="U101" s="56">
        <v>33</v>
      </c>
      <c r="V101" s="56">
        <v>28.2</v>
      </c>
      <c r="W101" s="56">
        <v>29.84</v>
      </c>
      <c r="X101" s="56" t="s">
        <v>2624</v>
      </c>
      <c r="Y101" s="56" t="s">
        <v>2624</v>
      </c>
      <c r="Z101" s="56" t="s">
        <v>2624</v>
      </c>
      <c r="AA101" s="56" t="s">
        <v>2390</v>
      </c>
      <c r="AB101" s="56">
        <v>14124189</v>
      </c>
      <c r="AC101" s="56" t="s">
        <v>2390</v>
      </c>
      <c r="AD101" s="56">
        <v>14124189</v>
      </c>
      <c r="AE101" s="56" t="s">
        <v>2626</v>
      </c>
      <c r="AF101" s="56" t="s">
        <v>2627</v>
      </c>
      <c r="AG101" s="56" t="s">
        <v>2627</v>
      </c>
      <c r="AH101" s="56">
        <v>36</v>
      </c>
      <c r="AI101" s="56" t="s">
        <v>2628</v>
      </c>
      <c r="AJ101" s="56" t="s">
        <v>2629</v>
      </c>
      <c r="AK101" s="56">
        <v>530.63</v>
      </c>
      <c r="AL101" s="56" t="s">
        <v>2630</v>
      </c>
      <c r="AM101" s="56" t="s">
        <v>2631</v>
      </c>
      <c r="AN101" s="56" t="s">
        <v>2632</v>
      </c>
      <c r="AO101" s="56" t="s">
        <v>2627</v>
      </c>
      <c r="AP101" s="56" t="s">
        <v>2624</v>
      </c>
      <c r="AQ101" s="123">
        <v>7.6388888888888618E-3</v>
      </c>
      <c r="AR101" s="122">
        <v>0</v>
      </c>
      <c r="AS101" s="56" t="s">
        <v>1048</v>
      </c>
      <c r="AT101" s="56" t="s">
        <v>1049</v>
      </c>
      <c r="AU101" s="56" t="s">
        <v>1050</v>
      </c>
      <c r="AV101" s="56">
        <v>36</v>
      </c>
      <c r="AW101" s="56" t="s">
        <v>1051</v>
      </c>
      <c r="AX101" s="56" t="s">
        <v>1269</v>
      </c>
      <c r="AY101" s="56" t="s">
        <v>1066</v>
      </c>
      <c r="AZ101" s="56" t="s">
        <v>1067</v>
      </c>
      <c r="BA101" s="56" t="s">
        <v>1270</v>
      </c>
      <c r="BB101" s="56" t="s">
        <v>1271</v>
      </c>
      <c r="BC101" s="56" t="s">
        <v>1157</v>
      </c>
      <c r="BD101" s="56" t="s">
        <v>1554</v>
      </c>
    </row>
    <row r="102" spans="1:56" x14ac:dyDescent="0.2">
      <c r="A102" s="56">
        <v>176547618</v>
      </c>
      <c r="B102" s="56" t="s">
        <v>1422</v>
      </c>
      <c r="C102" s="56" t="s">
        <v>2623</v>
      </c>
      <c r="D102" s="56" t="s">
        <v>1115</v>
      </c>
      <c r="E102" s="56" t="s">
        <v>1044</v>
      </c>
      <c r="F102" s="56">
        <v>98</v>
      </c>
      <c r="G102" s="56" t="s">
        <v>2670</v>
      </c>
      <c r="H102" s="56">
        <v>14692</v>
      </c>
      <c r="I102" s="56">
        <v>6</v>
      </c>
      <c r="J102" s="56" t="s">
        <v>1045</v>
      </c>
      <c r="K102" s="56" t="s">
        <v>1116</v>
      </c>
      <c r="L102" s="121">
        <v>46265</v>
      </c>
      <c r="M102" s="122">
        <v>0.88194444444444442</v>
      </c>
      <c r="N102" s="122">
        <v>0.89236111111111116</v>
      </c>
      <c r="O102" s="56" t="s">
        <v>1047</v>
      </c>
      <c r="P102" s="121">
        <v>46265</v>
      </c>
      <c r="Q102" s="122">
        <v>0.92708333333333337</v>
      </c>
      <c r="R102" s="122">
        <v>0.93541666666666667</v>
      </c>
      <c r="S102" s="56" t="s">
        <v>1047</v>
      </c>
      <c r="T102" s="56">
        <v>1</v>
      </c>
      <c r="U102" s="56">
        <v>31</v>
      </c>
      <c r="V102" s="56">
        <v>26.76</v>
      </c>
      <c r="W102" s="56">
        <v>26.72</v>
      </c>
      <c r="X102" s="56" t="s">
        <v>2624</v>
      </c>
      <c r="Y102" s="56" t="s">
        <v>2624</v>
      </c>
      <c r="Z102" s="56" t="s">
        <v>2624</v>
      </c>
      <c r="AA102" s="56" t="s">
        <v>958</v>
      </c>
      <c r="AB102" s="56">
        <v>14123725</v>
      </c>
      <c r="AC102" s="56" t="s">
        <v>958</v>
      </c>
      <c r="AD102" s="56">
        <v>14123725</v>
      </c>
      <c r="AE102" s="56" t="s">
        <v>2626</v>
      </c>
      <c r="AF102" s="56" t="s">
        <v>2627</v>
      </c>
      <c r="AG102" s="56" t="s">
        <v>2627</v>
      </c>
      <c r="AH102" s="56">
        <v>36</v>
      </c>
      <c r="AI102" s="56" t="s">
        <v>2628</v>
      </c>
      <c r="AJ102" s="56" t="s">
        <v>2640</v>
      </c>
      <c r="AK102" s="56">
        <v>0</v>
      </c>
      <c r="AL102" s="56" t="s">
        <v>2630</v>
      </c>
      <c r="AM102" s="56" t="s">
        <v>2631</v>
      </c>
      <c r="AN102" s="56" t="s">
        <v>2632</v>
      </c>
      <c r="AO102" s="56" t="s">
        <v>2627</v>
      </c>
      <c r="AP102" s="56">
        <v>12</v>
      </c>
      <c r="AQ102" s="123">
        <v>1.0416666666666741E-2</v>
      </c>
      <c r="AR102" s="122">
        <v>8.3333333333333037E-3</v>
      </c>
      <c r="AS102" s="56" t="s">
        <v>1048</v>
      </c>
      <c r="AT102" s="56" t="s">
        <v>1059</v>
      </c>
      <c r="AU102" s="56" t="s">
        <v>1060</v>
      </c>
      <c r="AV102" s="56">
        <v>36</v>
      </c>
      <c r="AW102" s="56" t="s">
        <v>1051</v>
      </c>
      <c r="AX102" s="56" t="s">
        <v>1117</v>
      </c>
      <c r="AY102" s="56" t="s">
        <v>1118</v>
      </c>
      <c r="AZ102" s="56" t="s">
        <v>1054</v>
      </c>
      <c r="BA102" s="56" t="s">
        <v>1119</v>
      </c>
      <c r="BB102" s="56" t="s">
        <v>1120</v>
      </c>
      <c r="BC102" s="56" t="s">
        <v>1157</v>
      </c>
      <c r="BD102" s="56" t="s">
        <v>1423</v>
      </c>
    </row>
    <row r="103" spans="1:56" x14ac:dyDescent="0.2">
      <c r="A103" s="56">
        <v>176552031</v>
      </c>
      <c r="B103" s="56" t="s">
        <v>2871</v>
      </c>
      <c r="C103" s="56" t="s">
        <v>2623</v>
      </c>
      <c r="D103" s="56" t="s">
        <v>2101</v>
      </c>
      <c r="E103" s="56" t="s">
        <v>1044</v>
      </c>
      <c r="F103" s="56">
        <v>269</v>
      </c>
      <c r="G103" s="56" t="s">
        <v>2701</v>
      </c>
      <c r="H103" s="56">
        <v>6782</v>
      </c>
      <c r="I103" s="56">
        <v>6</v>
      </c>
      <c r="J103" s="56" t="s">
        <v>1045</v>
      </c>
      <c r="K103" s="56" t="s">
        <v>1116</v>
      </c>
      <c r="L103" s="121">
        <v>46265</v>
      </c>
      <c r="M103" s="122">
        <v>0.88194444444444442</v>
      </c>
      <c r="N103" s="122">
        <v>0.88541666666666663</v>
      </c>
      <c r="O103" s="56" t="s">
        <v>1047</v>
      </c>
      <c r="P103" s="121">
        <v>46265</v>
      </c>
      <c r="Q103" s="122">
        <v>0.92708333333333337</v>
      </c>
      <c r="R103" s="122">
        <v>0.91666666666666663</v>
      </c>
      <c r="S103" s="56" t="s">
        <v>1047</v>
      </c>
      <c r="T103" s="56">
        <v>1</v>
      </c>
      <c r="U103" s="56">
        <v>18</v>
      </c>
      <c r="V103" s="56">
        <v>13.57</v>
      </c>
      <c r="W103" s="56">
        <v>12.19</v>
      </c>
      <c r="X103" s="56" t="s">
        <v>2624</v>
      </c>
      <c r="Y103" s="56" t="s">
        <v>2624</v>
      </c>
      <c r="Z103" s="56" t="s">
        <v>2624</v>
      </c>
      <c r="AA103" s="56" t="s">
        <v>2534</v>
      </c>
      <c r="AB103" s="56"/>
      <c r="AC103" s="56" t="s">
        <v>2534</v>
      </c>
      <c r="AD103" s="56"/>
      <c r="AE103" s="56" t="s">
        <v>2626</v>
      </c>
      <c r="AF103" s="56" t="s">
        <v>2627</v>
      </c>
      <c r="AG103" s="56" t="s">
        <v>2627</v>
      </c>
      <c r="AH103" s="56">
        <v>36</v>
      </c>
      <c r="AI103" s="56" t="s">
        <v>2628</v>
      </c>
      <c r="AJ103" s="56" t="s">
        <v>2629</v>
      </c>
      <c r="AK103" s="56">
        <v>0</v>
      </c>
      <c r="AL103" s="56" t="s">
        <v>2630</v>
      </c>
      <c r="AM103" s="56" t="s">
        <v>2631</v>
      </c>
      <c r="AN103" s="56" t="s">
        <v>2632</v>
      </c>
      <c r="AO103" s="56" t="s">
        <v>2627</v>
      </c>
      <c r="AP103" s="56" t="s">
        <v>2624</v>
      </c>
      <c r="AQ103" s="123">
        <v>3.4722222222222099E-3</v>
      </c>
      <c r="AR103" s="122">
        <v>-1.0416666666666741E-2</v>
      </c>
      <c r="AS103" s="56" t="s">
        <v>1048</v>
      </c>
      <c r="AT103" s="56" t="s">
        <v>1049</v>
      </c>
      <c r="AU103" s="56" t="s">
        <v>1050</v>
      </c>
      <c r="AV103" s="56">
        <v>36</v>
      </c>
      <c r="AW103" s="56" t="s">
        <v>1051</v>
      </c>
      <c r="AX103" s="56" t="s">
        <v>2102</v>
      </c>
      <c r="AY103" s="56" t="s">
        <v>1118</v>
      </c>
      <c r="AZ103" s="56" t="s">
        <v>1054</v>
      </c>
      <c r="BA103" s="56" t="s">
        <v>2103</v>
      </c>
      <c r="BB103" s="56" t="e">
        <v>#N/A</v>
      </c>
      <c r="BC103" s="56" t="s">
        <v>1157</v>
      </c>
      <c r="BD103" s="56" t="s">
        <v>2872</v>
      </c>
    </row>
    <row r="104" spans="1:56" x14ac:dyDescent="0.2">
      <c r="A104" s="56">
        <v>176548185</v>
      </c>
      <c r="B104" s="56" t="s">
        <v>1341</v>
      </c>
      <c r="C104" s="56" t="s">
        <v>2623</v>
      </c>
      <c r="D104" s="56" t="s">
        <v>1342</v>
      </c>
      <c r="E104" s="56" t="s">
        <v>1044</v>
      </c>
      <c r="F104" s="56">
        <v>87</v>
      </c>
      <c r="G104" s="56"/>
      <c r="H104" s="56">
        <v>14676</v>
      </c>
      <c r="I104" s="56">
        <v>6</v>
      </c>
      <c r="J104" s="56" t="s">
        <v>1045</v>
      </c>
      <c r="K104" s="56" t="s">
        <v>1091</v>
      </c>
      <c r="L104" s="121">
        <v>46265</v>
      </c>
      <c r="M104" s="122">
        <v>0.88541666666666663</v>
      </c>
      <c r="N104" s="122">
        <v>0.88958333333333328</v>
      </c>
      <c r="O104" s="56" t="s">
        <v>1047</v>
      </c>
      <c r="P104" s="121">
        <v>46265</v>
      </c>
      <c r="Q104" s="122">
        <v>0.93402777777777779</v>
      </c>
      <c r="R104" s="122">
        <v>0.92152777777777772</v>
      </c>
      <c r="S104" s="56" t="s">
        <v>1047</v>
      </c>
      <c r="T104" s="56">
        <v>1</v>
      </c>
      <c r="U104" s="56">
        <v>17</v>
      </c>
      <c r="V104" s="56">
        <v>13.2</v>
      </c>
      <c r="W104" s="56">
        <v>15.02</v>
      </c>
      <c r="X104" s="56" t="s">
        <v>2624</v>
      </c>
      <c r="Y104" s="56" t="s">
        <v>2624</v>
      </c>
      <c r="Z104" s="56" t="s">
        <v>2624</v>
      </c>
      <c r="AA104" s="56" t="s">
        <v>430</v>
      </c>
      <c r="AB104" s="56">
        <v>14122510</v>
      </c>
      <c r="AC104" s="56" t="s">
        <v>430</v>
      </c>
      <c r="AD104" s="56">
        <v>14122510</v>
      </c>
      <c r="AE104" s="56" t="s">
        <v>2626</v>
      </c>
      <c r="AF104" s="56" t="s">
        <v>2627</v>
      </c>
      <c r="AG104" s="56" t="s">
        <v>2627</v>
      </c>
      <c r="AH104" s="56">
        <v>36</v>
      </c>
      <c r="AI104" s="56" t="s">
        <v>2628</v>
      </c>
      <c r="AJ104" s="56" t="s">
        <v>2629</v>
      </c>
      <c r="AK104" s="56">
        <v>0</v>
      </c>
      <c r="AL104" s="56" t="s">
        <v>2630</v>
      </c>
      <c r="AM104" s="56" t="s">
        <v>2631</v>
      </c>
      <c r="AN104" s="56" t="s">
        <v>2632</v>
      </c>
      <c r="AO104" s="56" t="s">
        <v>2627</v>
      </c>
      <c r="AP104" s="56" t="s">
        <v>2624</v>
      </c>
      <c r="AQ104" s="123">
        <v>4.1666666666666519E-3</v>
      </c>
      <c r="AR104" s="122">
        <v>-1.2500000000000067E-2</v>
      </c>
      <c r="AS104" s="56" t="s">
        <v>1048</v>
      </c>
      <c r="AT104" s="56" t="s">
        <v>1049</v>
      </c>
      <c r="AU104" s="56" t="s">
        <v>1050</v>
      </c>
      <c r="AV104" s="56">
        <v>36</v>
      </c>
      <c r="AW104" s="56" t="s">
        <v>1051</v>
      </c>
      <c r="AX104" s="56" t="s">
        <v>1343</v>
      </c>
      <c r="AY104" s="56" t="s">
        <v>1093</v>
      </c>
      <c r="AZ104" s="56" t="s">
        <v>1067</v>
      </c>
      <c r="BA104" s="56" t="s">
        <v>1344</v>
      </c>
      <c r="BB104" s="56" t="s">
        <v>1345</v>
      </c>
      <c r="BC104" s="56" t="s">
        <v>1157</v>
      </c>
      <c r="BD104" s="56" t="s">
        <v>1346</v>
      </c>
    </row>
    <row r="105" spans="1:56" x14ac:dyDescent="0.2">
      <c r="A105" s="56">
        <v>176548853</v>
      </c>
      <c r="B105" s="56" t="s">
        <v>2254</v>
      </c>
      <c r="C105" s="56" t="s">
        <v>2623</v>
      </c>
      <c r="D105" s="56" t="s">
        <v>1231</v>
      </c>
      <c r="E105" s="56" t="s">
        <v>1044</v>
      </c>
      <c r="F105" s="56">
        <v>139</v>
      </c>
      <c r="G105" s="56" t="s">
        <v>2693</v>
      </c>
      <c r="H105" s="56">
        <v>10359</v>
      </c>
      <c r="I105" s="56">
        <v>6</v>
      </c>
      <c r="J105" s="56" t="s">
        <v>1045</v>
      </c>
      <c r="K105" s="56" t="s">
        <v>1116</v>
      </c>
      <c r="L105" s="121">
        <v>46265</v>
      </c>
      <c r="M105" s="122">
        <v>0.88611111111111107</v>
      </c>
      <c r="N105" s="122">
        <v>0.88958333333333328</v>
      </c>
      <c r="O105" s="56" t="s">
        <v>1047</v>
      </c>
      <c r="P105" s="121">
        <v>46265</v>
      </c>
      <c r="Q105" s="122">
        <v>0.92708333333333337</v>
      </c>
      <c r="R105" s="122">
        <v>0.91805555555555551</v>
      </c>
      <c r="S105" s="56" t="s">
        <v>1047</v>
      </c>
      <c r="T105" s="56">
        <v>1</v>
      </c>
      <c r="U105" s="56">
        <v>23</v>
      </c>
      <c r="V105" s="56">
        <v>23.47</v>
      </c>
      <c r="W105" s="56">
        <v>22.31</v>
      </c>
      <c r="X105" s="56" t="s">
        <v>2624</v>
      </c>
      <c r="Y105" s="56" t="s">
        <v>2624</v>
      </c>
      <c r="Z105" s="56" t="s">
        <v>2624</v>
      </c>
      <c r="AA105" s="56" t="s">
        <v>1232</v>
      </c>
      <c r="AB105" s="56">
        <v>14112026</v>
      </c>
      <c r="AC105" s="56" t="s">
        <v>1232</v>
      </c>
      <c r="AD105" s="56">
        <v>14112026</v>
      </c>
      <c r="AE105" s="56" t="s">
        <v>2626</v>
      </c>
      <c r="AF105" s="56" t="s">
        <v>2627</v>
      </c>
      <c r="AG105" s="56" t="s">
        <v>2627</v>
      </c>
      <c r="AH105" s="56">
        <v>36</v>
      </c>
      <c r="AI105" s="56" t="s">
        <v>2628</v>
      </c>
      <c r="AJ105" s="56" t="s">
        <v>2629</v>
      </c>
      <c r="AK105" s="56">
        <v>0</v>
      </c>
      <c r="AL105" s="56" t="s">
        <v>2630</v>
      </c>
      <c r="AM105" s="56" t="s">
        <v>2631</v>
      </c>
      <c r="AN105" s="56" t="s">
        <v>2632</v>
      </c>
      <c r="AO105" s="56" t="s">
        <v>2627</v>
      </c>
      <c r="AP105" s="56">
        <v>20</v>
      </c>
      <c r="AQ105" s="123">
        <v>3.4722222222222099E-3</v>
      </c>
      <c r="AR105" s="122">
        <v>-9.0277777777778567E-3</v>
      </c>
      <c r="AS105" s="56" t="s">
        <v>1048</v>
      </c>
      <c r="AT105" s="56" t="s">
        <v>1049</v>
      </c>
      <c r="AU105" s="56" t="s">
        <v>1050</v>
      </c>
      <c r="AV105" s="56">
        <v>36</v>
      </c>
      <c r="AW105" s="56" t="s">
        <v>1051</v>
      </c>
      <c r="AX105" s="56" t="s">
        <v>1233</v>
      </c>
      <c r="AY105" s="56" t="s">
        <v>1128</v>
      </c>
      <c r="AZ105" s="56" t="s">
        <v>1054</v>
      </c>
      <c r="BA105" s="56" t="s">
        <v>1234</v>
      </c>
      <c r="BB105" s="56" t="s">
        <v>1235</v>
      </c>
      <c r="BC105" s="56" t="s">
        <v>1157</v>
      </c>
      <c r="BD105" s="56" t="s">
        <v>2255</v>
      </c>
    </row>
    <row r="106" spans="1:56" x14ac:dyDescent="0.2">
      <c r="A106" s="56">
        <v>176548414</v>
      </c>
      <c r="B106" s="56" t="s">
        <v>1689</v>
      </c>
      <c r="C106" s="56" t="s">
        <v>2623</v>
      </c>
      <c r="D106" s="56" t="s">
        <v>1317</v>
      </c>
      <c r="E106" s="56" t="s">
        <v>1044</v>
      </c>
      <c r="F106" s="56">
        <v>114</v>
      </c>
      <c r="G106" s="56" t="s">
        <v>2670</v>
      </c>
      <c r="H106" s="56">
        <v>13289</v>
      </c>
      <c r="I106" s="56">
        <v>6</v>
      </c>
      <c r="J106" s="56" t="s">
        <v>1045</v>
      </c>
      <c r="K106" s="56" t="s">
        <v>1116</v>
      </c>
      <c r="L106" s="121">
        <v>46265</v>
      </c>
      <c r="M106" s="122">
        <v>0.88749999999999996</v>
      </c>
      <c r="N106" s="122">
        <v>0.89166666666666672</v>
      </c>
      <c r="O106" s="56" t="s">
        <v>1047</v>
      </c>
      <c r="P106" s="121">
        <v>46265</v>
      </c>
      <c r="Q106" s="122">
        <v>0.92708333333333337</v>
      </c>
      <c r="R106" s="122">
        <v>0.91597222222222219</v>
      </c>
      <c r="S106" s="56" t="s">
        <v>1047</v>
      </c>
      <c r="T106" s="56">
        <v>1</v>
      </c>
      <c r="U106" s="56">
        <v>26</v>
      </c>
      <c r="V106" s="56">
        <v>20.91</v>
      </c>
      <c r="W106" s="56">
        <v>20.23</v>
      </c>
      <c r="X106" s="56" t="s">
        <v>2624</v>
      </c>
      <c r="Y106" s="56" t="s">
        <v>2624</v>
      </c>
      <c r="Z106" s="56" t="s">
        <v>2624</v>
      </c>
      <c r="AA106" s="56" t="s">
        <v>224</v>
      </c>
      <c r="AB106" s="56">
        <v>14118956</v>
      </c>
      <c r="AC106" s="56" t="s">
        <v>224</v>
      </c>
      <c r="AD106" s="56">
        <v>14118956</v>
      </c>
      <c r="AE106" s="56" t="s">
        <v>2626</v>
      </c>
      <c r="AF106" s="56" t="s">
        <v>2627</v>
      </c>
      <c r="AG106" s="56" t="s">
        <v>2627</v>
      </c>
      <c r="AH106" s="56">
        <v>36</v>
      </c>
      <c r="AI106" s="56" t="s">
        <v>2628</v>
      </c>
      <c r="AJ106" s="56" t="s">
        <v>2629</v>
      </c>
      <c r="AK106" s="56">
        <v>0</v>
      </c>
      <c r="AL106" s="56" t="s">
        <v>2630</v>
      </c>
      <c r="AM106" s="56" t="s">
        <v>2631</v>
      </c>
      <c r="AN106" s="56" t="s">
        <v>2632</v>
      </c>
      <c r="AO106" s="56" t="s">
        <v>2627</v>
      </c>
      <c r="AP106" s="56" t="s">
        <v>2624</v>
      </c>
      <c r="AQ106" s="123">
        <v>4.1666666666667629E-3</v>
      </c>
      <c r="AR106" s="122">
        <v>-1.1111111111111183E-2</v>
      </c>
      <c r="AS106" s="56" t="s">
        <v>1048</v>
      </c>
      <c r="AT106" s="56" t="s">
        <v>1049</v>
      </c>
      <c r="AU106" s="56" t="s">
        <v>1050</v>
      </c>
      <c r="AV106" s="56">
        <v>36</v>
      </c>
      <c r="AW106" s="56" t="s">
        <v>1051</v>
      </c>
      <c r="AX106" s="56" t="s">
        <v>1318</v>
      </c>
      <c r="AY106" s="56" t="s">
        <v>1118</v>
      </c>
      <c r="AZ106" s="56" t="s">
        <v>1054</v>
      </c>
      <c r="BA106" s="56" t="s">
        <v>1319</v>
      </c>
      <c r="BB106" s="56" t="s">
        <v>1320</v>
      </c>
      <c r="BC106" s="56" t="s">
        <v>1157</v>
      </c>
      <c r="BD106" s="56" t="s">
        <v>1690</v>
      </c>
    </row>
    <row r="107" spans="1:56" x14ac:dyDescent="0.2">
      <c r="A107" s="56">
        <v>176538885</v>
      </c>
      <c r="B107" s="56" t="s">
        <v>2873</v>
      </c>
      <c r="C107" s="56" t="s">
        <v>2623</v>
      </c>
      <c r="D107" s="56" t="s">
        <v>1200</v>
      </c>
      <c r="E107" s="56" t="s">
        <v>1044</v>
      </c>
      <c r="F107" s="56">
        <v>123</v>
      </c>
      <c r="G107" s="56"/>
      <c r="H107" s="56">
        <v>17346</v>
      </c>
      <c r="I107" s="56">
        <v>6</v>
      </c>
      <c r="J107" s="56" t="s">
        <v>1045</v>
      </c>
      <c r="K107" s="56" t="s">
        <v>1079</v>
      </c>
      <c r="L107" s="121">
        <v>46265</v>
      </c>
      <c r="M107" s="122">
        <v>0.88888888888888884</v>
      </c>
      <c r="N107" s="122">
        <v>0.89375000000000004</v>
      </c>
      <c r="O107" s="56" t="s">
        <v>1047</v>
      </c>
      <c r="P107" s="121">
        <v>46265</v>
      </c>
      <c r="Q107" s="122">
        <v>0.93402777777777779</v>
      </c>
      <c r="R107" s="122">
        <v>0.91666666666666663</v>
      </c>
      <c r="S107" s="56" t="s">
        <v>1047</v>
      </c>
      <c r="T107" s="56">
        <v>1</v>
      </c>
      <c r="U107" s="56">
        <v>18</v>
      </c>
      <c r="V107" s="56">
        <v>15</v>
      </c>
      <c r="W107" s="56">
        <v>14.62</v>
      </c>
      <c r="X107" s="56" t="s">
        <v>2624</v>
      </c>
      <c r="Y107" s="56" t="s">
        <v>2624</v>
      </c>
      <c r="Z107" s="56" t="s">
        <v>2624</v>
      </c>
      <c r="AA107" s="56" t="s">
        <v>37</v>
      </c>
      <c r="AB107" s="56">
        <v>14103335</v>
      </c>
      <c r="AC107" s="56" t="s">
        <v>37</v>
      </c>
      <c r="AD107" s="56">
        <v>14103335</v>
      </c>
      <c r="AE107" s="56" t="s">
        <v>2626</v>
      </c>
      <c r="AF107" s="56" t="s">
        <v>2627</v>
      </c>
      <c r="AG107" s="56" t="s">
        <v>2627</v>
      </c>
      <c r="AH107" s="56">
        <v>36</v>
      </c>
      <c r="AI107" s="56" t="s">
        <v>2628</v>
      </c>
      <c r="AJ107" s="56" t="s">
        <v>2629</v>
      </c>
      <c r="AK107" s="56">
        <v>0</v>
      </c>
      <c r="AL107" s="56" t="s">
        <v>2630</v>
      </c>
      <c r="AM107" s="56" t="s">
        <v>2631</v>
      </c>
      <c r="AN107" s="56" t="s">
        <v>2632</v>
      </c>
      <c r="AO107" s="56" t="s">
        <v>2627</v>
      </c>
      <c r="AP107" s="56">
        <v>35</v>
      </c>
      <c r="AQ107" s="123">
        <v>4.8611111111112049E-3</v>
      </c>
      <c r="AR107" s="122">
        <v>-1.736111111111116E-2</v>
      </c>
      <c r="AS107" s="56" t="s">
        <v>1048</v>
      </c>
      <c r="AT107" s="56" t="s">
        <v>1049</v>
      </c>
      <c r="AU107" s="56" t="s">
        <v>1050</v>
      </c>
      <c r="AV107" s="56">
        <v>36</v>
      </c>
      <c r="AW107" s="56" t="s">
        <v>1051</v>
      </c>
      <c r="AX107" s="56" t="s">
        <v>2874</v>
      </c>
      <c r="AY107" s="56" t="s">
        <v>1081</v>
      </c>
      <c r="AZ107" s="56" t="s">
        <v>1067</v>
      </c>
      <c r="BA107" s="56" t="s">
        <v>2875</v>
      </c>
      <c r="BB107" s="56" t="s">
        <v>2876</v>
      </c>
      <c r="BC107" s="56" t="s">
        <v>1157</v>
      </c>
      <c r="BD107" s="56" t="s">
        <v>2877</v>
      </c>
    </row>
    <row r="108" spans="1:56" x14ac:dyDescent="0.2">
      <c r="A108" s="56">
        <v>176546242</v>
      </c>
      <c r="B108" s="56" t="s">
        <v>2878</v>
      </c>
      <c r="C108" s="56" t="s">
        <v>2623</v>
      </c>
      <c r="D108" s="56" t="s">
        <v>2879</v>
      </c>
      <c r="E108" s="56" t="s">
        <v>1044</v>
      </c>
      <c r="F108" s="56">
        <v>86</v>
      </c>
      <c r="G108" s="56" t="s">
        <v>2693</v>
      </c>
      <c r="H108" s="56">
        <v>14691</v>
      </c>
      <c r="I108" s="56">
        <v>7</v>
      </c>
      <c r="J108" s="56" t="s">
        <v>1045</v>
      </c>
      <c r="K108" s="56" t="s">
        <v>1116</v>
      </c>
      <c r="L108" s="121">
        <v>46265</v>
      </c>
      <c r="M108" s="122">
        <v>0.88888888888888884</v>
      </c>
      <c r="N108" s="122">
        <v>0.96111111111111114</v>
      </c>
      <c r="O108" s="56" t="s">
        <v>1047</v>
      </c>
      <c r="P108" s="121">
        <v>46265</v>
      </c>
      <c r="Q108" s="122">
        <v>0.92708333333333337</v>
      </c>
      <c r="R108" s="122">
        <v>0.98958333333333337</v>
      </c>
      <c r="S108" s="56" t="s">
        <v>1163</v>
      </c>
      <c r="T108" s="56">
        <v>0</v>
      </c>
      <c r="U108" s="56">
        <v>15</v>
      </c>
      <c r="V108" s="56">
        <v>10.14</v>
      </c>
      <c r="W108" s="56" t="s">
        <v>2624</v>
      </c>
      <c r="X108" s="56" t="s">
        <v>2624</v>
      </c>
      <c r="Y108" s="56" t="s">
        <v>2624</v>
      </c>
      <c r="Z108" s="56" t="s">
        <v>2624</v>
      </c>
      <c r="AA108" s="56"/>
      <c r="AB108" s="56"/>
      <c r="AC108" s="56"/>
      <c r="AD108" s="56"/>
      <c r="AE108" s="56" t="s">
        <v>2626</v>
      </c>
      <c r="AF108" s="56" t="s">
        <v>2627</v>
      </c>
      <c r="AG108" s="56" t="s">
        <v>2627</v>
      </c>
      <c r="AH108" s="56">
        <v>36</v>
      </c>
      <c r="AI108" s="56" t="s">
        <v>2880</v>
      </c>
      <c r="AJ108" s="56" t="s">
        <v>2640</v>
      </c>
      <c r="AK108" s="56">
        <v>0</v>
      </c>
      <c r="AL108" s="56" t="s">
        <v>2630</v>
      </c>
      <c r="AM108" s="56" t="s">
        <v>2631</v>
      </c>
      <c r="AN108" s="56" t="s">
        <v>2632</v>
      </c>
      <c r="AO108" s="56" t="s">
        <v>2627</v>
      </c>
      <c r="AP108" s="56" t="s">
        <v>2624</v>
      </c>
      <c r="AQ108" s="123">
        <v>7.2222222222222299E-2</v>
      </c>
      <c r="AR108" s="122">
        <v>6.25E-2</v>
      </c>
      <c r="AS108" s="56" t="s">
        <v>1048</v>
      </c>
      <c r="AT108" s="56" t="s">
        <v>1059</v>
      </c>
      <c r="AU108" s="56" t="s">
        <v>1060</v>
      </c>
      <c r="AV108" s="56">
        <v>36</v>
      </c>
      <c r="AW108" s="56" t="s">
        <v>1051</v>
      </c>
      <c r="AX108" s="56" t="s">
        <v>2881</v>
      </c>
      <c r="AY108" s="56" t="s">
        <v>1128</v>
      </c>
      <c r="AZ108" s="56" t="s">
        <v>1054</v>
      </c>
      <c r="BA108" s="56" t="s">
        <v>2882</v>
      </c>
      <c r="BB108" s="56" t="s">
        <v>2883</v>
      </c>
      <c r="BC108" s="56" t="s">
        <v>1157</v>
      </c>
      <c r="BD108" s="56" t="s">
        <v>2884</v>
      </c>
    </row>
    <row r="109" spans="1:56" x14ac:dyDescent="0.2">
      <c r="A109" s="56">
        <v>176546833</v>
      </c>
      <c r="B109" s="56" t="s">
        <v>2885</v>
      </c>
      <c r="C109" s="56" t="s">
        <v>2623</v>
      </c>
      <c r="D109" s="56" t="s">
        <v>2886</v>
      </c>
      <c r="E109" s="56" t="s">
        <v>1044</v>
      </c>
      <c r="F109" s="56">
        <v>67</v>
      </c>
      <c r="G109" s="56"/>
      <c r="H109" s="56">
        <v>13901</v>
      </c>
      <c r="I109" s="56">
        <v>6</v>
      </c>
      <c r="J109" s="56" t="s">
        <v>1045</v>
      </c>
      <c r="K109" s="56" t="s">
        <v>1091</v>
      </c>
      <c r="L109" s="121">
        <v>46265</v>
      </c>
      <c r="M109" s="122">
        <v>0.88888888888888884</v>
      </c>
      <c r="N109" s="122">
        <v>0.8930555555555556</v>
      </c>
      <c r="O109" s="56" t="s">
        <v>1047</v>
      </c>
      <c r="P109" s="121">
        <v>46265</v>
      </c>
      <c r="Q109" s="122">
        <v>0.93402777777777779</v>
      </c>
      <c r="R109" s="122">
        <v>0.92777777777777781</v>
      </c>
      <c r="S109" s="56" t="s">
        <v>1047</v>
      </c>
      <c r="T109" s="56">
        <v>1</v>
      </c>
      <c r="U109" s="56">
        <v>26</v>
      </c>
      <c r="V109" s="56">
        <v>21.73</v>
      </c>
      <c r="W109" s="56">
        <v>21.6</v>
      </c>
      <c r="X109" s="56" t="s">
        <v>2624</v>
      </c>
      <c r="Y109" s="56" t="s">
        <v>2624</v>
      </c>
      <c r="Z109" s="56" t="s">
        <v>2624</v>
      </c>
      <c r="AA109" s="56" t="s">
        <v>909</v>
      </c>
      <c r="AB109" s="56">
        <v>14123651</v>
      </c>
      <c r="AC109" s="56" t="s">
        <v>909</v>
      </c>
      <c r="AD109" s="56">
        <v>14123651</v>
      </c>
      <c r="AE109" s="56" t="s">
        <v>2626</v>
      </c>
      <c r="AF109" s="56" t="s">
        <v>2627</v>
      </c>
      <c r="AG109" s="56" t="s">
        <v>2627</v>
      </c>
      <c r="AH109" s="56">
        <v>36</v>
      </c>
      <c r="AI109" s="56" t="s">
        <v>2628</v>
      </c>
      <c r="AJ109" s="56" t="s">
        <v>2629</v>
      </c>
      <c r="AK109" s="56">
        <v>0</v>
      </c>
      <c r="AL109" s="56" t="s">
        <v>2630</v>
      </c>
      <c r="AM109" s="56" t="s">
        <v>2631</v>
      </c>
      <c r="AN109" s="56" t="s">
        <v>2632</v>
      </c>
      <c r="AO109" s="56" t="s">
        <v>2627</v>
      </c>
      <c r="AP109" s="56" t="s">
        <v>2624</v>
      </c>
      <c r="AQ109" s="123">
        <v>4.1666666666667629E-3</v>
      </c>
      <c r="AR109" s="122">
        <v>-6.2499999999999778E-3</v>
      </c>
      <c r="AS109" s="56" t="s">
        <v>1048</v>
      </c>
      <c r="AT109" s="56" t="s">
        <v>1049</v>
      </c>
      <c r="AU109" s="56" t="s">
        <v>1050</v>
      </c>
      <c r="AV109" s="56">
        <v>36</v>
      </c>
      <c r="AW109" s="56" t="s">
        <v>1051</v>
      </c>
      <c r="AX109" s="56" t="s">
        <v>2887</v>
      </c>
      <c r="AY109" s="56" t="s">
        <v>1093</v>
      </c>
      <c r="AZ109" s="56" t="s">
        <v>1067</v>
      </c>
      <c r="BA109" s="56" t="s">
        <v>2888</v>
      </c>
      <c r="BB109" s="56" t="s">
        <v>2889</v>
      </c>
      <c r="BC109" s="56" t="s">
        <v>1157</v>
      </c>
      <c r="BD109" s="56" t="s">
        <v>2890</v>
      </c>
    </row>
    <row r="110" spans="1:56" x14ac:dyDescent="0.2">
      <c r="A110" s="56">
        <v>176541793</v>
      </c>
      <c r="B110" s="56" t="s">
        <v>2891</v>
      </c>
      <c r="C110" s="56" t="s">
        <v>2623</v>
      </c>
      <c r="D110" s="56" t="s">
        <v>2688</v>
      </c>
      <c r="E110" s="56" t="s">
        <v>1044</v>
      </c>
      <c r="F110" s="56">
        <v>11</v>
      </c>
      <c r="G110" s="56"/>
      <c r="H110" s="56">
        <v>15185</v>
      </c>
      <c r="I110" s="56">
        <v>6</v>
      </c>
      <c r="J110" s="56" t="s">
        <v>1045</v>
      </c>
      <c r="K110" s="56" t="s">
        <v>1058</v>
      </c>
      <c r="L110" s="121">
        <v>46265</v>
      </c>
      <c r="M110" s="122">
        <v>0.8930555555555556</v>
      </c>
      <c r="N110" s="122">
        <v>0.89930555555555558</v>
      </c>
      <c r="O110" s="56" t="s">
        <v>1047</v>
      </c>
      <c r="P110" s="121">
        <v>46265</v>
      </c>
      <c r="Q110" s="122">
        <v>0.91666666666666663</v>
      </c>
      <c r="R110" s="122">
        <v>0.91319444444444442</v>
      </c>
      <c r="S110" s="56" t="s">
        <v>1047</v>
      </c>
      <c r="T110" s="56">
        <v>1</v>
      </c>
      <c r="U110" s="56">
        <v>14</v>
      </c>
      <c r="V110" s="56">
        <v>9.91</v>
      </c>
      <c r="W110" s="56">
        <v>8.51</v>
      </c>
      <c r="X110" s="56" t="s">
        <v>2624</v>
      </c>
      <c r="Y110" s="56" t="s">
        <v>2624</v>
      </c>
      <c r="Z110" s="56" t="s">
        <v>2624</v>
      </c>
      <c r="AA110" s="56" t="s">
        <v>467</v>
      </c>
      <c r="AB110" s="56">
        <v>14122925</v>
      </c>
      <c r="AC110" s="56" t="s">
        <v>467</v>
      </c>
      <c r="AD110" s="56">
        <v>14122925</v>
      </c>
      <c r="AE110" s="56" t="s">
        <v>2626</v>
      </c>
      <c r="AF110" s="56" t="s">
        <v>2627</v>
      </c>
      <c r="AG110" s="56" t="s">
        <v>2627</v>
      </c>
      <c r="AH110" s="56">
        <v>36</v>
      </c>
      <c r="AI110" s="56" t="s">
        <v>2628</v>
      </c>
      <c r="AJ110" s="56" t="s">
        <v>2629</v>
      </c>
      <c r="AK110" s="56">
        <v>730</v>
      </c>
      <c r="AL110" s="56" t="s">
        <v>2630</v>
      </c>
      <c r="AM110" s="56" t="s">
        <v>2631</v>
      </c>
      <c r="AN110" s="56" t="s">
        <v>2632</v>
      </c>
      <c r="AO110" s="56" t="s">
        <v>2627</v>
      </c>
      <c r="AP110" s="56" t="s">
        <v>2624</v>
      </c>
      <c r="AQ110" s="123">
        <v>6.2499999999999778E-3</v>
      </c>
      <c r="AR110" s="122">
        <v>-3.4722222222222099E-3</v>
      </c>
      <c r="AS110" s="56" t="s">
        <v>1048</v>
      </c>
      <c r="AT110" s="56" t="s">
        <v>1049</v>
      </c>
      <c r="AU110" s="56" t="s">
        <v>1050</v>
      </c>
      <c r="AV110" s="56">
        <v>36</v>
      </c>
      <c r="AW110" s="56" t="s">
        <v>1051</v>
      </c>
      <c r="AX110" s="56" t="s">
        <v>2689</v>
      </c>
      <c r="AY110" s="56" t="s">
        <v>1061</v>
      </c>
      <c r="AZ110" s="56" t="s">
        <v>1062</v>
      </c>
      <c r="BA110" s="56" t="s">
        <v>2690</v>
      </c>
      <c r="BB110" s="56" t="s">
        <v>2691</v>
      </c>
      <c r="BC110" s="56" t="s">
        <v>1157</v>
      </c>
      <c r="BD110" s="56" t="s">
        <v>2892</v>
      </c>
    </row>
    <row r="111" spans="1:56" x14ac:dyDescent="0.2">
      <c r="A111" s="56">
        <v>176539675</v>
      </c>
      <c r="B111" s="56" t="s">
        <v>2893</v>
      </c>
      <c r="C111" s="56" t="s">
        <v>2623</v>
      </c>
      <c r="D111" s="56" t="s">
        <v>2894</v>
      </c>
      <c r="E111" s="56" t="s">
        <v>1044</v>
      </c>
      <c r="F111" s="56">
        <v>13</v>
      </c>
      <c r="G111" s="56"/>
      <c r="H111" s="56">
        <v>5430</v>
      </c>
      <c r="I111" s="56">
        <v>6</v>
      </c>
      <c r="J111" s="56" t="s">
        <v>1045</v>
      </c>
      <c r="K111" s="56" t="s">
        <v>1212</v>
      </c>
      <c r="L111" s="121">
        <v>46265</v>
      </c>
      <c r="M111" s="122">
        <v>0.89583333333333337</v>
      </c>
      <c r="N111" s="122">
        <v>0.90347222222222223</v>
      </c>
      <c r="O111" s="56" t="s">
        <v>1047</v>
      </c>
      <c r="P111" s="121">
        <v>46265</v>
      </c>
      <c r="Q111" s="122">
        <v>0.93055555555555558</v>
      </c>
      <c r="R111" s="122">
        <v>0.93125000000000002</v>
      </c>
      <c r="S111" s="56" t="s">
        <v>1047</v>
      </c>
      <c r="T111" s="56">
        <v>1</v>
      </c>
      <c r="U111" s="56">
        <v>20</v>
      </c>
      <c r="V111" s="56">
        <v>18.73</v>
      </c>
      <c r="W111" s="56">
        <v>16.25</v>
      </c>
      <c r="X111" s="56" t="s">
        <v>2624</v>
      </c>
      <c r="Y111" s="56" t="s">
        <v>2624</v>
      </c>
      <c r="Z111" s="56" t="s">
        <v>2624</v>
      </c>
      <c r="AA111" s="56" t="s">
        <v>138</v>
      </c>
      <c r="AB111" s="56">
        <v>14114667</v>
      </c>
      <c r="AC111" s="56" t="s">
        <v>138</v>
      </c>
      <c r="AD111" s="56">
        <v>14114667</v>
      </c>
      <c r="AE111" s="56" t="s">
        <v>2626</v>
      </c>
      <c r="AF111" s="56" t="s">
        <v>2627</v>
      </c>
      <c r="AG111" s="56" t="s">
        <v>2627</v>
      </c>
      <c r="AH111" s="56">
        <v>36</v>
      </c>
      <c r="AI111" s="56" t="s">
        <v>2628</v>
      </c>
      <c r="AJ111" s="56" t="s">
        <v>2640</v>
      </c>
      <c r="AK111" s="56">
        <v>0</v>
      </c>
      <c r="AL111" s="56" t="s">
        <v>2630</v>
      </c>
      <c r="AM111" s="56" t="s">
        <v>2631</v>
      </c>
      <c r="AN111" s="56" t="s">
        <v>2632</v>
      </c>
      <c r="AO111" s="56" t="s">
        <v>2627</v>
      </c>
      <c r="AP111" s="56" t="s">
        <v>2624</v>
      </c>
      <c r="AQ111" s="123">
        <v>7.6388888888888618E-3</v>
      </c>
      <c r="AR111" s="122">
        <v>6.9444444444444198E-4</v>
      </c>
      <c r="AS111" s="56" t="s">
        <v>1048</v>
      </c>
      <c r="AT111" s="56" t="s">
        <v>1049</v>
      </c>
      <c r="AU111" s="56" t="s">
        <v>1050</v>
      </c>
      <c r="AV111" s="56">
        <v>36</v>
      </c>
      <c r="AW111" s="56" t="s">
        <v>1051</v>
      </c>
      <c r="AX111" s="56" t="s">
        <v>2895</v>
      </c>
      <c r="AY111" s="56" t="s">
        <v>1164</v>
      </c>
      <c r="AZ111" s="56" t="s">
        <v>1062</v>
      </c>
      <c r="BA111" s="56" t="s">
        <v>2896</v>
      </c>
      <c r="BB111" s="56" t="s">
        <v>2897</v>
      </c>
      <c r="BC111" s="56" t="s">
        <v>1157</v>
      </c>
      <c r="BD111" s="56" t="s">
        <v>2898</v>
      </c>
    </row>
    <row r="112" spans="1:56" x14ac:dyDescent="0.2">
      <c r="A112" s="56">
        <v>176548380</v>
      </c>
      <c r="B112" s="56" t="s">
        <v>2318</v>
      </c>
      <c r="C112" s="56" t="s">
        <v>2623</v>
      </c>
      <c r="D112" s="56" t="s">
        <v>2285</v>
      </c>
      <c r="E112" s="56" t="s">
        <v>1044</v>
      </c>
      <c r="F112" s="56">
        <v>46</v>
      </c>
      <c r="G112" s="56"/>
      <c r="H112" s="56">
        <v>13011</v>
      </c>
      <c r="I112" s="56">
        <v>7</v>
      </c>
      <c r="J112" s="56" t="s">
        <v>1045</v>
      </c>
      <c r="K112" s="56" t="s">
        <v>1125</v>
      </c>
      <c r="L112" s="121">
        <v>46265</v>
      </c>
      <c r="M112" s="122">
        <v>0.90277777777777779</v>
      </c>
      <c r="N112" s="122">
        <v>0.90833333333333333</v>
      </c>
      <c r="O112" s="56" t="s">
        <v>1047</v>
      </c>
      <c r="P112" s="121">
        <v>46265</v>
      </c>
      <c r="Q112" s="122">
        <v>0.95833333333333337</v>
      </c>
      <c r="R112" s="122">
        <v>0.99791666666666667</v>
      </c>
      <c r="S112" s="56" t="s">
        <v>1449</v>
      </c>
      <c r="T112" s="56">
        <v>0</v>
      </c>
      <c r="U112" s="56">
        <v>30</v>
      </c>
      <c r="V112" s="56">
        <v>24.54</v>
      </c>
      <c r="W112" s="56" t="s">
        <v>2624</v>
      </c>
      <c r="X112" s="56" t="s">
        <v>2624</v>
      </c>
      <c r="Y112" s="56" t="s">
        <v>2624</v>
      </c>
      <c r="Z112" s="56" t="s">
        <v>2624</v>
      </c>
      <c r="AA112" s="56" t="s">
        <v>320</v>
      </c>
      <c r="AB112" s="56">
        <v>14121152</v>
      </c>
      <c r="AC112" s="56" t="s">
        <v>320</v>
      </c>
      <c r="AD112" s="56">
        <v>14121152</v>
      </c>
      <c r="AE112" s="56" t="s">
        <v>2626</v>
      </c>
      <c r="AF112" s="56" t="s">
        <v>2627</v>
      </c>
      <c r="AG112" s="56" t="s">
        <v>2627</v>
      </c>
      <c r="AH112" s="56">
        <v>36</v>
      </c>
      <c r="AI112" s="56" t="s">
        <v>2842</v>
      </c>
      <c r="AJ112" s="56" t="s">
        <v>2640</v>
      </c>
      <c r="AK112" s="56">
        <v>1380</v>
      </c>
      <c r="AL112" s="56">
        <v>0</v>
      </c>
      <c r="AM112" s="56" t="s">
        <v>2694</v>
      </c>
      <c r="AN112" s="56" t="s">
        <v>2702</v>
      </c>
      <c r="AO112" s="56" t="s">
        <v>2627</v>
      </c>
      <c r="AP112" s="56" t="s">
        <v>2624</v>
      </c>
      <c r="AQ112" s="123">
        <v>5.5555555555555358E-3</v>
      </c>
      <c r="AR112" s="122">
        <v>3.9583333333333304E-2</v>
      </c>
      <c r="AS112" s="56" t="s">
        <v>1048</v>
      </c>
      <c r="AT112" s="56" t="s">
        <v>1059</v>
      </c>
      <c r="AU112" s="56" t="s">
        <v>1060</v>
      </c>
      <c r="AV112" s="56">
        <v>36</v>
      </c>
      <c r="AW112" s="56" t="s">
        <v>1051</v>
      </c>
      <c r="AX112" s="56" t="s">
        <v>2286</v>
      </c>
      <c r="AY112" s="56" t="s">
        <v>1127</v>
      </c>
      <c r="AZ112" s="56" t="s">
        <v>1054</v>
      </c>
      <c r="BA112" s="56" t="s">
        <v>2287</v>
      </c>
      <c r="BB112" s="56" t="e">
        <v>#N/A</v>
      </c>
      <c r="BC112" s="56" t="s">
        <v>1157</v>
      </c>
      <c r="BD112" s="56" t="s">
        <v>2899</v>
      </c>
    </row>
    <row r="113" spans="1:56" x14ac:dyDescent="0.2">
      <c r="A113" s="56">
        <v>176548409</v>
      </c>
      <c r="B113" s="56" t="s">
        <v>2900</v>
      </c>
      <c r="C113" s="56" t="s">
        <v>2623</v>
      </c>
      <c r="D113" s="56" t="s">
        <v>2281</v>
      </c>
      <c r="E113" s="56" t="s">
        <v>1044</v>
      </c>
      <c r="F113" s="56">
        <v>112</v>
      </c>
      <c r="G113" s="56" t="s">
        <v>2693</v>
      </c>
      <c r="H113" s="56">
        <v>13374</v>
      </c>
      <c r="I113" s="56">
        <v>6</v>
      </c>
      <c r="J113" s="56" t="s">
        <v>1045</v>
      </c>
      <c r="K113" s="56" t="s">
        <v>1116</v>
      </c>
      <c r="L113" s="121">
        <v>46265</v>
      </c>
      <c r="M113" s="122">
        <v>0.90277777777777779</v>
      </c>
      <c r="N113" s="122">
        <v>0.90763888888888888</v>
      </c>
      <c r="O113" s="56" t="s">
        <v>1047</v>
      </c>
      <c r="P113" s="121">
        <v>46265</v>
      </c>
      <c r="Q113" s="122">
        <v>0.92708333333333337</v>
      </c>
      <c r="R113" s="122">
        <v>0.92222222222222228</v>
      </c>
      <c r="S113" s="56" t="s">
        <v>1047</v>
      </c>
      <c r="T113" s="56">
        <v>1</v>
      </c>
      <c r="U113" s="56">
        <v>17</v>
      </c>
      <c r="V113" s="56">
        <v>11.83</v>
      </c>
      <c r="W113" s="56">
        <v>11</v>
      </c>
      <c r="X113" s="56" t="s">
        <v>2624</v>
      </c>
      <c r="Y113" s="56" t="s">
        <v>2624</v>
      </c>
      <c r="Z113" s="56" t="s">
        <v>2624</v>
      </c>
      <c r="AA113" s="56" t="s">
        <v>247</v>
      </c>
      <c r="AB113" s="56">
        <v>14119437</v>
      </c>
      <c r="AC113" s="56" t="s">
        <v>247</v>
      </c>
      <c r="AD113" s="56">
        <v>14119437</v>
      </c>
      <c r="AE113" s="56" t="s">
        <v>2626</v>
      </c>
      <c r="AF113" s="56" t="s">
        <v>2627</v>
      </c>
      <c r="AG113" s="56" t="s">
        <v>2627</v>
      </c>
      <c r="AH113" s="56">
        <v>36</v>
      </c>
      <c r="AI113" s="56" t="s">
        <v>2628</v>
      </c>
      <c r="AJ113" s="56" t="s">
        <v>2629</v>
      </c>
      <c r="AK113" s="56">
        <v>0</v>
      </c>
      <c r="AL113" s="56" t="s">
        <v>2630</v>
      </c>
      <c r="AM113" s="56" t="s">
        <v>2631</v>
      </c>
      <c r="AN113" s="56" t="s">
        <v>2632</v>
      </c>
      <c r="AO113" s="56" t="s">
        <v>2627</v>
      </c>
      <c r="AP113" s="56" t="s">
        <v>2624</v>
      </c>
      <c r="AQ113" s="123">
        <v>4.8611111111110938E-3</v>
      </c>
      <c r="AR113" s="122">
        <v>-4.8611111111110938E-3</v>
      </c>
      <c r="AS113" s="56" t="s">
        <v>1048</v>
      </c>
      <c r="AT113" s="56" t="s">
        <v>1049</v>
      </c>
      <c r="AU113" s="56" t="s">
        <v>1050</v>
      </c>
      <c r="AV113" s="56">
        <v>36</v>
      </c>
      <c r="AW113" s="56" t="s">
        <v>1051</v>
      </c>
      <c r="AX113" s="56" t="s">
        <v>2825</v>
      </c>
      <c r="AY113" s="56" t="s">
        <v>1128</v>
      </c>
      <c r="AZ113" s="56" t="s">
        <v>1054</v>
      </c>
      <c r="BA113" s="56" t="s">
        <v>2826</v>
      </c>
      <c r="BB113" s="56" t="s">
        <v>2827</v>
      </c>
      <c r="BC113" s="56" t="s">
        <v>1157</v>
      </c>
      <c r="BD113" s="56" t="s">
        <v>2901</v>
      </c>
    </row>
    <row r="114" spans="1:56" x14ac:dyDescent="0.2">
      <c r="A114" s="56">
        <v>176785503</v>
      </c>
      <c r="B114" s="56" t="s">
        <v>2036</v>
      </c>
      <c r="C114" s="56" t="s">
        <v>2623</v>
      </c>
      <c r="D114" s="56" t="s">
        <v>1043</v>
      </c>
      <c r="E114" s="56" t="s">
        <v>1044</v>
      </c>
      <c r="F114" s="56">
        <v>10</v>
      </c>
      <c r="G114" s="56"/>
      <c r="H114" s="56">
        <v>13294</v>
      </c>
      <c r="I114" s="56">
        <v>6</v>
      </c>
      <c r="J114" s="56" t="s">
        <v>1045</v>
      </c>
      <c r="K114" s="56" t="s">
        <v>1046</v>
      </c>
      <c r="L114" s="121">
        <v>46271</v>
      </c>
      <c r="M114" s="122">
        <v>0.19097222222222221</v>
      </c>
      <c r="N114" s="122">
        <v>0.19583333333333333</v>
      </c>
      <c r="O114" s="56" t="s">
        <v>1047</v>
      </c>
      <c r="P114" s="121">
        <v>46271</v>
      </c>
      <c r="Q114" s="122">
        <v>0.26041666666666669</v>
      </c>
      <c r="R114" s="122">
        <v>0.25277777777777777</v>
      </c>
      <c r="S114" s="56" t="s">
        <v>1047</v>
      </c>
      <c r="T114" s="56">
        <v>1</v>
      </c>
      <c r="U114" s="56">
        <v>63</v>
      </c>
      <c r="V114" s="56">
        <v>56.37</v>
      </c>
      <c r="W114" s="56">
        <v>60.82</v>
      </c>
      <c r="X114" s="56" t="s">
        <v>2624</v>
      </c>
      <c r="Y114" s="56" t="s">
        <v>2624</v>
      </c>
      <c r="Z114" s="56" t="s">
        <v>2624</v>
      </c>
      <c r="AA114" s="56" t="s">
        <v>428</v>
      </c>
      <c r="AB114" s="56">
        <v>14118625</v>
      </c>
      <c r="AC114" s="56" t="s">
        <v>428</v>
      </c>
      <c r="AD114" s="56">
        <v>14118625</v>
      </c>
      <c r="AE114" s="56" t="s">
        <v>2626</v>
      </c>
      <c r="AF114" s="56" t="s">
        <v>2627</v>
      </c>
      <c r="AG114" s="56" t="s">
        <v>2627</v>
      </c>
      <c r="AH114" s="56">
        <v>37</v>
      </c>
      <c r="AI114" s="56" t="s">
        <v>2628</v>
      </c>
      <c r="AJ114" s="56" t="s">
        <v>2629</v>
      </c>
      <c r="AK114" s="56">
        <v>0</v>
      </c>
      <c r="AL114" s="56" t="s">
        <v>2630</v>
      </c>
      <c r="AM114" s="56" t="s">
        <v>2631</v>
      </c>
      <c r="AN114" s="56" t="s">
        <v>2632</v>
      </c>
      <c r="AO114" s="56" t="s">
        <v>2627</v>
      </c>
      <c r="AP114" s="56" t="s">
        <v>2624</v>
      </c>
      <c r="AQ114" s="123">
        <v>4.8611111111111216E-3</v>
      </c>
      <c r="AR114" s="122">
        <v>-7.6388888888889173E-3</v>
      </c>
      <c r="AS114" s="56" t="s">
        <v>1048</v>
      </c>
      <c r="AT114" s="56" t="s">
        <v>1049</v>
      </c>
      <c r="AU114" s="56" t="s">
        <v>1050</v>
      </c>
      <c r="AV114" s="56">
        <v>37</v>
      </c>
      <c r="AW114" s="56" t="s">
        <v>1051</v>
      </c>
      <c r="AX114" s="56" t="s">
        <v>1052</v>
      </c>
      <c r="AY114" s="56" t="s">
        <v>1053</v>
      </c>
      <c r="AZ114" s="56" t="s">
        <v>1054</v>
      </c>
      <c r="BA114" s="56" t="s">
        <v>1055</v>
      </c>
      <c r="BB114" s="56" t="s">
        <v>1056</v>
      </c>
      <c r="BC114" s="56" t="s">
        <v>1057</v>
      </c>
      <c r="BD114" s="56" t="s">
        <v>2037</v>
      </c>
    </row>
    <row r="115" spans="1:56" x14ac:dyDescent="0.2">
      <c r="A115" s="56">
        <v>176784767</v>
      </c>
      <c r="B115" s="56" t="s">
        <v>2622</v>
      </c>
      <c r="C115" s="56" t="s">
        <v>2623</v>
      </c>
      <c r="D115" s="56" t="s">
        <v>1070</v>
      </c>
      <c r="E115" s="56" t="s">
        <v>1044</v>
      </c>
      <c r="F115" s="56">
        <v>17</v>
      </c>
      <c r="G115" s="56"/>
      <c r="H115" s="56">
        <v>15192</v>
      </c>
      <c r="I115" s="56">
        <v>6</v>
      </c>
      <c r="J115" s="56" t="s">
        <v>1045</v>
      </c>
      <c r="K115" s="56" t="s">
        <v>1058</v>
      </c>
      <c r="L115" s="121">
        <v>46271</v>
      </c>
      <c r="M115" s="122">
        <v>0.19444444444444445</v>
      </c>
      <c r="N115" s="122">
        <v>0.20208333333333334</v>
      </c>
      <c r="O115" s="56" t="s">
        <v>1047</v>
      </c>
      <c r="P115" s="121">
        <v>46271</v>
      </c>
      <c r="Q115" s="122">
        <v>0.25</v>
      </c>
      <c r="R115" s="122">
        <v>0.24722222222222223</v>
      </c>
      <c r="S115" s="56" t="s">
        <v>1047</v>
      </c>
      <c r="T115" s="56">
        <v>1</v>
      </c>
      <c r="U115" s="56">
        <v>37</v>
      </c>
      <c r="V115" s="56">
        <v>33.42</v>
      </c>
      <c r="W115" s="56">
        <v>34.46</v>
      </c>
      <c r="X115" s="56" t="s">
        <v>2624</v>
      </c>
      <c r="Y115" s="56" t="s">
        <v>2624</v>
      </c>
      <c r="Z115" s="56" t="s">
        <v>2624</v>
      </c>
      <c r="AA115" s="56" t="s">
        <v>2625</v>
      </c>
      <c r="AB115" s="56">
        <v>14122103</v>
      </c>
      <c r="AC115" s="56" t="s">
        <v>2625</v>
      </c>
      <c r="AD115" s="56">
        <v>14122103</v>
      </c>
      <c r="AE115" s="56" t="s">
        <v>2626</v>
      </c>
      <c r="AF115" s="56" t="s">
        <v>2627</v>
      </c>
      <c r="AG115" s="56" t="s">
        <v>2627</v>
      </c>
      <c r="AH115" s="56">
        <v>37</v>
      </c>
      <c r="AI115" s="56" t="s">
        <v>2628</v>
      </c>
      <c r="AJ115" s="56" t="s">
        <v>2629</v>
      </c>
      <c r="AK115" s="56">
        <v>815</v>
      </c>
      <c r="AL115" s="56" t="s">
        <v>2630</v>
      </c>
      <c r="AM115" s="56" t="s">
        <v>2631</v>
      </c>
      <c r="AN115" s="56" t="s">
        <v>2632</v>
      </c>
      <c r="AO115" s="56" t="s">
        <v>2627</v>
      </c>
      <c r="AP115" s="56" t="s">
        <v>2624</v>
      </c>
      <c r="AQ115" s="123">
        <v>7.6388888888888895E-3</v>
      </c>
      <c r="AR115" s="122">
        <v>-2.7777777777777679E-3</v>
      </c>
      <c r="AS115" s="56" t="s">
        <v>1048</v>
      </c>
      <c r="AT115" s="56" t="s">
        <v>1049</v>
      </c>
      <c r="AU115" s="56" t="s">
        <v>1050</v>
      </c>
      <c r="AV115" s="56">
        <v>37</v>
      </c>
      <c r="AW115" s="56" t="s">
        <v>1051</v>
      </c>
      <c r="AX115" s="56" t="s">
        <v>1071</v>
      </c>
      <c r="AY115" s="56" t="s">
        <v>1061</v>
      </c>
      <c r="AZ115" s="56" t="s">
        <v>1062</v>
      </c>
      <c r="BA115" s="56" t="s">
        <v>1072</v>
      </c>
      <c r="BB115" s="56" t="s">
        <v>1073</v>
      </c>
      <c r="BC115" s="56" t="s">
        <v>1057</v>
      </c>
      <c r="BD115" s="56" t="s">
        <v>2633</v>
      </c>
    </row>
    <row r="116" spans="1:56" x14ac:dyDescent="0.2">
      <c r="A116" s="56">
        <v>176785796</v>
      </c>
      <c r="B116" s="56" t="s">
        <v>2902</v>
      </c>
      <c r="C116" s="56" t="s">
        <v>2623</v>
      </c>
      <c r="D116" s="56" t="s">
        <v>2903</v>
      </c>
      <c r="E116" s="56" t="s">
        <v>1044</v>
      </c>
      <c r="F116" s="56">
        <v>49</v>
      </c>
      <c r="G116" s="56"/>
      <c r="H116" s="56">
        <v>15763</v>
      </c>
      <c r="I116" s="56">
        <v>6</v>
      </c>
      <c r="J116" s="56" t="s">
        <v>1045</v>
      </c>
      <c r="K116" s="56" t="s">
        <v>1058</v>
      </c>
      <c r="L116" s="121">
        <v>46271</v>
      </c>
      <c r="M116" s="122">
        <v>0.19444444444444445</v>
      </c>
      <c r="N116" s="122">
        <v>0.2076388888888889</v>
      </c>
      <c r="O116" s="56" t="s">
        <v>1047</v>
      </c>
      <c r="P116" s="121">
        <v>46271</v>
      </c>
      <c r="Q116" s="122">
        <v>0.25</v>
      </c>
      <c r="R116" s="122">
        <v>0.2590277777777778</v>
      </c>
      <c r="S116" s="56" t="s">
        <v>1047</v>
      </c>
      <c r="T116" s="56">
        <v>1</v>
      </c>
      <c r="U116" s="56">
        <v>30</v>
      </c>
      <c r="V116" s="56">
        <v>27.26</v>
      </c>
      <c r="W116" s="56">
        <v>27.85</v>
      </c>
      <c r="X116" s="56" t="s">
        <v>2624</v>
      </c>
      <c r="Y116" s="56" t="s">
        <v>2624</v>
      </c>
      <c r="Z116" s="56" t="s">
        <v>2624</v>
      </c>
      <c r="AA116" s="56" t="s">
        <v>353</v>
      </c>
      <c r="AB116" s="56">
        <v>14121733</v>
      </c>
      <c r="AC116" s="56" t="s">
        <v>353</v>
      </c>
      <c r="AD116" s="56">
        <v>14121733</v>
      </c>
      <c r="AE116" s="56" t="s">
        <v>2626</v>
      </c>
      <c r="AF116" s="56" t="s">
        <v>2627</v>
      </c>
      <c r="AG116" s="56" t="s">
        <v>2627</v>
      </c>
      <c r="AH116" s="56">
        <v>37</v>
      </c>
      <c r="AI116" s="56" t="s">
        <v>2628</v>
      </c>
      <c r="AJ116" s="56" t="s">
        <v>2640</v>
      </c>
      <c r="AK116" s="56">
        <v>0</v>
      </c>
      <c r="AL116" s="56" t="s">
        <v>2630</v>
      </c>
      <c r="AM116" s="56" t="s">
        <v>2631</v>
      </c>
      <c r="AN116" s="56" t="s">
        <v>2632</v>
      </c>
      <c r="AO116" s="56" t="s">
        <v>2627</v>
      </c>
      <c r="AP116" s="56" t="s">
        <v>2624</v>
      </c>
      <c r="AQ116" s="123">
        <v>1.3194444444444453E-2</v>
      </c>
      <c r="AR116" s="122">
        <v>9.0277777777778012E-3</v>
      </c>
      <c r="AS116" s="56" t="s">
        <v>1048</v>
      </c>
      <c r="AT116" s="56" t="s">
        <v>1059</v>
      </c>
      <c r="AU116" s="56" t="s">
        <v>1060</v>
      </c>
      <c r="AV116" s="56">
        <v>37</v>
      </c>
      <c r="AW116" s="56" t="s">
        <v>1051</v>
      </c>
      <c r="AX116" s="56" t="s">
        <v>2904</v>
      </c>
      <c r="AY116" s="56" t="s">
        <v>1061</v>
      </c>
      <c r="AZ116" s="56" t="s">
        <v>1062</v>
      </c>
      <c r="BA116" s="56" t="s">
        <v>2905</v>
      </c>
      <c r="BB116" s="56" t="s">
        <v>2906</v>
      </c>
      <c r="BC116" s="56" t="s">
        <v>1057</v>
      </c>
      <c r="BD116" s="56" t="s">
        <v>2907</v>
      </c>
    </row>
    <row r="117" spans="1:56" x14ac:dyDescent="0.2">
      <c r="A117" s="56">
        <v>176788097</v>
      </c>
      <c r="B117" s="56" t="s">
        <v>2908</v>
      </c>
      <c r="C117" s="56" t="s">
        <v>2623</v>
      </c>
      <c r="D117" s="56" t="s">
        <v>2909</v>
      </c>
      <c r="E117" s="56" t="s">
        <v>1044</v>
      </c>
      <c r="F117" s="56">
        <v>504</v>
      </c>
      <c r="G117" s="56"/>
      <c r="H117" s="56">
        <v>5719</v>
      </c>
      <c r="I117" s="56">
        <v>6</v>
      </c>
      <c r="J117" s="56" t="s">
        <v>1045</v>
      </c>
      <c r="K117" s="56" t="s">
        <v>1064</v>
      </c>
      <c r="L117" s="121">
        <v>46271</v>
      </c>
      <c r="M117" s="122">
        <v>0.19791666666666666</v>
      </c>
      <c r="N117" s="122">
        <v>0.2048611111111111</v>
      </c>
      <c r="O117" s="56" t="s">
        <v>1047</v>
      </c>
      <c r="P117" s="121">
        <v>46271</v>
      </c>
      <c r="Q117" s="122">
        <v>0.2673611111111111</v>
      </c>
      <c r="R117" s="122">
        <v>0.26231481481481483</v>
      </c>
      <c r="S117" s="56" t="s">
        <v>1047</v>
      </c>
      <c r="T117" s="56">
        <v>1</v>
      </c>
      <c r="U117" s="56">
        <v>43</v>
      </c>
      <c r="V117" s="56">
        <v>37.61</v>
      </c>
      <c r="W117" s="56">
        <v>41.9</v>
      </c>
      <c r="X117" s="56" t="s">
        <v>2624</v>
      </c>
      <c r="Y117" s="56" t="s">
        <v>2624</v>
      </c>
      <c r="Z117" s="56" t="s">
        <v>2624</v>
      </c>
      <c r="AA117" s="56" t="s">
        <v>144</v>
      </c>
      <c r="AB117" s="56">
        <v>14115536</v>
      </c>
      <c r="AC117" s="56" t="s">
        <v>144</v>
      </c>
      <c r="AD117" s="56">
        <v>14115536</v>
      </c>
      <c r="AE117" s="56" t="s">
        <v>2626</v>
      </c>
      <c r="AF117" s="56" t="s">
        <v>2627</v>
      </c>
      <c r="AG117" s="56" t="s">
        <v>2627</v>
      </c>
      <c r="AH117" s="56">
        <v>37</v>
      </c>
      <c r="AI117" s="56" t="s">
        <v>2628</v>
      </c>
      <c r="AJ117" s="56" t="s">
        <v>2629</v>
      </c>
      <c r="AK117" s="56">
        <v>0</v>
      </c>
      <c r="AL117" s="56" t="s">
        <v>2630</v>
      </c>
      <c r="AM117" s="56" t="s">
        <v>2631</v>
      </c>
      <c r="AN117" s="56" t="s">
        <v>2632</v>
      </c>
      <c r="AO117" s="56" t="s">
        <v>2627</v>
      </c>
      <c r="AP117" s="56" t="s">
        <v>2624</v>
      </c>
      <c r="AQ117" s="123">
        <v>6.9444444444444475E-3</v>
      </c>
      <c r="AR117" s="122">
        <v>-5.046296296296271E-3</v>
      </c>
      <c r="AS117" s="56" t="s">
        <v>1048</v>
      </c>
      <c r="AT117" s="56" t="s">
        <v>1049</v>
      </c>
      <c r="AU117" s="56" t="s">
        <v>1050</v>
      </c>
      <c r="AV117" s="56">
        <v>37</v>
      </c>
      <c r="AW117" s="56" t="s">
        <v>1051</v>
      </c>
      <c r="AX117" s="56" t="s">
        <v>2910</v>
      </c>
      <c r="AY117" s="56" t="s">
        <v>1066</v>
      </c>
      <c r="AZ117" s="56" t="s">
        <v>1067</v>
      </c>
      <c r="BA117" s="56" t="s">
        <v>2911</v>
      </c>
      <c r="BB117" s="56" t="s">
        <v>2912</v>
      </c>
      <c r="BC117" s="56" t="s">
        <v>1057</v>
      </c>
      <c r="BD117" s="56" t="s">
        <v>2913</v>
      </c>
    </row>
    <row r="118" spans="1:56" x14ac:dyDescent="0.2">
      <c r="A118" s="56">
        <v>176784262</v>
      </c>
      <c r="B118" s="56" t="s">
        <v>1077</v>
      </c>
      <c r="C118" s="56" t="s">
        <v>2623</v>
      </c>
      <c r="D118" s="56" t="s">
        <v>1078</v>
      </c>
      <c r="E118" s="56" t="s">
        <v>1044</v>
      </c>
      <c r="F118" s="56">
        <v>129</v>
      </c>
      <c r="G118" s="56"/>
      <c r="H118" s="56">
        <v>7915</v>
      </c>
      <c r="I118" s="56">
        <v>6</v>
      </c>
      <c r="J118" s="56" t="s">
        <v>1045</v>
      </c>
      <c r="K118" s="56" t="s">
        <v>1079</v>
      </c>
      <c r="L118" s="121">
        <v>46271</v>
      </c>
      <c r="M118" s="122">
        <v>0.20208333333333334</v>
      </c>
      <c r="N118" s="122">
        <v>0.20833333333333334</v>
      </c>
      <c r="O118" s="56" t="s">
        <v>1047</v>
      </c>
      <c r="P118" s="121">
        <v>46271</v>
      </c>
      <c r="Q118" s="122">
        <v>0.2673611111111111</v>
      </c>
      <c r="R118" s="122">
        <v>0.25846064814814818</v>
      </c>
      <c r="S118" s="56" t="s">
        <v>1047</v>
      </c>
      <c r="T118" s="56">
        <v>1</v>
      </c>
      <c r="U118" s="56">
        <v>42</v>
      </c>
      <c r="V118" s="56">
        <v>35.630000000000003</v>
      </c>
      <c r="W118" s="56">
        <v>36.380000000000003</v>
      </c>
      <c r="X118" s="56" t="s">
        <v>2624</v>
      </c>
      <c r="Y118" s="56" t="s">
        <v>2624</v>
      </c>
      <c r="Z118" s="56" t="s">
        <v>2624</v>
      </c>
      <c r="AA118" s="56" t="s">
        <v>243</v>
      </c>
      <c r="AB118" s="56">
        <v>14119324</v>
      </c>
      <c r="AC118" s="56" t="s">
        <v>243</v>
      </c>
      <c r="AD118" s="56">
        <v>14119324</v>
      </c>
      <c r="AE118" s="56" t="s">
        <v>2626</v>
      </c>
      <c r="AF118" s="56" t="s">
        <v>2627</v>
      </c>
      <c r="AG118" s="56" t="s">
        <v>2627</v>
      </c>
      <c r="AH118" s="56">
        <v>37</v>
      </c>
      <c r="AI118" s="56" t="s">
        <v>2628</v>
      </c>
      <c r="AJ118" s="56" t="s">
        <v>2629</v>
      </c>
      <c r="AK118" s="56">
        <v>0</v>
      </c>
      <c r="AL118" s="56" t="s">
        <v>2630</v>
      </c>
      <c r="AM118" s="56" t="s">
        <v>2631</v>
      </c>
      <c r="AN118" s="56" t="s">
        <v>2632</v>
      </c>
      <c r="AO118" s="56" t="s">
        <v>2627</v>
      </c>
      <c r="AP118" s="56" t="s">
        <v>2624</v>
      </c>
      <c r="AQ118" s="123">
        <v>6.2500000000000056E-3</v>
      </c>
      <c r="AR118" s="122">
        <v>-8.9004629629629295E-3</v>
      </c>
      <c r="AS118" s="56" t="s">
        <v>1048</v>
      </c>
      <c r="AT118" s="56" t="s">
        <v>1049</v>
      </c>
      <c r="AU118" s="56" t="s">
        <v>1050</v>
      </c>
      <c r="AV118" s="56">
        <v>37</v>
      </c>
      <c r="AW118" s="56" t="s">
        <v>1051</v>
      </c>
      <c r="AX118" s="56" t="s">
        <v>1080</v>
      </c>
      <c r="AY118" s="56" t="s">
        <v>1081</v>
      </c>
      <c r="AZ118" s="56" t="s">
        <v>1067</v>
      </c>
      <c r="BA118" s="56" t="s">
        <v>1082</v>
      </c>
      <c r="BB118" s="56" t="s">
        <v>1083</v>
      </c>
      <c r="BC118" s="56" t="s">
        <v>1057</v>
      </c>
      <c r="BD118" s="56" t="s">
        <v>1084</v>
      </c>
    </row>
    <row r="119" spans="1:56" x14ac:dyDescent="0.2">
      <c r="A119" s="56">
        <v>176780420</v>
      </c>
      <c r="B119" s="56" t="s">
        <v>2277</v>
      </c>
      <c r="C119" s="56" t="s">
        <v>2623</v>
      </c>
      <c r="D119" s="56" t="s">
        <v>2197</v>
      </c>
      <c r="E119" s="56" t="s">
        <v>1044</v>
      </c>
      <c r="F119" s="56">
        <v>7</v>
      </c>
      <c r="G119" s="56"/>
      <c r="H119" s="56">
        <v>5722</v>
      </c>
      <c r="I119" s="56">
        <v>6</v>
      </c>
      <c r="J119" s="56" t="s">
        <v>1045</v>
      </c>
      <c r="K119" s="56" t="s">
        <v>1123</v>
      </c>
      <c r="L119" s="121">
        <v>46271</v>
      </c>
      <c r="M119" s="122">
        <v>0.2048611111111111</v>
      </c>
      <c r="N119" s="122">
        <v>0.21180555555555555</v>
      </c>
      <c r="O119" s="56" t="s">
        <v>1047</v>
      </c>
      <c r="P119" s="121">
        <v>46271</v>
      </c>
      <c r="Q119" s="122">
        <v>0.27083333333333331</v>
      </c>
      <c r="R119" s="122">
        <v>0.26015046296296296</v>
      </c>
      <c r="S119" s="56" t="s">
        <v>1047</v>
      </c>
      <c r="T119" s="56">
        <v>1</v>
      </c>
      <c r="U119" s="56">
        <v>38</v>
      </c>
      <c r="V119" s="56">
        <v>31.77</v>
      </c>
      <c r="W119" s="56">
        <v>33.299999999999997</v>
      </c>
      <c r="X119" s="56" t="s">
        <v>2624</v>
      </c>
      <c r="Y119" s="56" t="s">
        <v>2624</v>
      </c>
      <c r="Z119" s="56" t="s">
        <v>2624</v>
      </c>
      <c r="AA119" s="56" t="s">
        <v>552</v>
      </c>
      <c r="AB119" s="56">
        <v>14123573</v>
      </c>
      <c r="AC119" s="56" t="s">
        <v>552</v>
      </c>
      <c r="AD119" s="56">
        <v>14123573</v>
      </c>
      <c r="AE119" s="56" t="s">
        <v>2626</v>
      </c>
      <c r="AF119" s="56" t="s">
        <v>2627</v>
      </c>
      <c r="AG119" s="56" t="s">
        <v>2627</v>
      </c>
      <c r="AH119" s="56">
        <v>37</v>
      </c>
      <c r="AI119" s="56" t="s">
        <v>2628</v>
      </c>
      <c r="AJ119" s="56" t="s">
        <v>2629</v>
      </c>
      <c r="AK119" s="56">
        <v>612.41</v>
      </c>
      <c r="AL119" s="56" t="s">
        <v>2630</v>
      </c>
      <c r="AM119" s="56" t="s">
        <v>2631</v>
      </c>
      <c r="AN119" s="56" t="s">
        <v>2632</v>
      </c>
      <c r="AO119" s="56" t="s">
        <v>2627</v>
      </c>
      <c r="AP119" s="56">
        <v>10</v>
      </c>
      <c r="AQ119" s="123">
        <v>6.9444444444444475E-3</v>
      </c>
      <c r="AR119" s="122">
        <v>-1.0682870370370356E-2</v>
      </c>
      <c r="AS119" s="56" t="s">
        <v>1048</v>
      </c>
      <c r="AT119" s="56" t="s">
        <v>1049</v>
      </c>
      <c r="AU119" s="56" t="s">
        <v>1050</v>
      </c>
      <c r="AV119" s="56">
        <v>37</v>
      </c>
      <c r="AW119" s="56" t="s">
        <v>1051</v>
      </c>
      <c r="AX119" s="56" t="s">
        <v>2198</v>
      </c>
      <c r="AY119" s="56" t="s">
        <v>1124</v>
      </c>
      <c r="AZ119" s="56" t="s">
        <v>1054</v>
      </c>
      <c r="BA119" s="56" t="s">
        <v>2199</v>
      </c>
      <c r="BB119" s="56" t="s">
        <v>2200</v>
      </c>
      <c r="BC119" s="56" t="s">
        <v>1057</v>
      </c>
      <c r="BD119" s="56" t="s">
        <v>2278</v>
      </c>
    </row>
    <row r="120" spans="1:56" x14ac:dyDescent="0.2">
      <c r="A120" s="56">
        <v>176784259</v>
      </c>
      <c r="B120" s="56" t="s">
        <v>2914</v>
      </c>
      <c r="C120" s="56" t="s">
        <v>2623</v>
      </c>
      <c r="D120" s="56" t="s">
        <v>2915</v>
      </c>
      <c r="E120" s="56" t="s">
        <v>1044</v>
      </c>
      <c r="F120" s="56">
        <v>128</v>
      </c>
      <c r="G120" s="56"/>
      <c r="H120" s="56">
        <v>17345</v>
      </c>
      <c r="I120" s="56">
        <v>6</v>
      </c>
      <c r="J120" s="56" t="s">
        <v>1045</v>
      </c>
      <c r="K120" s="56" t="s">
        <v>1079</v>
      </c>
      <c r="L120" s="121">
        <v>46271</v>
      </c>
      <c r="M120" s="122">
        <v>0.2048611111111111</v>
      </c>
      <c r="N120" s="122">
        <v>0.21875</v>
      </c>
      <c r="O120" s="56" t="s">
        <v>1047</v>
      </c>
      <c r="P120" s="121">
        <v>46271</v>
      </c>
      <c r="Q120" s="122">
        <v>0.2673611111111111</v>
      </c>
      <c r="R120" s="122">
        <v>0.25107638888888889</v>
      </c>
      <c r="S120" s="56" t="s">
        <v>1047</v>
      </c>
      <c r="T120" s="56">
        <v>1</v>
      </c>
      <c r="U120" s="56">
        <v>40</v>
      </c>
      <c r="V120" s="56">
        <v>-33699.58</v>
      </c>
      <c r="W120" s="56">
        <v>-269849.06</v>
      </c>
      <c r="X120" s="56">
        <v>13.17</v>
      </c>
      <c r="Y120" s="56">
        <v>269862.23</v>
      </c>
      <c r="Z120" s="56">
        <v>0</v>
      </c>
      <c r="AA120" s="56" t="s">
        <v>89</v>
      </c>
      <c r="AB120" s="56">
        <v>14109435</v>
      </c>
      <c r="AC120" s="56" t="s">
        <v>89</v>
      </c>
      <c r="AD120" s="56">
        <v>14109435</v>
      </c>
      <c r="AE120" s="56" t="s">
        <v>2626</v>
      </c>
      <c r="AF120" s="56" t="s">
        <v>2627</v>
      </c>
      <c r="AG120" s="56" t="s">
        <v>2627</v>
      </c>
      <c r="AH120" s="56">
        <v>37</v>
      </c>
      <c r="AI120" s="56" t="s">
        <v>2628</v>
      </c>
      <c r="AJ120" s="56" t="s">
        <v>2629</v>
      </c>
      <c r="AK120" s="56">
        <v>0</v>
      </c>
      <c r="AL120" s="56" t="s">
        <v>2630</v>
      </c>
      <c r="AM120" s="56" t="s">
        <v>2631</v>
      </c>
      <c r="AN120" s="56" t="s">
        <v>2632</v>
      </c>
      <c r="AO120" s="56" t="s">
        <v>2627</v>
      </c>
      <c r="AP120" s="56" t="s">
        <v>2624</v>
      </c>
      <c r="AQ120" s="123">
        <v>1.3888888888888895E-2</v>
      </c>
      <c r="AR120" s="122">
        <v>-1.6284722222222214E-2</v>
      </c>
      <c r="AS120" s="56" t="s">
        <v>1048</v>
      </c>
      <c r="AT120" s="56" t="s">
        <v>1049</v>
      </c>
      <c r="AU120" s="56" t="s">
        <v>1050</v>
      </c>
      <c r="AV120" s="56">
        <v>37</v>
      </c>
      <c r="AW120" s="56" t="s">
        <v>1051</v>
      </c>
      <c r="AX120" s="56" t="s">
        <v>2916</v>
      </c>
      <c r="AY120" s="56" t="s">
        <v>1081</v>
      </c>
      <c r="AZ120" s="56" t="s">
        <v>1067</v>
      </c>
      <c r="BA120" s="56" t="s">
        <v>2917</v>
      </c>
      <c r="BB120" s="56" t="s">
        <v>2918</v>
      </c>
      <c r="BC120" s="56" t="s">
        <v>1057</v>
      </c>
      <c r="BD120" s="56" t="s">
        <v>2919</v>
      </c>
    </row>
    <row r="121" spans="1:56" x14ac:dyDescent="0.2">
      <c r="A121" s="56">
        <v>176783410</v>
      </c>
      <c r="B121" s="56" t="s">
        <v>1089</v>
      </c>
      <c r="C121" s="56" t="s">
        <v>2623</v>
      </c>
      <c r="D121" s="56" t="s">
        <v>1090</v>
      </c>
      <c r="E121" s="56" t="s">
        <v>1044</v>
      </c>
      <c r="F121" s="56">
        <v>28</v>
      </c>
      <c r="G121" s="56"/>
      <c r="H121" s="56">
        <v>16733</v>
      </c>
      <c r="I121" s="56">
        <v>6</v>
      </c>
      <c r="J121" s="56" t="s">
        <v>1045</v>
      </c>
      <c r="K121" s="56" t="s">
        <v>1091</v>
      </c>
      <c r="L121" s="121">
        <v>46271</v>
      </c>
      <c r="M121" s="122">
        <v>0.20833333333333334</v>
      </c>
      <c r="N121" s="122">
        <v>0.21736111111111112</v>
      </c>
      <c r="O121" s="56" t="s">
        <v>1047</v>
      </c>
      <c r="P121" s="121">
        <v>46271</v>
      </c>
      <c r="Q121" s="122">
        <v>0.2673611111111111</v>
      </c>
      <c r="R121" s="122">
        <v>0.25431712962962966</v>
      </c>
      <c r="S121" s="56" t="s">
        <v>1047</v>
      </c>
      <c r="T121" s="56">
        <v>1</v>
      </c>
      <c r="U121" s="56">
        <v>28</v>
      </c>
      <c r="V121" s="56">
        <v>23.51</v>
      </c>
      <c r="W121" s="56">
        <v>22.84</v>
      </c>
      <c r="X121" s="56" t="s">
        <v>2624</v>
      </c>
      <c r="Y121" s="56" t="s">
        <v>2624</v>
      </c>
      <c r="Z121" s="56" t="s">
        <v>2624</v>
      </c>
      <c r="AA121" s="56" t="s">
        <v>430</v>
      </c>
      <c r="AB121" s="56">
        <v>14122510</v>
      </c>
      <c r="AC121" s="56" t="s">
        <v>430</v>
      </c>
      <c r="AD121" s="56">
        <v>14122510</v>
      </c>
      <c r="AE121" s="56" t="s">
        <v>2626</v>
      </c>
      <c r="AF121" s="56" t="s">
        <v>2627</v>
      </c>
      <c r="AG121" s="56" t="s">
        <v>2627</v>
      </c>
      <c r="AH121" s="56">
        <v>37</v>
      </c>
      <c r="AI121" s="56" t="s">
        <v>2628</v>
      </c>
      <c r="AJ121" s="56" t="s">
        <v>2629</v>
      </c>
      <c r="AK121" s="56">
        <v>0</v>
      </c>
      <c r="AL121" s="56" t="s">
        <v>2630</v>
      </c>
      <c r="AM121" s="56" t="s">
        <v>2631</v>
      </c>
      <c r="AN121" s="56" t="s">
        <v>2632</v>
      </c>
      <c r="AO121" s="56" t="s">
        <v>2627</v>
      </c>
      <c r="AP121" s="56" t="s">
        <v>2624</v>
      </c>
      <c r="AQ121" s="123">
        <v>9.0277777777777735E-3</v>
      </c>
      <c r="AR121" s="122">
        <v>-1.3043981481481448E-2</v>
      </c>
      <c r="AS121" s="56" t="s">
        <v>1048</v>
      </c>
      <c r="AT121" s="56" t="s">
        <v>1049</v>
      </c>
      <c r="AU121" s="56" t="s">
        <v>1050</v>
      </c>
      <c r="AV121" s="56">
        <v>37</v>
      </c>
      <c r="AW121" s="56" t="s">
        <v>1051</v>
      </c>
      <c r="AX121" s="56" t="s">
        <v>1092</v>
      </c>
      <c r="AY121" s="56" t="s">
        <v>1093</v>
      </c>
      <c r="AZ121" s="56" t="s">
        <v>1067</v>
      </c>
      <c r="BA121" s="56" t="s">
        <v>1094</v>
      </c>
      <c r="BB121" s="56" t="s">
        <v>1095</v>
      </c>
      <c r="BC121" s="56" t="s">
        <v>1057</v>
      </c>
      <c r="BD121" s="56" t="s">
        <v>1096</v>
      </c>
    </row>
    <row r="122" spans="1:56" x14ac:dyDescent="0.2">
      <c r="A122" s="56">
        <v>176783960</v>
      </c>
      <c r="B122" s="56" t="s">
        <v>2920</v>
      </c>
      <c r="C122" s="56" t="s">
        <v>2623</v>
      </c>
      <c r="D122" s="56" t="s">
        <v>1440</v>
      </c>
      <c r="E122" s="56" t="s">
        <v>1044</v>
      </c>
      <c r="F122" s="56">
        <v>14</v>
      </c>
      <c r="G122" s="56"/>
      <c r="H122" s="56">
        <v>15333</v>
      </c>
      <c r="I122" s="56">
        <v>6</v>
      </c>
      <c r="J122" s="56" t="s">
        <v>1045</v>
      </c>
      <c r="K122" s="56" t="s">
        <v>1209</v>
      </c>
      <c r="L122" s="121">
        <v>46271</v>
      </c>
      <c r="M122" s="122">
        <v>0.20833333333333334</v>
      </c>
      <c r="N122" s="122">
        <v>0.21249999999999999</v>
      </c>
      <c r="O122" s="56" t="s">
        <v>1047</v>
      </c>
      <c r="P122" s="121">
        <v>46271</v>
      </c>
      <c r="Q122" s="122">
        <v>0.26041666666666669</v>
      </c>
      <c r="R122" s="122">
        <v>0.25790509259259259</v>
      </c>
      <c r="S122" s="56" t="s">
        <v>1047</v>
      </c>
      <c r="T122" s="56">
        <v>1</v>
      </c>
      <c r="U122" s="56">
        <v>27</v>
      </c>
      <c r="V122" s="56">
        <v>23.23</v>
      </c>
      <c r="W122" s="56">
        <v>22.99</v>
      </c>
      <c r="X122" s="56" t="s">
        <v>2624</v>
      </c>
      <c r="Y122" s="56" t="s">
        <v>2624</v>
      </c>
      <c r="Z122" s="56" t="s">
        <v>2624</v>
      </c>
      <c r="AA122" s="56"/>
      <c r="AB122" s="56"/>
      <c r="AC122" s="56" t="s">
        <v>1187</v>
      </c>
      <c r="AD122" s="56"/>
      <c r="AE122" s="56" t="s">
        <v>2626</v>
      </c>
      <c r="AF122" s="56" t="s">
        <v>2627</v>
      </c>
      <c r="AG122" s="56" t="s">
        <v>2627</v>
      </c>
      <c r="AH122" s="56">
        <v>37</v>
      </c>
      <c r="AI122" s="56" t="s">
        <v>2628</v>
      </c>
      <c r="AJ122" s="56" t="s">
        <v>2629</v>
      </c>
      <c r="AK122" s="56">
        <v>726</v>
      </c>
      <c r="AL122" s="56" t="s">
        <v>2630</v>
      </c>
      <c r="AM122" s="56" t="s">
        <v>2631</v>
      </c>
      <c r="AN122" s="56" t="s">
        <v>2632</v>
      </c>
      <c r="AO122" s="56" t="s">
        <v>2627</v>
      </c>
      <c r="AP122" s="56">
        <v>433132</v>
      </c>
      <c r="AQ122" s="123">
        <v>4.1666666666666519E-3</v>
      </c>
      <c r="AR122" s="122">
        <v>-2.5115740740740966E-3</v>
      </c>
      <c r="AS122" s="56" t="s">
        <v>1048</v>
      </c>
      <c r="AT122" s="56" t="s">
        <v>1049</v>
      </c>
      <c r="AU122" s="56" t="s">
        <v>1050</v>
      </c>
      <c r="AV122" s="56">
        <v>37</v>
      </c>
      <c r="AW122" s="56" t="s">
        <v>1051</v>
      </c>
      <c r="AX122" s="56" t="s">
        <v>1441</v>
      </c>
      <c r="AY122" s="56" t="s">
        <v>1061</v>
      </c>
      <c r="AZ122" s="56" t="s">
        <v>1062</v>
      </c>
      <c r="BA122" s="56" t="s">
        <v>1442</v>
      </c>
      <c r="BB122" s="56" t="s">
        <v>1443</v>
      </c>
      <c r="BC122" s="56" t="s">
        <v>1057</v>
      </c>
      <c r="BD122" s="56" t="s">
        <v>2921</v>
      </c>
    </row>
    <row r="123" spans="1:56" x14ac:dyDescent="0.2">
      <c r="A123" s="56">
        <v>176784277</v>
      </c>
      <c r="B123" s="56" t="s">
        <v>2922</v>
      </c>
      <c r="C123" s="56" t="s">
        <v>2623</v>
      </c>
      <c r="D123" s="56" t="s">
        <v>2923</v>
      </c>
      <c r="E123" s="56" t="s">
        <v>1044</v>
      </c>
      <c r="F123" s="56">
        <v>137</v>
      </c>
      <c r="G123" s="56"/>
      <c r="H123" s="56">
        <v>16769</v>
      </c>
      <c r="I123" s="56">
        <v>6</v>
      </c>
      <c r="J123" s="56" t="s">
        <v>1045</v>
      </c>
      <c r="K123" s="56" t="s">
        <v>1079</v>
      </c>
      <c r="L123" s="121">
        <v>46271</v>
      </c>
      <c r="M123" s="122">
        <v>0.20833333333333334</v>
      </c>
      <c r="N123" s="122">
        <v>0.21180555555555555</v>
      </c>
      <c r="O123" s="56" t="s">
        <v>1047</v>
      </c>
      <c r="P123" s="121">
        <v>46271</v>
      </c>
      <c r="Q123" s="122">
        <v>0.2673611111111111</v>
      </c>
      <c r="R123" s="122">
        <v>0.25354166666666667</v>
      </c>
      <c r="S123" s="56" t="s">
        <v>1047</v>
      </c>
      <c r="T123" s="56">
        <v>1</v>
      </c>
      <c r="U123" s="56">
        <v>37</v>
      </c>
      <c r="V123" s="56">
        <v>33.03</v>
      </c>
      <c r="W123" s="56">
        <v>33.89</v>
      </c>
      <c r="X123" s="56" t="s">
        <v>2624</v>
      </c>
      <c r="Y123" s="56" t="s">
        <v>2624</v>
      </c>
      <c r="Z123" s="56" t="s">
        <v>2624</v>
      </c>
      <c r="AA123" s="56" t="s">
        <v>80</v>
      </c>
      <c r="AB123" s="56">
        <v>14108916</v>
      </c>
      <c r="AC123" s="56" t="s">
        <v>80</v>
      </c>
      <c r="AD123" s="56">
        <v>14108916</v>
      </c>
      <c r="AE123" s="56" t="s">
        <v>2626</v>
      </c>
      <c r="AF123" s="56" t="s">
        <v>2627</v>
      </c>
      <c r="AG123" s="56" t="s">
        <v>2627</v>
      </c>
      <c r="AH123" s="56">
        <v>37</v>
      </c>
      <c r="AI123" s="56" t="s">
        <v>2628</v>
      </c>
      <c r="AJ123" s="56" t="s">
        <v>2629</v>
      </c>
      <c r="AK123" s="56">
        <v>0</v>
      </c>
      <c r="AL123" s="56" t="s">
        <v>2630</v>
      </c>
      <c r="AM123" s="56" t="s">
        <v>2631</v>
      </c>
      <c r="AN123" s="56" t="s">
        <v>2632</v>
      </c>
      <c r="AO123" s="56" t="s">
        <v>2627</v>
      </c>
      <c r="AP123" s="56">
        <v>4</v>
      </c>
      <c r="AQ123" s="123">
        <v>3.4722222222222099E-3</v>
      </c>
      <c r="AR123" s="122">
        <v>-1.381944444444444E-2</v>
      </c>
      <c r="AS123" s="56" t="s">
        <v>1048</v>
      </c>
      <c r="AT123" s="56" t="s">
        <v>1049</v>
      </c>
      <c r="AU123" s="56" t="s">
        <v>1050</v>
      </c>
      <c r="AV123" s="56">
        <v>37</v>
      </c>
      <c r="AW123" s="56" t="s">
        <v>1051</v>
      </c>
      <c r="AX123" s="56" t="s">
        <v>2924</v>
      </c>
      <c r="AY123" s="56" t="s">
        <v>1081</v>
      </c>
      <c r="AZ123" s="56" t="s">
        <v>1067</v>
      </c>
      <c r="BA123" s="56" t="s">
        <v>2925</v>
      </c>
      <c r="BB123" s="56" t="s">
        <v>2926</v>
      </c>
      <c r="BC123" s="56" t="s">
        <v>1057</v>
      </c>
      <c r="BD123" s="56" t="s">
        <v>2927</v>
      </c>
    </row>
    <row r="124" spans="1:56" x14ac:dyDescent="0.2">
      <c r="A124" s="56">
        <v>176784283</v>
      </c>
      <c r="B124" s="56" t="s">
        <v>2928</v>
      </c>
      <c r="C124" s="56" t="s">
        <v>2623</v>
      </c>
      <c r="D124" s="56" t="s">
        <v>2929</v>
      </c>
      <c r="E124" s="56" t="s">
        <v>1044</v>
      </c>
      <c r="F124" s="56">
        <v>139</v>
      </c>
      <c r="G124" s="56"/>
      <c r="H124" s="56">
        <v>6353</v>
      </c>
      <c r="I124" s="56">
        <v>6</v>
      </c>
      <c r="J124" s="56" t="s">
        <v>1045</v>
      </c>
      <c r="K124" s="56" t="s">
        <v>1079</v>
      </c>
      <c r="L124" s="121">
        <v>46271</v>
      </c>
      <c r="M124" s="122">
        <v>0.20833333333333334</v>
      </c>
      <c r="N124" s="122">
        <v>0.21319444444444444</v>
      </c>
      <c r="O124" s="56" t="s">
        <v>1047</v>
      </c>
      <c r="P124" s="121">
        <v>46271</v>
      </c>
      <c r="Q124" s="122">
        <v>0.2673611111111111</v>
      </c>
      <c r="R124" s="122">
        <v>0.26807870370370368</v>
      </c>
      <c r="S124" s="56" t="s">
        <v>1047</v>
      </c>
      <c r="T124" s="56">
        <v>1</v>
      </c>
      <c r="U124" s="56">
        <v>40</v>
      </c>
      <c r="V124" s="56">
        <v>39.32</v>
      </c>
      <c r="W124" s="56">
        <v>39.200000000000003</v>
      </c>
      <c r="X124" s="56" t="s">
        <v>2624</v>
      </c>
      <c r="Y124" s="56" t="s">
        <v>2624</v>
      </c>
      <c r="Z124" s="56" t="s">
        <v>2624</v>
      </c>
      <c r="AA124" s="56" t="s">
        <v>1637</v>
      </c>
      <c r="AB124" s="56">
        <v>14121860</v>
      </c>
      <c r="AC124" s="56" t="s">
        <v>1637</v>
      </c>
      <c r="AD124" s="56">
        <v>14121860</v>
      </c>
      <c r="AE124" s="56" t="s">
        <v>2626</v>
      </c>
      <c r="AF124" s="56" t="s">
        <v>2627</v>
      </c>
      <c r="AG124" s="56" t="s">
        <v>2627</v>
      </c>
      <c r="AH124" s="56">
        <v>37</v>
      </c>
      <c r="AI124" s="56" t="s">
        <v>2628</v>
      </c>
      <c r="AJ124" s="56" t="s">
        <v>2640</v>
      </c>
      <c r="AK124" s="56">
        <v>0</v>
      </c>
      <c r="AL124" s="56" t="s">
        <v>2630</v>
      </c>
      <c r="AM124" s="56" t="s">
        <v>2631</v>
      </c>
      <c r="AN124" s="56" t="s">
        <v>2632</v>
      </c>
      <c r="AO124" s="56" t="s">
        <v>2627</v>
      </c>
      <c r="AP124" s="56" t="s">
        <v>2624</v>
      </c>
      <c r="AQ124" s="123">
        <v>4.8611111111110938E-3</v>
      </c>
      <c r="AR124" s="122">
        <v>7.1759259259257524E-4</v>
      </c>
      <c r="AS124" s="56" t="s">
        <v>1048</v>
      </c>
      <c r="AT124" s="56" t="s">
        <v>1049</v>
      </c>
      <c r="AU124" s="56" t="s">
        <v>1050</v>
      </c>
      <c r="AV124" s="56">
        <v>37</v>
      </c>
      <c r="AW124" s="56" t="s">
        <v>1051</v>
      </c>
      <c r="AX124" s="56" t="s">
        <v>2930</v>
      </c>
      <c r="AY124" s="56" t="s">
        <v>1081</v>
      </c>
      <c r="AZ124" s="56" t="s">
        <v>1067</v>
      </c>
      <c r="BA124" s="56" t="s">
        <v>2931</v>
      </c>
      <c r="BB124" s="56" t="s">
        <v>2932</v>
      </c>
      <c r="BC124" s="56" t="s">
        <v>1057</v>
      </c>
      <c r="BD124" s="56" t="s">
        <v>2933</v>
      </c>
    </row>
    <row r="125" spans="1:56" x14ac:dyDescent="0.2">
      <c r="A125" s="56">
        <v>176789067</v>
      </c>
      <c r="B125" s="56" t="s">
        <v>2641</v>
      </c>
      <c r="C125" s="56" t="s">
        <v>2623</v>
      </c>
      <c r="D125" s="56" t="s">
        <v>1178</v>
      </c>
      <c r="E125" s="56" t="s">
        <v>1044</v>
      </c>
      <c r="F125" s="56">
        <v>9</v>
      </c>
      <c r="G125" s="56"/>
      <c r="H125" s="56">
        <v>7657</v>
      </c>
      <c r="I125" s="56">
        <v>6</v>
      </c>
      <c r="J125" s="56" t="s">
        <v>1045</v>
      </c>
      <c r="K125" s="56" t="s">
        <v>2048</v>
      </c>
      <c r="L125" s="121">
        <v>46271</v>
      </c>
      <c r="M125" s="122">
        <v>0.20833333333333334</v>
      </c>
      <c r="N125" s="122">
        <v>0.22569444444444445</v>
      </c>
      <c r="O125" s="56" t="s">
        <v>1047</v>
      </c>
      <c r="P125" s="121">
        <v>46271</v>
      </c>
      <c r="Q125" s="122">
        <v>0.23958333333333334</v>
      </c>
      <c r="R125" s="122">
        <v>0.2638888888888889</v>
      </c>
      <c r="S125" s="56" t="s">
        <v>1047</v>
      </c>
      <c r="T125" s="56">
        <v>1</v>
      </c>
      <c r="U125" s="56">
        <v>21</v>
      </c>
      <c r="V125" s="56">
        <v>18.68</v>
      </c>
      <c r="W125" s="56">
        <v>16.72</v>
      </c>
      <c r="X125" s="56">
        <v>37.119999999999997</v>
      </c>
      <c r="Y125" s="56">
        <v>6.78</v>
      </c>
      <c r="Z125" s="56">
        <v>13.62</v>
      </c>
      <c r="AA125" s="56" t="s">
        <v>1662</v>
      </c>
      <c r="AB125" s="56">
        <v>14115820</v>
      </c>
      <c r="AC125" s="56" t="s">
        <v>1662</v>
      </c>
      <c r="AD125" s="56">
        <v>14115820</v>
      </c>
      <c r="AE125" s="56" t="s">
        <v>2626</v>
      </c>
      <c r="AF125" s="56" t="s">
        <v>2627</v>
      </c>
      <c r="AG125" s="56" t="s">
        <v>2627</v>
      </c>
      <c r="AH125" s="56">
        <v>37</v>
      </c>
      <c r="AI125" s="56" t="s">
        <v>2628</v>
      </c>
      <c r="AJ125" s="56" t="s">
        <v>2640</v>
      </c>
      <c r="AK125" s="56" t="s">
        <v>2624</v>
      </c>
      <c r="AL125" s="56" t="s">
        <v>2630</v>
      </c>
      <c r="AM125" s="56" t="s">
        <v>2632</v>
      </c>
      <c r="AN125" s="56" t="s">
        <v>2632</v>
      </c>
      <c r="AO125" s="56" t="s">
        <v>2627</v>
      </c>
      <c r="AP125" s="56" t="s">
        <v>2624</v>
      </c>
      <c r="AQ125" s="123">
        <v>1.7361111111111105E-2</v>
      </c>
      <c r="AR125" s="122">
        <v>2.4305555555555552E-2</v>
      </c>
      <c r="AS125" s="56" t="s">
        <v>1048</v>
      </c>
      <c r="AT125" s="56" t="s">
        <v>1059</v>
      </c>
      <c r="AU125" s="56" t="s">
        <v>1060</v>
      </c>
      <c r="AV125" s="56">
        <v>37</v>
      </c>
      <c r="AW125" s="56" t="s">
        <v>1051</v>
      </c>
      <c r="AX125" s="56" t="s">
        <v>2642</v>
      </c>
      <c r="AY125" s="56" t="s">
        <v>1124</v>
      </c>
      <c r="AZ125" s="56" t="s">
        <v>1054</v>
      </c>
      <c r="BA125" s="56" t="s">
        <v>2643</v>
      </c>
      <c r="BB125" s="56" t="e">
        <v>#N/A</v>
      </c>
      <c r="BC125" s="56" t="s">
        <v>1057</v>
      </c>
      <c r="BD125" s="56" t="s">
        <v>2644</v>
      </c>
    </row>
    <row r="126" spans="1:56" x14ac:dyDescent="0.2">
      <c r="A126" s="56">
        <v>176783421</v>
      </c>
      <c r="B126" s="56" t="s">
        <v>2934</v>
      </c>
      <c r="C126" s="56" t="s">
        <v>2623</v>
      </c>
      <c r="D126" s="56" t="s">
        <v>2935</v>
      </c>
      <c r="E126" s="56" t="s">
        <v>1044</v>
      </c>
      <c r="F126" s="56">
        <v>35</v>
      </c>
      <c r="G126" s="56"/>
      <c r="H126" s="56">
        <v>17356</v>
      </c>
      <c r="I126" s="56">
        <v>6</v>
      </c>
      <c r="J126" s="56" t="s">
        <v>1045</v>
      </c>
      <c r="K126" s="56" t="s">
        <v>1091</v>
      </c>
      <c r="L126" s="121">
        <v>46271</v>
      </c>
      <c r="M126" s="122">
        <v>0.20902777777777778</v>
      </c>
      <c r="N126" s="122">
        <v>0.22430555555555556</v>
      </c>
      <c r="O126" s="56" t="s">
        <v>1047</v>
      </c>
      <c r="P126" s="121">
        <v>46271</v>
      </c>
      <c r="Q126" s="122">
        <v>0.2673611111111111</v>
      </c>
      <c r="R126" s="122">
        <v>0.26643518518518516</v>
      </c>
      <c r="S126" s="56" t="s">
        <v>1047</v>
      </c>
      <c r="T126" s="56">
        <v>1</v>
      </c>
      <c r="U126" s="56">
        <v>39</v>
      </c>
      <c r="V126" s="56">
        <v>34.520000000000003</v>
      </c>
      <c r="W126" s="56">
        <v>34.369999999999997</v>
      </c>
      <c r="X126" s="56" t="s">
        <v>2624</v>
      </c>
      <c r="Y126" s="56" t="s">
        <v>2624</v>
      </c>
      <c r="Z126" s="56" t="s">
        <v>2624</v>
      </c>
      <c r="AA126" s="56" t="s">
        <v>1421</v>
      </c>
      <c r="AB126" s="56">
        <v>14109134</v>
      </c>
      <c r="AC126" s="56" t="s">
        <v>1421</v>
      </c>
      <c r="AD126" s="56">
        <v>14109134</v>
      </c>
      <c r="AE126" s="56" t="s">
        <v>2626</v>
      </c>
      <c r="AF126" s="56" t="s">
        <v>2627</v>
      </c>
      <c r="AG126" s="56" t="s">
        <v>2627</v>
      </c>
      <c r="AH126" s="56">
        <v>37</v>
      </c>
      <c r="AI126" s="56" t="s">
        <v>2628</v>
      </c>
      <c r="AJ126" s="56" t="s">
        <v>2629</v>
      </c>
      <c r="AK126" s="56">
        <v>0</v>
      </c>
      <c r="AL126" s="56" t="s">
        <v>2630</v>
      </c>
      <c r="AM126" s="56" t="s">
        <v>2631</v>
      </c>
      <c r="AN126" s="56" t="s">
        <v>2632</v>
      </c>
      <c r="AO126" s="56" t="s">
        <v>2627</v>
      </c>
      <c r="AP126" s="56" t="s">
        <v>2624</v>
      </c>
      <c r="AQ126" s="123">
        <v>1.5277777777777779E-2</v>
      </c>
      <c r="AR126" s="122">
        <v>-9.2592592592594114E-4</v>
      </c>
      <c r="AS126" s="56" t="s">
        <v>1048</v>
      </c>
      <c r="AT126" s="56" t="s">
        <v>1049</v>
      </c>
      <c r="AU126" s="56" t="s">
        <v>1050</v>
      </c>
      <c r="AV126" s="56">
        <v>37</v>
      </c>
      <c r="AW126" s="56" t="s">
        <v>1051</v>
      </c>
      <c r="AX126" s="56" t="s">
        <v>2936</v>
      </c>
      <c r="AY126" s="56" t="s">
        <v>1093</v>
      </c>
      <c r="AZ126" s="56" t="s">
        <v>1067</v>
      </c>
      <c r="BA126" s="56" t="s">
        <v>2937</v>
      </c>
      <c r="BB126" s="56" t="s">
        <v>2938</v>
      </c>
      <c r="BC126" s="56" t="s">
        <v>1057</v>
      </c>
      <c r="BD126" s="56" t="s">
        <v>2939</v>
      </c>
    </row>
    <row r="127" spans="1:56" x14ac:dyDescent="0.2">
      <c r="A127" s="56">
        <v>176787323</v>
      </c>
      <c r="B127" s="56" t="s">
        <v>2040</v>
      </c>
      <c r="C127" s="56" t="s">
        <v>2623</v>
      </c>
      <c r="D127" s="56" t="s">
        <v>2041</v>
      </c>
      <c r="E127" s="56" t="s">
        <v>1044</v>
      </c>
      <c r="F127" s="56">
        <v>51</v>
      </c>
      <c r="G127" s="56"/>
      <c r="H127" s="56">
        <v>4165</v>
      </c>
      <c r="I127" s="56">
        <v>6</v>
      </c>
      <c r="J127" s="56" t="s">
        <v>1045</v>
      </c>
      <c r="K127" s="56" t="s">
        <v>1075</v>
      </c>
      <c r="L127" s="121">
        <v>46271</v>
      </c>
      <c r="M127" s="122">
        <v>0.21041666666666667</v>
      </c>
      <c r="N127" s="122">
        <v>0.21388888888888888</v>
      </c>
      <c r="O127" s="56" t="s">
        <v>1047</v>
      </c>
      <c r="P127" s="121">
        <v>46271</v>
      </c>
      <c r="Q127" s="122">
        <v>0.2673611111111111</v>
      </c>
      <c r="R127" s="122">
        <v>0.25890046296296299</v>
      </c>
      <c r="S127" s="56" t="s">
        <v>1047</v>
      </c>
      <c r="T127" s="56">
        <v>1</v>
      </c>
      <c r="U127" s="56">
        <v>41</v>
      </c>
      <c r="V127" s="56">
        <v>36.89</v>
      </c>
      <c r="W127" s="56">
        <v>39.369999999999997</v>
      </c>
      <c r="X127" s="56" t="s">
        <v>2624</v>
      </c>
      <c r="Y127" s="56" t="s">
        <v>2624</v>
      </c>
      <c r="Z127" s="56" t="s">
        <v>2624</v>
      </c>
      <c r="AA127" s="56" t="s">
        <v>965</v>
      </c>
      <c r="AB127" s="56">
        <v>14123789</v>
      </c>
      <c r="AC127" s="56" t="s">
        <v>965</v>
      </c>
      <c r="AD127" s="56">
        <v>14123789</v>
      </c>
      <c r="AE127" s="56" t="s">
        <v>2626</v>
      </c>
      <c r="AF127" s="56" t="s">
        <v>2627</v>
      </c>
      <c r="AG127" s="56" t="s">
        <v>2627</v>
      </c>
      <c r="AH127" s="56">
        <v>37</v>
      </c>
      <c r="AI127" s="56" t="s">
        <v>2628</v>
      </c>
      <c r="AJ127" s="56" t="s">
        <v>2629</v>
      </c>
      <c r="AK127" s="56">
        <v>0</v>
      </c>
      <c r="AL127" s="56" t="s">
        <v>2630</v>
      </c>
      <c r="AM127" s="56" t="s">
        <v>2631</v>
      </c>
      <c r="AN127" s="56" t="s">
        <v>2632</v>
      </c>
      <c r="AO127" s="56" t="s">
        <v>2627</v>
      </c>
      <c r="AP127" s="56" t="s">
        <v>2624</v>
      </c>
      <c r="AQ127" s="123">
        <v>3.4722222222222099E-3</v>
      </c>
      <c r="AR127" s="122">
        <v>-8.4606481481481199E-3</v>
      </c>
      <c r="AS127" s="56" t="s">
        <v>1048</v>
      </c>
      <c r="AT127" s="56" t="s">
        <v>1049</v>
      </c>
      <c r="AU127" s="56" t="s">
        <v>1050</v>
      </c>
      <c r="AV127" s="56">
        <v>37</v>
      </c>
      <c r="AW127" s="56" t="s">
        <v>1051</v>
      </c>
      <c r="AX127" s="56" t="s">
        <v>2042</v>
      </c>
      <c r="AY127" s="56" t="s">
        <v>1076</v>
      </c>
      <c r="AZ127" s="56" t="s">
        <v>1067</v>
      </c>
      <c r="BA127" s="56" t="s">
        <v>2043</v>
      </c>
      <c r="BB127" s="56" t="s">
        <v>2044</v>
      </c>
      <c r="BC127" s="56" t="s">
        <v>1057</v>
      </c>
      <c r="BD127" s="56" t="s">
        <v>2045</v>
      </c>
    </row>
    <row r="128" spans="1:56" x14ac:dyDescent="0.2">
      <c r="A128" s="56">
        <v>176783383</v>
      </c>
      <c r="B128" s="56" t="s">
        <v>1097</v>
      </c>
      <c r="C128" s="56" t="s">
        <v>2623</v>
      </c>
      <c r="D128" s="56" t="s">
        <v>1098</v>
      </c>
      <c r="E128" s="56" t="s">
        <v>1044</v>
      </c>
      <c r="F128" s="56">
        <v>15</v>
      </c>
      <c r="G128" s="56"/>
      <c r="H128" s="56">
        <v>13844</v>
      </c>
      <c r="I128" s="56">
        <v>6</v>
      </c>
      <c r="J128" s="56" t="s">
        <v>1045</v>
      </c>
      <c r="K128" s="56" t="s">
        <v>1091</v>
      </c>
      <c r="L128" s="121">
        <v>46271</v>
      </c>
      <c r="M128" s="122">
        <v>0.21180555555555555</v>
      </c>
      <c r="N128" s="122">
        <v>0.22291666666666668</v>
      </c>
      <c r="O128" s="56" t="s">
        <v>1047</v>
      </c>
      <c r="P128" s="121">
        <v>46271</v>
      </c>
      <c r="Q128" s="122">
        <v>0.2673611111111111</v>
      </c>
      <c r="R128" s="122">
        <v>0.26180555555555557</v>
      </c>
      <c r="S128" s="56" t="s">
        <v>1047</v>
      </c>
      <c r="T128" s="56">
        <v>1</v>
      </c>
      <c r="U128" s="56">
        <v>23</v>
      </c>
      <c r="V128" s="56">
        <v>20.16</v>
      </c>
      <c r="W128" s="56">
        <v>19.5</v>
      </c>
      <c r="X128" s="56">
        <v>21.54</v>
      </c>
      <c r="Y128" s="56">
        <v>0.79</v>
      </c>
      <c r="Z128" s="56">
        <v>1.25</v>
      </c>
      <c r="AA128" s="56" t="s">
        <v>412</v>
      </c>
      <c r="AB128" s="56">
        <v>14122329</v>
      </c>
      <c r="AC128" s="56" t="s">
        <v>412</v>
      </c>
      <c r="AD128" s="56">
        <v>14122329</v>
      </c>
      <c r="AE128" s="56" t="s">
        <v>2626</v>
      </c>
      <c r="AF128" s="56" t="s">
        <v>2627</v>
      </c>
      <c r="AG128" s="56" t="s">
        <v>2627</v>
      </c>
      <c r="AH128" s="56">
        <v>37</v>
      </c>
      <c r="AI128" s="56" t="s">
        <v>2628</v>
      </c>
      <c r="AJ128" s="56" t="s">
        <v>2629</v>
      </c>
      <c r="AK128" s="56">
        <v>0</v>
      </c>
      <c r="AL128" s="56" t="s">
        <v>2630</v>
      </c>
      <c r="AM128" s="56" t="s">
        <v>2631</v>
      </c>
      <c r="AN128" s="56" t="s">
        <v>2632</v>
      </c>
      <c r="AO128" s="56" t="s">
        <v>2627</v>
      </c>
      <c r="AP128" s="56" t="s">
        <v>2624</v>
      </c>
      <c r="AQ128" s="123">
        <v>1.1111111111111127E-2</v>
      </c>
      <c r="AR128" s="122">
        <v>-5.5555555555555358E-3</v>
      </c>
      <c r="AS128" s="56" t="s">
        <v>1048</v>
      </c>
      <c r="AT128" s="56" t="s">
        <v>1049</v>
      </c>
      <c r="AU128" s="56" t="s">
        <v>1050</v>
      </c>
      <c r="AV128" s="56">
        <v>37</v>
      </c>
      <c r="AW128" s="56" t="s">
        <v>1051</v>
      </c>
      <c r="AX128" s="56" t="s">
        <v>1100</v>
      </c>
      <c r="AY128" s="56" t="s">
        <v>1093</v>
      </c>
      <c r="AZ128" s="56" t="s">
        <v>1067</v>
      </c>
      <c r="BA128" s="56" t="s">
        <v>1101</v>
      </c>
      <c r="BB128" s="56" t="s">
        <v>1102</v>
      </c>
      <c r="BC128" s="56" t="s">
        <v>1057</v>
      </c>
      <c r="BD128" s="56" t="s">
        <v>1103</v>
      </c>
    </row>
    <row r="129" spans="1:56" x14ac:dyDescent="0.2">
      <c r="A129" s="56">
        <v>176787610</v>
      </c>
      <c r="B129" s="56" t="s">
        <v>1199</v>
      </c>
      <c r="C129" s="56" t="s">
        <v>2623</v>
      </c>
      <c r="D129" s="56" t="s">
        <v>1200</v>
      </c>
      <c r="E129" s="56" t="s">
        <v>1044</v>
      </c>
      <c r="F129" s="56">
        <v>89</v>
      </c>
      <c r="G129" s="56"/>
      <c r="H129" s="56">
        <v>4411</v>
      </c>
      <c r="I129" s="56">
        <v>6</v>
      </c>
      <c r="J129" s="56" t="s">
        <v>1045</v>
      </c>
      <c r="K129" s="56" t="s">
        <v>1075</v>
      </c>
      <c r="L129" s="121">
        <v>46271</v>
      </c>
      <c r="M129" s="122">
        <v>0.21180555555555555</v>
      </c>
      <c r="N129" s="122">
        <v>0.21666666666666667</v>
      </c>
      <c r="O129" s="56" t="s">
        <v>1047</v>
      </c>
      <c r="P129" s="121">
        <v>46271</v>
      </c>
      <c r="Q129" s="122">
        <v>0.2673611111111111</v>
      </c>
      <c r="R129" s="122">
        <v>0.25539351851851849</v>
      </c>
      <c r="S129" s="56" t="s">
        <v>1047</v>
      </c>
      <c r="T129" s="56">
        <v>1</v>
      </c>
      <c r="U129" s="56">
        <v>31</v>
      </c>
      <c r="V129" s="56">
        <v>28.67</v>
      </c>
      <c r="W129" s="56">
        <v>29.81</v>
      </c>
      <c r="X129" s="56" t="s">
        <v>2624</v>
      </c>
      <c r="Y129" s="56" t="s">
        <v>2624</v>
      </c>
      <c r="Z129" s="56" t="s">
        <v>2624</v>
      </c>
      <c r="AA129" s="56" t="s">
        <v>482</v>
      </c>
      <c r="AB129" s="56">
        <v>14123080</v>
      </c>
      <c r="AC129" s="56" t="s">
        <v>482</v>
      </c>
      <c r="AD129" s="56">
        <v>14123080</v>
      </c>
      <c r="AE129" s="56" t="s">
        <v>2626</v>
      </c>
      <c r="AF129" s="56" t="s">
        <v>2627</v>
      </c>
      <c r="AG129" s="56" t="s">
        <v>2627</v>
      </c>
      <c r="AH129" s="56">
        <v>37</v>
      </c>
      <c r="AI129" s="56" t="s">
        <v>2628</v>
      </c>
      <c r="AJ129" s="56" t="s">
        <v>2629</v>
      </c>
      <c r="AK129" s="56">
        <v>0</v>
      </c>
      <c r="AL129" s="56" t="s">
        <v>2630</v>
      </c>
      <c r="AM129" s="56" t="s">
        <v>2631</v>
      </c>
      <c r="AN129" s="56" t="s">
        <v>2632</v>
      </c>
      <c r="AO129" s="56" t="s">
        <v>2627</v>
      </c>
      <c r="AP129" s="56" t="s">
        <v>2624</v>
      </c>
      <c r="AQ129" s="123">
        <v>4.8611111111111216E-3</v>
      </c>
      <c r="AR129" s="122">
        <v>-1.1967592592592613E-2</v>
      </c>
      <c r="AS129" s="56" t="s">
        <v>1048</v>
      </c>
      <c r="AT129" s="56" t="s">
        <v>1049</v>
      </c>
      <c r="AU129" s="56" t="s">
        <v>1050</v>
      </c>
      <c r="AV129" s="56">
        <v>37</v>
      </c>
      <c r="AW129" s="56" t="s">
        <v>1051</v>
      </c>
      <c r="AX129" s="56" t="s">
        <v>1201</v>
      </c>
      <c r="AY129" s="56" t="s">
        <v>1076</v>
      </c>
      <c r="AZ129" s="56" t="s">
        <v>1067</v>
      </c>
      <c r="BA129" s="56" t="s">
        <v>1202</v>
      </c>
      <c r="BB129" s="56" t="s">
        <v>1203</v>
      </c>
      <c r="BC129" s="56" t="s">
        <v>1057</v>
      </c>
      <c r="BD129" s="56" t="s">
        <v>1204</v>
      </c>
    </row>
    <row r="130" spans="1:56" x14ac:dyDescent="0.2">
      <c r="A130" s="56">
        <v>176783397</v>
      </c>
      <c r="B130" s="56" t="s">
        <v>2940</v>
      </c>
      <c r="C130" s="56" t="s">
        <v>2623</v>
      </c>
      <c r="D130" s="56" t="s">
        <v>2941</v>
      </c>
      <c r="E130" s="56" t="s">
        <v>1044</v>
      </c>
      <c r="F130" s="56">
        <v>23</v>
      </c>
      <c r="G130" s="56"/>
      <c r="H130" s="56">
        <v>5437</v>
      </c>
      <c r="I130" s="56">
        <v>6</v>
      </c>
      <c r="J130" s="56" t="s">
        <v>1045</v>
      </c>
      <c r="K130" s="56" t="s">
        <v>1091</v>
      </c>
      <c r="L130" s="121">
        <v>46271</v>
      </c>
      <c r="M130" s="122">
        <v>0.21388888888888888</v>
      </c>
      <c r="N130" s="122">
        <v>0.22083333333333333</v>
      </c>
      <c r="O130" s="56" t="s">
        <v>1047</v>
      </c>
      <c r="P130" s="121">
        <v>46271</v>
      </c>
      <c r="Q130" s="122">
        <v>0.2673611111111111</v>
      </c>
      <c r="R130" s="122">
        <v>0.27028935185185188</v>
      </c>
      <c r="S130" s="56" t="s">
        <v>1047</v>
      </c>
      <c r="T130" s="56">
        <v>1</v>
      </c>
      <c r="U130" s="56">
        <v>27</v>
      </c>
      <c r="V130" s="56">
        <v>23.13</v>
      </c>
      <c r="W130" s="56">
        <v>23.53</v>
      </c>
      <c r="X130" s="56" t="s">
        <v>2624</v>
      </c>
      <c r="Y130" s="56" t="s">
        <v>2624</v>
      </c>
      <c r="Z130" s="56" t="s">
        <v>2624</v>
      </c>
      <c r="AA130" s="56" t="s">
        <v>407</v>
      </c>
      <c r="AB130" s="56">
        <v>14122263</v>
      </c>
      <c r="AC130" s="56" t="s">
        <v>407</v>
      </c>
      <c r="AD130" s="56">
        <v>14122263</v>
      </c>
      <c r="AE130" s="56" t="s">
        <v>2626</v>
      </c>
      <c r="AF130" s="56" t="s">
        <v>2627</v>
      </c>
      <c r="AG130" s="56" t="s">
        <v>2627</v>
      </c>
      <c r="AH130" s="56">
        <v>37</v>
      </c>
      <c r="AI130" s="56" t="s">
        <v>2628</v>
      </c>
      <c r="AJ130" s="56" t="s">
        <v>2640</v>
      </c>
      <c r="AK130" s="56">
        <v>0</v>
      </c>
      <c r="AL130" s="56" t="s">
        <v>2630</v>
      </c>
      <c r="AM130" s="56" t="s">
        <v>2631</v>
      </c>
      <c r="AN130" s="56" t="s">
        <v>2632</v>
      </c>
      <c r="AO130" s="56" t="s">
        <v>2627</v>
      </c>
      <c r="AP130" s="56" t="s">
        <v>2624</v>
      </c>
      <c r="AQ130" s="123">
        <v>6.9444444444444475E-3</v>
      </c>
      <c r="AR130" s="122">
        <v>2.9282407407407729E-3</v>
      </c>
      <c r="AS130" s="56" t="s">
        <v>1048</v>
      </c>
      <c r="AT130" s="56" t="s">
        <v>1049</v>
      </c>
      <c r="AU130" s="56" t="s">
        <v>1050</v>
      </c>
      <c r="AV130" s="56">
        <v>37</v>
      </c>
      <c r="AW130" s="56" t="s">
        <v>1051</v>
      </c>
      <c r="AX130" s="56" t="s">
        <v>2942</v>
      </c>
      <c r="AY130" s="56" t="s">
        <v>1093</v>
      </c>
      <c r="AZ130" s="56" t="s">
        <v>1067</v>
      </c>
      <c r="BA130" s="56" t="s">
        <v>2943</v>
      </c>
      <c r="BB130" s="56" t="s">
        <v>2944</v>
      </c>
      <c r="BC130" s="56" t="s">
        <v>1057</v>
      </c>
      <c r="BD130" s="56" t="s">
        <v>2945</v>
      </c>
    </row>
    <row r="131" spans="1:56" x14ac:dyDescent="0.2">
      <c r="A131" s="56">
        <v>176782059</v>
      </c>
      <c r="B131" s="56" t="s">
        <v>2946</v>
      </c>
      <c r="C131" s="56" t="s">
        <v>2623</v>
      </c>
      <c r="D131" s="56" t="s">
        <v>1411</v>
      </c>
      <c r="E131" s="56" t="s">
        <v>1044</v>
      </c>
      <c r="F131" s="56">
        <v>38</v>
      </c>
      <c r="G131" s="56"/>
      <c r="H131" s="56">
        <v>5429</v>
      </c>
      <c r="I131" s="56">
        <v>6</v>
      </c>
      <c r="J131" s="56" t="s">
        <v>1045</v>
      </c>
      <c r="K131" s="56" t="s">
        <v>1123</v>
      </c>
      <c r="L131" s="121">
        <v>46271</v>
      </c>
      <c r="M131" s="122">
        <v>0.21527777777777779</v>
      </c>
      <c r="N131" s="122">
        <v>0.2298611111111111</v>
      </c>
      <c r="O131" s="56" t="s">
        <v>1047</v>
      </c>
      <c r="P131" s="121">
        <v>46271</v>
      </c>
      <c r="Q131" s="122">
        <v>0.27083333333333331</v>
      </c>
      <c r="R131" s="122">
        <v>0.28000000000000003</v>
      </c>
      <c r="S131" s="56" t="s">
        <v>1047</v>
      </c>
      <c r="T131" s="56">
        <v>1</v>
      </c>
      <c r="U131" s="56">
        <v>26</v>
      </c>
      <c r="V131" s="56">
        <v>23.16</v>
      </c>
      <c r="W131" s="56">
        <v>24.13</v>
      </c>
      <c r="X131" s="56" t="s">
        <v>2624</v>
      </c>
      <c r="Y131" s="56" t="s">
        <v>2624</v>
      </c>
      <c r="Z131" s="56" t="s">
        <v>2624</v>
      </c>
      <c r="AA131" s="56" t="s">
        <v>446</v>
      </c>
      <c r="AB131" s="56">
        <v>14122709</v>
      </c>
      <c r="AC131" s="56" t="s">
        <v>446</v>
      </c>
      <c r="AD131" s="56">
        <v>14122709</v>
      </c>
      <c r="AE131" s="56" t="s">
        <v>2626</v>
      </c>
      <c r="AF131" s="56" t="s">
        <v>2627</v>
      </c>
      <c r="AG131" s="56" t="s">
        <v>2627</v>
      </c>
      <c r="AH131" s="56">
        <v>37</v>
      </c>
      <c r="AI131" s="56" t="s">
        <v>2628</v>
      </c>
      <c r="AJ131" s="56" t="s">
        <v>2640</v>
      </c>
      <c r="AK131" s="56">
        <v>483.41</v>
      </c>
      <c r="AL131" s="56" t="s">
        <v>2630</v>
      </c>
      <c r="AM131" s="56" t="s">
        <v>2631</v>
      </c>
      <c r="AN131" s="56" t="s">
        <v>2632</v>
      </c>
      <c r="AO131" s="56" t="s">
        <v>2627</v>
      </c>
      <c r="AP131" s="56" t="s">
        <v>2624</v>
      </c>
      <c r="AQ131" s="123">
        <v>1.4583333333333309E-2</v>
      </c>
      <c r="AR131" s="122">
        <v>9.1666666666667118E-3</v>
      </c>
      <c r="AS131" s="56" t="s">
        <v>1048</v>
      </c>
      <c r="AT131" s="56" t="s">
        <v>1059</v>
      </c>
      <c r="AU131" s="56" t="s">
        <v>1060</v>
      </c>
      <c r="AV131" s="56">
        <v>37</v>
      </c>
      <c r="AW131" s="56" t="s">
        <v>1051</v>
      </c>
      <c r="AX131" s="56" t="s">
        <v>1412</v>
      </c>
      <c r="AY131" s="56" t="s">
        <v>1124</v>
      </c>
      <c r="AZ131" s="56" t="s">
        <v>1054</v>
      </c>
      <c r="BA131" s="56" t="s">
        <v>1413</v>
      </c>
      <c r="BB131" s="56" t="s">
        <v>1414</v>
      </c>
      <c r="BC131" s="56" t="s">
        <v>1057</v>
      </c>
      <c r="BD131" s="56" t="s">
        <v>2947</v>
      </c>
    </row>
    <row r="132" spans="1:56" x14ac:dyDescent="0.2">
      <c r="A132" s="56">
        <v>176784761</v>
      </c>
      <c r="B132" s="56" t="s">
        <v>1105</v>
      </c>
      <c r="C132" s="56" t="s">
        <v>2623</v>
      </c>
      <c r="D132" s="56" t="s">
        <v>1106</v>
      </c>
      <c r="E132" s="56" t="s">
        <v>1044</v>
      </c>
      <c r="F132" s="56">
        <v>8</v>
      </c>
      <c r="G132" s="56"/>
      <c r="H132" s="56">
        <v>11827</v>
      </c>
      <c r="I132" s="56">
        <v>6</v>
      </c>
      <c r="J132" s="56" t="s">
        <v>1045</v>
      </c>
      <c r="K132" s="56" t="s">
        <v>1058</v>
      </c>
      <c r="L132" s="121">
        <v>46271</v>
      </c>
      <c r="M132" s="122">
        <v>0.21527777777777779</v>
      </c>
      <c r="N132" s="122">
        <v>0.21944444444444444</v>
      </c>
      <c r="O132" s="56" t="s">
        <v>1047</v>
      </c>
      <c r="P132" s="121">
        <v>46271</v>
      </c>
      <c r="Q132" s="122">
        <v>0.25</v>
      </c>
      <c r="R132" s="122">
        <v>0.24444444444444444</v>
      </c>
      <c r="S132" s="56" t="s">
        <v>1047</v>
      </c>
      <c r="T132" s="56">
        <v>1</v>
      </c>
      <c r="U132" s="56">
        <v>31</v>
      </c>
      <c r="V132" s="56">
        <v>26.08</v>
      </c>
      <c r="W132" s="56">
        <v>24.86</v>
      </c>
      <c r="X132" s="56">
        <v>36.840000000000003</v>
      </c>
      <c r="Y132" s="56">
        <v>7.98</v>
      </c>
      <c r="Z132" s="56">
        <v>4</v>
      </c>
      <c r="AA132" s="56" t="s">
        <v>271</v>
      </c>
      <c r="AB132" s="56">
        <v>14119958</v>
      </c>
      <c r="AC132" s="56" t="s">
        <v>271</v>
      </c>
      <c r="AD132" s="56">
        <v>14119958</v>
      </c>
      <c r="AE132" s="56" t="s">
        <v>2626</v>
      </c>
      <c r="AF132" s="56" t="s">
        <v>2627</v>
      </c>
      <c r="AG132" s="56" t="s">
        <v>2627</v>
      </c>
      <c r="AH132" s="56">
        <v>37</v>
      </c>
      <c r="AI132" s="56" t="s">
        <v>2628</v>
      </c>
      <c r="AJ132" s="56" t="s">
        <v>2629</v>
      </c>
      <c r="AK132" s="56">
        <v>782</v>
      </c>
      <c r="AL132" s="56" t="s">
        <v>2630</v>
      </c>
      <c r="AM132" s="56" t="s">
        <v>2631</v>
      </c>
      <c r="AN132" s="56" t="s">
        <v>2632</v>
      </c>
      <c r="AO132" s="56" t="s">
        <v>2627</v>
      </c>
      <c r="AP132" s="56" t="s">
        <v>2624</v>
      </c>
      <c r="AQ132" s="123">
        <v>4.1666666666666519E-3</v>
      </c>
      <c r="AR132" s="122">
        <v>-5.5555555555555636E-3</v>
      </c>
      <c r="AS132" s="56" t="s">
        <v>1048</v>
      </c>
      <c r="AT132" s="56" t="s">
        <v>1049</v>
      </c>
      <c r="AU132" s="56" t="s">
        <v>1050</v>
      </c>
      <c r="AV132" s="56">
        <v>37</v>
      </c>
      <c r="AW132" s="56" t="s">
        <v>1051</v>
      </c>
      <c r="AX132" s="56" t="s">
        <v>1107</v>
      </c>
      <c r="AY132" s="56" t="s">
        <v>1061</v>
      </c>
      <c r="AZ132" s="56" t="s">
        <v>1062</v>
      </c>
      <c r="BA132" s="56" t="s">
        <v>1108</v>
      </c>
      <c r="BB132" s="56" t="s">
        <v>1109</v>
      </c>
      <c r="BC132" s="56" t="s">
        <v>1057</v>
      </c>
      <c r="BD132" s="56" t="s">
        <v>1110</v>
      </c>
    </row>
    <row r="133" spans="1:56" x14ac:dyDescent="0.2">
      <c r="A133" s="56">
        <v>176787295</v>
      </c>
      <c r="B133" s="56" t="s">
        <v>2948</v>
      </c>
      <c r="C133" s="56" t="s">
        <v>2623</v>
      </c>
      <c r="D133" s="56" t="s">
        <v>2949</v>
      </c>
      <c r="E133" s="56" t="s">
        <v>1044</v>
      </c>
      <c r="F133" s="56">
        <v>37</v>
      </c>
      <c r="G133" s="56"/>
      <c r="H133" s="56">
        <v>5034</v>
      </c>
      <c r="I133" s="56">
        <v>6</v>
      </c>
      <c r="J133" s="56" t="s">
        <v>1045</v>
      </c>
      <c r="K133" s="56" t="s">
        <v>1075</v>
      </c>
      <c r="L133" s="121">
        <v>46271</v>
      </c>
      <c r="M133" s="122">
        <v>0.21527777777777779</v>
      </c>
      <c r="N133" s="122">
        <v>0.21944444444444444</v>
      </c>
      <c r="O133" s="56" t="s">
        <v>1047</v>
      </c>
      <c r="P133" s="121">
        <v>46271</v>
      </c>
      <c r="Q133" s="122">
        <v>0.2673611111111111</v>
      </c>
      <c r="R133" s="122">
        <v>0.25687500000000002</v>
      </c>
      <c r="S133" s="56" t="s">
        <v>1047</v>
      </c>
      <c r="T133" s="56">
        <v>1</v>
      </c>
      <c r="U133" s="56">
        <v>33</v>
      </c>
      <c r="V133" s="56">
        <v>32.119999999999997</v>
      </c>
      <c r="W133" s="56">
        <v>32.4</v>
      </c>
      <c r="X133" s="56" t="s">
        <v>2624</v>
      </c>
      <c r="Y133" s="56" t="s">
        <v>2624</v>
      </c>
      <c r="Z133" s="56" t="s">
        <v>2624</v>
      </c>
      <c r="AA133" s="56" t="s">
        <v>328</v>
      </c>
      <c r="AB133" s="56">
        <v>14121239</v>
      </c>
      <c r="AC133" s="56" t="s">
        <v>328</v>
      </c>
      <c r="AD133" s="56">
        <v>14121239</v>
      </c>
      <c r="AE133" s="56" t="s">
        <v>2626</v>
      </c>
      <c r="AF133" s="56" t="s">
        <v>2627</v>
      </c>
      <c r="AG133" s="56" t="s">
        <v>2627</v>
      </c>
      <c r="AH133" s="56">
        <v>37</v>
      </c>
      <c r="AI133" s="56" t="s">
        <v>2628</v>
      </c>
      <c r="AJ133" s="56" t="s">
        <v>2629</v>
      </c>
      <c r="AK133" s="56">
        <v>0</v>
      </c>
      <c r="AL133" s="56" t="s">
        <v>2630</v>
      </c>
      <c r="AM133" s="56" t="s">
        <v>2631</v>
      </c>
      <c r="AN133" s="56" t="s">
        <v>2632</v>
      </c>
      <c r="AO133" s="56" t="s">
        <v>2627</v>
      </c>
      <c r="AP133" s="56">
        <v>0</v>
      </c>
      <c r="AQ133" s="123">
        <v>4.1666666666666519E-3</v>
      </c>
      <c r="AR133" s="122">
        <v>-1.0486111111111085E-2</v>
      </c>
      <c r="AS133" s="56" t="s">
        <v>1048</v>
      </c>
      <c r="AT133" s="56" t="s">
        <v>1049</v>
      </c>
      <c r="AU133" s="56" t="s">
        <v>1050</v>
      </c>
      <c r="AV133" s="56">
        <v>37</v>
      </c>
      <c r="AW133" s="56" t="s">
        <v>1051</v>
      </c>
      <c r="AX133" s="56" t="s">
        <v>2950</v>
      </c>
      <c r="AY133" s="56" t="s">
        <v>1076</v>
      </c>
      <c r="AZ133" s="56" t="s">
        <v>1067</v>
      </c>
      <c r="BA133" s="56" t="s">
        <v>2951</v>
      </c>
      <c r="BB133" s="56" t="s">
        <v>2952</v>
      </c>
      <c r="BC133" s="56" t="s">
        <v>1057</v>
      </c>
      <c r="BD133" s="56" t="s">
        <v>2953</v>
      </c>
    </row>
    <row r="134" spans="1:56" x14ac:dyDescent="0.2">
      <c r="A134" s="56">
        <v>176789074</v>
      </c>
      <c r="B134" s="56" t="s">
        <v>2046</v>
      </c>
      <c r="C134" s="56" t="s">
        <v>2623</v>
      </c>
      <c r="D134" s="56" t="s">
        <v>2047</v>
      </c>
      <c r="E134" s="56" t="s">
        <v>1044</v>
      </c>
      <c r="F134" s="56">
        <v>12</v>
      </c>
      <c r="G134" s="56"/>
      <c r="H134" s="56">
        <v>7345</v>
      </c>
      <c r="I134" s="56">
        <v>6</v>
      </c>
      <c r="J134" s="56" t="s">
        <v>1045</v>
      </c>
      <c r="K134" s="56" t="s">
        <v>2048</v>
      </c>
      <c r="L134" s="121">
        <v>46271</v>
      </c>
      <c r="M134" s="122">
        <v>0.21527777777777779</v>
      </c>
      <c r="N134" s="122">
        <v>0.22569444444444445</v>
      </c>
      <c r="O134" s="56" t="s">
        <v>1047</v>
      </c>
      <c r="P134" s="121">
        <v>46271</v>
      </c>
      <c r="Q134" s="122">
        <v>0.23958333333333334</v>
      </c>
      <c r="R134" s="122">
        <v>0.24236111111111111</v>
      </c>
      <c r="S134" s="56" t="s">
        <v>1047</v>
      </c>
      <c r="T134" s="56">
        <v>1</v>
      </c>
      <c r="U134" s="56">
        <v>17</v>
      </c>
      <c r="V134" s="56">
        <v>14.29</v>
      </c>
      <c r="W134" s="56">
        <v>14</v>
      </c>
      <c r="X134" s="56" t="s">
        <v>2624</v>
      </c>
      <c r="Y134" s="56" t="s">
        <v>2624</v>
      </c>
      <c r="Z134" s="56" t="s">
        <v>2624</v>
      </c>
      <c r="AA134" s="56" t="s">
        <v>180</v>
      </c>
      <c r="AB134" s="56">
        <v>14117542</v>
      </c>
      <c r="AC134" s="56" t="s">
        <v>180</v>
      </c>
      <c r="AD134" s="56">
        <v>14117542</v>
      </c>
      <c r="AE134" s="56" t="s">
        <v>2626</v>
      </c>
      <c r="AF134" s="56" t="s">
        <v>2627</v>
      </c>
      <c r="AG134" s="56" t="s">
        <v>2627</v>
      </c>
      <c r="AH134" s="56">
        <v>37</v>
      </c>
      <c r="AI134" s="56" t="s">
        <v>2628</v>
      </c>
      <c r="AJ134" s="56" t="s">
        <v>2640</v>
      </c>
      <c r="AK134" s="56" t="s">
        <v>2624</v>
      </c>
      <c r="AL134" s="56" t="s">
        <v>2630</v>
      </c>
      <c r="AM134" s="56" t="s">
        <v>2632</v>
      </c>
      <c r="AN134" s="56" t="s">
        <v>2632</v>
      </c>
      <c r="AO134" s="56" t="s">
        <v>2627</v>
      </c>
      <c r="AP134" s="56" t="s">
        <v>2624</v>
      </c>
      <c r="AQ134" s="123">
        <v>1.0416666666666657E-2</v>
      </c>
      <c r="AR134" s="122">
        <v>2.7777777777777679E-3</v>
      </c>
      <c r="AS134" s="56" t="s">
        <v>1048</v>
      </c>
      <c r="AT134" s="56" t="s">
        <v>1049</v>
      </c>
      <c r="AU134" s="56" t="s">
        <v>1050</v>
      </c>
      <c r="AV134" s="56">
        <v>37</v>
      </c>
      <c r="AW134" s="56" t="s">
        <v>1051</v>
      </c>
      <c r="AX134" s="56" t="s">
        <v>2049</v>
      </c>
      <c r="AY134" s="56" t="s">
        <v>1124</v>
      </c>
      <c r="AZ134" s="56" t="s">
        <v>1054</v>
      </c>
      <c r="BA134" s="56" t="s">
        <v>2050</v>
      </c>
      <c r="BB134" s="56" t="e">
        <v>#N/A</v>
      </c>
      <c r="BC134" s="56" t="s">
        <v>1057</v>
      </c>
      <c r="BD134" s="56" t="s">
        <v>2051</v>
      </c>
    </row>
    <row r="135" spans="1:56" x14ac:dyDescent="0.2">
      <c r="A135" s="56">
        <v>176786107</v>
      </c>
      <c r="B135" s="56" t="s">
        <v>2954</v>
      </c>
      <c r="C135" s="56" t="s">
        <v>2623</v>
      </c>
      <c r="D135" s="56" t="s">
        <v>2240</v>
      </c>
      <c r="E135" s="56" t="s">
        <v>1044</v>
      </c>
      <c r="F135" s="56">
        <v>45</v>
      </c>
      <c r="G135" s="56"/>
      <c r="H135" s="56">
        <v>5476</v>
      </c>
      <c r="I135" s="56">
        <v>6</v>
      </c>
      <c r="J135" s="56" t="s">
        <v>1045</v>
      </c>
      <c r="K135" s="56" t="s">
        <v>1112</v>
      </c>
      <c r="L135" s="121">
        <v>46271</v>
      </c>
      <c r="M135" s="122">
        <v>0.21875</v>
      </c>
      <c r="N135" s="122">
        <v>0.22222222222222221</v>
      </c>
      <c r="O135" s="56" t="s">
        <v>1047</v>
      </c>
      <c r="P135" s="121">
        <v>46271</v>
      </c>
      <c r="Q135" s="122">
        <v>0.26041666666666669</v>
      </c>
      <c r="R135" s="122">
        <v>0.2525810185185185</v>
      </c>
      <c r="S135" s="56" t="s">
        <v>1047</v>
      </c>
      <c r="T135" s="56">
        <v>1</v>
      </c>
      <c r="U135" s="56">
        <v>24</v>
      </c>
      <c r="V135" s="56">
        <v>20.71</v>
      </c>
      <c r="W135" s="56">
        <v>20.75</v>
      </c>
      <c r="X135" s="56" t="s">
        <v>2624</v>
      </c>
      <c r="Y135" s="56" t="s">
        <v>2624</v>
      </c>
      <c r="Z135" s="56" t="s">
        <v>2624</v>
      </c>
      <c r="AA135" s="56" t="s">
        <v>223</v>
      </c>
      <c r="AB135" s="56">
        <v>14100843</v>
      </c>
      <c r="AC135" s="56" t="s">
        <v>223</v>
      </c>
      <c r="AD135" s="56">
        <v>14100843</v>
      </c>
      <c r="AE135" s="56" t="s">
        <v>2626</v>
      </c>
      <c r="AF135" s="56" t="s">
        <v>2627</v>
      </c>
      <c r="AG135" s="56" t="s">
        <v>2627</v>
      </c>
      <c r="AH135" s="56">
        <v>37</v>
      </c>
      <c r="AI135" s="56" t="s">
        <v>2628</v>
      </c>
      <c r="AJ135" s="56" t="s">
        <v>2629</v>
      </c>
      <c r="AK135" s="56">
        <v>0</v>
      </c>
      <c r="AL135" s="56" t="s">
        <v>2630</v>
      </c>
      <c r="AM135" s="56" t="s">
        <v>2631</v>
      </c>
      <c r="AN135" s="56" t="s">
        <v>2632</v>
      </c>
      <c r="AO135" s="56" t="s">
        <v>2627</v>
      </c>
      <c r="AP135" s="56" t="s">
        <v>2624</v>
      </c>
      <c r="AQ135" s="123">
        <v>3.4722222222222099E-3</v>
      </c>
      <c r="AR135" s="122">
        <v>-7.8356481481481888E-3</v>
      </c>
      <c r="AS135" s="56" t="s">
        <v>1048</v>
      </c>
      <c r="AT135" s="56" t="s">
        <v>1049</v>
      </c>
      <c r="AU135" s="56" t="s">
        <v>1050</v>
      </c>
      <c r="AV135" s="56">
        <v>37</v>
      </c>
      <c r="AW135" s="56" t="s">
        <v>1051</v>
      </c>
      <c r="AX135" s="56" t="s">
        <v>2241</v>
      </c>
      <c r="AY135" s="56" t="s">
        <v>1113</v>
      </c>
      <c r="AZ135" s="56" t="s">
        <v>1062</v>
      </c>
      <c r="BA135" s="56" t="s">
        <v>2242</v>
      </c>
      <c r="BB135" s="56" t="s">
        <v>2243</v>
      </c>
      <c r="BC135" s="56" t="s">
        <v>1057</v>
      </c>
      <c r="BD135" s="56" t="s">
        <v>2955</v>
      </c>
    </row>
    <row r="136" spans="1:56" x14ac:dyDescent="0.2">
      <c r="A136" s="56">
        <v>176786267</v>
      </c>
      <c r="B136" s="56" t="s">
        <v>2956</v>
      </c>
      <c r="C136" s="56" t="s">
        <v>2623</v>
      </c>
      <c r="D136" s="56" t="s">
        <v>2957</v>
      </c>
      <c r="E136" s="56" t="s">
        <v>1044</v>
      </c>
      <c r="F136" s="56">
        <v>188</v>
      </c>
      <c r="G136" s="56"/>
      <c r="H136" s="56">
        <v>17352</v>
      </c>
      <c r="I136" s="56">
        <v>6</v>
      </c>
      <c r="J136" s="56" t="s">
        <v>1045</v>
      </c>
      <c r="K136" s="56" t="s">
        <v>1079</v>
      </c>
      <c r="L136" s="121">
        <v>46271</v>
      </c>
      <c r="M136" s="122">
        <v>0.21875</v>
      </c>
      <c r="N136" s="122">
        <v>0.22430555555555556</v>
      </c>
      <c r="O136" s="56" t="s">
        <v>1047</v>
      </c>
      <c r="P136" s="121">
        <v>46271</v>
      </c>
      <c r="Q136" s="122">
        <v>0.2673611111111111</v>
      </c>
      <c r="R136" s="122">
        <v>0.2619097222222222</v>
      </c>
      <c r="S136" s="56" t="s">
        <v>1047</v>
      </c>
      <c r="T136" s="56">
        <v>1</v>
      </c>
      <c r="U136" s="56">
        <v>27</v>
      </c>
      <c r="V136" s="56">
        <v>25.3</v>
      </c>
      <c r="W136" s="56">
        <v>25.73</v>
      </c>
      <c r="X136" s="56" t="s">
        <v>2624</v>
      </c>
      <c r="Y136" s="56" t="s">
        <v>2624</v>
      </c>
      <c r="Z136" s="56" t="s">
        <v>2624</v>
      </c>
      <c r="AA136" s="56" t="s">
        <v>200</v>
      </c>
      <c r="AB136" s="56">
        <v>14118397</v>
      </c>
      <c r="AC136" s="56" t="s">
        <v>200</v>
      </c>
      <c r="AD136" s="56">
        <v>14118397</v>
      </c>
      <c r="AE136" s="56" t="s">
        <v>2626</v>
      </c>
      <c r="AF136" s="56" t="s">
        <v>2627</v>
      </c>
      <c r="AG136" s="56" t="s">
        <v>2627</v>
      </c>
      <c r="AH136" s="56">
        <v>37</v>
      </c>
      <c r="AI136" s="56" t="s">
        <v>2628</v>
      </c>
      <c r="AJ136" s="56" t="s">
        <v>2629</v>
      </c>
      <c r="AK136" s="56">
        <v>0</v>
      </c>
      <c r="AL136" s="56" t="s">
        <v>2630</v>
      </c>
      <c r="AM136" s="56" t="s">
        <v>2631</v>
      </c>
      <c r="AN136" s="56" t="s">
        <v>2632</v>
      </c>
      <c r="AO136" s="56" t="s">
        <v>2627</v>
      </c>
      <c r="AP136" s="56" t="s">
        <v>2624</v>
      </c>
      <c r="AQ136" s="123">
        <v>5.5555555555555636E-3</v>
      </c>
      <c r="AR136" s="122">
        <v>-5.4513888888889084E-3</v>
      </c>
      <c r="AS136" s="56" t="s">
        <v>1048</v>
      </c>
      <c r="AT136" s="56" t="s">
        <v>1049</v>
      </c>
      <c r="AU136" s="56" t="s">
        <v>1050</v>
      </c>
      <c r="AV136" s="56">
        <v>37</v>
      </c>
      <c r="AW136" s="56" t="s">
        <v>1051</v>
      </c>
      <c r="AX136" s="56" t="s">
        <v>2958</v>
      </c>
      <c r="AY136" s="56" t="s">
        <v>1081</v>
      </c>
      <c r="AZ136" s="56" t="s">
        <v>1067</v>
      </c>
      <c r="BA136" s="56" t="s">
        <v>2959</v>
      </c>
      <c r="BB136" s="56" t="s">
        <v>2960</v>
      </c>
      <c r="BC136" s="56" t="s">
        <v>1057</v>
      </c>
      <c r="BD136" s="56" t="s">
        <v>2961</v>
      </c>
    </row>
    <row r="137" spans="1:56" x14ac:dyDescent="0.2">
      <c r="A137" s="56">
        <v>176787307</v>
      </c>
      <c r="B137" s="56" t="s">
        <v>2092</v>
      </c>
      <c r="C137" s="56" t="s">
        <v>2623</v>
      </c>
      <c r="D137" s="56" t="s">
        <v>2093</v>
      </c>
      <c r="E137" s="56" t="s">
        <v>1044</v>
      </c>
      <c r="F137" s="56">
        <v>43</v>
      </c>
      <c r="G137" s="56"/>
      <c r="H137" s="56">
        <v>5275</v>
      </c>
      <c r="I137" s="56">
        <v>6</v>
      </c>
      <c r="J137" s="56" t="s">
        <v>1045</v>
      </c>
      <c r="K137" s="56" t="s">
        <v>1075</v>
      </c>
      <c r="L137" s="121">
        <v>46271</v>
      </c>
      <c r="M137" s="122">
        <v>0.21875</v>
      </c>
      <c r="N137" s="122">
        <v>0.22916666666666666</v>
      </c>
      <c r="O137" s="56" t="s">
        <v>1047</v>
      </c>
      <c r="P137" s="121">
        <v>46271</v>
      </c>
      <c r="Q137" s="122">
        <v>0.2673611111111111</v>
      </c>
      <c r="R137" s="122">
        <v>0.26797453703703705</v>
      </c>
      <c r="S137" s="56" t="s">
        <v>1047</v>
      </c>
      <c r="T137" s="56">
        <v>1</v>
      </c>
      <c r="U137" s="56">
        <v>40</v>
      </c>
      <c r="V137" s="56">
        <v>35.450000000000003</v>
      </c>
      <c r="W137" s="56">
        <v>35.32</v>
      </c>
      <c r="X137" s="56" t="s">
        <v>2624</v>
      </c>
      <c r="Y137" s="56" t="s">
        <v>2624</v>
      </c>
      <c r="Z137" s="56" t="s">
        <v>2624</v>
      </c>
      <c r="AA137" s="56" t="s">
        <v>997</v>
      </c>
      <c r="AB137" s="56">
        <v>14123971</v>
      </c>
      <c r="AC137" s="56" t="s">
        <v>997</v>
      </c>
      <c r="AD137" s="56">
        <v>14123971</v>
      </c>
      <c r="AE137" s="56" t="s">
        <v>2626</v>
      </c>
      <c r="AF137" s="56" t="s">
        <v>2627</v>
      </c>
      <c r="AG137" s="56" t="s">
        <v>2627</v>
      </c>
      <c r="AH137" s="56">
        <v>37</v>
      </c>
      <c r="AI137" s="56" t="s">
        <v>2628</v>
      </c>
      <c r="AJ137" s="56" t="s">
        <v>2629</v>
      </c>
      <c r="AK137" s="56">
        <v>0</v>
      </c>
      <c r="AL137" s="56" t="s">
        <v>2630</v>
      </c>
      <c r="AM137" s="56" t="s">
        <v>2631</v>
      </c>
      <c r="AN137" s="56" t="s">
        <v>2632</v>
      </c>
      <c r="AO137" s="56" t="s">
        <v>2627</v>
      </c>
      <c r="AP137" s="56">
        <v>15</v>
      </c>
      <c r="AQ137" s="123">
        <v>1.0416666666666657E-2</v>
      </c>
      <c r="AR137" s="122">
        <v>6.134259259259478E-4</v>
      </c>
      <c r="AS137" s="56" t="s">
        <v>1048</v>
      </c>
      <c r="AT137" s="56" t="s">
        <v>1049</v>
      </c>
      <c r="AU137" s="56" t="s">
        <v>1050</v>
      </c>
      <c r="AV137" s="56">
        <v>37</v>
      </c>
      <c r="AW137" s="56" t="s">
        <v>1051</v>
      </c>
      <c r="AX137" s="56" t="s">
        <v>2094</v>
      </c>
      <c r="AY137" s="56" t="s">
        <v>1076</v>
      </c>
      <c r="AZ137" s="56" t="s">
        <v>1067</v>
      </c>
      <c r="BA137" s="56" t="s">
        <v>2095</v>
      </c>
      <c r="BB137" s="56" t="s">
        <v>2096</v>
      </c>
      <c r="BC137" s="56" t="s">
        <v>1057</v>
      </c>
      <c r="BD137" s="56" t="s">
        <v>2097</v>
      </c>
    </row>
    <row r="138" spans="1:56" x14ac:dyDescent="0.2">
      <c r="A138" s="56">
        <v>176784263</v>
      </c>
      <c r="B138" s="56" t="s">
        <v>2962</v>
      </c>
      <c r="C138" s="56" t="s">
        <v>2623</v>
      </c>
      <c r="D138" s="56" t="s">
        <v>2963</v>
      </c>
      <c r="E138" s="56" t="s">
        <v>1044</v>
      </c>
      <c r="F138" s="56">
        <v>130</v>
      </c>
      <c r="G138" s="56"/>
      <c r="H138" s="56">
        <v>13375</v>
      </c>
      <c r="I138" s="56">
        <v>6</v>
      </c>
      <c r="J138" s="56" t="s">
        <v>1045</v>
      </c>
      <c r="K138" s="56" t="s">
        <v>1079</v>
      </c>
      <c r="L138" s="121">
        <v>46271</v>
      </c>
      <c r="M138" s="122">
        <v>0.22222222222222221</v>
      </c>
      <c r="N138" s="122">
        <v>0.22708333333333333</v>
      </c>
      <c r="O138" s="56" t="s">
        <v>1047</v>
      </c>
      <c r="P138" s="121">
        <v>46271</v>
      </c>
      <c r="Q138" s="122">
        <v>0.2673611111111111</v>
      </c>
      <c r="R138" s="122">
        <v>0.26250000000000001</v>
      </c>
      <c r="S138" s="56" t="s">
        <v>1047</v>
      </c>
      <c r="T138" s="56">
        <v>1</v>
      </c>
      <c r="U138" s="56">
        <v>30</v>
      </c>
      <c r="V138" s="56">
        <v>28</v>
      </c>
      <c r="W138" s="56">
        <v>28.45</v>
      </c>
      <c r="X138" s="56">
        <v>43.86</v>
      </c>
      <c r="Y138" s="56">
        <v>14.56</v>
      </c>
      <c r="Z138" s="56">
        <v>0.85</v>
      </c>
      <c r="AA138" s="56" t="s">
        <v>237</v>
      </c>
      <c r="AB138" s="56">
        <v>14117509</v>
      </c>
      <c r="AC138" s="56" t="s">
        <v>237</v>
      </c>
      <c r="AD138" s="56">
        <v>14117509</v>
      </c>
      <c r="AE138" s="56" t="s">
        <v>2626</v>
      </c>
      <c r="AF138" s="56" t="s">
        <v>2627</v>
      </c>
      <c r="AG138" s="56" t="s">
        <v>2627</v>
      </c>
      <c r="AH138" s="56">
        <v>37</v>
      </c>
      <c r="AI138" s="56" t="s">
        <v>2628</v>
      </c>
      <c r="AJ138" s="56" t="s">
        <v>2629</v>
      </c>
      <c r="AK138" s="56">
        <v>0</v>
      </c>
      <c r="AL138" s="56" t="s">
        <v>2630</v>
      </c>
      <c r="AM138" s="56" t="s">
        <v>2631</v>
      </c>
      <c r="AN138" s="56" t="s">
        <v>2632</v>
      </c>
      <c r="AO138" s="56" t="s">
        <v>2627</v>
      </c>
      <c r="AP138" s="56" t="s">
        <v>2624</v>
      </c>
      <c r="AQ138" s="123">
        <v>4.8611111111111216E-3</v>
      </c>
      <c r="AR138" s="122">
        <v>-4.8611111111110938E-3</v>
      </c>
      <c r="AS138" s="56" t="s">
        <v>1048</v>
      </c>
      <c r="AT138" s="56" t="s">
        <v>1049</v>
      </c>
      <c r="AU138" s="56" t="s">
        <v>1050</v>
      </c>
      <c r="AV138" s="56">
        <v>37</v>
      </c>
      <c r="AW138" s="56" t="s">
        <v>1051</v>
      </c>
      <c r="AX138" s="56" t="s">
        <v>2964</v>
      </c>
      <c r="AY138" s="56" t="s">
        <v>1081</v>
      </c>
      <c r="AZ138" s="56" t="s">
        <v>1067</v>
      </c>
      <c r="BA138" s="56" t="s">
        <v>2965</v>
      </c>
      <c r="BB138" s="56" t="s">
        <v>2966</v>
      </c>
      <c r="BC138" s="56" t="s">
        <v>1057</v>
      </c>
      <c r="BD138" s="56" t="s">
        <v>2967</v>
      </c>
    </row>
    <row r="139" spans="1:56" x14ac:dyDescent="0.2">
      <c r="A139" s="56">
        <v>176786719</v>
      </c>
      <c r="B139" s="56" t="s">
        <v>2968</v>
      </c>
      <c r="C139" s="56" t="s">
        <v>2623</v>
      </c>
      <c r="D139" s="56" t="s">
        <v>2969</v>
      </c>
      <c r="E139" s="56" t="s">
        <v>1044</v>
      </c>
      <c r="F139" s="56">
        <v>100</v>
      </c>
      <c r="G139" s="56"/>
      <c r="H139" s="56">
        <v>5424</v>
      </c>
      <c r="I139" s="56">
        <v>6</v>
      </c>
      <c r="J139" s="56" t="s">
        <v>1045</v>
      </c>
      <c r="K139" s="56" t="s">
        <v>1112</v>
      </c>
      <c r="L139" s="121">
        <v>46271</v>
      </c>
      <c r="M139" s="122">
        <v>0.22222222222222221</v>
      </c>
      <c r="N139" s="122">
        <v>0.22638888888888889</v>
      </c>
      <c r="O139" s="56" t="s">
        <v>1047</v>
      </c>
      <c r="P139" s="121">
        <v>46271</v>
      </c>
      <c r="Q139" s="122">
        <v>0.26041666666666669</v>
      </c>
      <c r="R139" s="122">
        <v>0.26353009259259258</v>
      </c>
      <c r="S139" s="56" t="s">
        <v>1047</v>
      </c>
      <c r="T139" s="56">
        <v>1</v>
      </c>
      <c r="U139" s="56">
        <v>22</v>
      </c>
      <c r="V139" s="56">
        <v>18.739999999999998</v>
      </c>
      <c r="W139" s="56">
        <v>18.55</v>
      </c>
      <c r="X139" s="56" t="s">
        <v>2624</v>
      </c>
      <c r="Y139" s="56" t="s">
        <v>2624</v>
      </c>
      <c r="Z139" s="56" t="s">
        <v>2624</v>
      </c>
      <c r="AA139" s="56" t="s">
        <v>236</v>
      </c>
      <c r="AB139" s="56">
        <v>14113056</v>
      </c>
      <c r="AC139" s="56" t="s">
        <v>236</v>
      </c>
      <c r="AD139" s="56">
        <v>14113056</v>
      </c>
      <c r="AE139" s="56" t="s">
        <v>2626</v>
      </c>
      <c r="AF139" s="56" t="s">
        <v>2627</v>
      </c>
      <c r="AG139" s="56" t="s">
        <v>2627</v>
      </c>
      <c r="AH139" s="56">
        <v>37</v>
      </c>
      <c r="AI139" s="56" t="s">
        <v>2628</v>
      </c>
      <c r="AJ139" s="56" t="s">
        <v>2640</v>
      </c>
      <c r="AK139" s="56">
        <v>0</v>
      </c>
      <c r="AL139" s="56" t="s">
        <v>2630</v>
      </c>
      <c r="AM139" s="56" t="s">
        <v>2631</v>
      </c>
      <c r="AN139" s="56" t="s">
        <v>2632</v>
      </c>
      <c r="AO139" s="56" t="s">
        <v>2627</v>
      </c>
      <c r="AP139" s="56" t="s">
        <v>2624</v>
      </c>
      <c r="AQ139" s="123">
        <v>4.1666666666666796E-3</v>
      </c>
      <c r="AR139" s="122">
        <v>3.1134259259258945E-3</v>
      </c>
      <c r="AS139" s="56" t="s">
        <v>1048</v>
      </c>
      <c r="AT139" s="56" t="s">
        <v>1049</v>
      </c>
      <c r="AU139" s="56" t="s">
        <v>1050</v>
      </c>
      <c r="AV139" s="56">
        <v>37</v>
      </c>
      <c r="AW139" s="56" t="s">
        <v>1051</v>
      </c>
      <c r="AX139" s="56" t="s">
        <v>2970</v>
      </c>
      <c r="AY139" s="56" t="s">
        <v>1113</v>
      </c>
      <c r="AZ139" s="56" t="s">
        <v>1062</v>
      </c>
      <c r="BA139" s="56" t="s">
        <v>2971</v>
      </c>
      <c r="BB139" s="56" t="s">
        <v>2972</v>
      </c>
      <c r="BC139" s="56" t="s">
        <v>1057</v>
      </c>
      <c r="BD139" s="56" t="s">
        <v>2973</v>
      </c>
    </row>
    <row r="140" spans="1:56" x14ac:dyDescent="0.2">
      <c r="A140" s="56">
        <v>176789164</v>
      </c>
      <c r="B140" s="56" t="s">
        <v>2052</v>
      </c>
      <c r="C140" s="56" t="s">
        <v>2623</v>
      </c>
      <c r="D140" s="56" t="s">
        <v>2053</v>
      </c>
      <c r="E140" s="56" t="s">
        <v>1044</v>
      </c>
      <c r="F140" s="56">
        <v>271</v>
      </c>
      <c r="G140" s="56" t="s">
        <v>2701</v>
      </c>
      <c r="H140" s="56">
        <v>13531</v>
      </c>
      <c r="I140" s="56">
        <v>6</v>
      </c>
      <c r="J140" s="56" t="s">
        <v>1045</v>
      </c>
      <c r="K140" s="56" t="s">
        <v>1116</v>
      </c>
      <c r="L140" s="121">
        <v>46271</v>
      </c>
      <c r="M140" s="122">
        <v>0.22222222222222221</v>
      </c>
      <c r="N140" s="122">
        <v>0.23055555555555557</v>
      </c>
      <c r="O140" s="56" t="s">
        <v>1047</v>
      </c>
      <c r="P140" s="121">
        <v>46271</v>
      </c>
      <c r="Q140" s="122">
        <v>0.28125</v>
      </c>
      <c r="R140" s="122">
        <v>0.27612268518518518</v>
      </c>
      <c r="S140" s="56" t="s">
        <v>1047</v>
      </c>
      <c r="T140" s="56">
        <v>1</v>
      </c>
      <c r="U140" s="56">
        <v>46</v>
      </c>
      <c r="V140" s="56">
        <v>42.33</v>
      </c>
      <c r="W140" s="56">
        <v>41.79</v>
      </c>
      <c r="X140" s="56" t="s">
        <v>2624</v>
      </c>
      <c r="Y140" s="56" t="s">
        <v>2624</v>
      </c>
      <c r="Z140" s="56" t="s">
        <v>2624</v>
      </c>
      <c r="AA140" s="56" t="s">
        <v>361</v>
      </c>
      <c r="AB140" s="56">
        <v>14121791</v>
      </c>
      <c r="AC140" s="56" t="s">
        <v>361</v>
      </c>
      <c r="AD140" s="56">
        <v>14121791</v>
      </c>
      <c r="AE140" s="56" t="s">
        <v>2626</v>
      </c>
      <c r="AF140" s="56" t="s">
        <v>2627</v>
      </c>
      <c r="AG140" s="56" t="s">
        <v>2627</v>
      </c>
      <c r="AH140" s="56">
        <v>37</v>
      </c>
      <c r="AI140" s="56" t="s">
        <v>2628</v>
      </c>
      <c r="AJ140" s="56" t="s">
        <v>2629</v>
      </c>
      <c r="AK140" s="56">
        <v>0</v>
      </c>
      <c r="AL140" s="56" t="s">
        <v>2630</v>
      </c>
      <c r="AM140" s="56" t="s">
        <v>2631</v>
      </c>
      <c r="AN140" s="56" t="s">
        <v>2632</v>
      </c>
      <c r="AO140" s="56" t="s">
        <v>2627</v>
      </c>
      <c r="AP140" s="56" t="s">
        <v>2624</v>
      </c>
      <c r="AQ140" s="123">
        <v>8.3333333333333592E-3</v>
      </c>
      <c r="AR140" s="122">
        <v>-5.1273148148148207E-3</v>
      </c>
      <c r="AS140" s="56" t="s">
        <v>1048</v>
      </c>
      <c r="AT140" s="56" t="s">
        <v>1049</v>
      </c>
      <c r="AU140" s="56" t="s">
        <v>1050</v>
      </c>
      <c r="AV140" s="56">
        <v>37</v>
      </c>
      <c r="AW140" s="56" t="s">
        <v>1051</v>
      </c>
      <c r="AX140" s="56" t="s">
        <v>2054</v>
      </c>
      <c r="AY140" s="56" t="s">
        <v>1118</v>
      </c>
      <c r="AZ140" s="56" t="s">
        <v>1054</v>
      </c>
      <c r="BA140" s="56" t="s">
        <v>2055</v>
      </c>
      <c r="BB140" s="56" t="e">
        <v>#N/A</v>
      </c>
      <c r="BC140" s="56" t="s">
        <v>1057</v>
      </c>
      <c r="BD140" s="56" t="s">
        <v>2056</v>
      </c>
    </row>
    <row r="141" spans="1:56" x14ac:dyDescent="0.2">
      <c r="A141" s="56">
        <v>176780423</v>
      </c>
      <c r="B141" s="56" t="s">
        <v>1631</v>
      </c>
      <c r="C141" s="56" t="s">
        <v>2623</v>
      </c>
      <c r="D141" s="56" t="s">
        <v>1632</v>
      </c>
      <c r="E141" s="56" t="s">
        <v>1044</v>
      </c>
      <c r="F141" s="56">
        <v>9</v>
      </c>
      <c r="G141" s="56"/>
      <c r="H141" s="56">
        <v>4405</v>
      </c>
      <c r="I141" s="56">
        <v>6</v>
      </c>
      <c r="J141" s="56" t="s">
        <v>1045</v>
      </c>
      <c r="K141" s="56" t="s">
        <v>1123</v>
      </c>
      <c r="L141" s="121">
        <v>46271</v>
      </c>
      <c r="M141" s="122">
        <v>0.22916666666666666</v>
      </c>
      <c r="N141" s="122">
        <v>0.25416666666666665</v>
      </c>
      <c r="O141" s="56" t="s">
        <v>1047</v>
      </c>
      <c r="P141" s="121">
        <v>46271</v>
      </c>
      <c r="Q141" s="122">
        <v>0.27083333333333331</v>
      </c>
      <c r="R141" s="122">
        <v>0.27677083333333335</v>
      </c>
      <c r="S141" s="56" t="s">
        <v>1047</v>
      </c>
      <c r="T141" s="56">
        <v>1</v>
      </c>
      <c r="U141" s="56">
        <v>22</v>
      </c>
      <c r="V141" s="56">
        <v>12.15</v>
      </c>
      <c r="W141" s="56">
        <v>1.82</v>
      </c>
      <c r="X141" s="56" t="s">
        <v>2624</v>
      </c>
      <c r="Y141" s="56" t="s">
        <v>2624</v>
      </c>
      <c r="Z141" s="56" t="s">
        <v>2624</v>
      </c>
      <c r="AA141" s="56" t="s">
        <v>435</v>
      </c>
      <c r="AB141" s="56">
        <v>14122617</v>
      </c>
      <c r="AC141" s="56" t="s">
        <v>435</v>
      </c>
      <c r="AD141" s="56">
        <v>14122617</v>
      </c>
      <c r="AE141" s="56" t="s">
        <v>2626</v>
      </c>
      <c r="AF141" s="56" t="s">
        <v>2627</v>
      </c>
      <c r="AG141" s="56" t="s">
        <v>2627</v>
      </c>
      <c r="AH141" s="56">
        <v>37</v>
      </c>
      <c r="AI141" s="56" t="s">
        <v>2628</v>
      </c>
      <c r="AJ141" s="56" t="s">
        <v>2640</v>
      </c>
      <c r="AK141" s="56">
        <v>544.9</v>
      </c>
      <c r="AL141" s="56" t="s">
        <v>2630</v>
      </c>
      <c r="AM141" s="56" t="s">
        <v>2631</v>
      </c>
      <c r="AN141" s="56" t="s">
        <v>2632</v>
      </c>
      <c r="AO141" s="56" t="s">
        <v>2627</v>
      </c>
      <c r="AP141" s="56">
        <v>9</v>
      </c>
      <c r="AQ141" s="123">
        <v>2.4999999999999994E-2</v>
      </c>
      <c r="AR141" s="122">
        <v>5.93750000000004E-3</v>
      </c>
      <c r="AS141" s="56" t="s">
        <v>1048</v>
      </c>
      <c r="AT141" s="56" t="s">
        <v>1059</v>
      </c>
      <c r="AU141" s="56" t="s">
        <v>1060</v>
      </c>
      <c r="AV141" s="56">
        <v>37</v>
      </c>
      <c r="AW141" s="56" t="s">
        <v>1051</v>
      </c>
      <c r="AX141" s="56" t="s">
        <v>1633</v>
      </c>
      <c r="AY141" s="56" t="s">
        <v>1124</v>
      </c>
      <c r="AZ141" s="56" t="s">
        <v>1054</v>
      </c>
      <c r="BA141" s="56" t="s">
        <v>1634</v>
      </c>
      <c r="BB141" s="56" t="s">
        <v>1635</v>
      </c>
      <c r="BC141" s="56" t="s">
        <v>1057</v>
      </c>
      <c r="BD141" s="56" t="s">
        <v>1636</v>
      </c>
    </row>
    <row r="142" spans="1:56" x14ac:dyDescent="0.2">
      <c r="A142" s="56">
        <v>176785132</v>
      </c>
      <c r="B142" s="56" t="s">
        <v>1218</v>
      </c>
      <c r="C142" s="56" t="s">
        <v>2623</v>
      </c>
      <c r="D142" s="56" t="s">
        <v>1219</v>
      </c>
      <c r="E142" s="56" t="s">
        <v>1044</v>
      </c>
      <c r="F142" s="56">
        <v>22</v>
      </c>
      <c r="G142" s="56" t="s">
        <v>2670</v>
      </c>
      <c r="H142" s="56">
        <v>15320</v>
      </c>
      <c r="I142" s="56">
        <v>6</v>
      </c>
      <c r="J142" s="56" t="s">
        <v>1045</v>
      </c>
      <c r="K142" s="56" t="s">
        <v>1116</v>
      </c>
      <c r="L142" s="121">
        <v>46271</v>
      </c>
      <c r="M142" s="122">
        <v>0.22916666666666666</v>
      </c>
      <c r="N142" s="122">
        <v>0.2388888888888889</v>
      </c>
      <c r="O142" s="56" t="s">
        <v>1047</v>
      </c>
      <c r="P142" s="121">
        <v>46271</v>
      </c>
      <c r="Q142" s="122">
        <v>0.28125</v>
      </c>
      <c r="R142" s="122">
        <v>0.28907407407407409</v>
      </c>
      <c r="S142" s="56" t="s">
        <v>1047</v>
      </c>
      <c r="T142" s="56">
        <v>1</v>
      </c>
      <c r="U142" s="56">
        <v>36</v>
      </c>
      <c r="V142" s="56">
        <v>27.01</v>
      </c>
      <c r="W142" s="56">
        <v>27.43</v>
      </c>
      <c r="X142" s="56" t="s">
        <v>2624</v>
      </c>
      <c r="Y142" s="56" t="s">
        <v>2624</v>
      </c>
      <c r="Z142" s="56" t="s">
        <v>2624</v>
      </c>
      <c r="AA142" s="56" t="s">
        <v>436</v>
      </c>
      <c r="AB142" s="56">
        <v>14122618</v>
      </c>
      <c r="AC142" s="56" t="s">
        <v>436</v>
      </c>
      <c r="AD142" s="56">
        <v>14122618</v>
      </c>
      <c r="AE142" s="56" t="s">
        <v>2626</v>
      </c>
      <c r="AF142" s="56" t="s">
        <v>2627</v>
      </c>
      <c r="AG142" s="56" t="s">
        <v>2627</v>
      </c>
      <c r="AH142" s="56">
        <v>37</v>
      </c>
      <c r="AI142" s="56" t="s">
        <v>2628</v>
      </c>
      <c r="AJ142" s="56" t="s">
        <v>2640</v>
      </c>
      <c r="AK142" s="56">
        <v>0</v>
      </c>
      <c r="AL142" s="56" t="s">
        <v>2630</v>
      </c>
      <c r="AM142" s="56" t="s">
        <v>2631</v>
      </c>
      <c r="AN142" s="56" t="s">
        <v>2632</v>
      </c>
      <c r="AO142" s="56" t="s">
        <v>2627</v>
      </c>
      <c r="AP142" s="56">
        <v>1</v>
      </c>
      <c r="AQ142" s="123">
        <v>9.7222222222222432E-3</v>
      </c>
      <c r="AR142" s="122">
        <v>7.8240740740740944E-3</v>
      </c>
      <c r="AS142" s="56" t="s">
        <v>1048</v>
      </c>
      <c r="AT142" s="56" t="s">
        <v>1059</v>
      </c>
      <c r="AU142" s="56" t="s">
        <v>1060</v>
      </c>
      <c r="AV142" s="56">
        <v>37</v>
      </c>
      <c r="AW142" s="56" t="s">
        <v>1051</v>
      </c>
      <c r="AX142" s="56" t="s">
        <v>1220</v>
      </c>
      <c r="AY142" s="56" t="s">
        <v>1118</v>
      </c>
      <c r="AZ142" s="56" t="s">
        <v>1054</v>
      </c>
      <c r="BA142" s="56" t="s">
        <v>1221</v>
      </c>
      <c r="BB142" s="56" t="s">
        <v>1222</v>
      </c>
      <c r="BC142" s="56" t="s">
        <v>1057</v>
      </c>
      <c r="BD142" s="56" t="s">
        <v>1223</v>
      </c>
    </row>
    <row r="143" spans="1:56" x14ac:dyDescent="0.2">
      <c r="A143" s="56">
        <v>176785751</v>
      </c>
      <c r="B143" s="56" t="s">
        <v>2974</v>
      </c>
      <c r="C143" s="56" t="s">
        <v>2623</v>
      </c>
      <c r="D143" s="56" t="s">
        <v>1200</v>
      </c>
      <c r="E143" s="56" t="s">
        <v>1044</v>
      </c>
      <c r="F143" s="56">
        <v>63</v>
      </c>
      <c r="G143" s="56" t="s">
        <v>2693</v>
      </c>
      <c r="H143" s="56">
        <v>14708</v>
      </c>
      <c r="I143" s="56">
        <v>6</v>
      </c>
      <c r="J143" s="56" t="s">
        <v>1045</v>
      </c>
      <c r="K143" s="56" t="s">
        <v>1116</v>
      </c>
      <c r="L143" s="121">
        <v>46271</v>
      </c>
      <c r="M143" s="122">
        <v>0.22916666666666666</v>
      </c>
      <c r="N143" s="122">
        <v>0.23472222222222222</v>
      </c>
      <c r="O143" s="56" t="s">
        <v>1047</v>
      </c>
      <c r="P143" s="121">
        <v>46271</v>
      </c>
      <c r="Q143" s="122">
        <v>0.28125</v>
      </c>
      <c r="R143" s="122">
        <v>0.26806712962962964</v>
      </c>
      <c r="S143" s="56" t="s">
        <v>1047</v>
      </c>
      <c r="T143" s="56">
        <v>1</v>
      </c>
      <c r="U143" s="56">
        <v>28</v>
      </c>
      <c r="V143" s="56">
        <v>19.38</v>
      </c>
      <c r="W143" s="56">
        <v>21.06</v>
      </c>
      <c r="X143" s="56" t="s">
        <v>2624</v>
      </c>
      <c r="Y143" s="56" t="s">
        <v>2624</v>
      </c>
      <c r="Z143" s="56" t="s">
        <v>2624</v>
      </c>
      <c r="AA143" s="56" t="s">
        <v>382</v>
      </c>
      <c r="AB143" s="56">
        <v>14122072</v>
      </c>
      <c r="AC143" s="56" t="s">
        <v>382</v>
      </c>
      <c r="AD143" s="56">
        <v>14122072</v>
      </c>
      <c r="AE143" s="56" t="s">
        <v>2626</v>
      </c>
      <c r="AF143" s="56" t="s">
        <v>2627</v>
      </c>
      <c r="AG143" s="56" t="s">
        <v>2627</v>
      </c>
      <c r="AH143" s="56">
        <v>37</v>
      </c>
      <c r="AI143" s="56" t="s">
        <v>2628</v>
      </c>
      <c r="AJ143" s="56" t="s">
        <v>2629</v>
      </c>
      <c r="AK143" s="56">
        <v>0</v>
      </c>
      <c r="AL143" s="56" t="s">
        <v>2630</v>
      </c>
      <c r="AM143" s="56" t="s">
        <v>2631</v>
      </c>
      <c r="AN143" s="56" t="s">
        <v>2632</v>
      </c>
      <c r="AO143" s="56" t="s">
        <v>2627</v>
      </c>
      <c r="AP143" s="56">
        <v>0</v>
      </c>
      <c r="AQ143" s="123">
        <v>5.5555555555555636E-3</v>
      </c>
      <c r="AR143" s="122">
        <v>-1.3182870370370359E-2</v>
      </c>
      <c r="AS143" s="56" t="s">
        <v>1048</v>
      </c>
      <c r="AT143" s="56" t="s">
        <v>1049</v>
      </c>
      <c r="AU143" s="56" t="s">
        <v>1050</v>
      </c>
      <c r="AV143" s="56">
        <v>37</v>
      </c>
      <c r="AW143" s="56" t="s">
        <v>1051</v>
      </c>
      <c r="AX143" s="56" t="s">
        <v>1357</v>
      </c>
      <c r="AY143" s="56" t="s">
        <v>1128</v>
      </c>
      <c r="AZ143" s="56" t="s">
        <v>1054</v>
      </c>
      <c r="BA143" s="56" t="s">
        <v>1358</v>
      </c>
      <c r="BB143" s="56" t="s">
        <v>1359</v>
      </c>
      <c r="BC143" s="56" t="s">
        <v>1057</v>
      </c>
      <c r="BD143" s="56" t="s">
        <v>2975</v>
      </c>
    </row>
    <row r="144" spans="1:56" x14ac:dyDescent="0.2">
      <c r="A144" s="56">
        <v>176787007</v>
      </c>
      <c r="B144" s="56" t="s">
        <v>1114</v>
      </c>
      <c r="C144" s="56" t="s">
        <v>2623</v>
      </c>
      <c r="D144" s="56" t="s">
        <v>1115</v>
      </c>
      <c r="E144" s="56" t="s">
        <v>1044</v>
      </c>
      <c r="F144" s="56">
        <v>98</v>
      </c>
      <c r="G144" s="56" t="s">
        <v>2670</v>
      </c>
      <c r="H144" s="56">
        <v>14692</v>
      </c>
      <c r="I144" s="56">
        <v>6</v>
      </c>
      <c r="J144" s="56" t="s">
        <v>1045</v>
      </c>
      <c r="K144" s="56" t="s">
        <v>1116</v>
      </c>
      <c r="L144" s="121">
        <v>46271</v>
      </c>
      <c r="M144" s="122">
        <v>0.22916666666666666</v>
      </c>
      <c r="N144" s="122">
        <v>0.26111111111111113</v>
      </c>
      <c r="O144" s="56" t="s">
        <v>1047</v>
      </c>
      <c r="P144" s="121">
        <v>46271</v>
      </c>
      <c r="Q144" s="122">
        <v>0.28125</v>
      </c>
      <c r="R144" s="122">
        <v>0.28958333333333336</v>
      </c>
      <c r="S144" s="56" t="s">
        <v>1047</v>
      </c>
      <c r="T144" s="56">
        <v>1</v>
      </c>
      <c r="U144" s="56">
        <v>31</v>
      </c>
      <c r="V144" s="56">
        <v>26.89</v>
      </c>
      <c r="W144" s="56">
        <v>26.96</v>
      </c>
      <c r="X144" s="56">
        <v>52.47</v>
      </c>
      <c r="Y144" s="56">
        <v>7.87</v>
      </c>
      <c r="Z144" s="56">
        <v>17.64</v>
      </c>
      <c r="AA144" s="56" t="s">
        <v>958</v>
      </c>
      <c r="AB144" s="56">
        <v>14123725</v>
      </c>
      <c r="AC144" s="56" t="s">
        <v>958</v>
      </c>
      <c r="AD144" s="56">
        <v>14123725</v>
      </c>
      <c r="AE144" s="56" t="s">
        <v>2626</v>
      </c>
      <c r="AF144" s="56" t="s">
        <v>2627</v>
      </c>
      <c r="AG144" s="56" t="s">
        <v>2627</v>
      </c>
      <c r="AH144" s="56">
        <v>37</v>
      </c>
      <c r="AI144" s="56" t="s">
        <v>2628</v>
      </c>
      <c r="AJ144" s="56" t="s">
        <v>2640</v>
      </c>
      <c r="AK144" s="56">
        <v>0</v>
      </c>
      <c r="AL144" s="56" t="s">
        <v>2630</v>
      </c>
      <c r="AM144" s="56" t="s">
        <v>2631</v>
      </c>
      <c r="AN144" s="56" t="s">
        <v>2632</v>
      </c>
      <c r="AO144" s="56" t="s">
        <v>2627</v>
      </c>
      <c r="AP144" s="56">
        <v>5</v>
      </c>
      <c r="AQ144" s="123">
        <v>3.194444444444447E-2</v>
      </c>
      <c r="AR144" s="122">
        <v>8.3333333333333592E-3</v>
      </c>
      <c r="AS144" s="56" t="s">
        <v>1048</v>
      </c>
      <c r="AT144" s="56" t="s">
        <v>1059</v>
      </c>
      <c r="AU144" s="56" t="s">
        <v>1060</v>
      </c>
      <c r="AV144" s="56">
        <v>37</v>
      </c>
      <c r="AW144" s="56" t="s">
        <v>1051</v>
      </c>
      <c r="AX144" s="56" t="s">
        <v>1117</v>
      </c>
      <c r="AY144" s="56" t="s">
        <v>1118</v>
      </c>
      <c r="AZ144" s="56" t="s">
        <v>1054</v>
      </c>
      <c r="BA144" s="56" t="s">
        <v>1119</v>
      </c>
      <c r="BB144" s="56" t="s">
        <v>1120</v>
      </c>
      <c r="BC144" s="56" t="s">
        <v>1057</v>
      </c>
      <c r="BD144" s="56" t="s">
        <v>1121</v>
      </c>
    </row>
    <row r="145" spans="1:56" x14ac:dyDescent="0.2">
      <c r="A145" s="56">
        <v>176784513</v>
      </c>
      <c r="B145" s="56" t="s">
        <v>2976</v>
      </c>
      <c r="C145" s="56" t="s">
        <v>2623</v>
      </c>
      <c r="D145" s="56" t="s">
        <v>1658</v>
      </c>
      <c r="E145" s="56" t="s">
        <v>1044</v>
      </c>
      <c r="F145" s="56">
        <v>35</v>
      </c>
      <c r="G145" s="56"/>
      <c r="H145" s="56">
        <v>4542</v>
      </c>
      <c r="I145" s="56">
        <v>6</v>
      </c>
      <c r="J145" s="56" t="s">
        <v>1045</v>
      </c>
      <c r="K145" s="56" t="s">
        <v>1162</v>
      </c>
      <c r="L145" s="121">
        <v>46271</v>
      </c>
      <c r="M145" s="122">
        <v>0.2326388888888889</v>
      </c>
      <c r="N145" s="122">
        <v>0.23819444444444443</v>
      </c>
      <c r="O145" s="56" t="s">
        <v>1047</v>
      </c>
      <c r="P145" s="121">
        <v>46271</v>
      </c>
      <c r="Q145" s="122">
        <v>0.2638888888888889</v>
      </c>
      <c r="R145" s="122">
        <v>0.26173611111111111</v>
      </c>
      <c r="S145" s="56" t="s">
        <v>1047</v>
      </c>
      <c r="T145" s="56">
        <v>1</v>
      </c>
      <c r="U145" s="56">
        <v>23</v>
      </c>
      <c r="V145" s="56">
        <v>24.33</v>
      </c>
      <c r="W145" s="56">
        <v>25.82</v>
      </c>
      <c r="X145" s="56" t="s">
        <v>2624</v>
      </c>
      <c r="Y145" s="56" t="s">
        <v>2624</v>
      </c>
      <c r="Z145" s="56" t="s">
        <v>2624</v>
      </c>
      <c r="AA145" s="56" t="s">
        <v>515</v>
      </c>
      <c r="AB145" s="56">
        <v>14123375</v>
      </c>
      <c r="AC145" s="56" t="s">
        <v>515</v>
      </c>
      <c r="AD145" s="56">
        <v>14123375</v>
      </c>
      <c r="AE145" s="56" t="s">
        <v>2626</v>
      </c>
      <c r="AF145" s="56" t="s">
        <v>2627</v>
      </c>
      <c r="AG145" s="56" t="s">
        <v>2627</v>
      </c>
      <c r="AH145" s="56">
        <v>37</v>
      </c>
      <c r="AI145" s="56" t="s">
        <v>2628</v>
      </c>
      <c r="AJ145" s="56" t="s">
        <v>2629</v>
      </c>
      <c r="AK145" s="56">
        <v>0</v>
      </c>
      <c r="AL145" s="56" t="s">
        <v>2630</v>
      </c>
      <c r="AM145" s="56" t="s">
        <v>2631</v>
      </c>
      <c r="AN145" s="56" t="s">
        <v>2632</v>
      </c>
      <c r="AO145" s="56" t="s">
        <v>2627</v>
      </c>
      <c r="AP145" s="56" t="s">
        <v>2624</v>
      </c>
      <c r="AQ145" s="123">
        <v>5.5555555555555358E-3</v>
      </c>
      <c r="AR145" s="122">
        <v>-2.1527777777777812E-3</v>
      </c>
      <c r="AS145" s="56" t="s">
        <v>1048</v>
      </c>
      <c r="AT145" s="56" t="s">
        <v>1049</v>
      </c>
      <c r="AU145" s="56" t="s">
        <v>1050</v>
      </c>
      <c r="AV145" s="56">
        <v>37</v>
      </c>
      <c r="AW145" s="56" t="s">
        <v>1051</v>
      </c>
      <c r="AX145" s="56" t="s">
        <v>1659</v>
      </c>
      <c r="AY145" s="56" t="s">
        <v>1164</v>
      </c>
      <c r="AZ145" s="56" t="s">
        <v>1062</v>
      </c>
      <c r="BA145" s="56" t="s">
        <v>1660</v>
      </c>
      <c r="BB145" s="56" t="s">
        <v>1661</v>
      </c>
      <c r="BC145" s="56" t="s">
        <v>1057</v>
      </c>
      <c r="BD145" s="56" t="s">
        <v>2977</v>
      </c>
    </row>
    <row r="146" spans="1:56" x14ac:dyDescent="0.2">
      <c r="A146" s="56">
        <v>176786459</v>
      </c>
      <c r="B146" s="56" t="s">
        <v>1640</v>
      </c>
      <c r="C146" s="56" t="s">
        <v>2623</v>
      </c>
      <c r="D146" s="56" t="s">
        <v>1605</v>
      </c>
      <c r="E146" s="56" t="s">
        <v>1044</v>
      </c>
      <c r="F146" s="56">
        <v>73</v>
      </c>
      <c r="G146" s="56" t="s">
        <v>2693</v>
      </c>
      <c r="H146" s="56">
        <v>13847</v>
      </c>
      <c r="I146" s="56">
        <v>6</v>
      </c>
      <c r="J146" s="56" t="s">
        <v>1045</v>
      </c>
      <c r="K146" s="56" t="s">
        <v>1116</v>
      </c>
      <c r="L146" s="121">
        <v>46271</v>
      </c>
      <c r="M146" s="122">
        <v>0.2326388888888889</v>
      </c>
      <c r="N146" s="122">
        <v>0.2361111111111111</v>
      </c>
      <c r="O146" s="56" t="s">
        <v>1047</v>
      </c>
      <c r="P146" s="121">
        <v>46271</v>
      </c>
      <c r="Q146" s="122">
        <v>0.28125</v>
      </c>
      <c r="R146" s="122">
        <v>0.2744328703703704</v>
      </c>
      <c r="S146" s="56" t="s">
        <v>1047</v>
      </c>
      <c r="T146" s="56">
        <v>1</v>
      </c>
      <c r="U146" s="56">
        <v>29</v>
      </c>
      <c r="V146" s="56">
        <v>23.03</v>
      </c>
      <c r="W146" s="56">
        <v>28.19</v>
      </c>
      <c r="X146" s="56" t="s">
        <v>2624</v>
      </c>
      <c r="Y146" s="56" t="s">
        <v>2624</v>
      </c>
      <c r="Z146" s="56" t="s">
        <v>2624</v>
      </c>
      <c r="AA146" s="56" t="s">
        <v>41</v>
      </c>
      <c r="AB146" s="56">
        <v>14104599</v>
      </c>
      <c r="AC146" s="56" t="s">
        <v>41</v>
      </c>
      <c r="AD146" s="56">
        <v>14104599</v>
      </c>
      <c r="AE146" s="56" t="s">
        <v>2626</v>
      </c>
      <c r="AF146" s="56" t="s">
        <v>2627</v>
      </c>
      <c r="AG146" s="56" t="s">
        <v>2627</v>
      </c>
      <c r="AH146" s="56">
        <v>37</v>
      </c>
      <c r="AI146" s="56" t="s">
        <v>2628</v>
      </c>
      <c r="AJ146" s="56" t="s">
        <v>2629</v>
      </c>
      <c r="AK146" s="56">
        <v>0</v>
      </c>
      <c r="AL146" s="56" t="s">
        <v>2630</v>
      </c>
      <c r="AM146" s="56" t="s">
        <v>2631</v>
      </c>
      <c r="AN146" s="56" t="s">
        <v>2632</v>
      </c>
      <c r="AO146" s="56" t="s">
        <v>2627</v>
      </c>
      <c r="AP146" s="56" t="s">
        <v>2624</v>
      </c>
      <c r="AQ146" s="123">
        <v>3.4722222222222099E-3</v>
      </c>
      <c r="AR146" s="122">
        <v>-6.8171296296296036E-3</v>
      </c>
      <c r="AS146" s="56" t="s">
        <v>1048</v>
      </c>
      <c r="AT146" s="56" t="s">
        <v>1049</v>
      </c>
      <c r="AU146" s="56" t="s">
        <v>1050</v>
      </c>
      <c r="AV146" s="56">
        <v>37</v>
      </c>
      <c r="AW146" s="56" t="s">
        <v>1051</v>
      </c>
      <c r="AX146" s="56" t="s">
        <v>1606</v>
      </c>
      <c r="AY146" s="56" t="s">
        <v>1118</v>
      </c>
      <c r="AZ146" s="56" t="s">
        <v>1054</v>
      </c>
      <c r="BA146" s="56" t="s">
        <v>1607</v>
      </c>
      <c r="BB146" s="56" t="s">
        <v>1608</v>
      </c>
      <c r="BC146" s="56" t="s">
        <v>1057</v>
      </c>
      <c r="BD146" s="56" t="s">
        <v>1641</v>
      </c>
    </row>
    <row r="147" spans="1:56" x14ac:dyDescent="0.2">
      <c r="A147" s="56">
        <v>176786471</v>
      </c>
      <c r="B147" s="56" t="s">
        <v>2978</v>
      </c>
      <c r="C147" s="56" t="s">
        <v>2623</v>
      </c>
      <c r="D147" s="56" t="s">
        <v>2979</v>
      </c>
      <c r="E147" s="56" t="s">
        <v>1044</v>
      </c>
      <c r="F147" s="56">
        <v>79</v>
      </c>
      <c r="G147" s="56" t="s">
        <v>2670</v>
      </c>
      <c r="H147" s="56">
        <v>15319</v>
      </c>
      <c r="I147" s="56">
        <v>6</v>
      </c>
      <c r="J147" s="56" t="s">
        <v>1045</v>
      </c>
      <c r="K147" s="56" t="s">
        <v>1116</v>
      </c>
      <c r="L147" s="121">
        <v>46271</v>
      </c>
      <c r="M147" s="122">
        <v>0.2326388888888889</v>
      </c>
      <c r="N147" s="122">
        <v>0.24791666666666667</v>
      </c>
      <c r="O147" s="56" t="s">
        <v>1047</v>
      </c>
      <c r="P147" s="121">
        <v>46271</v>
      </c>
      <c r="Q147" s="122">
        <v>0.28125</v>
      </c>
      <c r="R147" s="122">
        <v>0.27921296296296294</v>
      </c>
      <c r="S147" s="56" t="s">
        <v>1047</v>
      </c>
      <c r="T147" s="56">
        <v>1</v>
      </c>
      <c r="U147" s="56">
        <v>24</v>
      </c>
      <c r="V147" s="56">
        <v>17.61</v>
      </c>
      <c r="W147" s="56">
        <v>17.53</v>
      </c>
      <c r="X147" s="56" t="s">
        <v>2624</v>
      </c>
      <c r="Y147" s="56" t="s">
        <v>2624</v>
      </c>
      <c r="Z147" s="56" t="s">
        <v>2624</v>
      </c>
      <c r="AA147" s="56" t="s">
        <v>507</v>
      </c>
      <c r="AB147" s="56">
        <v>14123312</v>
      </c>
      <c r="AC147" s="56" t="s">
        <v>507</v>
      </c>
      <c r="AD147" s="56">
        <v>14123312</v>
      </c>
      <c r="AE147" s="56" t="s">
        <v>2626</v>
      </c>
      <c r="AF147" s="56" t="s">
        <v>2627</v>
      </c>
      <c r="AG147" s="56" t="s">
        <v>2627</v>
      </c>
      <c r="AH147" s="56">
        <v>37</v>
      </c>
      <c r="AI147" s="56" t="s">
        <v>2628</v>
      </c>
      <c r="AJ147" s="56" t="s">
        <v>2629</v>
      </c>
      <c r="AK147" s="56">
        <v>0</v>
      </c>
      <c r="AL147" s="56" t="s">
        <v>2630</v>
      </c>
      <c r="AM147" s="56" t="s">
        <v>2631</v>
      </c>
      <c r="AN147" s="56" t="s">
        <v>2632</v>
      </c>
      <c r="AO147" s="56" t="s">
        <v>2627</v>
      </c>
      <c r="AP147" s="56" t="s">
        <v>2624</v>
      </c>
      <c r="AQ147" s="123">
        <v>1.5277777777777779E-2</v>
      </c>
      <c r="AR147" s="122">
        <v>-2.0370370370370594E-3</v>
      </c>
      <c r="AS147" s="56" t="s">
        <v>1048</v>
      </c>
      <c r="AT147" s="56" t="s">
        <v>1049</v>
      </c>
      <c r="AU147" s="56" t="s">
        <v>1050</v>
      </c>
      <c r="AV147" s="56">
        <v>37</v>
      </c>
      <c r="AW147" s="56" t="s">
        <v>1051</v>
      </c>
      <c r="AX147" s="56" t="s">
        <v>2980</v>
      </c>
      <c r="AY147" s="56" t="s">
        <v>1118</v>
      </c>
      <c r="AZ147" s="56" t="s">
        <v>1054</v>
      </c>
      <c r="BA147" s="56" t="s">
        <v>2981</v>
      </c>
      <c r="BB147" s="56" t="s">
        <v>2982</v>
      </c>
      <c r="BC147" s="56" t="s">
        <v>1057</v>
      </c>
      <c r="BD147" s="56" t="s">
        <v>2983</v>
      </c>
    </row>
    <row r="148" spans="1:56" x14ac:dyDescent="0.2">
      <c r="A148" s="56">
        <v>176785813</v>
      </c>
      <c r="B148" s="56" t="s">
        <v>2695</v>
      </c>
      <c r="C148" s="56" t="s">
        <v>2623</v>
      </c>
      <c r="D148" s="56" t="s">
        <v>2696</v>
      </c>
      <c r="E148" s="56" t="s">
        <v>1044</v>
      </c>
      <c r="F148" s="56">
        <v>69</v>
      </c>
      <c r="G148" s="56" t="s">
        <v>2693</v>
      </c>
      <c r="H148" s="56">
        <v>4982</v>
      </c>
      <c r="I148" s="56">
        <v>6</v>
      </c>
      <c r="J148" s="56" t="s">
        <v>1045</v>
      </c>
      <c r="K148" s="56" t="s">
        <v>1116</v>
      </c>
      <c r="L148" s="121">
        <v>46271</v>
      </c>
      <c r="M148" s="122">
        <v>0.2361111111111111</v>
      </c>
      <c r="N148" s="122">
        <v>0.24097222222222223</v>
      </c>
      <c r="O148" s="56" t="s">
        <v>1047</v>
      </c>
      <c r="P148" s="121">
        <v>46271</v>
      </c>
      <c r="Q148" s="122">
        <v>0.28125</v>
      </c>
      <c r="R148" s="122">
        <v>0.28258101851851852</v>
      </c>
      <c r="S148" s="56" t="s">
        <v>1047</v>
      </c>
      <c r="T148" s="56">
        <v>1</v>
      </c>
      <c r="U148" s="56">
        <v>28</v>
      </c>
      <c r="V148" s="56">
        <v>23.22</v>
      </c>
      <c r="W148" s="56">
        <v>20.79</v>
      </c>
      <c r="X148" s="56" t="s">
        <v>2624</v>
      </c>
      <c r="Y148" s="56" t="s">
        <v>2624</v>
      </c>
      <c r="Z148" s="56" t="s">
        <v>2624</v>
      </c>
      <c r="AA148" s="56" t="s">
        <v>284</v>
      </c>
      <c r="AB148" s="56">
        <v>14111678</v>
      </c>
      <c r="AC148" s="56" t="s">
        <v>284</v>
      </c>
      <c r="AD148" s="56">
        <v>14111678</v>
      </c>
      <c r="AE148" s="56" t="s">
        <v>2626</v>
      </c>
      <c r="AF148" s="56" t="s">
        <v>2627</v>
      </c>
      <c r="AG148" s="56" t="s">
        <v>2627</v>
      </c>
      <c r="AH148" s="56">
        <v>37</v>
      </c>
      <c r="AI148" s="56" t="s">
        <v>2628</v>
      </c>
      <c r="AJ148" s="56" t="s">
        <v>2640</v>
      </c>
      <c r="AK148" s="56">
        <v>0</v>
      </c>
      <c r="AL148" s="56" t="s">
        <v>2630</v>
      </c>
      <c r="AM148" s="56" t="s">
        <v>2631</v>
      </c>
      <c r="AN148" s="56" t="s">
        <v>2632</v>
      </c>
      <c r="AO148" s="56" t="s">
        <v>2627</v>
      </c>
      <c r="AP148" s="56" t="s">
        <v>2624</v>
      </c>
      <c r="AQ148" s="123">
        <v>4.8611111111111216E-3</v>
      </c>
      <c r="AR148" s="122">
        <v>1.331018518518523E-3</v>
      </c>
      <c r="AS148" s="56" t="s">
        <v>1048</v>
      </c>
      <c r="AT148" s="56" t="s">
        <v>1049</v>
      </c>
      <c r="AU148" s="56" t="s">
        <v>1050</v>
      </c>
      <c r="AV148" s="56">
        <v>37</v>
      </c>
      <c r="AW148" s="56" t="s">
        <v>1051</v>
      </c>
      <c r="AX148" s="56" t="s">
        <v>2697</v>
      </c>
      <c r="AY148" s="56" t="s">
        <v>1128</v>
      </c>
      <c r="AZ148" s="56" t="s">
        <v>1054</v>
      </c>
      <c r="BA148" s="56" t="s">
        <v>2698</v>
      </c>
      <c r="BB148" s="56" t="s">
        <v>2699</v>
      </c>
      <c r="BC148" s="56" t="s">
        <v>1057</v>
      </c>
      <c r="BD148" s="56" t="s">
        <v>2700</v>
      </c>
    </row>
    <row r="149" spans="1:56" x14ac:dyDescent="0.2">
      <c r="A149" s="56">
        <v>176787414</v>
      </c>
      <c r="B149" s="56" t="s">
        <v>2984</v>
      </c>
      <c r="C149" s="56" t="s">
        <v>2623</v>
      </c>
      <c r="D149" s="56" t="s">
        <v>1547</v>
      </c>
      <c r="E149" s="56" t="s">
        <v>1044</v>
      </c>
      <c r="F149" s="56">
        <v>108</v>
      </c>
      <c r="G149" s="56" t="s">
        <v>2670</v>
      </c>
      <c r="H149" s="56">
        <v>15335</v>
      </c>
      <c r="I149" s="56">
        <v>6</v>
      </c>
      <c r="J149" s="56" t="s">
        <v>1045</v>
      </c>
      <c r="K149" s="56" t="s">
        <v>1116</v>
      </c>
      <c r="L149" s="121">
        <v>46271</v>
      </c>
      <c r="M149" s="122">
        <v>0.2361111111111111</v>
      </c>
      <c r="N149" s="122">
        <v>0.24583333333333332</v>
      </c>
      <c r="O149" s="56" t="s">
        <v>1047</v>
      </c>
      <c r="P149" s="121">
        <v>46271</v>
      </c>
      <c r="Q149" s="122">
        <v>0.28125</v>
      </c>
      <c r="R149" s="122">
        <v>0.27188657407407407</v>
      </c>
      <c r="S149" s="56" t="s">
        <v>1047</v>
      </c>
      <c r="T149" s="56">
        <v>1</v>
      </c>
      <c r="U149" s="56">
        <v>25</v>
      </c>
      <c r="V149" s="56">
        <v>19.68</v>
      </c>
      <c r="W149" s="56">
        <v>19.63</v>
      </c>
      <c r="X149" s="56" t="s">
        <v>2624</v>
      </c>
      <c r="Y149" s="56" t="s">
        <v>2624</v>
      </c>
      <c r="Z149" s="56" t="s">
        <v>2624</v>
      </c>
      <c r="AA149" s="56" t="s">
        <v>501</v>
      </c>
      <c r="AB149" s="56">
        <v>14123273</v>
      </c>
      <c r="AC149" s="56" t="s">
        <v>501</v>
      </c>
      <c r="AD149" s="56">
        <v>14123273</v>
      </c>
      <c r="AE149" s="56" t="s">
        <v>2626</v>
      </c>
      <c r="AF149" s="56" t="s">
        <v>2627</v>
      </c>
      <c r="AG149" s="56" t="s">
        <v>2627</v>
      </c>
      <c r="AH149" s="56">
        <v>37</v>
      </c>
      <c r="AI149" s="56" t="s">
        <v>2628</v>
      </c>
      <c r="AJ149" s="56" t="s">
        <v>2629</v>
      </c>
      <c r="AK149" s="56">
        <v>0</v>
      </c>
      <c r="AL149" s="56" t="s">
        <v>2630</v>
      </c>
      <c r="AM149" s="56" t="s">
        <v>2631</v>
      </c>
      <c r="AN149" s="56" t="s">
        <v>2632</v>
      </c>
      <c r="AO149" s="56" t="s">
        <v>2627</v>
      </c>
      <c r="AP149" s="56" t="s">
        <v>2624</v>
      </c>
      <c r="AQ149" s="123">
        <v>9.7222222222222154E-3</v>
      </c>
      <c r="AR149" s="122">
        <v>-9.3634259259259278E-3</v>
      </c>
      <c r="AS149" s="56" t="s">
        <v>1048</v>
      </c>
      <c r="AT149" s="56" t="s">
        <v>1049</v>
      </c>
      <c r="AU149" s="56" t="s">
        <v>1050</v>
      </c>
      <c r="AV149" s="56">
        <v>37</v>
      </c>
      <c r="AW149" s="56" t="s">
        <v>1051</v>
      </c>
      <c r="AX149" s="56" t="s">
        <v>2985</v>
      </c>
      <c r="AY149" s="56" t="s">
        <v>1118</v>
      </c>
      <c r="AZ149" s="56" t="s">
        <v>1054</v>
      </c>
      <c r="BA149" s="56" t="s">
        <v>2986</v>
      </c>
      <c r="BB149" s="56" t="s">
        <v>2987</v>
      </c>
      <c r="BC149" s="56" t="s">
        <v>1057</v>
      </c>
      <c r="BD149" s="56" t="s">
        <v>2988</v>
      </c>
    </row>
    <row r="150" spans="1:56" x14ac:dyDescent="0.2">
      <c r="A150" s="56">
        <v>176787418</v>
      </c>
      <c r="B150" s="56" t="s">
        <v>2989</v>
      </c>
      <c r="C150" s="56" t="s">
        <v>2623</v>
      </c>
      <c r="D150" s="56" t="s">
        <v>2990</v>
      </c>
      <c r="E150" s="56" t="s">
        <v>1044</v>
      </c>
      <c r="F150" s="56">
        <v>110</v>
      </c>
      <c r="G150" s="56" t="s">
        <v>2670</v>
      </c>
      <c r="H150" s="56">
        <v>15314</v>
      </c>
      <c r="I150" s="56">
        <v>6</v>
      </c>
      <c r="J150" s="56" t="s">
        <v>1045</v>
      </c>
      <c r="K150" s="56" t="s">
        <v>1116</v>
      </c>
      <c r="L150" s="121">
        <v>46271</v>
      </c>
      <c r="M150" s="122">
        <v>0.2361111111111111</v>
      </c>
      <c r="N150" s="122">
        <v>0.24097222222222223</v>
      </c>
      <c r="O150" s="56" t="s">
        <v>1047</v>
      </c>
      <c r="P150" s="121">
        <v>46271</v>
      </c>
      <c r="Q150" s="122">
        <v>0.28125</v>
      </c>
      <c r="R150" s="122">
        <v>0.26892361111111113</v>
      </c>
      <c r="S150" s="56" t="s">
        <v>1047</v>
      </c>
      <c r="T150" s="56">
        <v>1</v>
      </c>
      <c r="U150" s="56">
        <v>22</v>
      </c>
      <c r="V150" s="56">
        <v>17.11</v>
      </c>
      <c r="W150" s="56">
        <v>18.16</v>
      </c>
      <c r="X150" s="56" t="s">
        <v>2624</v>
      </c>
      <c r="Y150" s="56" t="s">
        <v>2624</v>
      </c>
      <c r="Z150" s="56" t="s">
        <v>2624</v>
      </c>
      <c r="AA150" s="56" t="s">
        <v>102</v>
      </c>
      <c r="AB150" s="56">
        <v>14110339</v>
      </c>
      <c r="AC150" s="56" t="s">
        <v>102</v>
      </c>
      <c r="AD150" s="56">
        <v>14110339</v>
      </c>
      <c r="AE150" s="56" t="s">
        <v>2626</v>
      </c>
      <c r="AF150" s="56" t="s">
        <v>2627</v>
      </c>
      <c r="AG150" s="56" t="s">
        <v>2627</v>
      </c>
      <c r="AH150" s="56">
        <v>37</v>
      </c>
      <c r="AI150" s="56" t="s">
        <v>2628</v>
      </c>
      <c r="AJ150" s="56" t="s">
        <v>2629</v>
      </c>
      <c r="AK150" s="56">
        <v>0</v>
      </c>
      <c r="AL150" s="56" t="s">
        <v>2630</v>
      </c>
      <c r="AM150" s="56" t="s">
        <v>2631</v>
      </c>
      <c r="AN150" s="56" t="s">
        <v>2632</v>
      </c>
      <c r="AO150" s="56" t="s">
        <v>2627</v>
      </c>
      <c r="AP150" s="56" t="s">
        <v>2624</v>
      </c>
      <c r="AQ150" s="123">
        <v>4.8611111111111216E-3</v>
      </c>
      <c r="AR150" s="122">
        <v>-1.2326388888888873E-2</v>
      </c>
      <c r="AS150" s="56" t="s">
        <v>1048</v>
      </c>
      <c r="AT150" s="56" t="s">
        <v>1049</v>
      </c>
      <c r="AU150" s="56" t="s">
        <v>1050</v>
      </c>
      <c r="AV150" s="56">
        <v>37</v>
      </c>
      <c r="AW150" s="56" t="s">
        <v>1051</v>
      </c>
      <c r="AX150" s="56" t="s">
        <v>2991</v>
      </c>
      <c r="AY150" s="56" t="s">
        <v>1128</v>
      </c>
      <c r="AZ150" s="56" t="s">
        <v>1054</v>
      </c>
      <c r="BA150" s="56" t="s">
        <v>2992</v>
      </c>
      <c r="BB150" s="56" t="s">
        <v>2993</v>
      </c>
      <c r="BC150" s="56" t="s">
        <v>1057</v>
      </c>
      <c r="BD150" s="56" t="s">
        <v>2994</v>
      </c>
    </row>
    <row r="151" spans="1:56" x14ac:dyDescent="0.2">
      <c r="A151" s="56">
        <v>176788213</v>
      </c>
      <c r="B151" s="56" t="s">
        <v>2995</v>
      </c>
      <c r="C151" s="56" t="s">
        <v>2623</v>
      </c>
      <c r="D151" s="56" t="s">
        <v>1416</v>
      </c>
      <c r="E151" s="56" t="s">
        <v>1044</v>
      </c>
      <c r="F151" s="56">
        <v>232</v>
      </c>
      <c r="G151" s="56" t="s">
        <v>2670</v>
      </c>
      <c r="H151" s="56">
        <v>15308</v>
      </c>
      <c r="I151" s="56">
        <v>6</v>
      </c>
      <c r="J151" s="56" t="s">
        <v>1045</v>
      </c>
      <c r="K151" s="56" t="s">
        <v>1116</v>
      </c>
      <c r="L151" s="121">
        <v>46271</v>
      </c>
      <c r="M151" s="122">
        <v>0.2361111111111111</v>
      </c>
      <c r="N151" s="122">
        <v>0.24444444444444444</v>
      </c>
      <c r="O151" s="56" t="s">
        <v>1047</v>
      </c>
      <c r="P151" s="121">
        <v>46271</v>
      </c>
      <c r="Q151" s="122">
        <v>0.28125</v>
      </c>
      <c r="R151" s="122">
        <v>0.26666666666666666</v>
      </c>
      <c r="S151" s="56" t="s">
        <v>1047</v>
      </c>
      <c r="T151" s="56">
        <v>1</v>
      </c>
      <c r="U151" s="56">
        <v>25</v>
      </c>
      <c r="V151" s="56">
        <v>26.35</v>
      </c>
      <c r="W151" s="56">
        <v>15.63</v>
      </c>
      <c r="X151" s="56">
        <v>43.55</v>
      </c>
      <c r="Y151" s="56">
        <v>4.67</v>
      </c>
      <c r="Z151" s="56">
        <v>23.25</v>
      </c>
      <c r="AA151" s="56" t="s">
        <v>1823</v>
      </c>
      <c r="AB151" s="56">
        <v>14123950</v>
      </c>
      <c r="AC151" s="56" t="s">
        <v>1823</v>
      </c>
      <c r="AD151" s="56">
        <v>14123950</v>
      </c>
      <c r="AE151" s="56" t="s">
        <v>2626</v>
      </c>
      <c r="AF151" s="56" t="s">
        <v>2627</v>
      </c>
      <c r="AG151" s="56" t="s">
        <v>2627</v>
      </c>
      <c r="AH151" s="56">
        <v>37</v>
      </c>
      <c r="AI151" s="56" t="s">
        <v>2628</v>
      </c>
      <c r="AJ151" s="56" t="s">
        <v>2629</v>
      </c>
      <c r="AK151" s="56">
        <v>0</v>
      </c>
      <c r="AL151" s="56" t="s">
        <v>2630</v>
      </c>
      <c r="AM151" s="56" t="s">
        <v>2631</v>
      </c>
      <c r="AN151" s="56" t="s">
        <v>2632</v>
      </c>
      <c r="AO151" s="56" t="s">
        <v>2627</v>
      </c>
      <c r="AP151" s="56" t="s">
        <v>2624</v>
      </c>
      <c r="AQ151" s="123">
        <v>8.3333333333333315E-3</v>
      </c>
      <c r="AR151" s="122">
        <v>-1.4583333333333337E-2</v>
      </c>
      <c r="AS151" s="56" t="s">
        <v>1048</v>
      </c>
      <c r="AT151" s="56" t="s">
        <v>1049</v>
      </c>
      <c r="AU151" s="56" t="s">
        <v>1050</v>
      </c>
      <c r="AV151" s="56">
        <v>37</v>
      </c>
      <c r="AW151" s="56" t="s">
        <v>1051</v>
      </c>
      <c r="AX151" s="56" t="s">
        <v>1418</v>
      </c>
      <c r="AY151" s="56" t="s">
        <v>1118</v>
      </c>
      <c r="AZ151" s="56" t="s">
        <v>1054</v>
      </c>
      <c r="BA151" s="56" t="s">
        <v>1419</v>
      </c>
      <c r="BB151" s="56" t="s">
        <v>1420</v>
      </c>
      <c r="BC151" s="56" t="s">
        <v>1057</v>
      </c>
      <c r="BD151" s="56" t="s">
        <v>2996</v>
      </c>
    </row>
    <row r="152" spans="1:56" x14ac:dyDescent="0.2">
      <c r="A152" s="56">
        <v>176787426</v>
      </c>
      <c r="B152" s="56" t="s">
        <v>2062</v>
      </c>
      <c r="C152" s="56" t="s">
        <v>2623</v>
      </c>
      <c r="D152" s="56" t="s">
        <v>1317</v>
      </c>
      <c r="E152" s="56" t="s">
        <v>1044</v>
      </c>
      <c r="F152" s="56">
        <v>114</v>
      </c>
      <c r="G152" s="56" t="s">
        <v>2670</v>
      </c>
      <c r="H152" s="56">
        <v>13289</v>
      </c>
      <c r="I152" s="56">
        <v>6</v>
      </c>
      <c r="J152" s="56" t="s">
        <v>1045</v>
      </c>
      <c r="K152" s="56" t="s">
        <v>1116</v>
      </c>
      <c r="L152" s="121">
        <v>46271</v>
      </c>
      <c r="M152" s="122">
        <v>0.24166666666666667</v>
      </c>
      <c r="N152" s="122">
        <v>0.26666666666666666</v>
      </c>
      <c r="O152" s="56" t="s">
        <v>1047</v>
      </c>
      <c r="P152" s="121">
        <v>46271</v>
      </c>
      <c r="Q152" s="122">
        <v>0.28125</v>
      </c>
      <c r="R152" s="122">
        <v>0.28925925925925927</v>
      </c>
      <c r="S152" s="56" t="s">
        <v>1047</v>
      </c>
      <c r="T152" s="56">
        <v>1</v>
      </c>
      <c r="U152" s="56">
        <v>26</v>
      </c>
      <c r="V152" s="56">
        <v>20.75</v>
      </c>
      <c r="W152" s="56">
        <v>19.579999999999998</v>
      </c>
      <c r="X152" s="56" t="s">
        <v>2624</v>
      </c>
      <c r="Y152" s="56" t="s">
        <v>2624</v>
      </c>
      <c r="Z152" s="56" t="s">
        <v>2624</v>
      </c>
      <c r="AA152" s="56" t="s">
        <v>224</v>
      </c>
      <c r="AB152" s="56">
        <v>14118956</v>
      </c>
      <c r="AC152" s="56" t="s">
        <v>224</v>
      </c>
      <c r="AD152" s="56">
        <v>14118956</v>
      </c>
      <c r="AE152" s="56" t="s">
        <v>2626</v>
      </c>
      <c r="AF152" s="56" t="s">
        <v>2627</v>
      </c>
      <c r="AG152" s="56" t="s">
        <v>2627</v>
      </c>
      <c r="AH152" s="56">
        <v>37</v>
      </c>
      <c r="AI152" s="56" t="s">
        <v>2628</v>
      </c>
      <c r="AJ152" s="56" t="s">
        <v>2640</v>
      </c>
      <c r="AK152" s="56">
        <v>0</v>
      </c>
      <c r="AL152" s="56" t="s">
        <v>2630</v>
      </c>
      <c r="AM152" s="56" t="s">
        <v>2631</v>
      </c>
      <c r="AN152" s="56" t="s">
        <v>2632</v>
      </c>
      <c r="AO152" s="56" t="s">
        <v>2627</v>
      </c>
      <c r="AP152" s="56" t="s">
        <v>2624</v>
      </c>
      <c r="AQ152" s="123">
        <v>2.4999999999999994E-2</v>
      </c>
      <c r="AR152" s="122">
        <v>8.0092592592592715E-3</v>
      </c>
      <c r="AS152" s="56" t="s">
        <v>1048</v>
      </c>
      <c r="AT152" s="56" t="s">
        <v>1059</v>
      </c>
      <c r="AU152" s="56" t="s">
        <v>1060</v>
      </c>
      <c r="AV152" s="56">
        <v>37</v>
      </c>
      <c r="AW152" s="56" t="s">
        <v>1051</v>
      </c>
      <c r="AX152" s="56" t="s">
        <v>1318</v>
      </c>
      <c r="AY152" s="56" t="s">
        <v>1118</v>
      </c>
      <c r="AZ152" s="56" t="s">
        <v>1054</v>
      </c>
      <c r="BA152" s="56" t="s">
        <v>1319</v>
      </c>
      <c r="BB152" s="56" t="s">
        <v>1320</v>
      </c>
      <c r="BC152" s="56" t="s">
        <v>1057</v>
      </c>
      <c r="BD152" s="56" t="s">
        <v>2063</v>
      </c>
    </row>
    <row r="153" spans="1:56" x14ac:dyDescent="0.2">
      <c r="A153" s="56">
        <v>176787630</v>
      </c>
      <c r="B153" s="56" t="s">
        <v>2997</v>
      </c>
      <c r="C153" s="56" t="s">
        <v>2623</v>
      </c>
      <c r="D153" s="56" t="s">
        <v>1468</v>
      </c>
      <c r="E153" s="56" t="s">
        <v>1044</v>
      </c>
      <c r="F153" s="56">
        <v>155</v>
      </c>
      <c r="G153" s="56" t="s">
        <v>2670</v>
      </c>
      <c r="H153" s="56">
        <v>13005</v>
      </c>
      <c r="I153" s="56">
        <v>6</v>
      </c>
      <c r="J153" s="56" t="s">
        <v>1045</v>
      </c>
      <c r="K153" s="56" t="s">
        <v>1116</v>
      </c>
      <c r="L153" s="121">
        <v>46271</v>
      </c>
      <c r="M153" s="122">
        <v>0.24236111111111111</v>
      </c>
      <c r="N153" s="122">
        <v>0.25069444444444444</v>
      </c>
      <c r="O153" s="56" t="s">
        <v>1047</v>
      </c>
      <c r="P153" s="121">
        <v>46271</v>
      </c>
      <c r="Q153" s="122">
        <v>0.28125</v>
      </c>
      <c r="R153" s="122">
        <v>0.28263888888888888</v>
      </c>
      <c r="S153" s="56" t="s">
        <v>1047</v>
      </c>
      <c r="T153" s="56">
        <v>1</v>
      </c>
      <c r="U153" s="56">
        <v>18</v>
      </c>
      <c r="V153" s="56">
        <v>14.29</v>
      </c>
      <c r="W153" s="56">
        <v>14.59</v>
      </c>
      <c r="X153" s="56">
        <v>35.46</v>
      </c>
      <c r="Y153" s="56">
        <v>4.87</v>
      </c>
      <c r="Z153" s="56">
        <v>16</v>
      </c>
      <c r="AA153" s="56" t="s">
        <v>410</v>
      </c>
      <c r="AB153" s="56">
        <v>14122294</v>
      </c>
      <c r="AC153" s="56" t="s">
        <v>410</v>
      </c>
      <c r="AD153" s="56">
        <v>14122294</v>
      </c>
      <c r="AE153" s="56" t="s">
        <v>2626</v>
      </c>
      <c r="AF153" s="56" t="s">
        <v>2627</v>
      </c>
      <c r="AG153" s="56" t="s">
        <v>2627</v>
      </c>
      <c r="AH153" s="56">
        <v>37</v>
      </c>
      <c r="AI153" s="56" t="s">
        <v>2628</v>
      </c>
      <c r="AJ153" s="56" t="s">
        <v>2640</v>
      </c>
      <c r="AK153" s="56">
        <v>0</v>
      </c>
      <c r="AL153" s="56" t="s">
        <v>2630</v>
      </c>
      <c r="AM153" s="56" t="s">
        <v>2631</v>
      </c>
      <c r="AN153" s="56" t="s">
        <v>2632</v>
      </c>
      <c r="AO153" s="56" t="s">
        <v>2627</v>
      </c>
      <c r="AP153" s="56" t="s">
        <v>2624</v>
      </c>
      <c r="AQ153" s="123">
        <v>8.3333333333333315E-3</v>
      </c>
      <c r="AR153" s="122">
        <v>1.388888888888884E-3</v>
      </c>
      <c r="AS153" s="56" t="s">
        <v>1048</v>
      </c>
      <c r="AT153" s="56" t="s">
        <v>1049</v>
      </c>
      <c r="AU153" s="56" t="s">
        <v>1050</v>
      </c>
      <c r="AV153" s="56">
        <v>37</v>
      </c>
      <c r="AW153" s="56" t="s">
        <v>1051</v>
      </c>
      <c r="AX153" s="56" t="s">
        <v>1469</v>
      </c>
      <c r="AY153" s="56" t="s">
        <v>1118</v>
      </c>
      <c r="AZ153" s="56" t="s">
        <v>1054</v>
      </c>
      <c r="BA153" s="56" t="s">
        <v>1470</v>
      </c>
      <c r="BB153" s="56" t="s">
        <v>1471</v>
      </c>
      <c r="BC153" s="56" t="s">
        <v>1057</v>
      </c>
      <c r="BD153" s="56" t="s">
        <v>2998</v>
      </c>
    </row>
    <row r="154" spans="1:56" x14ac:dyDescent="0.2">
      <c r="A154" s="56">
        <v>176786834</v>
      </c>
      <c r="B154" s="56" t="s">
        <v>2999</v>
      </c>
      <c r="C154" s="56" t="s">
        <v>2623</v>
      </c>
      <c r="D154" s="56" t="s">
        <v>3000</v>
      </c>
      <c r="E154" s="56" t="s">
        <v>1044</v>
      </c>
      <c r="F154" s="56">
        <v>94</v>
      </c>
      <c r="G154" s="56" t="s">
        <v>2670</v>
      </c>
      <c r="H154" s="56">
        <v>17197</v>
      </c>
      <c r="I154" s="56">
        <v>6</v>
      </c>
      <c r="J154" s="56" t="s">
        <v>1045</v>
      </c>
      <c r="K154" s="56" t="s">
        <v>1116</v>
      </c>
      <c r="L154" s="121">
        <v>46271</v>
      </c>
      <c r="M154" s="122">
        <v>0.24305555555555555</v>
      </c>
      <c r="N154" s="122">
        <v>0.2722222222222222</v>
      </c>
      <c r="O154" s="56" t="s">
        <v>1047</v>
      </c>
      <c r="P154" s="121">
        <v>46271</v>
      </c>
      <c r="Q154" s="122">
        <v>0.28125</v>
      </c>
      <c r="R154" s="122">
        <v>0.2986111111111111</v>
      </c>
      <c r="S154" s="56" t="s">
        <v>1047</v>
      </c>
      <c r="T154" s="56">
        <v>1</v>
      </c>
      <c r="U154" s="56">
        <v>17</v>
      </c>
      <c r="V154" s="56">
        <v>13.76</v>
      </c>
      <c r="W154" s="56">
        <v>13</v>
      </c>
      <c r="X154" s="56">
        <v>35.78</v>
      </c>
      <c r="Y154" s="56">
        <v>11.16</v>
      </c>
      <c r="Z154" s="56">
        <v>11.62</v>
      </c>
      <c r="AA154" s="56" t="s">
        <v>27</v>
      </c>
      <c r="AB154" s="56">
        <v>14101881</v>
      </c>
      <c r="AC154" s="56" t="s">
        <v>27</v>
      </c>
      <c r="AD154" s="56">
        <v>14101881</v>
      </c>
      <c r="AE154" s="56" t="s">
        <v>2626</v>
      </c>
      <c r="AF154" s="56" t="s">
        <v>2627</v>
      </c>
      <c r="AG154" s="56" t="s">
        <v>2627</v>
      </c>
      <c r="AH154" s="56">
        <v>37</v>
      </c>
      <c r="AI154" s="56" t="s">
        <v>2628</v>
      </c>
      <c r="AJ154" s="56" t="s">
        <v>2640</v>
      </c>
      <c r="AK154" s="56">
        <v>0</v>
      </c>
      <c r="AL154" s="56" t="s">
        <v>2630</v>
      </c>
      <c r="AM154" s="56" t="s">
        <v>2631</v>
      </c>
      <c r="AN154" s="56" t="s">
        <v>2632</v>
      </c>
      <c r="AO154" s="56" t="s">
        <v>2627</v>
      </c>
      <c r="AP154" s="56" t="s">
        <v>2624</v>
      </c>
      <c r="AQ154" s="123">
        <v>2.9166666666666646E-2</v>
      </c>
      <c r="AR154" s="122">
        <v>1.7361111111111105E-2</v>
      </c>
      <c r="AS154" s="56" t="s">
        <v>1048</v>
      </c>
      <c r="AT154" s="56" t="s">
        <v>1059</v>
      </c>
      <c r="AU154" s="56" t="s">
        <v>1060</v>
      </c>
      <c r="AV154" s="56">
        <v>37</v>
      </c>
      <c r="AW154" s="56" t="s">
        <v>1051</v>
      </c>
      <c r="AX154" s="56" t="s">
        <v>3001</v>
      </c>
      <c r="AY154" s="56" t="s">
        <v>1118</v>
      </c>
      <c r="AZ154" s="56" t="s">
        <v>1054</v>
      </c>
      <c r="BA154" s="56" t="s">
        <v>3002</v>
      </c>
      <c r="BB154" s="56" t="s">
        <v>3003</v>
      </c>
      <c r="BC154" s="56" t="s">
        <v>1057</v>
      </c>
      <c r="BD154" s="56" t="s">
        <v>3004</v>
      </c>
    </row>
    <row r="155" spans="1:56" x14ac:dyDescent="0.2">
      <c r="A155" s="56">
        <v>176787626</v>
      </c>
      <c r="B155" s="56" t="s">
        <v>3005</v>
      </c>
      <c r="C155" s="56" t="s">
        <v>2623</v>
      </c>
      <c r="D155" s="56" t="s">
        <v>3006</v>
      </c>
      <c r="E155" s="56" t="s">
        <v>1044</v>
      </c>
      <c r="F155" s="56">
        <v>153</v>
      </c>
      <c r="G155" s="56" t="s">
        <v>2670</v>
      </c>
      <c r="H155" s="56">
        <v>14051</v>
      </c>
      <c r="I155" s="56">
        <v>6</v>
      </c>
      <c r="J155" s="56" t="s">
        <v>1045</v>
      </c>
      <c r="K155" s="56" t="s">
        <v>1116</v>
      </c>
      <c r="L155" s="121">
        <v>46271</v>
      </c>
      <c r="M155" s="122">
        <v>0.24374999999999999</v>
      </c>
      <c r="N155" s="122">
        <v>0.25555555555555554</v>
      </c>
      <c r="O155" s="56" t="s">
        <v>1047</v>
      </c>
      <c r="P155" s="121">
        <v>46271</v>
      </c>
      <c r="Q155" s="122">
        <v>0.28125</v>
      </c>
      <c r="R155" s="122">
        <v>0.28577546296296297</v>
      </c>
      <c r="S155" s="56" t="s">
        <v>1047</v>
      </c>
      <c r="T155" s="56">
        <v>1</v>
      </c>
      <c r="U155" s="56">
        <v>24</v>
      </c>
      <c r="V155" s="56">
        <v>19.350000000000001</v>
      </c>
      <c r="W155" s="56">
        <v>16.57</v>
      </c>
      <c r="X155" s="56" t="s">
        <v>2624</v>
      </c>
      <c r="Y155" s="56" t="s">
        <v>2624</v>
      </c>
      <c r="Z155" s="56" t="s">
        <v>2624</v>
      </c>
      <c r="AA155" s="56" t="s">
        <v>1769</v>
      </c>
      <c r="AB155" s="56">
        <v>14121985</v>
      </c>
      <c r="AC155" s="56" t="s">
        <v>1769</v>
      </c>
      <c r="AD155" s="56">
        <v>14121985</v>
      </c>
      <c r="AE155" s="56" t="s">
        <v>2626</v>
      </c>
      <c r="AF155" s="56" t="s">
        <v>2627</v>
      </c>
      <c r="AG155" s="56" t="s">
        <v>2627</v>
      </c>
      <c r="AH155" s="56">
        <v>37</v>
      </c>
      <c r="AI155" s="56" t="s">
        <v>2628</v>
      </c>
      <c r="AJ155" s="56" t="s">
        <v>2640</v>
      </c>
      <c r="AK155" s="56">
        <v>0</v>
      </c>
      <c r="AL155" s="56" t="s">
        <v>2630</v>
      </c>
      <c r="AM155" s="56" t="s">
        <v>2631</v>
      </c>
      <c r="AN155" s="56" t="s">
        <v>2632</v>
      </c>
      <c r="AO155" s="56" t="s">
        <v>2627</v>
      </c>
      <c r="AP155" s="56" t="s">
        <v>2624</v>
      </c>
      <c r="AQ155" s="123">
        <v>1.1805555555555541E-2</v>
      </c>
      <c r="AR155" s="122">
        <v>4.5254629629629672E-3</v>
      </c>
      <c r="AS155" s="56" t="s">
        <v>1048</v>
      </c>
      <c r="AT155" s="56" t="s">
        <v>1059</v>
      </c>
      <c r="AU155" s="56" t="s">
        <v>1060</v>
      </c>
      <c r="AV155" s="56">
        <v>37</v>
      </c>
      <c r="AW155" s="56" t="s">
        <v>1051</v>
      </c>
      <c r="AX155" s="56" t="s">
        <v>3007</v>
      </c>
      <c r="AY155" s="56" t="s">
        <v>1118</v>
      </c>
      <c r="AZ155" s="56" t="s">
        <v>1054</v>
      </c>
      <c r="BA155" s="56" t="s">
        <v>3008</v>
      </c>
      <c r="BB155" s="56" t="s">
        <v>3009</v>
      </c>
      <c r="BC155" s="56" t="s">
        <v>1057</v>
      </c>
      <c r="BD155" s="56" t="s">
        <v>3010</v>
      </c>
    </row>
    <row r="156" spans="1:56" x14ac:dyDescent="0.2">
      <c r="A156" s="56">
        <v>176786995</v>
      </c>
      <c r="B156" s="56" t="s">
        <v>3011</v>
      </c>
      <c r="C156" s="56" t="s">
        <v>2623</v>
      </c>
      <c r="D156" s="56" t="s">
        <v>3012</v>
      </c>
      <c r="E156" s="56" t="s">
        <v>1044</v>
      </c>
      <c r="F156" s="56">
        <v>96</v>
      </c>
      <c r="G156" s="56" t="s">
        <v>2670</v>
      </c>
      <c r="H156" s="56">
        <v>10360</v>
      </c>
      <c r="I156" s="56">
        <v>6</v>
      </c>
      <c r="J156" s="56" t="s">
        <v>1045</v>
      </c>
      <c r="K156" s="56" t="s">
        <v>1116</v>
      </c>
      <c r="L156" s="121">
        <v>46271</v>
      </c>
      <c r="M156" s="122">
        <v>0.25</v>
      </c>
      <c r="N156" s="122">
        <v>0.2673611111111111</v>
      </c>
      <c r="O156" s="56" t="s">
        <v>1047</v>
      </c>
      <c r="P156" s="121">
        <v>46271</v>
      </c>
      <c r="Q156" s="122">
        <v>0.28125</v>
      </c>
      <c r="R156" s="122">
        <v>0.28888888888888886</v>
      </c>
      <c r="S156" s="56" t="s">
        <v>1047</v>
      </c>
      <c r="T156" s="56">
        <v>1</v>
      </c>
      <c r="U156" s="56">
        <v>15</v>
      </c>
      <c r="V156" s="56">
        <v>10.82</v>
      </c>
      <c r="W156" s="56">
        <v>10.59</v>
      </c>
      <c r="X156" s="56" t="s">
        <v>2624</v>
      </c>
      <c r="Y156" s="56" t="s">
        <v>2624</v>
      </c>
      <c r="Z156" s="56" t="s">
        <v>2624</v>
      </c>
      <c r="AA156" s="56" t="s">
        <v>554</v>
      </c>
      <c r="AB156" s="56">
        <v>14123591</v>
      </c>
      <c r="AC156" s="56" t="s">
        <v>554</v>
      </c>
      <c r="AD156" s="56">
        <v>14123591</v>
      </c>
      <c r="AE156" s="56" t="s">
        <v>2626</v>
      </c>
      <c r="AF156" s="56" t="s">
        <v>2627</v>
      </c>
      <c r="AG156" s="56" t="s">
        <v>2627</v>
      </c>
      <c r="AH156" s="56">
        <v>37</v>
      </c>
      <c r="AI156" s="56" t="s">
        <v>2628</v>
      </c>
      <c r="AJ156" s="56" t="s">
        <v>2640</v>
      </c>
      <c r="AK156" s="56">
        <v>0</v>
      </c>
      <c r="AL156" s="56" t="s">
        <v>2630</v>
      </c>
      <c r="AM156" s="56" t="s">
        <v>2631</v>
      </c>
      <c r="AN156" s="56" t="s">
        <v>2632</v>
      </c>
      <c r="AO156" s="56" t="s">
        <v>2627</v>
      </c>
      <c r="AP156" s="56" t="s">
        <v>2624</v>
      </c>
      <c r="AQ156" s="123">
        <v>1.7361111111111105E-2</v>
      </c>
      <c r="AR156" s="122">
        <v>7.6388888888888618E-3</v>
      </c>
      <c r="AS156" s="56" t="s">
        <v>1048</v>
      </c>
      <c r="AT156" s="56" t="s">
        <v>1059</v>
      </c>
      <c r="AU156" s="56" t="s">
        <v>1060</v>
      </c>
      <c r="AV156" s="56">
        <v>37</v>
      </c>
      <c r="AW156" s="56" t="s">
        <v>1051</v>
      </c>
      <c r="AX156" s="56" t="s">
        <v>3013</v>
      </c>
      <c r="AY156" s="56" t="s">
        <v>1118</v>
      </c>
      <c r="AZ156" s="56" t="s">
        <v>1054</v>
      </c>
      <c r="BA156" s="56" t="s">
        <v>3014</v>
      </c>
      <c r="BB156" s="56" t="s">
        <v>3015</v>
      </c>
      <c r="BC156" s="56" t="s">
        <v>1057</v>
      </c>
      <c r="BD156" s="56" t="s">
        <v>3016</v>
      </c>
    </row>
    <row r="157" spans="1:56" x14ac:dyDescent="0.2">
      <c r="A157" s="56">
        <v>176782239</v>
      </c>
      <c r="B157" s="56" t="s">
        <v>3017</v>
      </c>
      <c r="C157" s="56" t="s">
        <v>2623</v>
      </c>
      <c r="D157" s="56" t="s">
        <v>2082</v>
      </c>
      <c r="E157" s="56" t="s">
        <v>1044</v>
      </c>
      <c r="F157" s="56">
        <v>40</v>
      </c>
      <c r="G157" s="56"/>
      <c r="H157" s="56">
        <v>5364</v>
      </c>
      <c r="I157" s="56">
        <v>6</v>
      </c>
      <c r="J157" s="56" t="s">
        <v>1045</v>
      </c>
      <c r="K157" s="56" t="s">
        <v>1123</v>
      </c>
      <c r="L157" s="121">
        <v>46271</v>
      </c>
      <c r="M157" s="122">
        <v>0.51875000000000004</v>
      </c>
      <c r="N157" s="122">
        <v>0.5229166666666667</v>
      </c>
      <c r="O157" s="56" t="s">
        <v>1047</v>
      </c>
      <c r="P157" s="121">
        <v>46271</v>
      </c>
      <c r="Q157" s="122">
        <v>0.60416666666666663</v>
      </c>
      <c r="R157" s="122">
        <v>0.5697916666666667</v>
      </c>
      <c r="S157" s="56" t="s">
        <v>1047</v>
      </c>
      <c r="T157" s="56">
        <v>1</v>
      </c>
      <c r="U157" s="56">
        <v>39</v>
      </c>
      <c r="V157" s="56">
        <v>32.549999999999997</v>
      </c>
      <c r="W157" s="56">
        <v>33.729999999999997</v>
      </c>
      <c r="X157" s="56" t="s">
        <v>2624</v>
      </c>
      <c r="Y157" s="56" t="s">
        <v>2624</v>
      </c>
      <c r="Z157" s="56" t="s">
        <v>2624</v>
      </c>
      <c r="AA157" s="56" t="s">
        <v>230</v>
      </c>
      <c r="AB157" s="56">
        <v>14119018</v>
      </c>
      <c r="AC157" s="56" t="s">
        <v>230</v>
      </c>
      <c r="AD157" s="56">
        <v>14119018</v>
      </c>
      <c r="AE157" s="56" t="s">
        <v>2626</v>
      </c>
      <c r="AF157" s="56" t="s">
        <v>2627</v>
      </c>
      <c r="AG157" s="56" t="s">
        <v>2627</v>
      </c>
      <c r="AH157" s="56">
        <v>37</v>
      </c>
      <c r="AI157" s="56" t="s">
        <v>2628</v>
      </c>
      <c r="AJ157" s="56" t="s">
        <v>2629</v>
      </c>
      <c r="AK157" s="56">
        <v>714.73</v>
      </c>
      <c r="AL157" s="56" t="s">
        <v>2630</v>
      </c>
      <c r="AM157" s="56" t="s">
        <v>2631</v>
      </c>
      <c r="AN157" s="56" t="s">
        <v>2632</v>
      </c>
      <c r="AO157" s="56" t="s">
        <v>2627</v>
      </c>
      <c r="AP157" s="56" t="s">
        <v>2624</v>
      </c>
      <c r="AQ157" s="123">
        <v>4.1666666666666519E-3</v>
      </c>
      <c r="AR157" s="122">
        <v>-3.4374999999999933E-2</v>
      </c>
      <c r="AS157" s="56" t="s">
        <v>1048</v>
      </c>
      <c r="AT157" s="56" t="s">
        <v>1049</v>
      </c>
      <c r="AU157" s="56" t="s">
        <v>1050</v>
      </c>
      <c r="AV157" s="56">
        <v>37</v>
      </c>
      <c r="AW157" s="56" t="s">
        <v>1051</v>
      </c>
      <c r="AX157" s="56" t="s">
        <v>2083</v>
      </c>
      <c r="AY157" s="56" t="s">
        <v>1124</v>
      </c>
      <c r="AZ157" s="56" t="s">
        <v>1054</v>
      </c>
      <c r="BA157" s="56" t="s">
        <v>2084</v>
      </c>
      <c r="BB157" s="56" t="s">
        <v>2085</v>
      </c>
      <c r="BC157" s="56" t="s">
        <v>1133</v>
      </c>
      <c r="BD157" s="56" t="s">
        <v>3018</v>
      </c>
    </row>
    <row r="158" spans="1:56" x14ac:dyDescent="0.2">
      <c r="A158" s="56">
        <v>176783654</v>
      </c>
      <c r="B158" s="56" t="s">
        <v>2064</v>
      </c>
      <c r="C158" s="56" t="s">
        <v>2623</v>
      </c>
      <c r="D158" s="56" t="s">
        <v>1569</v>
      </c>
      <c r="E158" s="56" t="s">
        <v>1044</v>
      </c>
      <c r="F158" s="56">
        <v>12</v>
      </c>
      <c r="G158" s="56"/>
      <c r="H158" s="56">
        <v>6566</v>
      </c>
      <c r="I158" s="56">
        <v>6</v>
      </c>
      <c r="J158" s="56" t="s">
        <v>1045</v>
      </c>
      <c r="K158" s="56" t="s">
        <v>1192</v>
      </c>
      <c r="L158" s="121">
        <v>46271</v>
      </c>
      <c r="M158" s="122">
        <v>0.52083333333333337</v>
      </c>
      <c r="N158" s="122">
        <v>0.52500000000000002</v>
      </c>
      <c r="O158" s="56" t="s">
        <v>1047</v>
      </c>
      <c r="P158" s="121">
        <v>46271</v>
      </c>
      <c r="Q158" s="122">
        <v>0.60416666666666663</v>
      </c>
      <c r="R158" s="122">
        <v>0.58755787037037033</v>
      </c>
      <c r="S158" s="56" t="s">
        <v>1047</v>
      </c>
      <c r="T158" s="56">
        <v>1</v>
      </c>
      <c r="U158" s="56">
        <v>56</v>
      </c>
      <c r="V158" s="56">
        <v>49.65</v>
      </c>
      <c r="W158" s="56">
        <v>49.25</v>
      </c>
      <c r="X158" s="56" t="s">
        <v>2624</v>
      </c>
      <c r="Y158" s="56" t="s">
        <v>2624</v>
      </c>
      <c r="Z158" s="56" t="s">
        <v>2624</v>
      </c>
      <c r="AA158" s="56" t="s">
        <v>941</v>
      </c>
      <c r="AB158" s="56">
        <v>14123657</v>
      </c>
      <c r="AC158" s="56" t="s">
        <v>941</v>
      </c>
      <c r="AD158" s="56">
        <v>14123657</v>
      </c>
      <c r="AE158" s="56" t="s">
        <v>2626</v>
      </c>
      <c r="AF158" s="56" t="s">
        <v>2627</v>
      </c>
      <c r="AG158" s="56" t="s">
        <v>2627</v>
      </c>
      <c r="AH158" s="56">
        <v>37</v>
      </c>
      <c r="AI158" s="56" t="s">
        <v>2628</v>
      </c>
      <c r="AJ158" s="56" t="s">
        <v>2629</v>
      </c>
      <c r="AK158" s="56">
        <v>694.55</v>
      </c>
      <c r="AL158" s="56" t="s">
        <v>2630</v>
      </c>
      <c r="AM158" s="56" t="s">
        <v>2631</v>
      </c>
      <c r="AN158" s="56" t="s">
        <v>2632</v>
      </c>
      <c r="AO158" s="56" t="s">
        <v>2627</v>
      </c>
      <c r="AP158" s="56" t="s">
        <v>2624</v>
      </c>
      <c r="AQ158" s="123">
        <v>4.1666666666666519E-3</v>
      </c>
      <c r="AR158" s="122">
        <v>-1.6608796296296302E-2</v>
      </c>
      <c r="AS158" s="56" t="s">
        <v>1048</v>
      </c>
      <c r="AT158" s="56" t="s">
        <v>1049</v>
      </c>
      <c r="AU158" s="56" t="s">
        <v>1050</v>
      </c>
      <c r="AV158" s="56">
        <v>37</v>
      </c>
      <c r="AW158" s="56" t="s">
        <v>1051</v>
      </c>
      <c r="AX158" s="56" t="s">
        <v>1570</v>
      </c>
      <c r="AY158" s="56" t="s">
        <v>1124</v>
      </c>
      <c r="AZ158" s="56" t="s">
        <v>1054</v>
      </c>
      <c r="BA158" s="56" t="s">
        <v>1571</v>
      </c>
      <c r="BB158" s="56" t="s">
        <v>1572</v>
      </c>
      <c r="BC158" s="56" t="s">
        <v>1133</v>
      </c>
      <c r="BD158" s="56" t="s">
        <v>2065</v>
      </c>
    </row>
    <row r="159" spans="1:56" x14ac:dyDescent="0.2">
      <c r="A159" s="56">
        <v>176784768</v>
      </c>
      <c r="B159" s="56" t="s">
        <v>1134</v>
      </c>
      <c r="C159" s="56" t="s">
        <v>2623</v>
      </c>
      <c r="D159" s="56" t="s">
        <v>1070</v>
      </c>
      <c r="E159" s="56" t="s">
        <v>1044</v>
      </c>
      <c r="F159" s="56">
        <v>17</v>
      </c>
      <c r="G159" s="56"/>
      <c r="H159" s="56">
        <v>15192</v>
      </c>
      <c r="I159" s="56">
        <v>6</v>
      </c>
      <c r="J159" s="56" t="s">
        <v>1045</v>
      </c>
      <c r="K159" s="56" t="s">
        <v>1058</v>
      </c>
      <c r="L159" s="121">
        <v>46271</v>
      </c>
      <c r="M159" s="122">
        <v>0.52083333333333337</v>
      </c>
      <c r="N159" s="122">
        <v>0.52430555555555558</v>
      </c>
      <c r="O159" s="56" t="s">
        <v>1047</v>
      </c>
      <c r="P159" s="121">
        <v>46271</v>
      </c>
      <c r="Q159" s="122">
        <v>0.60416666666666663</v>
      </c>
      <c r="R159" s="122">
        <v>0.57798611111111109</v>
      </c>
      <c r="S159" s="56" t="s">
        <v>1047</v>
      </c>
      <c r="T159" s="56">
        <v>1</v>
      </c>
      <c r="U159" s="56">
        <v>37</v>
      </c>
      <c r="V159" s="56">
        <v>33.42</v>
      </c>
      <c r="W159" s="56">
        <v>34.49</v>
      </c>
      <c r="X159" s="56" t="s">
        <v>2624</v>
      </c>
      <c r="Y159" s="56" t="s">
        <v>2624</v>
      </c>
      <c r="Z159" s="56" t="s">
        <v>2624</v>
      </c>
      <c r="AA159" s="56" t="s">
        <v>2625</v>
      </c>
      <c r="AB159" s="56">
        <v>14122103</v>
      </c>
      <c r="AC159" s="56" t="s">
        <v>2625</v>
      </c>
      <c r="AD159" s="56">
        <v>14122103</v>
      </c>
      <c r="AE159" s="56" t="s">
        <v>2626</v>
      </c>
      <c r="AF159" s="56" t="s">
        <v>2627</v>
      </c>
      <c r="AG159" s="56" t="s">
        <v>2627</v>
      </c>
      <c r="AH159" s="56">
        <v>37</v>
      </c>
      <c r="AI159" s="56" t="s">
        <v>2628</v>
      </c>
      <c r="AJ159" s="56" t="s">
        <v>2629</v>
      </c>
      <c r="AK159" s="56">
        <v>815</v>
      </c>
      <c r="AL159" s="56" t="s">
        <v>2630</v>
      </c>
      <c r="AM159" s="56" t="s">
        <v>2631</v>
      </c>
      <c r="AN159" s="56" t="s">
        <v>2632</v>
      </c>
      <c r="AO159" s="56" t="s">
        <v>2627</v>
      </c>
      <c r="AP159" s="56" t="s">
        <v>2624</v>
      </c>
      <c r="AQ159" s="123">
        <v>3.4722222222222099E-3</v>
      </c>
      <c r="AR159" s="122">
        <v>-2.618055555555554E-2</v>
      </c>
      <c r="AS159" s="56" t="s">
        <v>1048</v>
      </c>
      <c r="AT159" s="56" t="s">
        <v>1049</v>
      </c>
      <c r="AU159" s="56" t="s">
        <v>1050</v>
      </c>
      <c r="AV159" s="56">
        <v>37</v>
      </c>
      <c r="AW159" s="56" t="s">
        <v>1051</v>
      </c>
      <c r="AX159" s="56" t="s">
        <v>1071</v>
      </c>
      <c r="AY159" s="56" t="s">
        <v>1061</v>
      </c>
      <c r="AZ159" s="56" t="s">
        <v>1062</v>
      </c>
      <c r="BA159" s="56" t="s">
        <v>1072</v>
      </c>
      <c r="BB159" s="56" t="s">
        <v>1073</v>
      </c>
      <c r="BC159" s="56" t="s">
        <v>1133</v>
      </c>
      <c r="BD159" s="56" t="s">
        <v>1135</v>
      </c>
    </row>
    <row r="160" spans="1:56" x14ac:dyDescent="0.2">
      <c r="A160" s="56">
        <v>176786366</v>
      </c>
      <c r="B160" s="56" t="s">
        <v>3019</v>
      </c>
      <c r="C160" s="56" t="s">
        <v>2623</v>
      </c>
      <c r="D160" s="56" t="s">
        <v>3020</v>
      </c>
      <c r="E160" s="56" t="s">
        <v>1044</v>
      </c>
      <c r="F160" s="56">
        <v>7</v>
      </c>
      <c r="G160" s="56"/>
      <c r="H160" s="56">
        <v>13043</v>
      </c>
      <c r="I160" s="56">
        <v>6</v>
      </c>
      <c r="J160" s="56" t="s">
        <v>1045</v>
      </c>
      <c r="K160" s="56" t="s">
        <v>1258</v>
      </c>
      <c r="L160" s="121">
        <v>46271</v>
      </c>
      <c r="M160" s="122">
        <v>0.52777777777777779</v>
      </c>
      <c r="N160" s="122">
        <v>0.53611111111111109</v>
      </c>
      <c r="O160" s="56" t="s">
        <v>1047</v>
      </c>
      <c r="P160" s="121">
        <v>46271</v>
      </c>
      <c r="Q160" s="122">
        <v>0.57638888888888884</v>
      </c>
      <c r="R160" s="122">
        <v>0.5907175925925926</v>
      </c>
      <c r="S160" s="56" t="s">
        <v>1047</v>
      </c>
      <c r="T160" s="56">
        <v>1</v>
      </c>
      <c r="U160" s="56">
        <v>29</v>
      </c>
      <c r="V160" s="56">
        <v>26.24</v>
      </c>
      <c r="W160" s="56">
        <v>27.1</v>
      </c>
      <c r="X160" s="56" t="s">
        <v>2624</v>
      </c>
      <c r="Y160" s="56" t="s">
        <v>2624</v>
      </c>
      <c r="Z160" s="56" t="s">
        <v>2624</v>
      </c>
      <c r="AA160" s="56" t="s">
        <v>73</v>
      </c>
      <c r="AB160" s="56">
        <v>14108267</v>
      </c>
      <c r="AC160" s="56" t="s">
        <v>73</v>
      </c>
      <c r="AD160" s="56">
        <v>14108267</v>
      </c>
      <c r="AE160" s="56" t="s">
        <v>2626</v>
      </c>
      <c r="AF160" s="56" t="s">
        <v>2627</v>
      </c>
      <c r="AG160" s="56" t="s">
        <v>2627</v>
      </c>
      <c r="AH160" s="56">
        <v>37</v>
      </c>
      <c r="AI160" s="56" t="s">
        <v>2628</v>
      </c>
      <c r="AJ160" s="56" t="s">
        <v>2640</v>
      </c>
      <c r="AK160" s="56">
        <v>0</v>
      </c>
      <c r="AL160" s="56" t="s">
        <v>2630</v>
      </c>
      <c r="AM160" s="56" t="s">
        <v>2631</v>
      </c>
      <c r="AN160" s="56" t="s">
        <v>2702</v>
      </c>
      <c r="AO160" s="56" t="s">
        <v>2627</v>
      </c>
      <c r="AP160" s="56" t="s">
        <v>2624</v>
      </c>
      <c r="AQ160" s="123">
        <v>8.3333333333333037E-3</v>
      </c>
      <c r="AR160" s="122">
        <v>1.432870370370376E-2</v>
      </c>
      <c r="AS160" s="56" t="s">
        <v>1048</v>
      </c>
      <c r="AT160" s="56" t="s">
        <v>1059</v>
      </c>
      <c r="AU160" s="56" t="s">
        <v>1060</v>
      </c>
      <c r="AV160" s="56">
        <v>37</v>
      </c>
      <c r="AW160" s="56" t="s">
        <v>1051</v>
      </c>
      <c r="AX160" s="56" t="s">
        <v>3021</v>
      </c>
      <c r="AY160" s="56" t="s">
        <v>1259</v>
      </c>
      <c r="AZ160" s="56" t="s">
        <v>1062</v>
      </c>
      <c r="BA160" s="56" t="s">
        <v>3022</v>
      </c>
      <c r="BB160" s="56" t="s">
        <v>3023</v>
      </c>
      <c r="BC160" s="56" t="s">
        <v>1133</v>
      </c>
      <c r="BD160" s="56" t="s">
        <v>3024</v>
      </c>
    </row>
    <row r="161" spans="1:56" x14ac:dyDescent="0.2">
      <c r="A161" s="56">
        <v>176786368</v>
      </c>
      <c r="B161" s="56" t="s">
        <v>2122</v>
      </c>
      <c r="C161" s="56" t="s">
        <v>2623</v>
      </c>
      <c r="D161" s="56" t="s">
        <v>2123</v>
      </c>
      <c r="E161" s="56" t="s">
        <v>1044</v>
      </c>
      <c r="F161" s="56">
        <v>57</v>
      </c>
      <c r="G161" s="56"/>
      <c r="H161" s="56">
        <v>4441</v>
      </c>
      <c r="I161" s="56">
        <v>6</v>
      </c>
      <c r="J161" s="56" t="s">
        <v>1045</v>
      </c>
      <c r="K161" s="56" t="s">
        <v>1091</v>
      </c>
      <c r="L161" s="121">
        <v>46271</v>
      </c>
      <c r="M161" s="122">
        <v>0.52777777777777779</v>
      </c>
      <c r="N161" s="122">
        <v>0.53263888888888888</v>
      </c>
      <c r="O161" s="56" t="s">
        <v>1047</v>
      </c>
      <c r="P161" s="121">
        <v>46271</v>
      </c>
      <c r="Q161" s="122">
        <v>0.60069444444444442</v>
      </c>
      <c r="R161" s="122">
        <v>0.57622685185185185</v>
      </c>
      <c r="S161" s="56" t="s">
        <v>1047</v>
      </c>
      <c r="T161" s="56">
        <v>1</v>
      </c>
      <c r="U161" s="56">
        <v>26</v>
      </c>
      <c r="V161" s="56">
        <v>22.74</v>
      </c>
      <c r="W161" s="56">
        <v>22.86</v>
      </c>
      <c r="X161" s="56" t="s">
        <v>2624</v>
      </c>
      <c r="Y161" s="56" t="s">
        <v>2624</v>
      </c>
      <c r="Z161" s="56" t="s">
        <v>2624</v>
      </c>
      <c r="AA161" s="56" t="s">
        <v>72</v>
      </c>
      <c r="AB161" s="56">
        <v>14108222</v>
      </c>
      <c r="AC161" s="56" t="s">
        <v>72</v>
      </c>
      <c r="AD161" s="56">
        <v>14108222</v>
      </c>
      <c r="AE161" s="56" t="s">
        <v>2626</v>
      </c>
      <c r="AF161" s="56" t="s">
        <v>2627</v>
      </c>
      <c r="AG161" s="56" t="s">
        <v>2627</v>
      </c>
      <c r="AH161" s="56">
        <v>37</v>
      </c>
      <c r="AI161" s="56" t="s">
        <v>2628</v>
      </c>
      <c r="AJ161" s="56" t="s">
        <v>2629</v>
      </c>
      <c r="AK161" s="56">
        <v>0</v>
      </c>
      <c r="AL161" s="56" t="s">
        <v>2630</v>
      </c>
      <c r="AM161" s="56" t="s">
        <v>2631</v>
      </c>
      <c r="AN161" s="56" t="s">
        <v>2632</v>
      </c>
      <c r="AO161" s="56" t="s">
        <v>2627</v>
      </c>
      <c r="AP161" s="56" t="s">
        <v>2624</v>
      </c>
      <c r="AQ161" s="123">
        <v>4.8611111111110938E-3</v>
      </c>
      <c r="AR161" s="122">
        <v>-2.4467592592592569E-2</v>
      </c>
      <c r="AS161" s="56" t="s">
        <v>1048</v>
      </c>
      <c r="AT161" s="56" t="s">
        <v>1049</v>
      </c>
      <c r="AU161" s="56" t="s">
        <v>1050</v>
      </c>
      <c r="AV161" s="56">
        <v>37</v>
      </c>
      <c r="AW161" s="56" t="s">
        <v>1051</v>
      </c>
      <c r="AX161" s="56" t="s">
        <v>2124</v>
      </c>
      <c r="AY161" s="56" t="s">
        <v>1093</v>
      </c>
      <c r="AZ161" s="56" t="s">
        <v>1067</v>
      </c>
      <c r="BA161" s="56" t="s">
        <v>2125</v>
      </c>
      <c r="BB161" s="56" t="s">
        <v>2126</v>
      </c>
      <c r="BC161" s="56" t="s">
        <v>1133</v>
      </c>
      <c r="BD161" s="56" t="s">
        <v>2127</v>
      </c>
    </row>
    <row r="162" spans="1:56" x14ac:dyDescent="0.2">
      <c r="A162" s="56">
        <v>176788098</v>
      </c>
      <c r="B162" s="56" t="s">
        <v>3025</v>
      </c>
      <c r="C162" s="56" t="s">
        <v>2623</v>
      </c>
      <c r="D162" s="56" t="s">
        <v>2909</v>
      </c>
      <c r="E162" s="56" t="s">
        <v>1044</v>
      </c>
      <c r="F162" s="56">
        <v>504</v>
      </c>
      <c r="G162" s="56"/>
      <c r="H162" s="56">
        <v>5719</v>
      </c>
      <c r="I162" s="56">
        <v>6</v>
      </c>
      <c r="J162" s="56" t="s">
        <v>1045</v>
      </c>
      <c r="K162" s="56" t="s">
        <v>1064</v>
      </c>
      <c r="L162" s="121">
        <v>46271</v>
      </c>
      <c r="M162" s="122">
        <v>0.53125</v>
      </c>
      <c r="N162" s="122">
        <v>0.53680555555555554</v>
      </c>
      <c r="O162" s="56" t="s">
        <v>1047</v>
      </c>
      <c r="P162" s="121">
        <v>46271</v>
      </c>
      <c r="Q162" s="122">
        <v>0.60069444444444442</v>
      </c>
      <c r="R162" s="122">
        <v>0.60386574074074073</v>
      </c>
      <c r="S162" s="56" t="s">
        <v>1047</v>
      </c>
      <c r="T162" s="56">
        <v>1</v>
      </c>
      <c r="U162" s="56">
        <v>43</v>
      </c>
      <c r="V162" s="56">
        <v>37.61</v>
      </c>
      <c r="W162" s="56">
        <v>36.39</v>
      </c>
      <c r="X162" s="56" t="s">
        <v>2624</v>
      </c>
      <c r="Y162" s="56" t="s">
        <v>2624</v>
      </c>
      <c r="Z162" s="56" t="s">
        <v>2624</v>
      </c>
      <c r="AA162" s="56" t="s">
        <v>144</v>
      </c>
      <c r="AB162" s="56">
        <v>14115536</v>
      </c>
      <c r="AC162" s="56" t="s">
        <v>144</v>
      </c>
      <c r="AD162" s="56">
        <v>14115536</v>
      </c>
      <c r="AE162" s="56" t="s">
        <v>2626</v>
      </c>
      <c r="AF162" s="56" t="s">
        <v>2627</v>
      </c>
      <c r="AG162" s="56" t="s">
        <v>2627</v>
      </c>
      <c r="AH162" s="56">
        <v>37</v>
      </c>
      <c r="AI162" s="56" t="s">
        <v>2628</v>
      </c>
      <c r="AJ162" s="56" t="s">
        <v>2640</v>
      </c>
      <c r="AK162" s="56">
        <v>0</v>
      </c>
      <c r="AL162" s="56" t="s">
        <v>2630</v>
      </c>
      <c r="AM162" s="56" t="s">
        <v>2631</v>
      </c>
      <c r="AN162" s="56" t="s">
        <v>2632</v>
      </c>
      <c r="AO162" s="56" t="s">
        <v>2627</v>
      </c>
      <c r="AP162" s="56" t="s">
        <v>2624</v>
      </c>
      <c r="AQ162" s="123">
        <v>5.5555555555555358E-3</v>
      </c>
      <c r="AR162" s="122">
        <v>3.1712962962963109E-3</v>
      </c>
      <c r="AS162" s="56" t="s">
        <v>1048</v>
      </c>
      <c r="AT162" s="56" t="s">
        <v>1049</v>
      </c>
      <c r="AU162" s="56" t="s">
        <v>1050</v>
      </c>
      <c r="AV162" s="56">
        <v>37</v>
      </c>
      <c r="AW162" s="56" t="s">
        <v>1051</v>
      </c>
      <c r="AX162" s="56" t="s">
        <v>2910</v>
      </c>
      <c r="AY162" s="56" t="s">
        <v>1066</v>
      </c>
      <c r="AZ162" s="56" t="s">
        <v>1067</v>
      </c>
      <c r="BA162" s="56" t="s">
        <v>2911</v>
      </c>
      <c r="BB162" s="56" t="s">
        <v>2912</v>
      </c>
      <c r="BC162" s="56" t="s">
        <v>1133</v>
      </c>
      <c r="BD162" s="56" t="s">
        <v>3026</v>
      </c>
    </row>
    <row r="163" spans="1:56" x14ac:dyDescent="0.2">
      <c r="A163" s="56">
        <v>176788130</v>
      </c>
      <c r="B163" s="56" t="s">
        <v>3027</v>
      </c>
      <c r="C163" s="56" t="s">
        <v>2623</v>
      </c>
      <c r="D163" s="56" t="s">
        <v>3028</v>
      </c>
      <c r="E163" s="56" t="s">
        <v>1044</v>
      </c>
      <c r="F163" s="56">
        <v>519</v>
      </c>
      <c r="G163" s="56"/>
      <c r="H163" s="56">
        <v>13900</v>
      </c>
      <c r="I163" s="56">
        <v>6</v>
      </c>
      <c r="J163" s="56" t="s">
        <v>1045</v>
      </c>
      <c r="K163" s="56" t="s">
        <v>1064</v>
      </c>
      <c r="L163" s="121">
        <v>46271</v>
      </c>
      <c r="M163" s="122">
        <v>0.53472222222222221</v>
      </c>
      <c r="N163" s="122">
        <v>0.54236111111111107</v>
      </c>
      <c r="O163" s="56" t="s">
        <v>1047</v>
      </c>
      <c r="P163" s="121">
        <v>46271</v>
      </c>
      <c r="Q163" s="122">
        <v>0.60069444444444442</v>
      </c>
      <c r="R163" s="122">
        <v>0.60398148148148145</v>
      </c>
      <c r="S163" s="56" t="s">
        <v>1047</v>
      </c>
      <c r="T163" s="56">
        <v>1</v>
      </c>
      <c r="U163" s="56">
        <v>42</v>
      </c>
      <c r="V163" s="56">
        <v>35.700000000000003</v>
      </c>
      <c r="W163" s="56">
        <v>35.08</v>
      </c>
      <c r="X163" s="56" t="s">
        <v>2624</v>
      </c>
      <c r="Y163" s="56" t="s">
        <v>2624</v>
      </c>
      <c r="Z163" s="56" t="s">
        <v>2624</v>
      </c>
      <c r="AA163" s="56" t="s">
        <v>904</v>
      </c>
      <c r="AB163" s="56">
        <v>14123635</v>
      </c>
      <c r="AC163" s="56" t="s">
        <v>904</v>
      </c>
      <c r="AD163" s="56">
        <v>14123635</v>
      </c>
      <c r="AE163" s="56" t="s">
        <v>2626</v>
      </c>
      <c r="AF163" s="56" t="s">
        <v>2627</v>
      </c>
      <c r="AG163" s="56" t="s">
        <v>2627</v>
      </c>
      <c r="AH163" s="56">
        <v>37</v>
      </c>
      <c r="AI163" s="56" t="s">
        <v>2628</v>
      </c>
      <c r="AJ163" s="56" t="s">
        <v>2640</v>
      </c>
      <c r="AK163" s="56">
        <v>0</v>
      </c>
      <c r="AL163" s="56" t="s">
        <v>2630</v>
      </c>
      <c r="AM163" s="56" t="s">
        <v>2631</v>
      </c>
      <c r="AN163" s="56" t="s">
        <v>2632</v>
      </c>
      <c r="AO163" s="56" t="s">
        <v>2627</v>
      </c>
      <c r="AP163" s="56">
        <v>0</v>
      </c>
      <c r="AQ163" s="123">
        <v>7.6388888888888618E-3</v>
      </c>
      <c r="AR163" s="122">
        <v>3.2870370370370328E-3</v>
      </c>
      <c r="AS163" s="56" t="s">
        <v>1048</v>
      </c>
      <c r="AT163" s="56" t="s">
        <v>1049</v>
      </c>
      <c r="AU163" s="56" t="s">
        <v>1050</v>
      </c>
      <c r="AV163" s="56">
        <v>37</v>
      </c>
      <c r="AW163" s="56" t="s">
        <v>1051</v>
      </c>
      <c r="AX163" s="56" t="s">
        <v>3029</v>
      </c>
      <c r="AY163" s="56" t="s">
        <v>1066</v>
      </c>
      <c r="AZ163" s="56" t="s">
        <v>1067</v>
      </c>
      <c r="BA163" s="56" t="s">
        <v>3030</v>
      </c>
      <c r="BB163" s="56" t="s">
        <v>3031</v>
      </c>
      <c r="BC163" s="56" t="s">
        <v>1133</v>
      </c>
      <c r="BD163" s="56" t="s">
        <v>3032</v>
      </c>
    </row>
    <row r="164" spans="1:56" x14ac:dyDescent="0.2">
      <c r="A164" s="56">
        <v>176780424</v>
      </c>
      <c r="B164" s="56" t="s">
        <v>2128</v>
      </c>
      <c r="C164" s="56" t="s">
        <v>2623</v>
      </c>
      <c r="D164" s="56" t="s">
        <v>1632</v>
      </c>
      <c r="E164" s="56" t="s">
        <v>1044</v>
      </c>
      <c r="F164" s="56">
        <v>9</v>
      </c>
      <c r="G164" s="56"/>
      <c r="H164" s="56">
        <v>6900</v>
      </c>
      <c r="I164" s="56">
        <v>6</v>
      </c>
      <c r="J164" s="56" t="s">
        <v>1045</v>
      </c>
      <c r="K164" s="56" t="s">
        <v>1123</v>
      </c>
      <c r="L164" s="121">
        <v>46271</v>
      </c>
      <c r="M164" s="122">
        <v>0.53819444444444442</v>
      </c>
      <c r="N164" s="122">
        <v>0.54236111111111107</v>
      </c>
      <c r="O164" s="56" t="s">
        <v>1047</v>
      </c>
      <c r="P164" s="121">
        <v>46271</v>
      </c>
      <c r="Q164" s="122">
        <v>0.60416666666666663</v>
      </c>
      <c r="R164" s="122">
        <v>0.57565972222222217</v>
      </c>
      <c r="S164" s="56" t="s">
        <v>1047</v>
      </c>
      <c r="T164" s="56">
        <v>1</v>
      </c>
      <c r="U164" s="56">
        <v>22</v>
      </c>
      <c r="V164" s="56">
        <v>12.15</v>
      </c>
      <c r="W164" s="56">
        <v>14.69</v>
      </c>
      <c r="X164" s="56" t="s">
        <v>2624</v>
      </c>
      <c r="Y164" s="56" t="s">
        <v>2624</v>
      </c>
      <c r="Z164" s="56" t="s">
        <v>2624</v>
      </c>
      <c r="AA164" s="56" t="s">
        <v>451</v>
      </c>
      <c r="AB164" s="56">
        <v>14122809</v>
      </c>
      <c r="AC164" s="56" t="s">
        <v>451</v>
      </c>
      <c r="AD164" s="56">
        <v>14122809</v>
      </c>
      <c r="AE164" s="56" t="s">
        <v>2626</v>
      </c>
      <c r="AF164" s="56" t="s">
        <v>2627</v>
      </c>
      <c r="AG164" s="56" t="s">
        <v>2627</v>
      </c>
      <c r="AH164" s="56">
        <v>37</v>
      </c>
      <c r="AI164" s="56" t="s">
        <v>2628</v>
      </c>
      <c r="AJ164" s="56" t="s">
        <v>2629</v>
      </c>
      <c r="AK164" s="56">
        <v>544.9</v>
      </c>
      <c r="AL164" s="56" t="s">
        <v>2630</v>
      </c>
      <c r="AM164" s="56" t="s">
        <v>2631</v>
      </c>
      <c r="AN164" s="56" t="s">
        <v>2632</v>
      </c>
      <c r="AO164" s="56" t="s">
        <v>2627</v>
      </c>
      <c r="AP164" s="56" t="s">
        <v>2624</v>
      </c>
      <c r="AQ164" s="123">
        <v>4.1666666666666519E-3</v>
      </c>
      <c r="AR164" s="122">
        <v>-2.850694444444446E-2</v>
      </c>
      <c r="AS164" s="56" t="s">
        <v>1048</v>
      </c>
      <c r="AT164" s="56" t="s">
        <v>1049</v>
      </c>
      <c r="AU164" s="56" t="s">
        <v>1050</v>
      </c>
      <c r="AV164" s="56">
        <v>37</v>
      </c>
      <c r="AW164" s="56" t="s">
        <v>1051</v>
      </c>
      <c r="AX164" s="56" t="s">
        <v>1633</v>
      </c>
      <c r="AY164" s="56" t="s">
        <v>1124</v>
      </c>
      <c r="AZ164" s="56" t="s">
        <v>1054</v>
      </c>
      <c r="BA164" s="56" t="s">
        <v>1634</v>
      </c>
      <c r="BB164" s="56" t="s">
        <v>1635</v>
      </c>
      <c r="BC164" s="56" t="s">
        <v>1133</v>
      </c>
      <c r="BD164" s="56" t="s">
        <v>2129</v>
      </c>
    </row>
    <row r="165" spans="1:56" x14ac:dyDescent="0.2">
      <c r="A165" s="56">
        <v>176784260</v>
      </c>
      <c r="B165" s="56" t="s">
        <v>3033</v>
      </c>
      <c r="C165" s="56" t="s">
        <v>2623</v>
      </c>
      <c r="D165" s="56" t="s">
        <v>2915</v>
      </c>
      <c r="E165" s="56" t="s">
        <v>1044</v>
      </c>
      <c r="F165" s="56">
        <v>128</v>
      </c>
      <c r="G165" s="56"/>
      <c r="H165" s="56">
        <v>13537</v>
      </c>
      <c r="I165" s="56">
        <v>6</v>
      </c>
      <c r="J165" s="56" t="s">
        <v>1045</v>
      </c>
      <c r="K165" s="56" t="s">
        <v>1079</v>
      </c>
      <c r="L165" s="121">
        <v>46271</v>
      </c>
      <c r="M165" s="122">
        <v>0.53819444444444442</v>
      </c>
      <c r="N165" s="122">
        <v>0.54513888888888884</v>
      </c>
      <c r="O165" s="56" t="s">
        <v>1047</v>
      </c>
      <c r="P165" s="121">
        <v>46271</v>
      </c>
      <c r="Q165" s="122">
        <v>0.60069444444444442</v>
      </c>
      <c r="R165" s="122">
        <v>0.61140046296296291</v>
      </c>
      <c r="S165" s="56" t="s">
        <v>1047</v>
      </c>
      <c r="T165" s="56">
        <v>1</v>
      </c>
      <c r="U165" s="56">
        <v>40</v>
      </c>
      <c r="V165" s="56">
        <v>-33699.58</v>
      </c>
      <c r="W165" s="56">
        <v>33.840000000000003</v>
      </c>
      <c r="X165" s="56" t="s">
        <v>2624</v>
      </c>
      <c r="Y165" s="56" t="s">
        <v>2624</v>
      </c>
      <c r="Z165" s="56" t="s">
        <v>2624</v>
      </c>
      <c r="AA165" s="56" t="s">
        <v>171</v>
      </c>
      <c r="AB165" s="56">
        <v>14116855</v>
      </c>
      <c r="AC165" s="56" t="s">
        <v>171</v>
      </c>
      <c r="AD165" s="56">
        <v>14116855</v>
      </c>
      <c r="AE165" s="56" t="s">
        <v>2626</v>
      </c>
      <c r="AF165" s="56" t="s">
        <v>2627</v>
      </c>
      <c r="AG165" s="56" t="s">
        <v>2627</v>
      </c>
      <c r="AH165" s="56">
        <v>37</v>
      </c>
      <c r="AI165" s="56" t="s">
        <v>2628</v>
      </c>
      <c r="AJ165" s="56" t="s">
        <v>2640</v>
      </c>
      <c r="AK165" s="56">
        <v>0</v>
      </c>
      <c r="AL165" s="56" t="s">
        <v>2630</v>
      </c>
      <c r="AM165" s="56" t="s">
        <v>2631</v>
      </c>
      <c r="AN165" s="56" t="s">
        <v>2632</v>
      </c>
      <c r="AO165" s="56" t="s">
        <v>2627</v>
      </c>
      <c r="AP165" s="56">
        <v>1</v>
      </c>
      <c r="AQ165" s="123">
        <v>6.9444444444444198E-3</v>
      </c>
      <c r="AR165" s="122">
        <v>1.070601851851849E-2</v>
      </c>
      <c r="AS165" s="56" t="s">
        <v>1048</v>
      </c>
      <c r="AT165" s="56" t="s">
        <v>1059</v>
      </c>
      <c r="AU165" s="56" t="s">
        <v>1060</v>
      </c>
      <c r="AV165" s="56">
        <v>37</v>
      </c>
      <c r="AW165" s="56" t="s">
        <v>1051</v>
      </c>
      <c r="AX165" s="56" t="s">
        <v>2916</v>
      </c>
      <c r="AY165" s="56" t="s">
        <v>1081</v>
      </c>
      <c r="AZ165" s="56" t="s">
        <v>1067</v>
      </c>
      <c r="BA165" s="56" t="s">
        <v>2917</v>
      </c>
      <c r="BB165" s="56" t="s">
        <v>2918</v>
      </c>
      <c r="BC165" s="56" t="s">
        <v>1133</v>
      </c>
      <c r="BD165" s="56" t="s">
        <v>3034</v>
      </c>
    </row>
    <row r="166" spans="1:56" x14ac:dyDescent="0.2">
      <c r="A166" s="56">
        <v>176785133</v>
      </c>
      <c r="B166" s="56" t="s">
        <v>1288</v>
      </c>
      <c r="C166" s="56" t="s">
        <v>2623</v>
      </c>
      <c r="D166" s="56" t="s">
        <v>1219</v>
      </c>
      <c r="E166" s="56" t="s">
        <v>1044</v>
      </c>
      <c r="F166" s="56">
        <v>22</v>
      </c>
      <c r="G166" s="56" t="s">
        <v>2670</v>
      </c>
      <c r="H166" s="56">
        <v>13386</v>
      </c>
      <c r="I166" s="56">
        <v>6</v>
      </c>
      <c r="J166" s="56" t="s">
        <v>1045</v>
      </c>
      <c r="K166" s="56" t="s">
        <v>1116</v>
      </c>
      <c r="L166" s="121">
        <v>46271</v>
      </c>
      <c r="M166" s="122">
        <v>0.53819444444444442</v>
      </c>
      <c r="N166" s="122">
        <v>0.55347222222222225</v>
      </c>
      <c r="O166" s="56" t="s">
        <v>1047</v>
      </c>
      <c r="P166" s="121">
        <v>46271</v>
      </c>
      <c r="Q166" s="122">
        <v>0.61458333333333337</v>
      </c>
      <c r="R166" s="122">
        <v>0.59636574074074078</v>
      </c>
      <c r="S166" s="56" t="s">
        <v>1047</v>
      </c>
      <c r="T166" s="56">
        <v>1</v>
      </c>
      <c r="U166" s="56">
        <v>36</v>
      </c>
      <c r="V166" s="56">
        <v>27.01</v>
      </c>
      <c r="W166" s="56">
        <v>26.82</v>
      </c>
      <c r="X166" s="56" t="s">
        <v>2624</v>
      </c>
      <c r="Y166" s="56" t="s">
        <v>2624</v>
      </c>
      <c r="Z166" s="56" t="s">
        <v>2624</v>
      </c>
      <c r="AA166" s="56"/>
      <c r="AB166" s="56"/>
      <c r="AC166" s="56" t="s">
        <v>1187</v>
      </c>
      <c r="AD166" s="56"/>
      <c r="AE166" s="56" t="s">
        <v>2626</v>
      </c>
      <c r="AF166" s="56" t="s">
        <v>2627</v>
      </c>
      <c r="AG166" s="56" t="s">
        <v>2627</v>
      </c>
      <c r="AH166" s="56">
        <v>37</v>
      </c>
      <c r="AI166" s="56" t="s">
        <v>2628</v>
      </c>
      <c r="AJ166" s="56" t="s">
        <v>2629</v>
      </c>
      <c r="AK166" s="56">
        <v>0</v>
      </c>
      <c r="AL166" s="56" t="s">
        <v>2630</v>
      </c>
      <c r="AM166" s="56" t="s">
        <v>2631</v>
      </c>
      <c r="AN166" s="56" t="s">
        <v>2632</v>
      </c>
      <c r="AO166" s="56" t="s">
        <v>2627</v>
      </c>
      <c r="AP166" s="56" t="s">
        <v>2624</v>
      </c>
      <c r="AQ166" s="123">
        <v>1.5277777777777835E-2</v>
      </c>
      <c r="AR166" s="122">
        <v>-1.8217592592592591E-2</v>
      </c>
      <c r="AS166" s="56" t="s">
        <v>1048</v>
      </c>
      <c r="AT166" s="56" t="s">
        <v>1049</v>
      </c>
      <c r="AU166" s="56" t="s">
        <v>1050</v>
      </c>
      <c r="AV166" s="56">
        <v>37</v>
      </c>
      <c r="AW166" s="56" t="s">
        <v>1051</v>
      </c>
      <c r="AX166" s="56" t="s">
        <v>1220</v>
      </c>
      <c r="AY166" s="56" t="s">
        <v>1118</v>
      </c>
      <c r="AZ166" s="56" t="s">
        <v>1054</v>
      </c>
      <c r="BA166" s="56" t="s">
        <v>1221</v>
      </c>
      <c r="BB166" s="56" t="s">
        <v>1222</v>
      </c>
      <c r="BC166" s="56" t="s">
        <v>1133</v>
      </c>
      <c r="BD166" s="56" t="s">
        <v>1289</v>
      </c>
    </row>
    <row r="167" spans="1:56" x14ac:dyDescent="0.2">
      <c r="A167" s="56">
        <v>176784474</v>
      </c>
      <c r="B167" s="56" t="s">
        <v>2066</v>
      </c>
      <c r="C167" s="56" t="s">
        <v>2623</v>
      </c>
      <c r="D167" s="56" t="s">
        <v>2067</v>
      </c>
      <c r="E167" s="56" t="s">
        <v>1044</v>
      </c>
      <c r="F167" s="56">
        <v>425</v>
      </c>
      <c r="G167" s="56"/>
      <c r="H167" s="56">
        <v>16781</v>
      </c>
      <c r="I167" s="56">
        <v>6</v>
      </c>
      <c r="J167" s="56" t="s">
        <v>1045</v>
      </c>
      <c r="K167" s="56" t="s">
        <v>1064</v>
      </c>
      <c r="L167" s="121">
        <v>46271</v>
      </c>
      <c r="M167" s="122">
        <v>0.54166666666666663</v>
      </c>
      <c r="N167" s="122">
        <v>0.54513888888888884</v>
      </c>
      <c r="O167" s="56" t="s">
        <v>1047</v>
      </c>
      <c r="P167" s="121">
        <v>46271</v>
      </c>
      <c r="Q167" s="122">
        <v>0.60069444444444442</v>
      </c>
      <c r="R167" s="122">
        <v>0.59104166666666669</v>
      </c>
      <c r="S167" s="56" t="s">
        <v>1047</v>
      </c>
      <c r="T167" s="56">
        <v>1</v>
      </c>
      <c r="U167" s="56">
        <v>37</v>
      </c>
      <c r="V167" s="56">
        <v>32.61</v>
      </c>
      <c r="W167" s="56">
        <v>34.549999999999997</v>
      </c>
      <c r="X167" s="56" t="s">
        <v>2624</v>
      </c>
      <c r="Y167" s="56" t="s">
        <v>2624</v>
      </c>
      <c r="Z167" s="56" t="s">
        <v>2624</v>
      </c>
      <c r="AA167" s="56" t="s">
        <v>401</v>
      </c>
      <c r="AB167" s="56">
        <v>14122194</v>
      </c>
      <c r="AC167" s="56" t="s">
        <v>401</v>
      </c>
      <c r="AD167" s="56">
        <v>14122194</v>
      </c>
      <c r="AE167" s="56" t="s">
        <v>2626</v>
      </c>
      <c r="AF167" s="56" t="s">
        <v>2627</v>
      </c>
      <c r="AG167" s="56" t="s">
        <v>2627</v>
      </c>
      <c r="AH167" s="56">
        <v>37</v>
      </c>
      <c r="AI167" s="56" t="s">
        <v>2628</v>
      </c>
      <c r="AJ167" s="56" t="s">
        <v>2629</v>
      </c>
      <c r="AK167" s="56">
        <v>0</v>
      </c>
      <c r="AL167" s="56" t="s">
        <v>2630</v>
      </c>
      <c r="AM167" s="56" t="s">
        <v>2631</v>
      </c>
      <c r="AN167" s="56" t="s">
        <v>2632</v>
      </c>
      <c r="AO167" s="56" t="s">
        <v>2627</v>
      </c>
      <c r="AP167" s="56">
        <v>3</v>
      </c>
      <c r="AQ167" s="123">
        <v>3.4722222222222099E-3</v>
      </c>
      <c r="AR167" s="122">
        <v>-9.6527777777777324E-3</v>
      </c>
      <c r="AS167" s="56" t="s">
        <v>1048</v>
      </c>
      <c r="AT167" s="56" t="s">
        <v>1049</v>
      </c>
      <c r="AU167" s="56" t="s">
        <v>1050</v>
      </c>
      <c r="AV167" s="56">
        <v>37</v>
      </c>
      <c r="AW167" s="56" t="s">
        <v>1051</v>
      </c>
      <c r="AX167" s="56" t="s">
        <v>2068</v>
      </c>
      <c r="AY167" s="56" t="s">
        <v>1066</v>
      </c>
      <c r="AZ167" s="56" t="s">
        <v>1067</v>
      </c>
      <c r="BA167" s="56" t="s">
        <v>2069</v>
      </c>
      <c r="BB167" s="56" t="s">
        <v>2070</v>
      </c>
      <c r="BC167" s="56" t="s">
        <v>1133</v>
      </c>
      <c r="BD167" s="56" t="s">
        <v>2071</v>
      </c>
    </row>
    <row r="168" spans="1:56" x14ac:dyDescent="0.2">
      <c r="A168" s="56">
        <v>176786867</v>
      </c>
      <c r="B168" s="56" t="s">
        <v>3035</v>
      </c>
      <c r="C168" s="56" t="s">
        <v>2623</v>
      </c>
      <c r="D168" s="56" t="s">
        <v>3036</v>
      </c>
      <c r="E168" s="56" t="s">
        <v>1044</v>
      </c>
      <c r="F168" s="56">
        <v>69</v>
      </c>
      <c r="G168" s="56"/>
      <c r="H168" s="56">
        <v>15991</v>
      </c>
      <c r="I168" s="56">
        <v>6</v>
      </c>
      <c r="J168" s="56" t="s">
        <v>1045</v>
      </c>
      <c r="K168" s="56" t="s">
        <v>1091</v>
      </c>
      <c r="L168" s="121">
        <v>46271</v>
      </c>
      <c r="M168" s="122">
        <v>0.54166666666666663</v>
      </c>
      <c r="N168" s="122">
        <v>0.55277777777777781</v>
      </c>
      <c r="O168" s="56" t="s">
        <v>1047</v>
      </c>
      <c r="P168" s="121">
        <v>46271</v>
      </c>
      <c r="Q168" s="122">
        <v>0.60069444444444442</v>
      </c>
      <c r="R168" s="122">
        <v>0.58478009259259256</v>
      </c>
      <c r="S168" s="56" t="s">
        <v>1047</v>
      </c>
      <c r="T168" s="56">
        <v>1</v>
      </c>
      <c r="U168" s="56">
        <v>42</v>
      </c>
      <c r="V168" s="56">
        <v>39.82</v>
      </c>
      <c r="W168" s="56">
        <v>38.65</v>
      </c>
      <c r="X168" s="56" t="s">
        <v>2624</v>
      </c>
      <c r="Y168" s="56" t="s">
        <v>2624</v>
      </c>
      <c r="Z168" s="56" t="s">
        <v>2624</v>
      </c>
      <c r="AA168" s="56" t="s">
        <v>1987</v>
      </c>
      <c r="AB168" s="56">
        <v>14124159</v>
      </c>
      <c r="AC168" s="56" t="s">
        <v>1987</v>
      </c>
      <c r="AD168" s="56">
        <v>14124159</v>
      </c>
      <c r="AE168" s="56" t="s">
        <v>2626</v>
      </c>
      <c r="AF168" s="56" t="s">
        <v>2627</v>
      </c>
      <c r="AG168" s="56" t="s">
        <v>2627</v>
      </c>
      <c r="AH168" s="56">
        <v>37</v>
      </c>
      <c r="AI168" s="56" t="s">
        <v>2628</v>
      </c>
      <c r="AJ168" s="56" t="s">
        <v>2629</v>
      </c>
      <c r="AK168" s="56">
        <v>0</v>
      </c>
      <c r="AL168" s="56" t="s">
        <v>2630</v>
      </c>
      <c r="AM168" s="56" t="s">
        <v>2631</v>
      </c>
      <c r="AN168" s="56" t="s">
        <v>2632</v>
      </c>
      <c r="AO168" s="56" t="s">
        <v>2627</v>
      </c>
      <c r="AP168" s="56" t="s">
        <v>2624</v>
      </c>
      <c r="AQ168" s="123">
        <v>1.1111111111111183E-2</v>
      </c>
      <c r="AR168" s="122">
        <v>-1.591435185185186E-2</v>
      </c>
      <c r="AS168" s="56" t="s">
        <v>1048</v>
      </c>
      <c r="AT168" s="56" t="s">
        <v>1049</v>
      </c>
      <c r="AU168" s="56" t="s">
        <v>1050</v>
      </c>
      <c r="AV168" s="56">
        <v>37</v>
      </c>
      <c r="AW168" s="56" t="s">
        <v>1051</v>
      </c>
      <c r="AX168" s="56" t="s">
        <v>3037</v>
      </c>
      <c r="AY168" s="56" t="s">
        <v>1093</v>
      </c>
      <c r="AZ168" s="56" t="s">
        <v>1067</v>
      </c>
      <c r="BA168" s="56" t="s">
        <v>3038</v>
      </c>
      <c r="BB168" s="56" t="s">
        <v>3039</v>
      </c>
      <c r="BC168" s="56" t="s">
        <v>1133</v>
      </c>
      <c r="BD168" s="56" t="s">
        <v>3040</v>
      </c>
    </row>
    <row r="169" spans="1:56" x14ac:dyDescent="0.2">
      <c r="A169" s="56">
        <v>176836226</v>
      </c>
      <c r="B169" s="56" t="s">
        <v>3041</v>
      </c>
      <c r="C169" s="56" t="s">
        <v>2623</v>
      </c>
      <c r="D169" s="56" t="s">
        <v>1654</v>
      </c>
      <c r="E169" s="56" t="s">
        <v>1044</v>
      </c>
      <c r="F169" s="56">
        <v>102</v>
      </c>
      <c r="G169" s="56"/>
      <c r="H169" s="56">
        <v>6781</v>
      </c>
      <c r="I169" s="56">
        <v>8</v>
      </c>
      <c r="J169" s="56" t="s">
        <v>1045</v>
      </c>
      <c r="K169" s="56" t="s">
        <v>1212</v>
      </c>
      <c r="L169" s="121">
        <v>46271</v>
      </c>
      <c r="M169" s="122">
        <v>0.54166666666666663</v>
      </c>
      <c r="N169" s="122">
        <v>0.5493055555555556</v>
      </c>
      <c r="O169" s="56" t="s">
        <v>1047</v>
      </c>
      <c r="P169" s="121">
        <v>46271</v>
      </c>
      <c r="Q169" s="122">
        <v>0.59722222222222221</v>
      </c>
      <c r="R169" s="122">
        <v>0.59027777777777779</v>
      </c>
      <c r="S169" s="56" t="s">
        <v>1047</v>
      </c>
      <c r="T169" s="56">
        <v>0</v>
      </c>
      <c r="U169" s="56">
        <v>36</v>
      </c>
      <c r="V169" s="56">
        <v>31.12</v>
      </c>
      <c r="W169" s="56">
        <v>30.25</v>
      </c>
      <c r="X169" s="56">
        <v>31.94</v>
      </c>
      <c r="Y169" s="56">
        <v>1.69</v>
      </c>
      <c r="Z169" s="56">
        <v>0</v>
      </c>
      <c r="AA169" s="56" t="s">
        <v>1846</v>
      </c>
      <c r="AB169" s="56">
        <v>14110044</v>
      </c>
      <c r="AC169" s="56" t="s">
        <v>1846</v>
      </c>
      <c r="AD169" s="56">
        <v>14110044</v>
      </c>
      <c r="AE169" s="56" t="s">
        <v>3042</v>
      </c>
      <c r="AF169" s="124">
        <v>46271.566180555557</v>
      </c>
      <c r="AG169" s="56" t="s">
        <v>3043</v>
      </c>
      <c r="AH169" s="56">
        <v>37</v>
      </c>
      <c r="AI169" s="56" t="s">
        <v>2628</v>
      </c>
      <c r="AJ169" s="56" t="s">
        <v>2629</v>
      </c>
      <c r="AK169" s="56">
        <v>0</v>
      </c>
      <c r="AL169" s="56" t="s">
        <v>2630</v>
      </c>
      <c r="AM169" s="56" t="s">
        <v>2631</v>
      </c>
      <c r="AN169" s="56" t="s">
        <v>2632</v>
      </c>
      <c r="AO169" s="124">
        <v>46271.566180555557</v>
      </c>
      <c r="AP169" s="56" t="s">
        <v>2624</v>
      </c>
      <c r="AQ169" s="123">
        <v>7.6388888888889728E-3</v>
      </c>
      <c r="AR169" s="122">
        <v>-6.9444444444444198E-3</v>
      </c>
      <c r="AS169" s="56" t="s">
        <v>1048</v>
      </c>
      <c r="AT169" s="56" t="s">
        <v>1049</v>
      </c>
      <c r="AU169" s="56" t="s">
        <v>1050</v>
      </c>
      <c r="AV169" s="56">
        <v>37</v>
      </c>
      <c r="AW169" s="56" t="s">
        <v>1051</v>
      </c>
      <c r="AX169" s="56" t="s">
        <v>1655</v>
      </c>
      <c r="AY169" s="56" t="s">
        <v>1164</v>
      </c>
      <c r="AZ169" s="56" t="s">
        <v>1062</v>
      </c>
      <c r="BA169" s="56" t="s">
        <v>1656</v>
      </c>
      <c r="BB169" s="56" t="s">
        <v>1657</v>
      </c>
      <c r="BC169" s="56" t="s">
        <v>1133</v>
      </c>
      <c r="BD169" s="56" t="s">
        <v>3044</v>
      </c>
    </row>
    <row r="170" spans="1:56" x14ac:dyDescent="0.2">
      <c r="A170" s="56">
        <v>176785940</v>
      </c>
      <c r="B170" s="56" t="s">
        <v>3045</v>
      </c>
      <c r="C170" s="56" t="s">
        <v>2623</v>
      </c>
      <c r="D170" s="56" t="s">
        <v>3046</v>
      </c>
      <c r="E170" s="56" t="s">
        <v>1044</v>
      </c>
      <c r="F170" s="56">
        <v>20</v>
      </c>
      <c r="G170" s="56"/>
      <c r="H170" s="56">
        <v>4533</v>
      </c>
      <c r="I170" s="56">
        <v>7</v>
      </c>
      <c r="J170" s="56" t="s">
        <v>1045</v>
      </c>
      <c r="K170" s="56" t="s">
        <v>1192</v>
      </c>
      <c r="L170" s="121">
        <v>46271</v>
      </c>
      <c r="M170" s="122">
        <v>0.54583333333333328</v>
      </c>
      <c r="N170" s="122">
        <v>0.58194444444444449</v>
      </c>
      <c r="O170" s="56" t="s">
        <v>1047</v>
      </c>
      <c r="P170" s="121">
        <v>46271</v>
      </c>
      <c r="Q170" s="122">
        <v>0.60416666666666663</v>
      </c>
      <c r="R170" s="56"/>
      <c r="S170" s="56" t="s">
        <v>1148</v>
      </c>
      <c r="T170" s="56">
        <v>0</v>
      </c>
      <c r="U170" s="56">
        <v>36</v>
      </c>
      <c r="V170" s="56">
        <v>26.99</v>
      </c>
      <c r="W170" s="56">
        <v>12.81</v>
      </c>
      <c r="X170" s="56">
        <v>33.32</v>
      </c>
      <c r="Y170" s="56">
        <v>11.22</v>
      </c>
      <c r="Z170" s="56">
        <v>9.2899999999999991</v>
      </c>
      <c r="AA170" s="56" t="s">
        <v>551</v>
      </c>
      <c r="AB170" s="56">
        <v>14123572</v>
      </c>
      <c r="AC170" s="56" t="s">
        <v>551</v>
      </c>
      <c r="AD170" s="56">
        <v>14123572</v>
      </c>
      <c r="AE170" s="56" t="s">
        <v>2626</v>
      </c>
      <c r="AF170" s="56" t="s">
        <v>2627</v>
      </c>
      <c r="AG170" s="56" t="s">
        <v>2627</v>
      </c>
      <c r="AH170" s="56">
        <v>37</v>
      </c>
      <c r="AI170" s="56" t="s">
        <v>2706</v>
      </c>
      <c r="AJ170" s="56" t="s">
        <v>2640</v>
      </c>
      <c r="AK170" s="56">
        <v>0</v>
      </c>
      <c r="AL170" s="56" t="s">
        <v>2630</v>
      </c>
      <c r="AM170" s="56" t="s">
        <v>2631</v>
      </c>
      <c r="AN170" s="56" t="s">
        <v>2632</v>
      </c>
      <c r="AO170" s="56" t="s">
        <v>2627</v>
      </c>
      <c r="AP170" s="56" t="s">
        <v>2624</v>
      </c>
      <c r="AQ170" s="123">
        <v>3.6111111111111205E-2</v>
      </c>
      <c r="AR170" s="122">
        <v>-0.60416666666666663</v>
      </c>
      <c r="AS170" s="56" t="s">
        <v>1048</v>
      </c>
      <c r="AT170" s="56" t="s">
        <v>1049</v>
      </c>
      <c r="AU170" s="56" t="s">
        <v>1050</v>
      </c>
      <c r="AV170" s="56">
        <v>37</v>
      </c>
      <c r="AW170" s="56" t="s">
        <v>1051</v>
      </c>
      <c r="AX170" s="56" t="s">
        <v>3047</v>
      </c>
      <c r="AY170" s="56" t="s">
        <v>1124</v>
      </c>
      <c r="AZ170" s="56" t="s">
        <v>1054</v>
      </c>
      <c r="BA170" s="56" t="s">
        <v>3048</v>
      </c>
      <c r="BB170" s="56" t="s">
        <v>3049</v>
      </c>
      <c r="BC170" s="56" t="s">
        <v>1133</v>
      </c>
      <c r="BD170" s="56" t="s">
        <v>3050</v>
      </c>
    </row>
    <row r="171" spans="1:56" x14ac:dyDescent="0.2">
      <c r="A171" s="56">
        <v>176784453</v>
      </c>
      <c r="B171" s="56" t="s">
        <v>3051</v>
      </c>
      <c r="C171" s="56" t="s">
        <v>2623</v>
      </c>
      <c r="D171" s="56" t="s">
        <v>3052</v>
      </c>
      <c r="E171" s="56" t="s">
        <v>1044</v>
      </c>
      <c r="F171" s="56">
        <v>140</v>
      </c>
      <c r="G171" s="56"/>
      <c r="H171" s="56">
        <v>5474</v>
      </c>
      <c r="I171" s="56">
        <v>6</v>
      </c>
      <c r="J171" s="56" t="s">
        <v>1045</v>
      </c>
      <c r="K171" s="56" t="s">
        <v>1296</v>
      </c>
      <c r="L171" s="121">
        <v>46271</v>
      </c>
      <c r="M171" s="122">
        <v>0.54861111111111116</v>
      </c>
      <c r="N171" s="122">
        <v>0.55555555555555558</v>
      </c>
      <c r="O171" s="56" t="s">
        <v>1047</v>
      </c>
      <c r="P171" s="121">
        <v>46271</v>
      </c>
      <c r="Q171" s="122">
        <v>0.60069444444444442</v>
      </c>
      <c r="R171" s="122">
        <v>0.58402777777777781</v>
      </c>
      <c r="S171" s="56" t="s">
        <v>1047</v>
      </c>
      <c r="T171" s="56">
        <v>1</v>
      </c>
      <c r="U171" s="56">
        <v>26</v>
      </c>
      <c r="V171" s="56">
        <v>22.77</v>
      </c>
      <c r="W171" s="56">
        <v>18.87</v>
      </c>
      <c r="X171" s="56">
        <v>31.44</v>
      </c>
      <c r="Y171" s="56">
        <v>7.13</v>
      </c>
      <c r="Z171" s="56">
        <v>5.44</v>
      </c>
      <c r="AA171" s="56" t="s">
        <v>2400</v>
      </c>
      <c r="AB171" s="56">
        <v>14124263</v>
      </c>
      <c r="AC171" s="56" t="s">
        <v>2400</v>
      </c>
      <c r="AD171" s="56">
        <v>14124263</v>
      </c>
      <c r="AE171" s="56" t="s">
        <v>2626</v>
      </c>
      <c r="AF171" s="56" t="s">
        <v>2627</v>
      </c>
      <c r="AG171" s="56" t="s">
        <v>2627</v>
      </c>
      <c r="AH171" s="56">
        <v>37</v>
      </c>
      <c r="AI171" s="56" t="s">
        <v>2628</v>
      </c>
      <c r="AJ171" s="56" t="s">
        <v>2629</v>
      </c>
      <c r="AK171" s="56">
        <v>0</v>
      </c>
      <c r="AL171" s="56" t="s">
        <v>2630</v>
      </c>
      <c r="AM171" s="56" t="s">
        <v>2631</v>
      </c>
      <c r="AN171" s="56" t="s">
        <v>2632</v>
      </c>
      <c r="AO171" s="56" t="s">
        <v>2627</v>
      </c>
      <c r="AP171" s="56" t="s">
        <v>2624</v>
      </c>
      <c r="AQ171" s="123">
        <v>6.9444444444444198E-3</v>
      </c>
      <c r="AR171" s="122">
        <v>-1.6666666666666607E-2</v>
      </c>
      <c r="AS171" s="56" t="s">
        <v>1048</v>
      </c>
      <c r="AT171" s="56" t="s">
        <v>1049</v>
      </c>
      <c r="AU171" s="56" t="s">
        <v>1050</v>
      </c>
      <c r="AV171" s="56">
        <v>37</v>
      </c>
      <c r="AW171" s="56" t="s">
        <v>1051</v>
      </c>
      <c r="AX171" s="56" t="s">
        <v>3053</v>
      </c>
      <c r="AY171" s="56" t="s">
        <v>1297</v>
      </c>
      <c r="AZ171" s="56" t="s">
        <v>1067</v>
      </c>
      <c r="BA171" s="56" t="s">
        <v>3054</v>
      </c>
      <c r="BB171" s="56" t="s">
        <v>3055</v>
      </c>
      <c r="BC171" s="56" t="s">
        <v>1133</v>
      </c>
      <c r="BD171" s="56" t="s">
        <v>3056</v>
      </c>
    </row>
    <row r="172" spans="1:56" x14ac:dyDescent="0.2">
      <c r="A172" s="56">
        <v>176788125</v>
      </c>
      <c r="B172" s="56" t="s">
        <v>3057</v>
      </c>
      <c r="C172" s="56" t="s">
        <v>2623</v>
      </c>
      <c r="D172" s="56" t="s">
        <v>3058</v>
      </c>
      <c r="E172" s="56" t="s">
        <v>1044</v>
      </c>
      <c r="F172" s="56">
        <v>516</v>
      </c>
      <c r="G172" s="56"/>
      <c r="H172" s="56">
        <v>16767</v>
      </c>
      <c r="I172" s="56">
        <v>6</v>
      </c>
      <c r="J172" s="56" t="s">
        <v>1045</v>
      </c>
      <c r="K172" s="56" t="s">
        <v>1064</v>
      </c>
      <c r="L172" s="121">
        <v>46271</v>
      </c>
      <c r="M172" s="122">
        <v>0.54861111111111116</v>
      </c>
      <c r="N172" s="122">
        <v>0.55555555555555558</v>
      </c>
      <c r="O172" s="56" t="s">
        <v>1047</v>
      </c>
      <c r="P172" s="121">
        <v>46271</v>
      </c>
      <c r="Q172" s="122">
        <v>0.60069444444444442</v>
      </c>
      <c r="R172" s="122">
        <v>0.61629629629629634</v>
      </c>
      <c r="S172" s="56" t="s">
        <v>1047</v>
      </c>
      <c r="T172" s="56">
        <v>1</v>
      </c>
      <c r="U172" s="56">
        <v>36</v>
      </c>
      <c r="V172" s="56">
        <v>36.130000000000003</v>
      </c>
      <c r="W172" s="56">
        <v>43.33</v>
      </c>
      <c r="X172" s="56" t="s">
        <v>2624</v>
      </c>
      <c r="Y172" s="56" t="s">
        <v>2624</v>
      </c>
      <c r="Z172" s="56" t="s">
        <v>2624</v>
      </c>
      <c r="AA172" s="56" t="s">
        <v>441</v>
      </c>
      <c r="AB172" s="56">
        <v>14122683</v>
      </c>
      <c r="AC172" s="56" t="s">
        <v>441</v>
      </c>
      <c r="AD172" s="56">
        <v>14122683</v>
      </c>
      <c r="AE172" s="56" t="s">
        <v>2626</v>
      </c>
      <c r="AF172" s="56" t="s">
        <v>2627</v>
      </c>
      <c r="AG172" s="56" t="s">
        <v>2627</v>
      </c>
      <c r="AH172" s="56">
        <v>37</v>
      </c>
      <c r="AI172" s="56" t="s">
        <v>2628</v>
      </c>
      <c r="AJ172" s="56" t="s">
        <v>2640</v>
      </c>
      <c r="AK172" s="56">
        <v>0</v>
      </c>
      <c r="AL172" s="56" t="s">
        <v>2630</v>
      </c>
      <c r="AM172" s="56" t="s">
        <v>2631</v>
      </c>
      <c r="AN172" s="56" t="s">
        <v>2632</v>
      </c>
      <c r="AO172" s="56" t="s">
        <v>2627</v>
      </c>
      <c r="AP172" s="56" t="s">
        <v>2624</v>
      </c>
      <c r="AQ172" s="123">
        <v>6.9444444444444198E-3</v>
      </c>
      <c r="AR172" s="122">
        <v>1.5601851851851922E-2</v>
      </c>
      <c r="AS172" s="56" t="s">
        <v>1048</v>
      </c>
      <c r="AT172" s="56" t="s">
        <v>1059</v>
      </c>
      <c r="AU172" s="56" t="s">
        <v>1060</v>
      </c>
      <c r="AV172" s="56">
        <v>37</v>
      </c>
      <c r="AW172" s="56" t="s">
        <v>1051</v>
      </c>
      <c r="AX172" s="56" t="s">
        <v>3059</v>
      </c>
      <c r="AY172" s="56" t="s">
        <v>1066</v>
      </c>
      <c r="AZ172" s="56" t="s">
        <v>1067</v>
      </c>
      <c r="BA172" s="56" t="s">
        <v>3060</v>
      </c>
      <c r="BB172" s="56" t="s">
        <v>3061</v>
      </c>
      <c r="BC172" s="56" t="s">
        <v>1133</v>
      </c>
      <c r="BD172" s="56" t="s">
        <v>3062</v>
      </c>
    </row>
    <row r="173" spans="1:56" x14ac:dyDescent="0.2">
      <c r="A173" s="56">
        <v>176785388</v>
      </c>
      <c r="B173" s="56" t="s">
        <v>3063</v>
      </c>
      <c r="C173" s="56" t="s">
        <v>2623</v>
      </c>
      <c r="D173" s="56" t="s">
        <v>1194</v>
      </c>
      <c r="E173" s="56" t="s">
        <v>1044</v>
      </c>
      <c r="F173" s="56">
        <v>36</v>
      </c>
      <c r="G173" s="56" t="s">
        <v>2693</v>
      </c>
      <c r="H173" s="56">
        <v>13754</v>
      </c>
      <c r="I173" s="56">
        <v>6</v>
      </c>
      <c r="J173" s="56" t="s">
        <v>1045</v>
      </c>
      <c r="K173" s="56" t="s">
        <v>1116</v>
      </c>
      <c r="L173" s="121">
        <v>46271</v>
      </c>
      <c r="M173" s="122">
        <v>0.55208333333333337</v>
      </c>
      <c r="N173" s="122">
        <v>0.55555555555555558</v>
      </c>
      <c r="O173" s="56" t="s">
        <v>1047</v>
      </c>
      <c r="P173" s="121">
        <v>46271</v>
      </c>
      <c r="Q173" s="122">
        <v>0.61458333333333337</v>
      </c>
      <c r="R173" s="122">
        <v>0.5854166666666667</v>
      </c>
      <c r="S173" s="56" t="s">
        <v>1047</v>
      </c>
      <c r="T173" s="56">
        <v>1</v>
      </c>
      <c r="U173" s="56">
        <v>20</v>
      </c>
      <c r="V173" s="56">
        <v>20.79</v>
      </c>
      <c r="W173" s="56">
        <v>19.62</v>
      </c>
      <c r="X173" s="56" t="s">
        <v>2624</v>
      </c>
      <c r="Y173" s="56" t="s">
        <v>2624</v>
      </c>
      <c r="Z173" s="56" t="s">
        <v>2624</v>
      </c>
      <c r="AA173" s="56" t="s">
        <v>221</v>
      </c>
      <c r="AB173" s="56">
        <v>14118889</v>
      </c>
      <c r="AC173" s="56" t="s">
        <v>221</v>
      </c>
      <c r="AD173" s="56">
        <v>14118889</v>
      </c>
      <c r="AE173" s="56" t="s">
        <v>2626</v>
      </c>
      <c r="AF173" s="56" t="s">
        <v>2627</v>
      </c>
      <c r="AG173" s="56" t="s">
        <v>2627</v>
      </c>
      <c r="AH173" s="56">
        <v>37</v>
      </c>
      <c r="AI173" s="56" t="s">
        <v>2628</v>
      </c>
      <c r="AJ173" s="56" t="s">
        <v>2629</v>
      </c>
      <c r="AK173" s="56">
        <v>0</v>
      </c>
      <c r="AL173" s="56" t="s">
        <v>2630</v>
      </c>
      <c r="AM173" s="56" t="s">
        <v>2631</v>
      </c>
      <c r="AN173" s="56" t="s">
        <v>2632</v>
      </c>
      <c r="AO173" s="56" t="s">
        <v>2627</v>
      </c>
      <c r="AP173" s="56" t="s">
        <v>2624</v>
      </c>
      <c r="AQ173" s="123">
        <v>3.4722222222222099E-3</v>
      </c>
      <c r="AR173" s="122">
        <v>-2.9166666666666674E-2</v>
      </c>
      <c r="AS173" s="56" t="s">
        <v>1048</v>
      </c>
      <c r="AT173" s="56" t="s">
        <v>1049</v>
      </c>
      <c r="AU173" s="56" t="s">
        <v>1050</v>
      </c>
      <c r="AV173" s="56">
        <v>37</v>
      </c>
      <c r="AW173" s="56" t="s">
        <v>1051</v>
      </c>
      <c r="AX173" s="56" t="s">
        <v>2059</v>
      </c>
      <c r="AY173" s="56" t="s">
        <v>1128</v>
      </c>
      <c r="AZ173" s="56" t="s">
        <v>1054</v>
      </c>
      <c r="BA173" s="56" t="s">
        <v>2060</v>
      </c>
      <c r="BB173" s="56" t="s">
        <v>2061</v>
      </c>
      <c r="BC173" s="56" t="s">
        <v>1133</v>
      </c>
      <c r="BD173" s="56" t="s">
        <v>3064</v>
      </c>
    </row>
    <row r="174" spans="1:56" x14ac:dyDescent="0.2">
      <c r="A174" s="56">
        <v>176786472</v>
      </c>
      <c r="B174" s="56" t="s">
        <v>3065</v>
      </c>
      <c r="C174" s="56" t="s">
        <v>2623</v>
      </c>
      <c r="D174" s="56" t="s">
        <v>2979</v>
      </c>
      <c r="E174" s="56" t="s">
        <v>1044</v>
      </c>
      <c r="F174" s="56">
        <v>79</v>
      </c>
      <c r="G174" s="56" t="s">
        <v>2670</v>
      </c>
      <c r="H174" s="56">
        <v>15319</v>
      </c>
      <c r="I174" s="56">
        <v>6</v>
      </c>
      <c r="J174" s="56" t="s">
        <v>1045</v>
      </c>
      <c r="K174" s="56" t="s">
        <v>1116</v>
      </c>
      <c r="L174" s="121">
        <v>46271</v>
      </c>
      <c r="M174" s="122">
        <v>0.55208333333333337</v>
      </c>
      <c r="N174" s="122">
        <v>0.55833333333333335</v>
      </c>
      <c r="O174" s="56" t="s">
        <v>1047</v>
      </c>
      <c r="P174" s="121">
        <v>46271</v>
      </c>
      <c r="Q174" s="122">
        <v>0.61458333333333337</v>
      </c>
      <c r="R174" s="122">
        <v>0.58856481481481482</v>
      </c>
      <c r="S174" s="56" t="s">
        <v>1047</v>
      </c>
      <c r="T174" s="56">
        <v>1</v>
      </c>
      <c r="U174" s="56">
        <v>24</v>
      </c>
      <c r="V174" s="56">
        <v>17.61</v>
      </c>
      <c r="W174" s="56">
        <v>17.16</v>
      </c>
      <c r="X174" s="56" t="s">
        <v>2624</v>
      </c>
      <c r="Y174" s="56" t="s">
        <v>2624</v>
      </c>
      <c r="Z174" s="56" t="s">
        <v>2624</v>
      </c>
      <c r="AA174" s="56" t="s">
        <v>507</v>
      </c>
      <c r="AB174" s="56">
        <v>14123312</v>
      </c>
      <c r="AC174" s="56" t="s">
        <v>507</v>
      </c>
      <c r="AD174" s="56">
        <v>14123312</v>
      </c>
      <c r="AE174" s="56" t="s">
        <v>2626</v>
      </c>
      <c r="AF174" s="56" t="s">
        <v>2627</v>
      </c>
      <c r="AG174" s="56" t="s">
        <v>2627</v>
      </c>
      <c r="AH174" s="56">
        <v>37</v>
      </c>
      <c r="AI174" s="56" t="s">
        <v>2628</v>
      </c>
      <c r="AJ174" s="56" t="s">
        <v>2629</v>
      </c>
      <c r="AK174" s="56">
        <v>0</v>
      </c>
      <c r="AL174" s="56" t="s">
        <v>2630</v>
      </c>
      <c r="AM174" s="56" t="s">
        <v>2631</v>
      </c>
      <c r="AN174" s="56" t="s">
        <v>2632</v>
      </c>
      <c r="AO174" s="56" t="s">
        <v>2627</v>
      </c>
      <c r="AP174" s="56" t="s">
        <v>2624</v>
      </c>
      <c r="AQ174" s="123">
        <v>6.2499999999999778E-3</v>
      </c>
      <c r="AR174" s="122">
        <v>-2.6018518518518552E-2</v>
      </c>
      <c r="AS174" s="56" t="s">
        <v>1048</v>
      </c>
      <c r="AT174" s="56" t="s">
        <v>1049</v>
      </c>
      <c r="AU174" s="56" t="s">
        <v>1050</v>
      </c>
      <c r="AV174" s="56">
        <v>37</v>
      </c>
      <c r="AW174" s="56" t="s">
        <v>1051</v>
      </c>
      <c r="AX174" s="56" t="s">
        <v>2980</v>
      </c>
      <c r="AY174" s="56" t="s">
        <v>1118</v>
      </c>
      <c r="AZ174" s="56" t="s">
        <v>1054</v>
      </c>
      <c r="BA174" s="56" t="s">
        <v>2981</v>
      </c>
      <c r="BB174" s="56" t="s">
        <v>2982</v>
      </c>
      <c r="BC174" s="56" t="s">
        <v>1133</v>
      </c>
      <c r="BD174" s="56" t="s">
        <v>3066</v>
      </c>
    </row>
    <row r="175" spans="1:56" x14ac:dyDescent="0.2">
      <c r="A175" s="56">
        <v>176787008</v>
      </c>
      <c r="B175" s="56" t="s">
        <v>1309</v>
      </c>
      <c r="C175" s="56" t="s">
        <v>2623</v>
      </c>
      <c r="D175" s="56" t="s">
        <v>1115</v>
      </c>
      <c r="E175" s="56" t="s">
        <v>1044</v>
      </c>
      <c r="F175" s="56">
        <v>98</v>
      </c>
      <c r="G175" s="56" t="s">
        <v>2670</v>
      </c>
      <c r="H175" s="56">
        <v>14692</v>
      </c>
      <c r="I175" s="56">
        <v>6</v>
      </c>
      <c r="J175" s="56" t="s">
        <v>1045</v>
      </c>
      <c r="K175" s="56" t="s">
        <v>1116</v>
      </c>
      <c r="L175" s="121">
        <v>46271</v>
      </c>
      <c r="M175" s="122">
        <v>0.55208333333333337</v>
      </c>
      <c r="N175" s="122">
        <v>0.55763888888888891</v>
      </c>
      <c r="O175" s="56" t="s">
        <v>1047</v>
      </c>
      <c r="P175" s="121">
        <v>46271</v>
      </c>
      <c r="Q175" s="122">
        <v>0.61458333333333337</v>
      </c>
      <c r="R175" s="122">
        <v>0.59828703703703701</v>
      </c>
      <c r="S175" s="56" t="s">
        <v>1047</v>
      </c>
      <c r="T175" s="56">
        <v>1</v>
      </c>
      <c r="U175" s="56">
        <v>31</v>
      </c>
      <c r="V175" s="56">
        <v>26.89</v>
      </c>
      <c r="W175" s="56">
        <v>26.69</v>
      </c>
      <c r="X175" s="56" t="s">
        <v>2624</v>
      </c>
      <c r="Y175" s="56" t="s">
        <v>2624</v>
      </c>
      <c r="Z175" s="56" t="s">
        <v>2624</v>
      </c>
      <c r="AA175" s="56" t="s">
        <v>958</v>
      </c>
      <c r="AB175" s="56">
        <v>14123725</v>
      </c>
      <c r="AC175" s="56" t="s">
        <v>958</v>
      </c>
      <c r="AD175" s="56">
        <v>14123725</v>
      </c>
      <c r="AE175" s="56" t="s">
        <v>2626</v>
      </c>
      <c r="AF175" s="56" t="s">
        <v>2627</v>
      </c>
      <c r="AG175" s="56" t="s">
        <v>2627</v>
      </c>
      <c r="AH175" s="56">
        <v>37</v>
      </c>
      <c r="AI175" s="56" t="s">
        <v>2628</v>
      </c>
      <c r="AJ175" s="56" t="s">
        <v>2629</v>
      </c>
      <c r="AK175" s="56">
        <v>0</v>
      </c>
      <c r="AL175" s="56" t="s">
        <v>2630</v>
      </c>
      <c r="AM175" s="56" t="s">
        <v>2631</v>
      </c>
      <c r="AN175" s="56" t="s">
        <v>2632</v>
      </c>
      <c r="AO175" s="56" t="s">
        <v>2627</v>
      </c>
      <c r="AP175" s="56">
        <v>1</v>
      </c>
      <c r="AQ175" s="123">
        <v>5.5555555555555358E-3</v>
      </c>
      <c r="AR175" s="122">
        <v>-1.6296296296296364E-2</v>
      </c>
      <c r="AS175" s="56" t="s">
        <v>1048</v>
      </c>
      <c r="AT175" s="56" t="s">
        <v>1049</v>
      </c>
      <c r="AU175" s="56" t="s">
        <v>1050</v>
      </c>
      <c r="AV175" s="56">
        <v>37</v>
      </c>
      <c r="AW175" s="56" t="s">
        <v>1051</v>
      </c>
      <c r="AX175" s="56" t="s">
        <v>1117</v>
      </c>
      <c r="AY175" s="56" t="s">
        <v>1118</v>
      </c>
      <c r="AZ175" s="56" t="s">
        <v>1054</v>
      </c>
      <c r="BA175" s="56" t="s">
        <v>1119</v>
      </c>
      <c r="BB175" s="56" t="s">
        <v>1120</v>
      </c>
      <c r="BC175" s="56" t="s">
        <v>1133</v>
      </c>
      <c r="BD175" s="56" t="s">
        <v>1310</v>
      </c>
    </row>
    <row r="176" spans="1:56" x14ac:dyDescent="0.2">
      <c r="A176" s="56">
        <v>176836201</v>
      </c>
      <c r="B176" s="56" t="s">
        <v>3067</v>
      </c>
      <c r="C176" s="56" t="s">
        <v>2623</v>
      </c>
      <c r="D176" s="56" t="s">
        <v>3068</v>
      </c>
      <c r="E176" s="56" t="s">
        <v>1044</v>
      </c>
      <c r="F176" s="56">
        <v>32</v>
      </c>
      <c r="G176" s="56"/>
      <c r="H176" s="56">
        <v>5439</v>
      </c>
      <c r="I176" s="56">
        <v>6</v>
      </c>
      <c r="J176" s="56" t="s">
        <v>1045</v>
      </c>
      <c r="K176" s="56" t="s">
        <v>1162</v>
      </c>
      <c r="L176" s="121">
        <v>46271</v>
      </c>
      <c r="M176" s="122">
        <v>0.55208333333333337</v>
      </c>
      <c r="N176" s="122">
        <v>0.57013888888888886</v>
      </c>
      <c r="O176" s="56" t="s">
        <v>1047</v>
      </c>
      <c r="P176" s="121">
        <v>46271</v>
      </c>
      <c r="Q176" s="122">
        <v>0.59722222222222221</v>
      </c>
      <c r="R176" s="122">
        <v>0.60972222222222228</v>
      </c>
      <c r="S176" s="56" t="s">
        <v>1047</v>
      </c>
      <c r="T176" s="56">
        <v>1</v>
      </c>
      <c r="U176" s="56">
        <v>44</v>
      </c>
      <c r="V176" s="56">
        <v>45.11</v>
      </c>
      <c r="W176" s="56">
        <v>45.99</v>
      </c>
      <c r="X176" s="56">
        <v>65.03</v>
      </c>
      <c r="Y176" s="56">
        <v>6.06</v>
      </c>
      <c r="Z176" s="56">
        <v>12.98</v>
      </c>
      <c r="AA176" s="56" t="s">
        <v>128</v>
      </c>
      <c r="AB176" s="56">
        <v>14113320</v>
      </c>
      <c r="AC176" s="56" t="s">
        <v>128</v>
      </c>
      <c r="AD176" s="56">
        <v>14113320</v>
      </c>
      <c r="AE176" s="56" t="s">
        <v>3042</v>
      </c>
      <c r="AF176" s="124">
        <v>46271.562824074077</v>
      </c>
      <c r="AG176" s="56" t="s">
        <v>3043</v>
      </c>
      <c r="AH176" s="56">
        <v>37</v>
      </c>
      <c r="AI176" s="56" t="s">
        <v>2628</v>
      </c>
      <c r="AJ176" s="56" t="s">
        <v>2640</v>
      </c>
      <c r="AK176" s="56">
        <v>0</v>
      </c>
      <c r="AL176" s="56" t="s">
        <v>2630</v>
      </c>
      <c r="AM176" s="56" t="s">
        <v>2631</v>
      </c>
      <c r="AN176" s="56" t="s">
        <v>2632</v>
      </c>
      <c r="AO176" s="124">
        <v>46271.562824074077</v>
      </c>
      <c r="AP176" s="56" t="s">
        <v>2624</v>
      </c>
      <c r="AQ176" s="123">
        <v>1.8055555555555491E-2</v>
      </c>
      <c r="AR176" s="122">
        <v>1.2500000000000067E-2</v>
      </c>
      <c r="AS176" s="56" t="s">
        <v>1048</v>
      </c>
      <c r="AT176" s="56" t="s">
        <v>1059</v>
      </c>
      <c r="AU176" s="56" t="s">
        <v>1060</v>
      </c>
      <c r="AV176" s="56">
        <v>37</v>
      </c>
      <c r="AW176" s="56" t="s">
        <v>1051</v>
      </c>
      <c r="AX176" s="56" t="s">
        <v>3069</v>
      </c>
      <c r="AY176" s="56" t="s">
        <v>1164</v>
      </c>
      <c r="AZ176" s="56" t="s">
        <v>1062</v>
      </c>
      <c r="BA176" s="56" t="s">
        <v>3070</v>
      </c>
      <c r="BB176" s="56" t="s">
        <v>3071</v>
      </c>
      <c r="BC176" s="56" t="s">
        <v>1133</v>
      </c>
      <c r="BD176" s="56" t="s">
        <v>3072</v>
      </c>
    </row>
    <row r="177" spans="1:56" x14ac:dyDescent="0.2">
      <c r="A177" s="56">
        <v>176784450</v>
      </c>
      <c r="B177" s="56" t="s">
        <v>3073</v>
      </c>
      <c r="C177" s="56" t="s">
        <v>2623</v>
      </c>
      <c r="D177" s="56" t="s">
        <v>3074</v>
      </c>
      <c r="E177" s="56" t="s">
        <v>1044</v>
      </c>
      <c r="F177" s="56">
        <v>139</v>
      </c>
      <c r="G177" s="56"/>
      <c r="H177" s="56">
        <v>5440</v>
      </c>
      <c r="I177" s="56">
        <v>6</v>
      </c>
      <c r="J177" s="56" t="s">
        <v>1045</v>
      </c>
      <c r="K177" s="56" t="s">
        <v>1296</v>
      </c>
      <c r="L177" s="121">
        <v>46271</v>
      </c>
      <c r="M177" s="122">
        <v>0.55555555555555558</v>
      </c>
      <c r="N177" s="122">
        <v>0.56874999999999998</v>
      </c>
      <c r="O177" s="56" t="s">
        <v>1047</v>
      </c>
      <c r="P177" s="121">
        <v>46271</v>
      </c>
      <c r="Q177" s="122">
        <v>0.60069444444444442</v>
      </c>
      <c r="R177" s="122">
        <v>0.6069444444444444</v>
      </c>
      <c r="S177" s="56" t="s">
        <v>1047</v>
      </c>
      <c r="T177" s="56">
        <v>1</v>
      </c>
      <c r="U177" s="56">
        <v>25</v>
      </c>
      <c r="V177" s="56">
        <v>20.420000000000002</v>
      </c>
      <c r="W177" s="56">
        <v>17.600000000000001</v>
      </c>
      <c r="X177" s="56">
        <v>33.46</v>
      </c>
      <c r="Y177" s="56">
        <v>13.18</v>
      </c>
      <c r="Z177" s="56">
        <v>2.68</v>
      </c>
      <c r="AA177" s="56" t="s">
        <v>262</v>
      </c>
      <c r="AB177" s="56">
        <v>14100858</v>
      </c>
      <c r="AC177" s="56" t="s">
        <v>262</v>
      </c>
      <c r="AD177" s="56">
        <v>14100858</v>
      </c>
      <c r="AE177" s="56" t="s">
        <v>2626</v>
      </c>
      <c r="AF177" s="56" t="s">
        <v>2627</v>
      </c>
      <c r="AG177" s="56" t="s">
        <v>2627</v>
      </c>
      <c r="AH177" s="56">
        <v>37</v>
      </c>
      <c r="AI177" s="56" t="s">
        <v>2628</v>
      </c>
      <c r="AJ177" s="56" t="s">
        <v>2640</v>
      </c>
      <c r="AK177" s="56">
        <v>0</v>
      </c>
      <c r="AL177" s="56" t="s">
        <v>2630</v>
      </c>
      <c r="AM177" s="56" t="s">
        <v>2631</v>
      </c>
      <c r="AN177" s="56" t="s">
        <v>2632</v>
      </c>
      <c r="AO177" s="56" t="s">
        <v>2627</v>
      </c>
      <c r="AP177" s="56" t="s">
        <v>2624</v>
      </c>
      <c r="AQ177" s="123">
        <v>1.3194444444444398E-2</v>
      </c>
      <c r="AR177" s="122">
        <v>6.2499999999999778E-3</v>
      </c>
      <c r="AS177" s="56" t="s">
        <v>1048</v>
      </c>
      <c r="AT177" s="56" t="s">
        <v>1059</v>
      </c>
      <c r="AU177" s="56" t="s">
        <v>1060</v>
      </c>
      <c r="AV177" s="56">
        <v>37</v>
      </c>
      <c r="AW177" s="56" t="s">
        <v>1051</v>
      </c>
      <c r="AX177" s="56" t="s">
        <v>3075</v>
      </c>
      <c r="AY177" s="56" t="s">
        <v>1297</v>
      </c>
      <c r="AZ177" s="56" t="s">
        <v>1067</v>
      </c>
      <c r="BA177" s="56" t="s">
        <v>3076</v>
      </c>
      <c r="BB177" s="56" t="s">
        <v>3077</v>
      </c>
      <c r="BC177" s="56" t="s">
        <v>1133</v>
      </c>
      <c r="BD177" s="56" t="s">
        <v>3078</v>
      </c>
    </row>
    <row r="178" spans="1:56" x14ac:dyDescent="0.2">
      <c r="A178" s="56">
        <v>176784456</v>
      </c>
      <c r="B178" s="56" t="s">
        <v>3079</v>
      </c>
      <c r="C178" s="56" t="s">
        <v>2623</v>
      </c>
      <c r="D178" s="56" t="s">
        <v>3080</v>
      </c>
      <c r="E178" s="56" t="s">
        <v>1044</v>
      </c>
      <c r="F178" s="56">
        <v>141</v>
      </c>
      <c r="G178" s="56"/>
      <c r="H178" s="56">
        <v>15997</v>
      </c>
      <c r="I178" s="56">
        <v>6</v>
      </c>
      <c r="J178" s="56" t="s">
        <v>1045</v>
      </c>
      <c r="K178" s="56" t="s">
        <v>1296</v>
      </c>
      <c r="L178" s="121">
        <v>46271</v>
      </c>
      <c r="M178" s="122">
        <v>0.55555555555555558</v>
      </c>
      <c r="N178" s="122">
        <v>0.56111111111111112</v>
      </c>
      <c r="O178" s="56" t="s">
        <v>1047</v>
      </c>
      <c r="P178" s="121">
        <v>46271</v>
      </c>
      <c r="Q178" s="122">
        <v>0.60069444444444442</v>
      </c>
      <c r="R178" s="122">
        <v>0.60075231481481484</v>
      </c>
      <c r="S178" s="56" t="s">
        <v>1047</v>
      </c>
      <c r="T178" s="56">
        <v>1</v>
      </c>
      <c r="U178" s="56">
        <v>31</v>
      </c>
      <c r="V178" s="56">
        <v>24.46</v>
      </c>
      <c r="W178" s="56">
        <v>26.5</v>
      </c>
      <c r="X178" s="56" t="s">
        <v>2624</v>
      </c>
      <c r="Y178" s="56" t="s">
        <v>2624</v>
      </c>
      <c r="Z178" s="56" t="s">
        <v>2624</v>
      </c>
      <c r="AA178" s="56" t="s">
        <v>547</v>
      </c>
      <c r="AB178" s="56">
        <v>14123568</v>
      </c>
      <c r="AC178" s="56" t="s">
        <v>547</v>
      </c>
      <c r="AD178" s="56">
        <v>14123568</v>
      </c>
      <c r="AE178" s="56" t="s">
        <v>2626</v>
      </c>
      <c r="AF178" s="56" t="s">
        <v>2627</v>
      </c>
      <c r="AG178" s="56" t="s">
        <v>2627</v>
      </c>
      <c r="AH178" s="56">
        <v>37</v>
      </c>
      <c r="AI178" s="56" t="s">
        <v>2628</v>
      </c>
      <c r="AJ178" s="56" t="s">
        <v>2629</v>
      </c>
      <c r="AK178" s="56">
        <v>0</v>
      </c>
      <c r="AL178" s="56" t="s">
        <v>2630</v>
      </c>
      <c r="AM178" s="56" t="s">
        <v>2631</v>
      </c>
      <c r="AN178" s="56" t="s">
        <v>2632</v>
      </c>
      <c r="AO178" s="56" t="s">
        <v>2627</v>
      </c>
      <c r="AP178" s="56" t="s">
        <v>2624</v>
      </c>
      <c r="AQ178" s="123">
        <v>5.5555555555555358E-3</v>
      </c>
      <c r="AR178" s="122">
        <v>5.7870370370416424E-5</v>
      </c>
      <c r="AS178" s="56" t="s">
        <v>1048</v>
      </c>
      <c r="AT178" s="56" t="s">
        <v>1049</v>
      </c>
      <c r="AU178" s="56" t="s">
        <v>1050</v>
      </c>
      <c r="AV178" s="56">
        <v>37</v>
      </c>
      <c r="AW178" s="56" t="s">
        <v>1051</v>
      </c>
      <c r="AX178" s="56" t="s">
        <v>3081</v>
      </c>
      <c r="AY178" s="56" t="s">
        <v>1297</v>
      </c>
      <c r="AZ178" s="56" t="s">
        <v>1067</v>
      </c>
      <c r="BA178" s="56" t="s">
        <v>3082</v>
      </c>
      <c r="BB178" s="56" t="s">
        <v>3083</v>
      </c>
      <c r="BC178" s="56" t="s">
        <v>1133</v>
      </c>
      <c r="BD178" s="56" t="s">
        <v>3084</v>
      </c>
    </row>
    <row r="179" spans="1:56" x14ac:dyDescent="0.2">
      <c r="A179" s="56">
        <v>176836211</v>
      </c>
      <c r="B179" s="56" t="s">
        <v>3085</v>
      </c>
      <c r="C179" s="56" t="s">
        <v>2623</v>
      </c>
      <c r="D179" s="56" t="s">
        <v>3086</v>
      </c>
      <c r="E179" s="56" t="s">
        <v>1044</v>
      </c>
      <c r="F179" s="56">
        <v>115</v>
      </c>
      <c r="G179" s="56"/>
      <c r="H179" s="56">
        <v>6249</v>
      </c>
      <c r="I179" s="56">
        <v>6</v>
      </c>
      <c r="J179" s="56" t="s">
        <v>1045</v>
      </c>
      <c r="K179" s="56" t="s">
        <v>1212</v>
      </c>
      <c r="L179" s="121">
        <v>46271</v>
      </c>
      <c r="M179" s="122">
        <v>0.55902777777777779</v>
      </c>
      <c r="N179" s="122">
        <v>0.57361111111111107</v>
      </c>
      <c r="O179" s="56" t="s">
        <v>1047</v>
      </c>
      <c r="P179" s="121">
        <v>46271</v>
      </c>
      <c r="Q179" s="122">
        <v>0.59722222222222221</v>
      </c>
      <c r="R179" s="122">
        <v>0.59616898148148145</v>
      </c>
      <c r="S179" s="56" t="s">
        <v>1047</v>
      </c>
      <c r="T179" s="56">
        <v>1</v>
      </c>
      <c r="U179" s="56">
        <v>17.7</v>
      </c>
      <c r="V179" s="56">
        <v>17.559999999999999</v>
      </c>
      <c r="W179" s="56">
        <v>13.65</v>
      </c>
      <c r="X179" s="56" t="s">
        <v>2624</v>
      </c>
      <c r="Y179" s="56" t="s">
        <v>2624</v>
      </c>
      <c r="Z179" s="56" t="s">
        <v>2624</v>
      </c>
      <c r="AA179" s="56" t="s">
        <v>45</v>
      </c>
      <c r="AB179" s="56">
        <v>14105437</v>
      </c>
      <c r="AC179" s="56" t="s">
        <v>45</v>
      </c>
      <c r="AD179" s="56">
        <v>14105437</v>
      </c>
      <c r="AE179" s="56" t="s">
        <v>3042</v>
      </c>
      <c r="AF179" s="124">
        <v>46271.564131944448</v>
      </c>
      <c r="AG179" s="56" t="s">
        <v>3043</v>
      </c>
      <c r="AH179" s="56">
        <v>37</v>
      </c>
      <c r="AI179" s="56" t="s">
        <v>2628</v>
      </c>
      <c r="AJ179" s="56" t="s">
        <v>2629</v>
      </c>
      <c r="AK179" s="56">
        <v>0</v>
      </c>
      <c r="AL179" s="56" t="s">
        <v>2630</v>
      </c>
      <c r="AM179" s="56" t="s">
        <v>2631</v>
      </c>
      <c r="AN179" s="56" t="s">
        <v>2632</v>
      </c>
      <c r="AO179" s="124">
        <v>46271.564131944448</v>
      </c>
      <c r="AP179" s="56" t="s">
        <v>2624</v>
      </c>
      <c r="AQ179" s="123">
        <v>1.4583333333333282E-2</v>
      </c>
      <c r="AR179" s="122">
        <v>-1.0532407407407574E-3</v>
      </c>
      <c r="AS179" s="56" t="s">
        <v>1048</v>
      </c>
      <c r="AT179" s="56" t="s">
        <v>1049</v>
      </c>
      <c r="AU179" s="56" t="s">
        <v>1050</v>
      </c>
      <c r="AV179" s="56">
        <v>37</v>
      </c>
      <c r="AW179" s="56" t="s">
        <v>1051</v>
      </c>
      <c r="AX179" s="56" t="s">
        <v>3087</v>
      </c>
      <c r="AY179" s="56" t="s">
        <v>1164</v>
      </c>
      <c r="AZ179" s="56" t="s">
        <v>1062</v>
      </c>
      <c r="BA179" s="56" t="s">
        <v>3088</v>
      </c>
      <c r="BB179" s="56" t="e">
        <v>#N/A</v>
      </c>
      <c r="BC179" s="56" t="s">
        <v>1133</v>
      </c>
      <c r="BD179" s="56" t="s">
        <v>3089</v>
      </c>
    </row>
    <row r="180" spans="1:56" x14ac:dyDescent="0.2">
      <c r="A180" s="56">
        <v>176785814</v>
      </c>
      <c r="B180" s="56" t="s">
        <v>3090</v>
      </c>
      <c r="C180" s="56" t="s">
        <v>2623</v>
      </c>
      <c r="D180" s="56" t="s">
        <v>2696</v>
      </c>
      <c r="E180" s="56" t="s">
        <v>1044</v>
      </c>
      <c r="F180" s="56">
        <v>69</v>
      </c>
      <c r="G180" s="56" t="s">
        <v>2693</v>
      </c>
      <c r="H180" s="56">
        <v>4982</v>
      </c>
      <c r="I180" s="56">
        <v>6</v>
      </c>
      <c r="J180" s="56" t="s">
        <v>1045</v>
      </c>
      <c r="K180" s="56" t="s">
        <v>1116</v>
      </c>
      <c r="L180" s="121">
        <v>46271</v>
      </c>
      <c r="M180" s="122">
        <v>0.5625</v>
      </c>
      <c r="N180" s="122">
        <v>0.56736111111111109</v>
      </c>
      <c r="O180" s="56" t="s">
        <v>1047</v>
      </c>
      <c r="P180" s="121">
        <v>46271</v>
      </c>
      <c r="Q180" s="122">
        <v>0.61458333333333337</v>
      </c>
      <c r="R180" s="122">
        <v>0.60291666666666666</v>
      </c>
      <c r="S180" s="56" t="s">
        <v>1047</v>
      </c>
      <c r="T180" s="56">
        <v>1</v>
      </c>
      <c r="U180" s="56">
        <v>28</v>
      </c>
      <c r="V180" s="56">
        <v>23.22</v>
      </c>
      <c r="W180" s="56">
        <v>26.7</v>
      </c>
      <c r="X180" s="56" t="s">
        <v>2624</v>
      </c>
      <c r="Y180" s="56" t="s">
        <v>2624</v>
      </c>
      <c r="Z180" s="56" t="s">
        <v>2624</v>
      </c>
      <c r="AA180" s="56"/>
      <c r="AB180" s="56"/>
      <c r="AC180" s="56" t="s">
        <v>1187</v>
      </c>
      <c r="AD180" s="56"/>
      <c r="AE180" s="56" t="s">
        <v>2626</v>
      </c>
      <c r="AF180" s="56" t="s">
        <v>2627</v>
      </c>
      <c r="AG180" s="56" t="s">
        <v>2627</v>
      </c>
      <c r="AH180" s="56">
        <v>37</v>
      </c>
      <c r="AI180" s="56" t="s">
        <v>2628</v>
      </c>
      <c r="AJ180" s="56" t="s">
        <v>2629</v>
      </c>
      <c r="AK180" s="56">
        <v>0</v>
      </c>
      <c r="AL180" s="56" t="s">
        <v>2630</v>
      </c>
      <c r="AM180" s="56" t="s">
        <v>2631</v>
      </c>
      <c r="AN180" s="56" t="s">
        <v>2632</v>
      </c>
      <c r="AO180" s="56" t="s">
        <v>2627</v>
      </c>
      <c r="AP180" s="56" t="s">
        <v>2624</v>
      </c>
      <c r="AQ180" s="123">
        <v>4.8611111111110938E-3</v>
      </c>
      <c r="AR180" s="122">
        <v>-1.1666666666666714E-2</v>
      </c>
      <c r="AS180" s="56" t="s">
        <v>1048</v>
      </c>
      <c r="AT180" s="56" t="s">
        <v>1049</v>
      </c>
      <c r="AU180" s="56" t="s">
        <v>1050</v>
      </c>
      <c r="AV180" s="56">
        <v>37</v>
      </c>
      <c r="AW180" s="56" t="s">
        <v>1051</v>
      </c>
      <c r="AX180" s="56" t="s">
        <v>2697</v>
      </c>
      <c r="AY180" s="56" t="s">
        <v>1128</v>
      </c>
      <c r="AZ180" s="56" t="s">
        <v>1054</v>
      </c>
      <c r="BA180" s="56" t="s">
        <v>2698</v>
      </c>
      <c r="BB180" s="56" t="s">
        <v>2699</v>
      </c>
      <c r="BC180" s="56" t="s">
        <v>1133</v>
      </c>
      <c r="BD180" s="56" t="s">
        <v>3091</v>
      </c>
    </row>
    <row r="181" spans="1:56" x14ac:dyDescent="0.2">
      <c r="A181" s="56">
        <v>176786996</v>
      </c>
      <c r="B181" s="56" t="s">
        <v>3092</v>
      </c>
      <c r="C181" s="56" t="s">
        <v>2623</v>
      </c>
      <c r="D181" s="56" t="s">
        <v>3012</v>
      </c>
      <c r="E181" s="56" t="s">
        <v>1044</v>
      </c>
      <c r="F181" s="56">
        <v>96</v>
      </c>
      <c r="G181" s="56" t="s">
        <v>2670</v>
      </c>
      <c r="H181" s="56">
        <v>10360</v>
      </c>
      <c r="I181" s="56">
        <v>6</v>
      </c>
      <c r="J181" s="56" t="s">
        <v>1045</v>
      </c>
      <c r="K181" s="56" t="s">
        <v>1116</v>
      </c>
      <c r="L181" s="121">
        <v>46271</v>
      </c>
      <c r="M181" s="122">
        <v>0.5625</v>
      </c>
      <c r="N181" s="122">
        <v>0.58472222222222225</v>
      </c>
      <c r="O181" s="56" t="s">
        <v>1047</v>
      </c>
      <c r="P181" s="121">
        <v>46271</v>
      </c>
      <c r="Q181" s="122">
        <v>0.61458333333333337</v>
      </c>
      <c r="R181" s="122">
        <v>0.61069444444444443</v>
      </c>
      <c r="S181" s="56" t="s">
        <v>1047</v>
      </c>
      <c r="T181" s="56">
        <v>1</v>
      </c>
      <c r="U181" s="56">
        <v>15</v>
      </c>
      <c r="V181" s="56">
        <v>10.82</v>
      </c>
      <c r="W181" s="56">
        <v>10.91</v>
      </c>
      <c r="X181" s="56" t="s">
        <v>2624</v>
      </c>
      <c r="Y181" s="56" t="s">
        <v>2624</v>
      </c>
      <c r="Z181" s="56" t="s">
        <v>2624</v>
      </c>
      <c r="AA181" s="56" t="s">
        <v>554</v>
      </c>
      <c r="AB181" s="56">
        <v>14123591</v>
      </c>
      <c r="AC181" s="56" t="s">
        <v>554</v>
      </c>
      <c r="AD181" s="56">
        <v>14123591</v>
      </c>
      <c r="AE181" s="56" t="s">
        <v>2626</v>
      </c>
      <c r="AF181" s="56" t="s">
        <v>2627</v>
      </c>
      <c r="AG181" s="56" t="s">
        <v>2627</v>
      </c>
      <c r="AH181" s="56">
        <v>37</v>
      </c>
      <c r="AI181" s="56" t="s">
        <v>2628</v>
      </c>
      <c r="AJ181" s="56" t="s">
        <v>2629</v>
      </c>
      <c r="AK181" s="56">
        <v>0</v>
      </c>
      <c r="AL181" s="56" t="s">
        <v>2630</v>
      </c>
      <c r="AM181" s="56" t="s">
        <v>2631</v>
      </c>
      <c r="AN181" s="56" t="s">
        <v>2632</v>
      </c>
      <c r="AO181" s="56" t="s">
        <v>2627</v>
      </c>
      <c r="AP181" s="56" t="s">
        <v>2624</v>
      </c>
      <c r="AQ181" s="123">
        <v>2.2222222222222254E-2</v>
      </c>
      <c r="AR181" s="122">
        <v>-3.8888888888889417E-3</v>
      </c>
      <c r="AS181" s="56" t="s">
        <v>1048</v>
      </c>
      <c r="AT181" s="56" t="s">
        <v>1049</v>
      </c>
      <c r="AU181" s="56" t="s">
        <v>1050</v>
      </c>
      <c r="AV181" s="56">
        <v>37</v>
      </c>
      <c r="AW181" s="56" t="s">
        <v>1051</v>
      </c>
      <c r="AX181" s="56" t="s">
        <v>3013</v>
      </c>
      <c r="AY181" s="56" t="s">
        <v>1118</v>
      </c>
      <c r="AZ181" s="56" t="s">
        <v>1054</v>
      </c>
      <c r="BA181" s="56" t="s">
        <v>3014</v>
      </c>
      <c r="BB181" s="56" t="s">
        <v>3015</v>
      </c>
      <c r="BC181" s="56" t="s">
        <v>1133</v>
      </c>
      <c r="BD181" s="56" t="s">
        <v>3093</v>
      </c>
    </row>
    <row r="182" spans="1:56" x14ac:dyDescent="0.2">
      <c r="A182" s="56">
        <v>176836194</v>
      </c>
      <c r="B182" s="56" t="s">
        <v>3094</v>
      </c>
      <c r="C182" s="56" t="s">
        <v>2623</v>
      </c>
      <c r="D182" s="56" t="s">
        <v>3095</v>
      </c>
      <c r="E182" s="56" t="s">
        <v>1044</v>
      </c>
      <c r="F182" s="56">
        <v>34</v>
      </c>
      <c r="G182" s="56"/>
      <c r="H182" s="56">
        <v>5422</v>
      </c>
      <c r="I182" s="56">
        <v>6</v>
      </c>
      <c r="J182" s="56" t="s">
        <v>1045</v>
      </c>
      <c r="K182" s="56" t="s">
        <v>1162</v>
      </c>
      <c r="L182" s="121">
        <v>46271</v>
      </c>
      <c r="M182" s="122">
        <v>0.56597222222222221</v>
      </c>
      <c r="N182" s="122">
        <v>0.57222222222222219</v>
      </c>
      <c r="O182" s="56" t="s">
        <v>1047</v>
      </c>
      <c r="P182" s="121">
        <v>46271</v>
      </c>
      <c r="Q182" s="122">
        <v>0.59722222222222221</v>
      </c>
      <c r="R182" s="122">
        <v>0.59223379629629624</v>
      </c>
      <c r="S182" s="56" t="s">
        <v>1047</v>
      </c>
      <c r="T182" s="56">
        <v>1</v>
      </c>
      <c r="U182" s="56">
        <v>20</v>
      </c>
      <c r="V182" s="56">
        <v>-81521.62</v>
      </c>
      <c r="W182" s="56">
        <v>-652303.09</v>
      </c>
      <c r="X182" s="56" t="s">
        <v>2624</v>
      </c>
      <c r="Y182" s="56" t="s">
        <v>2624</v>
      </c>
      <c r="Z182" s="56" t="s">
        <v>2624</v>
      </c>
      <c r="AA182" s="56" t="s">
        <v>120</v>
      </c>
      <c r="AB182" s="56">
        <v>14112603</v>
      </c>
      <c r="AC182" s="56" t="s">
        <v>120</v>
      </c>
      <c r="AD182" s="56">
        <v>14112603</v>
      </c>
      <c r="AE182" s="56" t="s">
        <v>3042</v>
      </c>
      <c r="AF182" s="124">
        <v>46271.561967592592</v>
      </c>
      <c r="AG182" s="56" t="s">
        <v>3096</v>
      </c>
      <c r="AH182" s="56">
        <v>37</v>
      </c>
      <c r="AI182" s="56" t="s">
        <v>2628</v>
      </c>
      <c r="AJ182" s="56" t="s">
        <v>2629</v>
      </c>
      <c r="AK182" s="56">
        <v>0</v>
      </c>
      <c r="AL182" s="56" t="s">
        <v>2630</v>
      </c>
      <c r="AM182" s="56" t="s">
        <v>2631</v>
      </c>
      <c r="AN182" s="56" t="s">
        <v>2632</v>
      </c>
      <c r="AO182" s="124">
        <v>46271.561967592592</v>
      </c>
      <c r="AP182" s="56" t="s">
        <v>2624</v>
      </c>
      <c r="AQ182" s="123">
        <v>6.2499999999999778E-3</v>
      </c>
      <c r="AR182" s="122">
        <v>-4.9884259259259656E-3</v>
      </c>
      <c r="AS182" s="56" t="s">
        <v>1048</v>
      </c>
      <c r="AT182" s="56" t="s">
        <v>1049</v>
      </c>
      <c r="AU182" s="56" t="s">
        <v>1050</v>
      </c>
      <c r="AV182" s="56">
        <v>37</v>
      </c>
      <c r="AW182" s="56" t="s">
        <v>1051</v>
      </c>
      <c r="AX182" s="56" t="s">
        <v>3097</v>
      </c>
      <c r="AY182" s="56" t="s">
        <v>1164</v>
      </c>
      <c r="AZ182" s="56" t="s">
        <v>1062</v>
      </c>
      <c r="BA182" s="56" t="s">
        <v>3098</v>
      </c>
      <c r="BB182" s="56" t="s">
        <v>3099</v>
      </c>
      <c r="BC182" s="56" t="s">
        <v>1133</v>
      </c>
      <c r="BD182" s="56" t="s">
        <v>3100</v>
      </c>
    </row>
    <row r="183" spans="1:56" x14ac:dyDescent="0.2">
      <c r="A183" s="56">
        <v>176836202</v>
      </c>
      <c r="B183" s="56" t="s">
        <v>3101</v>
      </c>
      <c r="C183" s="56" t="s">
        <v>2623</v>
      </c>
      <c r="D183" s="56" t="s">
        <v>3102</v>
      </c>
      <c r="E183" s="56" t="s">
        <v>1044</v>
      </c>
      <c r="F183" s="56">
        <v>42</v>
      </c>
      <c r="G183" s="56"/>
      <c r="H183" s="56">
        <v>5352</v>
      </c>
      <c r="I183" s="56">
        <v>8</v>
      </c>
      <c r="J183" s="56" t="s">
        <v>1045</v>
      </c>
      <c r="K183" s="56" t="s">
        <v>1162</v>
      </c>
      <c r="L183" s="121">
        <v>46271</v>
      </c>
      <c r="M183" s="122">
        <v>0.57638888888888884</v>
      </c>
      <c r="N183" s="122">
        <v>0.58958333333333335</v>
      </c>
      <c r="O183" s="56" t="s">
        <v>1047</v>
      </c>
      <c r="P183" s="121">
        <v>46271</v>
      </c>
      <c r="Q183" s="122">
        <v>0.59722222222222221</v>
      </c>
      <c r="R183" s="122">
        <v>0.59668981481481487</v>
      </c>
      <c r="S183" s="56" t="s">
        <v>1047</v>
      </c>
      <c r="T183" s="56">
        <v>0</v>
      </c>
      <c r="U183" s="56">
        <v>10</v>
      </c>
      <c r="V183" s="56">
        <v>7.58</v>
      </c>
      <c r="W183" s="56">
        <v>3.8</v>
      </c>
      <c r="X183" s="56" t="s">
        <v>2624</v>
      </c>
      <c r="Y183" s="56" t="s">
        <v>2624</v>
      </c>
      <c r="Z183" s="56" t="s">
        <v>2624</v>
      </c>
      <c r="AA183" s="56" t="s">
        <v>1858</v>
      </c>
      <c r="AB183" s="56">
        <v>14112591</v>
      </c>
      <c r="AC183" s="56" t="s">
        <v>1858</v>
      </c>
      <c r="AD183" s="56">
        <v>14112591</v>
      </c>
      <c r="AE183" s="56" t="s">
        <v>3042</v>
      </c>
      <c r="AF183" s="124">
        <v>46271.562962962962</v>
      </c>
      <c r="AG183" s="56" t="s">
        <v>3096</v>
      </c>
      <c r="AH183" s="56">
        <v>37</v>
      </c>
      <c r="AI183" s="56" t="s">
        <v>2628</v>
      </c>
      <c r="AJ183" s="56" t="s">
        <v>2629</v>
      </c>
      <c r="AK183" s="56">
        <v>0</v>
      </c>
      <c r="AL183" s="56" t="s">
        <v>2630</v>
      </c>
      <c r="AM183" s="56" t="s">
        <v>2631</v>
      </c>
      <c r="AN183" s="56" t="s">
        <v>2632</v>
      </c>
      <c r="AO183" s="124">
        <v>46271.562962962962</v>
      </c>
      <c r="AP183" s="56" t="s">
        <v>2624</v>
      </c>
      <c r="AQ183" s="123">
        <v>1.3194444444444509E-2</v>
      </c>
      <c r="AR183" s="122">
        <v>-5.324074074073426E-4</v>
      </c>
      <c r="AS183" s="56" t="s">
        <v>1048</v>
      </c>
      <c r="AT183" s="56" t="s">
        <v>1049</v>
      </c>
      <c r="AU183" s="56" t="s">
        <v>1050</v>
      </c>
      <c r="AV183" s="56">
        <v>37</v>
      </c>
      <c r="AW183" s="56" t="s">
        <v>1051</v>
      </c>
      <c r="AX183" s="56" t="s">
        <v>3103</v>
      </c>
      <c r="AY183" s="56" t="s">
        <v>1164</v>
      </c>
      <c r="AZ183" s="56" t="s">
        <v>1062</v>
      </c>
      <c r="BA183" s="56" t="s">
        <v>3104</v>
      </c>
      <c r="BB183" s="56" t="s">
        <v>3105</v>
      </c>
      <c r="BC183" s="56" t="s">
        <v>1133</v>
      </c>
      <c r="BD183" s="56" t="s">
        <v>3106</v>
      </c>
    </row>
    <row r="184" spans="1:56" x14ac:dyDescent="0.2">
      <c r="A184" s="56">
        <v>176836213</v>
      </c>
      <c r="B184" s="56" t="s">
        <v>3107</v>
      </c>
      <c r="C184" s="56" t="s">
        <v>2623</v>
      </c>
      <c r="D184" s="56" t="s">
        <v>3108</v>
      </c>
      <c r="E184" s="56" t="s">
        <v>1044</v>
      </c>
      <c r="F184" s="56">
        <v>129</v>
      </c>
      <c r="G184" s="56"/>
      <c r="H184" s="56">
        <v>5395</v>
      </c>
      <c r="I184" s="56">
        <v>7</v>
      </c>
      <c r="J184" s="56" t="s">
        <v>1045</v>
      </c>
      <c r="K184" s="56" t="s">
        <v>1212</v>
      </c>
      <c r="L184" s="121">
        <v>46271</v>
      </c>
      <c r="M184" s="122">
        <v>0.57638888888888884</v>
      </c>
      <c r="N184" s="122">
        <v>0.5805555555555556</v>
      </c>
      <c r="O184" s="56" t="s">
        <v>1047</v>
      </c>
      <c r="P184" s="121">
        <v>46271</v>
      </c>
      <c r="Q184" s="122">
        <v>0.65972222222222221</v>
      </c>
      <c r="R184" s="56"/>
      <c r="S184" s="56" t="s">
        <v>1148</v>
      </c>
      <c r="T184" s="56">
        <v>0</v>
      </c>
      <c r="U184" s="56">
        <v>30</v>
      </c>
      <c r="V184" s="56">
        <v>32.99</v>
      </c>
      <c r="W184" s="56">
        <v>34</v>
      </c>
      <c r="X184" s="56">
        <v>45.69</v>
      </c>
      <c r="Y184" s="56">
        <v>11.69</v>
      </c>
      <c r="Z184" s="56">
        <v>0</v>
      </c>
      <c r="AA184" s="56" t="s">
        <v>2016</v>
      </c>
      <c r="AB184" s="56">
        <v>14124188</v>
      </c>
      <c r="AC184" s="56" t="s">
        <v>2016</v>
      </c>
      <c r="AD184" s="56">
        <v>14124188</v>
      </c>
      <c r="AE184" s="56" t="s">
        <v>3042</v>
      </c>
      <c r="AF184" s="124">
        <v>46271.564398148148</v>
      </c>
      <c r="AG184" s="56" t="s">
        <v>3096</v>
      </c>
      <c r="AH184" s="56">
        <v>37</v>
      </c>
      <c r="AI184" s="56" t="s">
        <v>2706</v>
      </c>
      <c r="AJ184" s="56" t="s">
        <v>2640</v>
      </c>
      <c r="AK184" s="56">
        <v>0</v>
      </c>
      <c r="AL184" s="56" t="s">
        <v>2630</v>
      </c>
      <c r="AM184" s="56" t="s">
        <v>2631</v>
      </c>
      <c r="AN184" s="56" t="s">
        <v>2632</v>
      </c>
      <c r="AO184" s="124">
        <v>46271.564398148148</v>
      </c>
      <c r="AP184" s="56" t="s">
        <v>2624</v>
      </c>
      <c r="AQ184" s="123">
        <v>4.1666666666667629E-3</v>
      </c>
      <c r="AR184" s="122">
        <v>-0.65972222222222221</v>
      </c>
      <c r="AS184" s="56" t="s">
        <v>1048</v>
      </c>
      <c r="AT184" s="56" t="s">
        <v>1049</v>
      </c>
      <c r="AU184" s="56" t="s">
        <v>1050</v>
      </c>
      <c r="AV184" s="56">
        <v>37</v>
      </c>
      <c r="AW184" s="56" t="s">
        <v>1051</v>
      </c>
      <c r="AX184" s="56" t="s">
        <v>3109</v>
      </c>
      <c r="AY184" s="56" t="s">
        <v>1164</v>
      </c>
      <c r="AZ184" s="56" t="s">
        <v>1062</v>
      </c>
      <c r="BA184" s="56" t="s">
        <v>3110</v>
      </c>
      <c r="BB184" s="56" t="s">
        <v>3111</v>
      </c>
      <c r="BC184" s="56" t="s">
        <v>1133</v>
      </c>
      <c r="BD184" s="56" t="s">
        <v>3112</v>
      </c>
    </row>
    <row r="185" spans="1:56" x14ac:dyDescent="0.2">
      <c r="A185" s="56">
        <v>176784759</v>
      </c>
      <c r="B185" s="56" t="s">
        <v>1687</v>
      </c>
      <c r="C185" s="56" t="s">
        <v>2623</v>
      </c>
      <c r="D185" s="56" t="s">
        <v>1122</v>
      </c>
      <c r="E185" s="56" t="s">
        <v>1044</v>
      </c>
      <c r="F185" s="56">
        <v>6</v>
      </c>
      <c r="G185" s="56"/>
      <c r="H185" s="56">
        <v>15785</v>
      </c>
      <c r="I185" s="56">
        <v>6</v>
      </c>
      <c r="J185" s="56" t="s">
        <v>1045</v>
      </c>
      <c r="K185" s="56" t="s">
        <v>1058</v>
      </c>
      <c r="L185" s="121">
        <v>46271</v>
      </c>
      <c r="M185" s="122">
        <v>0.57986111111111116</v>
      </c>
      <c r="N185" s="122">
        <v>0.58333333333333337</v>
      </c>
      <c r="O185" s="56" t="s">
        <v>1047</v>
      </c>
      <c r="P185" s="121">
        <v>46271</v>
      </c>
      <c r="Q185" s="122">
        <v>0.60416666666666663</v>
      </c>
      <c r="R185" s="122">
        <v>0.60190972222222228</v>
      </c>
      <c r="S185" s="56" t="s">
        <v>1047</v>
      </c>
      <c r="T185" s="56">
        <v>1</v>
      </c>
      <c r="U185" s="56">
        <v>22</v>
      </c>
      <c r="V185" s="56">
        <v>19.07</v>
      </c>
      <c r="W185" s="56">
        <v>19.329999999999998</v>
      </c>
      <c r="X185" s="56" t="s">
        <v>2624</v>
      </c>
      <c r="Y185" s="56" t="s">
        <v>2624</v>
      </c>
      <c r="Z185" s="56" t="s">
        <v>2624</v>
      </c>
      <c r="AA185" s="56" t="s">
        <v>1673</v>
      </c>
      <c r="AB185" s="56">
        <v>14112757</v>
      </c>
      <c r="AC185" s="56" t="s">
        <v>1673</v>
      </c>
      <c r="AD185" s="56">
        <v>14112757</v>
      </c>
      <c r="AE185" s="56" t="s">
        <v>2626</v>
      </c>
      <c r="AF185" s="56" t="s">
        <v>2627</v>
      </c>
      <c r="AG185" s="56" t="s">
        <v>2627</v>
      </c>
      <c r="AH185" s="56">
        <v>37</v>
      </c>
      <c r="AI185" s="56" t="s">
        <v>2628</v>
      </c>
      <c r="AJ185" s="56" t="s">
        <v>2629</v>
      </c>
      <c r="AK185" s="56">
        <v>602</v>
      </c>
      <c r="AL185" s="56" t="s">
        <v>2630</v>
      </c>
      <c r="AM185" s="56" t="s">
        <v>2631</v>
      </c>
      <c r="AN185" s="56" t="s">
        <v>2632</v>
      </c>
      <c r="AO185" s="56" t="s">
        <v>2627</v>
      </c>
      <c r="AP185" s="56" t="s">
        <v>2624</v>
      </c>
      <c r="AQ185" s="123">
        <v>3.4722222222222099E-3</v>
      </c>
      <c r="AR185" s="122">
        <v>-2.2569444444443532E-3</v>
      </c>
      <c r="AS185" s="56" t="s">
        <v>1048</v>
      </c>
      <c r="AT185" s="56" t="s">
        <v>1049</v>
      </c>
      <c r="AU185" s="56" t="s">
        <v>1050</v>
      </c>
      <c r="AV185" s="56">
        <v>37</v>
      </c>
      <c r="AW185" s="56" t="s">
        <v>1051</v>
      </c>
      <c r="AX185" s="56" t="s">
        <v>1527</v>
      </c>
      <c r="AY185" s="56" t="s">
        <v>1061</v>
      </c>
      <c r="AZ185" s="56" t="s">
        <v>1062</v>
      </c>
      <c r="BA185" s="56" t="s">
        <v>1528</v>
      </c>
      <c r="BB185" s="56" t="s">
        <v>1529</v>
      </c>
      <c r="BC185" s="56" t="s">
        <v>1133</v>
      </c>
      <c r="BD185" s="56" t="s">
        <v>1688</v>
      </c>
    </row>
    <row r="186" spans="1:56" x14ac:dyDescent="0.2">
      <c r="A186" s="56">
        <v>176787423</v>
      </c>
      <c r="B186" s="56" t="s">
        <v>2824</v>
      </c>
      <c r="C186" s="56" t="s">
        <v>2623</v>
      </c>
      <c r="D186" s="56" t="s">
        <v>2281</v>
      </c>
      <c r="E186" s="56" t="s">
        <v>1044</v>
      </c>
      <c r="F186" s="56">
        <v>112</v>
      </c>
      <c r="G186" s="56" t="s">
        <v>2693</v>
      </c>
      <c r="H186" s="56">
        <v>13374</v>
      </c>
      <c r="I186" s="56">
        <v>6</v>
      </c>
      <c r="J186" s="56" t="s">
        <v>1045</v>
      </c>
      <c r="K186" s="56" t="s">
        <v>1116</v>
      </c>
      <c r="L186" s="121">
        <v>46271</v>
      </c>
      <c r="M186" s="122">
        <v>0.57986111111111116</v>
      </c>
      <c r="N186" s="122">
        <v>0.58680555555555558</v>
      </c>
      <c r="O186" s="56" t="s">
        <v>1047</v>
      </c>
      <c r="P186" s="121">
        <v>46271</v>
      </c>
      <c r="Q186" s="122">
        <v>0.61458333333333337</v>
      </c>
      <c r="R186" s="122">
        <v>0.60241898148148143</v>
      </c>
      <c r="S186" s="56" t="s">
        <v>1047</v>
      </c>
      <c r="T186" s="56">
        <v>1</v>
      </c>
      <c r="U186" s="56">
        <v>17</v>
      </c>
      <c r="V186" s="56">
        <v>11.49</v>
      </c>
      <c r="W186" s="56">
        <v>11.06</v>
      </c>
      <c r="X186" s="56" t="s">
        <v>2624</v>
      </c>
      <c r="Y186" s="56" t="s">
        <v>2624</v>
      </c>
      <c r="Z186" s="56" t="s">
        <v>2624</v>
      </c>
      <c r="AA186" s="56" t="s">
        <v>247</v>
      </c>
      <c r="AB186" s="56">
        <v>14119437</v>
      </c>
      <c r="AC186" s="56" t="s">
        <v>247</v>
      </c>
      <c r="AD186" s="56">
        <v>14119437</v>
      </c>
      <c r="AE186" s="56" t="s">
        <v>2626</v>
      </c>
      <c r="AF186" s="56" t="s">
        <v>2627</v>
      </c>
      <c r="AG186" s="56" t="s">
        <v>2627</v>
      </c>
      <c r="AH186" s="56">
        <v>37</v>
      </c>
      <c r="AI186" s="56" t="s">
        <v>2628</v>
      </c>
      <c r="AJ186" s="56" t="s">
        <v>2629</v>
      </c>
      <c r="AK186" s="56">
        <v>0</v>
      </c>
      <c r="AL186" s="56" t="s">
        <v>2630</v>
      </c>
      <c r="AM186" s="56" t="s">
        <v>2631</v>
      </c>
      <c r="AN186" s="56" t="s">
        <v>2632</v>
      </c>
      <c r="AO186" s="56" t="s">
        <v>2627</v>
      </c>
      <c r="AP186" s="56" t="s">
        <v>2624</v>
      </c>
      <c r="AQ186" s="123">
        <v>6.9444444444444198E-3</v>
      </c>
      <c r="AR186" s="122">
        <v>-1.216435185185194E-2</v>
      </c>
      <c r="AS186" s="56" t="s">
        <v>1048</v>
      </c>
      <c r="AT186" s="56" t="s">
        <v>1049</v>
      </c>
      <c r="AU186" s="56" t="s">
        <v>1050</v>
      </c>
      <c r="AV186" s="56">
        <v>37</v>
      </c>
      <c r="AW186" s="56" t="s">
        <v>1051</v>
      </c>
      <c r="AX186" s="56" t="s">
        <v>2825</v>
      </c>
      <c r="AY186" s="56" t="s">
        <v>1128</v>
      </c>
      <c r="AZ186" s="56" t="s">
        <v>1054</v>
      </c>
      <c r="BA186" s="56" t="s">
        <v>2826</v>
      </c>
      <c r="BB186" s="56" t="s">
        <v>2827</v>
      </c>
      <c r="BC186" s="56" t="s">
        <v>1133</v>
      </c>
      <c r="BD186" s="56" t="s">
        <v>2828</v>
      </c>
    </row>
    <row r="187" spans="1:56" x14ac:dyDescent="0.2">
      <c r="A187" s="56">
        <v>176785504</v>
      </c>
      <c r="B187" s="56" t="s">
        <v>3113</v>
      </c>
      <c r="C187" s="56" t="s">
        <v>2623</v>
      </c>
      <c r="D187" s="56" t="s">
        <v>1043</v>
      </c>
      <c r="E187" s="56" t="s">
        <v>1044</v>
      </c>
      <c r="F187" s="56">
        <v>10</v>
      </c>
      <c r="G187" s="56"/>
      <c r="H187" s="56">
        <v>13294</v>
      </c>
      <c r="I187" s="56">
        <v>6</v>
      </c>
      <c r="J187" s="56" t="s">
        <v>1045</v>
      </c>
      <c r="K187" s="56" t="s">
        <v>1046</v>
      </c>
      <c r="L187" s="121">
        <v>46271</v>
      </c>
      <c r="M187" s="122">
        <v>0.66319444444444442</v>
      </c>
      <c r="N187" s="122">
        <v>0.66666666666666663</v>
      </c>
      <c r="O187" s="56" t="s">
        <v>1047</v>
      </c>
      <c r="P187" s="121">
        <v>46271</v>
      </c>
      <c r="Q187" s="122">
        <v>0.76041666666666663</v>
      </c>
      <c r="R187" s="122">
        <v>0.73436342592592596</v>
      </c>
      <c r="S187" s="56" t="s">
        <v>1047</v>
      </c>
      <c r="T187" s="56">
        <v>1</v>
      </c>
      <c r="U187" s="56">
        <v>63</v>
      </c>
      <c r="V187" s="56">
        <v>56.37</v>
      </c>
      <c r="W187" s="56">
        <v>56.62</v>
      </c>
      <c r="X187" s="56" t="s">
        <v>2624</v>
      </c>
      <c r="Y187" s="56" t="s">
        <v>2624</v>
      </c>
      <c r="Z187" s="56" t="s">
        <v>2624</v>
      </c>
      <c r="AA187" s="56" t="s">
        <v>428</v>
      </c>
      <c r="AB187" s="56">
        <v>14118625</v>
      </c>
      <c r="AC187" s="56" t="s">
        <v>428</v>
      </c>
      <c r="AD187" s="56">
        <v>14118625</v>
      </c>
      <c r="AE187" s="56" t="s">
        <v>2626</v>
      </c>
      <c r="AF187" s="56" t="s">
        <v>2627</v>
      </c>
      <c r="AG187" s="56" t="s">
        <v>2627</v>
      </c>
      <c r="AH187" s="56">
        <v>37</v>
      </c>
      <c r="AI187" s="56" t="s">
        <v>2628</v>
      </c>
      <c r="AJ187" s="56" t="s">
        <v>2629</v>
      </c>
      <c r="AK187" s="56">
        <v>0</v>
      </c>
      <c r="AL187" s="56" t="s">
        <v>2630</v>
      </c>
      <c r="AM187" s="56" t="s">
        <v>2631</v>
      </c>
      <c r="AN187" s="56" t="s">
        <v>2632</v>
      </c>
      <c r="AO187" s="56" t="s">
        <v>2627</v>
      </c>
      <c r="AP187" s="56" t="s">
        <v>2624</v>
      </c>
      <c r="AQ187" s="123">
        <v>3.4722222222222099E-3</v>
      </c>
      <c r="AR187" s="122">
        <v>-2.6053240740740669E-2</v>
      </c>
      <c r="AS187" s="56" t="s">
        <v>1048</v>
      </c>
      <c r="AT187" s="56" t="s">
        <v>1049</v>
      </c>
      <c r="AU187" s="56" t="s">
        <v>1050</v>
      </c>
      <c r="AV187" s="56">
        <v>37</v>
      </c>
      <c r="AW187" s="56" t="s">
        <v>1051</v>
      </c>
      <c r="AX187" s="56" t="s">
        <v>1052</v>
      </c>
      <c r="AY187" s="56" t="s">
        <v>1053</v>
      </c>
      <c r="AZ187" s="56" t="s">
        <v>1054</v>
      </c>
      <c r="BA187" s="56" t="s">
        <v>1055</v>
      </c>
      <c r="BB187" s="56" t="s">
        <v>1056</v>
      </c>
      <c r="BC187" s="56" t="s">
        <v>1133</v>
      </c>
      <c r="BD187" s="56" t="s">
        <v>3114</v>
      </c>
    </row>
    <row r="188" spans="1:56" x14ac:dyDescent="0.2">
      <c r="A188" s="56">
        <v>176787611</v>
      </c>
      <c r="B188" s="56" t="s">
        <v>2080</v>
      </c>
      <c r="C188" s="56" t="s">
        <v>2623</v>
      </c>
      <c r="D188" s="56" t="s">
        <v>1200</v>
      </c>
      <c r="E188" s="56" t="s">
        <v>1044</v>
      </c>
      <c r="F188" s="56">
        <v>89</v>
      </c>
      <c r="G188" s="56"/>
      <c r="H188" s="56">
        <v>4411</v>
      </c>
      <c r="I188" s="56">
        <v>6</v>
      </c>
      <c r="J188" s="56" t="s">
        <v>1045</v>
      </c>
      <c r="K188" s="56" t="s">
        <v>1075</v>
      </c>
      <c r="L188" s="121">
        <v>46271</v>
      </c>
      <c r="M188" s="122">
        <v>0.70833333333333337</v>
      </c>
      <c r="N188" s="122">
        <v>0.71597222222222223</v>
      </c>
      <c r="O188" s="56" t="s">
        <v>1047</v>
      </c>
      <c r="P188" s="121">
        <v>46271</v>
      </c>
      <c r="Q188" s="122">
        <v>0.76736111111111116</v>
      </c>
      <c r="R188" s="122">
        <v>0.75306712962962963</v>
      </c>
      <c r="S188" s="56" t="s">
        <v>1047</v>
      </c>
      <c r="T188" s="56">
        <v>1</v>
      </c>
      <c r="U188" s="56">
        <v>31</v>
      </c>
      <c r="V188" s="56">
        <v>28.67</v>
      </c>
      <c r="W188" s="56">
        <v>29.75</v>
      </c>
      <c r="X188" s="56" t="s">
        <v>2624</v>
      </c>
      <c r="Y188" s="56" t="s">
        <v>2624</v>
      </c>
      <c r="Z188" s="56" t="s">
        <v>2624</v>
      </c>
      <c r="AA188" s="56" t="s">
        <v>233</v>
      </c>
      <c r="AB188" s="56">
        <v>14119153</v>
      </c>
      <c r="AC188" s="56" t="s">
        <v>233</v>
      </c>
      <c r="AD188" s="56">
        <v>14119153</v>
      </c>
      <c r="AE188" s="56" t="s">
        <v>2626</v>
      </c>
      <c r="AF188" s="56" t="s">
        <v>2627</v>
      </c>
      <c r="AG188" s="56" t="s">
        <v>2627</v>
      </c>
      <c r="AH188" s="56">
        <v>37</v>
      </c>
      <c r="AI188" s="56" t="s">
        <v>2628</v>
      </c>
      <c r="AJ188" s="56" t="s">
        <v>2629</v>
      </c>
      <c r="AK188" s="56">
        <v>0</v>
      </c>
      <c r="AL188" s="56" t="s">
        <v>2630</v>
      </c>
      <c r="AM188" s="56" t="s">
        <v>2631</v>
      </c>
      <c r="AN188" s="56" t="s">
        <v>2632</v>
      </c>
      <c r="AO188" s="56" t="s">
        <v>2627</v>
      </c>
      <c r="AP188" s="56" t="s">
        <v>2624</v>
      </c>
      <c r="AQ188" s="123">
        <v>7.6388888888888618E-3</v>
      </c>
      <c r="AR188" s="122">
        <v>-1.4293981481481532E-2</v>
      </c>
      <c r="AS188" s="56" t="s">
        <v>1048</v>
      </c>
      <c r="AT188" s="56" t="s">
        <v>1049</v>
      </c>
      <c r="AU188" s="56" t="s">
        <v>1050</v>
      </c>
      <c r="AV188" s="56">
        <v>37</v>
      </c>
      <c r="AW188" s="56" t="s">
        <v>1051</v>
      </c>
      <c r="AX188" s="56" t="s">
        <v>1201</v>
      </c>
      <c r="AY188" s="56" t="s">
        <v>1076</v>
      </c>
      <c r="AZ188" s="56" t="s">
        <v>1067</v>
      </c>
      <c r="BA188" s="56" t="s">
        <v>1202</v>
      </c>
      <c r="BB188" s="56" t="s">
        <v>1203</v>
      </c>
      <c r="BC188" s="56" t="s">
        <v>1133</v>
      </c>
      <c r="BD188" s="56" t="s">
        <v>2081</v>
      </c>
    </row>
    <row r="189" spans="1:56" x14ac:dyDescent="0.2">
      <c r="A189" s="56">
        <v>176787384</v>
      </c>
      <c r="B189" s="56" t="s">
        <v>3115</v>
      </c>
      <c r="C189" s="56" t="s">
        <v>2623</v>
      </c>
      <c r="D189" s="56" t="s">
        <v>1487</v>
      </c>
      <c r="E189" s="56" t="s">
        <v>1044</v>
      </c>
      <c r="F189" s="56">
        <v>85</v>
      </c>
      <c r="G189" s="56"/>
      <c r="H189" s="56">
        <v>4992</v>
      </c>
      <c r="I189" s="56">
        <v>6</v>
      </c>
      <c r="J189" s="56" t="s">
        <v>1045</v>
      </c>
      <c r="K189" s="56" t="s">
        <v>1075</v>
      </c>
      <c r="L189" s="121">
        <v>46271</v>
      </c>
      <c r="M189" s="122">
        <v>0.71875</v>
      </c>
      <c r="N189" s="122">
        <v>0.75</v>
      </c>
      <c r="O189" s="56" t="s">
        <v>1047</v>
      </c>
      <c r="P189" s="121">
        <v>46271</v>
      </c>
      <c r="Q189" s="122">
        <v>0.76736111111111116</v>
      </c>
      <c r="R189" s="122">
        <v>0.78140046296296295</v>
      </c>
      <c r="S189" s="56" t="s">
        <v>1047</v>
      </c>
      <c r="T189" s="56">
        <v>1</v>
      </c>
      <c r="U189" s="56">
        <v>24</v>
      </c>
      <c r="V189" s="56">
        <v>19.12</v>
      </c>
      <c r="W189" s="56">
        <v>18.23</v>
      </c>
      <c r="X189" s="56" t="s">
        <v>2624</v>
      </c>
      <c r="Y189" s="56" t="s">
        <v>2624</v>
      </c>
      <c r="Z189" s="56" t="s">
        <v>2624</v>
      </c>
      <c r="AA189" s="56" t="s">
        <v>303</v>
      </c>
      <c r="AB189" s="56">
        <v>14120806</v>
      </c>
      <c r="AC189" s="56" t="s">
        <v>303</v>
      </c>
      <c r="AD189" s="56">
        <v>14120806</v>
      </c>
      <c r="AE189" s="56" t="s">
        <v>2626</v>
      </c>
      <c r="AF189" s="56" t="s">
        <v>2627</v>
      </c>
      <c r="AG189" s="56" t="s">
        <v>2627</v>
      </c>
      <c r="AH189" s="56">
        <v>37</v>
      </c>
      <c r="AI189" s="56" t="s">
        <v>2628</v>
      </c>
      <c r="AJ189" s="56" t="s">
        <v>2640</v>
      </c>
      <c r="AK189" s="56">
        <v>0</v>
      </c>
      <c r="AL189" s="56" t="s">
        <v>2630</v>
      </c>
      <c r="AM189" s="56" t="s">
        <v>2631</v>
      </c>
      <c r="AN189" s="56" t="s">
        <v>2632</v>
      </c>
      <c r="AO189" s="56" t="s">
        <v>2627</v>
      </c>
      <c r="AP189" s="56" t="s">
        <v>2624</v>
      </c>
      <c r="AQ189" s="123">
        <v>3.125E-2</v>
      </c>
      <c r="AR189" s="122">
        <v>1.4039351851851789E-2</v>
      </c>
      <c r="AS189" s="56" t="s">
        <v>1048</v>
      </c>
      <c r="AT189" s="56" t="s">
        <v>1059</v>
      </c>
      <c r="AU189" s="56" t="s">
        <v>1060</v>
      </c>
      <c r="AV189" s="56">
        <v>37</v>
      </c>
      <c r="AW189" s="56" t="s">
        <v>1051</v>
      </c>
      <c r="AX189" s="56" t="s">
        <v>1488</v>
      </c>
      <c r="AY189" s="56" t="s">
        <v>1076</v>
      </c>
      <c r="AZ189" s="56" t="s">
        <v>1067</v>
      </c>
      <c r="BA189" s="56" t="s">
        <v>1489</v>
      </c>
      <c r="BB189" s="56" t="s">
        <v>1490</v>
      </c>
      <c r="BC189" s="56" t="s">
        <v>1133</v>
      </c>
      <c r="BD189" s="56" t="s">
        <v>3116</v>
      </c>
    </row>
    <row r="190" spans="1:56" x14ac:dyDescent="0.2">
      <c r="A190" s="56">
        <v>176780413</v>
      </c>
      <c r="B190" s="56" t="s">
        <v>3117</v>
      </c>
      <c r="C190" s="56" t="s">
        <v>2623</v>
      </c>
      <c r="D190" s="56" t="s">
        <v>3118</v>
      </c>
      <c r="E190" s="56" t="s">
        <v>1044</v>
      </c>
      <c r="F190" s="56">
        <v>5</v>
      </c>
      <c r="G190" s="56"/>
      <c r="H190" s="56">
        <v>6984</v>
      </c>
      <c r="I190" s="56">
        <v>6</v>
      </c>
      <c r="J190" s="56" t="s">
        <v>1045</v>
      </c>
      <c r="K190" s="56" t="s">
        <v>1123</v>
      </c>
      <c r="L190" s="121">
        <v>46271</v>
      </c>
      <c r="M190" s="122">
        <v>0.79166666666666663</v>
      </c>
      <c r="N190" s="122">
        <v>0.79722222222222228</v>
      </c>
      <c r="O190" s="56" t="s">
        <v>1047</v>
      </c>
      <c r="P190" s="121">
        <v>46271</v>
      </c>
      <c r="Q190" s="122">
        <v>0.86111111111111116</v>
      </c>
      <c r="R190" s="122">
        <v>0.8464814814814815</v>
      </c>
      <c r="S190" s="56" t="s">
        <v>1047</v>
      </c>
      <c r="T190" s="56">
        <v>1</v>
      </c>
      <c r="U190" s="56">
        <v>32</v>
      </c>
      <c r="V190" s="56">
        <v>22.66</v>
      </c>
      <c r="W190" s="56">
        <v>0</v>
      </c>
      <c r="X190" s="56" t="s">
        <v>2624</v>
      </c>
      <c r="Y190" s="56" t="s">
        <v>2624</v>
      </c>
      <c r="Z190" s="56" t="s">
        <v>2624</v>
      </c>
      <c r="AA190" s="56" t="s">
        <v>464</v>
      </c>
      <c r="AB190" s="56">
        <v>14122904</v>
      </c>
      <c r="AC190" s="56" t="s">
        <v>464</v>
      </c>
      <c r="AD190" s="56">
        <v>14122904</v>
      </c>
      <c r="AE190" s="56" t="s">
        <v>2626</v>
      </c>
      <c r="AF190" s="56" t="s">
        <v>2627</v>
      </c>
      <c r="AG190" s="56" t="s">
        <v>2627</v>
      </c>
      <c r="AH190" s="56">
        <v>37</v>
      </c>
      <c r="AI190" s="56" t="s">
        <v>2628</v>
      </c>
      <c r="AJ190" s="56" t="s">
        <v>2629</v>
      </c>
      <c r="AK190" s="56">
        <v>556.96</v>
      </c>
      <c r="AL190" s="56" t="s">
        <v>2630</v>
      </c>
      <c r="AM190" s="56" t="s">
        <v>2631</v>
      </c>
      <c r="AN190" s="56" t="s">
        <v>2632</v>
      </c>
      <c r="AO190" s="56" t="s">
        <v>2627</v>
      </c>
      <c r="AP190" s="56" t="s">
        <v>2624</v>
      </c>
      <c r="AQ190" s="123">
        <v>5.5555555555556468E-3</v>
      </c>
      <c r="AR190" s="122">
        <v>-1.4629629629629659E-2</v>
      </c>
      <c r="AS190" s="56" t="s">
        <v>1048</v>
      </c>
      <c r="AT190" s="56" t="s">
        <v>1049</v>
      </c>
      <c r="AU190" s="56" t="s">
        <v>1050</v>
      </c>
      <c r="AV190" s="56">
        <v>37</v>
      </c>
      <c r="AW190" s="56" t="s">
        <v>1051</v>
      </c>
      <c r="AX190" s="56" t="s">
        <v>3119</v>
      </c>
      <c r="AY190" s="56" t="s">
        <v>1124</v>
      </c>
      <c r="AZ190" s="56" t="s">
        <v>1054</v>
      </c>
      <c r="BA190" s="56" t="s">
        <v>3120</v>
      </c>
      <c r="BB190" s="56" t="s">
        <v>3121</v>
      </c>
      <c r="BC190" s="56" t="s">
        <v>1157</v>
      </c>
      <c r="BD190" s="56" t="s">
        <v>3122</v>
      </c>
    </row>
    <row r="191" spans="1:56" x14ac:dyDescent="0.2">
      <c r="A191" s="56">
        <v>176786367</v>
      </c>
      <c r="B191" s="56" t="s">
        <v>3123</v>
      </c>
      <c r="C191" s="56" t="s">
        <v>2623</v>
      </c>
      <c r="D191" s="56" t="s">
        <v>3020</v>
      </c>
      <c r="E191" s="56" t="s">
        <v>1044</v>
      </c>
      <c r="F191" s="56">
        <v>7</v>
      </c>
      <c r="G191" s="56"/>
      <c r="H191" s="56">
        <v>13446</v>
      </c>
      <c r="I191" s="56">
        <v>6</v>
      </c>
      <c r="J191" s="56" t="s">
        <v>1045</v>
      </c>
      <c r="K191" s="56" t="s">
        <v>1258</v>
      </c>
      <c r="L191" s="121">
        <v>46271</v>
      </c>
      <c r="M191" s="122">
        <v>0.79374999999999996</v>
      </c>
      <c r="N191" s="122">
        <v>0.79861111111111116</v>
      </c>
      <c r="O191" s="56" t="s">
        <v>1047</v>
      </c>
      <c r="P191" s="121">
        <v>46271</v>
      </c>
      <c r="Q191" s="122">
        <v>0.83333333333333337</v>
      </c>
      <c r="R191" s="122">
        <v>0.83157407407407402</v>
      </c>
      <c r="S191" s="56" t="s">
        <v>1047</v>
      </c>
      <c r="T191" s="56">
        <v>1</v>
      </c>
      <c r="U191" s="56">
        <v>29</v>
      </c>
      <c r="V191" s="56">
        <v>26.24</v>
      </c>
      <c r="W191" s="56">
        <v>24.17</v>
      </c>
      <c r="X191" s="56" t="s">
        <v>2624</v>
      </c>
      <c r="Y191" s="56" t="s">
        <v>2624</v>
      </c>
      <c r="Z191" s="56" t="s">
        <v>2624</v>
      </c>
      <c r="AA191" s="56" t="s">
        <v>3124</v>
      </c>
      <c r="AB191" s="56">
        <v>14108552</v>
      </c>
      <c r="AC191" s="56" t="s">
        <v>3124</v>
      </c>
      <c r="AD191" s="56">
        <v>14108552</v>
      </c>
      <c r="AE191" s="56" t="s">
        <v>2626</v>
      </c>
      <c r="AF191" s="56" t="s">
        <v>2627</v>
      </c>
      <c r="AG191" s="56" t="s">
        <v>2627</v>
      </c>
      <c r="AH191" s="56">
        <v>37</v>
      </c>
      <c r="AI191" s="56" t="s">
        <v>2628</v>
      </c>
      <c r="AJ191" s="56" t="s">
        <v>2629</v>
      </c>
      <c r="AK191" s="56">
        <v>0</v>
      </c>
      <c r="AL191" s="56" t="s">
        <v>2630</v>
      </c>
      <c r="AM191" s="56" t="s">
        <v>2631</v>
      </c>
      <c r="AN191" s="56" t="s">
        <v>2702</v>
      </c>
      <c r="AO191" s="56" t="s">
        <v>2627</v>
      </c>
      <c r="AP191" s="56" t="s">
        <v>2624</v>
      </c>
      <c r="AQ191" s="123">
        <v>4.8611111111112049E-3</v>
      </c>
      <c r="AR191" s="122">
        <v>-1.7592592592593492E-3</v>
      </c>
      <c r="AS191" s="56" t="s">
        <v>1048</v>
      </c>
      <c r="AT191" s="56" t="s">
        <v>1049</v>
      </c>
      <c r="AU191" s="56" t="s">
        <v>1050</v>
      </c>
      <c r="AV191" s="56">
        <v>37</v>
      </c>
      <c r="AW191" s="56" t="s">
        <v>1051</v>
      </c>
      <c r="AX191" s="56" t="s">
        <v>3021</v>
      </c>
      <c r="AY191" s="56" t="s">
        <v>1259</v>
      </c>
      <c r="AZ191" s="56" t="s">
        <v>1062</v>
      </c>
      <c r="BA191" s="56" t="s">
        <v>3022</v>
      </c>
      <c r="BB191" s="56" t="s">
        <v>3023</v>
      </c>
      <c r="BC191" s="56" t="s">
        <v>1157</v>
      </c>
      <c r="BD191" s="56" t="s">
        <v>3125</v>
      </c>
    </row>
    <row r="192" spans="1:56" x14ac:dyDescent="0.2">
      <c r="A192" s="56">
        <v>176782061</v>
      </c>
      <c r="B192" s="56" t="s">
        <v>2847</v>
      </c>
      <c r="C192" s="56" t="s">
        <v>2623</v>
      </c>
      <c r="D192" s="56" t="s">
        <v>1411</v>
      </c>
      <c r="E192" s="56" t="s">
        <v>1044</v>
      </c>
      <c r="F192" s="56">
        <v>38</v>
      </c>
      <c r="G192" s="56"/>
      <c r="H192" s="56">
        <v>5429</v>
      </c>
      <c r="I192" s="56">
        <v>6</v>
      </c>
      <c r="J192" s="56" t="s">
        <v>1045</v>
      </c>
      <c r="K192" s="56" t="s">
        <v>1123</v>
      </c>
      <c r="L192" s="121">
        <v>46271</v>
      </c>
      <c r="M192" s="122">
        <v>0.80555555555555558</v>
      </c>
      <c r="N192" s="122">
        <v>0.80902777777777779</v>
      </c>
      <c r="O192" s="56" t="s">
        <v>1047</v>
      </c>
      <c r="P192" s="121">
        <v>46271</v>
      </c>
      <c r="Q192" s="122">
        <v>0.86111111111111116</v>
      </c>
      <c r="R192" s="122">
        <v>0.85972222222222228</v>
      </c>
      <c r="S192" s="56" t="s">
        <v>1047</v>
      </c>
      <c r="T192" s="56">
        <v>1</v>
      </c>
      <c r="U192" s="56">
        <v>26</v>
      </c>
      <c r="V192" s="56">
        <v>23.16</v>
      </c>
      <c r="W192" s="56">
        <v>24.06</v>
      </c>
      <c r="X192" s="56" t="s">
        <v>2624</v>
      </c>
      <c r="Y192" s="56" t="s">
        <v>2624</v>
      </c>
      <c r="Z192" s="56" t="s">
        <v>2624</v>
      </c>
      <c r="AA192" s="56" t="s">
        <v>446</v>
      </c>
      <c r="AB192" s="56">
        <v>14122709</v>
      </c>
      <c r="AC192" s="56" t="s">
        <v>446</v>
      </c>
      <c r="AD192" s="56">
        <v>14122709</v>
      </c>
      <c r="AE192" s="56" t="s">
        <v>2626</v>
      </c>
      <c r="AF192" s="56" t="s">
        <v>2627</v>
      </c>
      <c r="AG192" s="56" t="s">
        <v>2627</v>
      </c>
      <c r="AH192" s="56">
        <v>37</v>
      </c>
      <c r="AI192" s="56" t="s">
        <v>2628</v>
      </c>
      <c r="AJ192" s="56" t="s">
        <v>2629</v>
      </c>
      <c r="AK192" s="56">
        <v>483.41</v>
      </c>
      <c r="AL192" s="56" t="s">
        <v>2630</v>
      </c>
      <c r="AM192" s="56" t="s">
        <v>2631</v>
      </c>
      <c r="AN192" s="56" t="s">
        <v>2632</v>
      </c>
      <c r="AO192" s="56" t="s">
        <v>2627</v>
      </c>
      <c r="AP192" s="56" t="s">
        <v>2624</v>
      </c>
      <c r="AQ192" s="123">
        <v>3.4722222222222099E-3</v>
      </c>
      <c r="AR192" s="122">
        <v>-1.388888888888884E-3</v>
      </c>
      <c r="AS192" s="56" t="s">
        <v>1048</v>
      </c>
      <c r="AT192" s="56" t="s">
        <v>1049</v>
      </c>
      <c r="AU192" s="56" t="s">
        <v>1050</v>
      </c>
      <c r="AV192" s="56">
        <v>37</v>
      </c>
      <c r="AW192" s="56" t="s">
        <v>1051</v>
      </c>
      <c r="AX192" s="56" t="s">
        <v>1412</v>
      </c>
      <c r="AY192" s="56" t="s">
        <v>1124</v>
      </c>
      <c r="AZ192" s="56" t="s">
        <v>1054</v>
      </c>
      <c r="BA192" s="56" t="s">
        <v>1413</v>
      </c>
      <c r="BB192" s="56" t="s">
        <v>1414</v>
      </c>
      <c r="BC192" s="56" t="s">
        <v>1157</v>
      </c>
      <c r="BD192" s="56" t="s">
        <v>3126</v>
      </c>
    </row>
    <row r="193" spans="1:56" x14ac:dyDescent="0.2">
      <c r="A193" s="56">
        <v>176784478</v>
      </c>
      <c r="B193" s="56" t="s">
        <v>1638</v>
      </c>
      <c r="C193" s="56" t="s">
        <v>2623</v>
      </c>
      <c r="D193" s="56" t="s">
        <v>1063</v>
      </c>
      <c r="E193" s="56" t="s">
        <v>1044</v>
      </c>
      <c r="F193" s="56">
        <v>427</v>
      </c>
      <c r="G193" s="56"/>
      <c r="H193" s="56">
        <v>17360</v>
      </c>
      <c r="I193" s="56">
        <v>6</v>
      </c>
      <c r="J193" s="56" t="s">
        <v>1045</v>
      </c>
      <c r="K193" s="56" t="s">
        <v>1064</v>
      </c>
      <c r="L193" s="121">
        <v>46271</v>
      </c>
      <c r="M193" s="122">
        <v>0.86111111111111116</v>
      </c>
      <c r="N193" s="122">
        <v>0.8666666666666667</v>
      </c>
      <c r="O193" s="56" t="s">
        <v>1047</v>
      </c>
      <c r="P193" s="121">
        <v>46271</v>
      </c>
      <c r="Q193" s="122">
        <v>0.93402777777777779</v>
      </c>
      <c r="R193" s="122">
        <v>0.93888888888888888</v>
      </c>
      <c r="S193" s="56" t="s">
        <v>1047</v>
      </c>
      <c r="T193" s="56">
        <v>1</v>
      </c>
      <c r="U193" s="56">
        <v>53</v>
      </c>
      <c r="V193" s="56">
        <v>58.95</v>
      </c>
      <c r="W193" s="56">
        <v>59.16</v>
      </c>
      <c r="X193" s="56" t="s">
        <v>2624</v>
      </c>
      <c r="Y193" s="56" t="s">
        <v>2624</v>
      </c>
      <c r="Z193" s="56" t="s">
        <v>2624</v>
      </c>
      <c r="AA193" s="56" t="s">
        <v>763</v>
      </c>
      <c r="AB193" s="56">
        <v>14117400</v>
      </c>
      <c r="AC193" s="56" t="s">
        <v>763</v>
      </c>
      <c r="AD193" s="56">
        <v>14117400</v>
      </c>
      <c r="AE193" s="56" t="s">
        <v>2626</v>
      </c>
      <c r="AF193" s="56" t="s">
        <v>2627</v>
      </c>
      <c r="AG193" s="56" t="s">
        <v>2627</v>
      </c>
      <c r="AH193" s="56">
        <v>37</v>
      </c>
      <c r="AI193" s="56" t="s">
        <v>2628</v>
      </c>
      <c r="AJ193" s="56" t="s">
        <v>2640</v>
      </c>
      <c r="AK193" s="56">
        <v>0</v>
      </c>
      <c r="AL193" s="56" t="s">
        <v>2630</v>
      </c>
      <c r="AM193" s="56" t="s">
        <v>2631</v>
      </c>
      <c r="AN193" s="56" t="s">
        <v>2632</v>
      </c>
      <c r="AO193" s="56" t="s">
        <v>2627</v>
      </c>
      <c r="AP193" s="56" t="s">
        <v>2624</v>
      </c>
      <c r="AQ193" s="123">
        <v>5.5555555555555358E-3</v>
      </c>
      <c r="AR193" s="122">
        <v>4.8611111111110938E-3</v>
      </c>
      <c r="AS193" s="56" t="s">
        <v>1048</v>
      </c>
      <c r="AT193" s="56" t="s">
        <v>1059</v>
      </c>
      <c r="AU193" s="56" t="s">
        <v>1060</v>
      </c>
      <c r="AV193" s="56">
        <v>37</v>
      </c>
      <c r="AW193" s="56" t="s">
        <v>1051</v>
      </c>
      <c r="AX193" s="56" t="s">
        <v>1065</v>
      </c>
      <c r="AY193" s="56" t="s">
        <v>1066</v>
      </c>
      <c r="AZ193" s="56" t="s">
        <v>1067</v>
      </c>
      <c r="BA193" s="56" t="s">
        <v>1068</v>
      </c>
      <c r="BB193" s="56" t="s">
        <v>1069</v>
      </c>
      <c r="BC193" s="56" t="s">
        <v>1157</v>
      </c>
      <c r="BD193" s="56" t="s">
        <v>1639</v>
      </c>
    </row>
    <row r="194" spans="1:56" x14ac:dyDescent="0.2">
      <c r="A194" s="56">
        <v>176787658</v>
      </c>
      <c r="B194" s="56" t="s">
        <v>3127</v>
      </c>
      <c r="C194" s="56" t="s">
        <v>2623</v>
      </c>
      <c r="D194" s="56" t="s">
        <v>3128</v>
      </c>
      <c r="E194" s="56" t="s">
        <v>1044</v>
      </c>
      <c r="F194" s="56">
        <v>236</v>
      </c>
      <c r="G194" s="56"/>
      <c r="H194" s="56">
        <v>16782</v>
      </c>
      <c r="I194" s="56">
        <v>6</v>
      </c>
      <c r="J194" s="56" t="s">
        <v>1045</v>
      </c>
      <c r="K194" s="56" t="s">
        <v>1079</v>
      </c>
      <c r="L194" s="121">
        <v>46271</v>
      </c>
      <c r="M194" s="122">
        <v>0.8666666666666667</v>
      </c>
      <c r="N194" s="122">
        <v>0.87430555555555556</v>
      </c>
      <c r="O194" s="56" t="s">
        <v>1047</v>
      </c>
      <c r="P194" s="121">
        <v>46271</v>
      </c>
      <c r="Q194" s="122">
        <v>0.93402777777777779</v>
      </c>
      <c r="R194" s="122">
        <v>0.9243055555555556</v>
      </c>
      <c r="S194" s="56" t="s">
        <v>1047</v>
      </c>
      <c r="T194" s="56">
        <v>1</v>
      </c>
      <c r="U194" s="56">
        <v>42</v>
      </c>
      <c r="V194" s="56">
        <v>38.86</v>
      </c>
      <c r="W194" s="56">
        <v>39.869999999999997</v>
      </c>
      <c r="X194" s="56" t="s">
        <v>2624</v>
      </c>
      <c r="Y194" s="56" t="s">
        <v>2624</v>
      </c>
      <c r="Z194" s="56" t="s">
        <v>2624</v>
      </c>
      <c r="AA194" s="56" t="s">
        <v>265</v>
      </c>
      <c r="AB194" s="56">
        <v>14119837</v>
      </c>
      <c r="AC194" s="56" t="s">
        <v>265</v>
      </c>
      <c r="AD194" s="56">
        <v>14119837</v>
      </c>
      <c r="AE194" s="56" t="s">
        <v>2626</v>
      </c>
      <c r="AF194" s="56" t="s">
        <v>2627</v>
      </c>
      <c r="AG194" s="56" t="s">
        <v>2627</v>
      </c>
      <c r="AH194" s="56">
        <v>37</v>
      </c>
      <c r="AI194" s="56" t="s">
        <v>2628</v>
      </c>
      <c r="AJ194" s="56" t="s">
        <v>2629</v>
      </c>
      <c r="AK194" s="56">
        <v>0</v>
      </c>
      <c r="AL194" s="56" t="s">
        <v>2630</v>
      </c>
      <c r="AM194" s="56" t="s">
        <v>2631</v>
      </c>
      <c r="AN194" s="56" t="s">
        <v>2632</v>
      </c>
      <c r="AO194" s="56" t="s">
        <v>2627</v>
      </c>
      <c r="AP194" s="56" t="s">
        <v>2624</v>
      </c>
      <c r="AQ194" s="123">
        <v>7.6388888888888618E-3</v>
      </c>
      <c r="AR194" s="122">
        <v>-9.7222222222221877E-3</v>
      </c>
      <c r="AS194" s="56" t="s">
        <v>1048</v>
      </c>
      <c r="AT194" s="56" t="s">
        <v>1049</v>
      </c>
      <c r="AU194" s="56" t="s">
        <v>1050</v>
      </c>
      <c r="AV194" s="56">
        <v>37</v>
      </c>
      <c r="AW194" s="56" t="s">
        <v>1051</v>
      </c>
      <c r="AX194" s="56" t="s">
        <v>3129</v>
      </c>
      <c r="AY194" s="56" t="s">
        <v>1081</v>
      </c>
      <c r="AZ194" s="56" t="s">
        <v>1067</v>
      </c>
      <c r="BA194" s="56" t="s">
        <v>3130</v>
      </c>
      <c r="BB194" s="56" t="s">
        <v>3131</v>
      </c>
      <c r="BC194" s="56" t="s">
        <v>1157</v>
      </c>
      <c r="BD194" s="56" t="s">
        <v>3132</v>
      </c>
    </row>
    <row r="195" spans="1:56" x14ac:dyDescent="0.2">
      <c r="A195" s="56">
        <v>176780431</v>
      </c>
      <c r="B195" s="56" t="s">
        <v>1699</v>
      </c>
      <c r="C195" s="56" t="s">
        <v>2623</v>
      </c>
      <c r="D195" s="56" t="s">
        <v>1700</v>
      </c>
      <c r="E195" s="56" t="s">
        <v>1044</v>
      </c>
      <c r="F195" s="56">
        <v>3</v>
      </c>
      <c r="G195" s="56"/>
      <c r="H195" s="56">
        <v>6384</v>
      </c>
      <c r="I195" s="56">
        <v>6</v>
      </c>
      <c r="J195" s="56" t="s">
        <v>1045</v>
      </c>
      <c r="K195" s="56" t="s">
        <v>1628</v>
      </c>
      <c r="L195" s="121">
        <v>46271</v>
      </c>
      <c r="M195" s="122">
        <v>0.87847222222222221</v>
      </c>
      <c r="N195" s="122">
        <v>0.8930555555555556</v>
      </c>
      <c r="O195" s="56" t="s">
        <v>1047</v>
      </c>
      <c r="P195" s="121">
        <v>46271</v>
      </c>
      <c r="Q195" s="122">
        <v>0.90972222222222221</v>
      </c>
      <c r="R195" s="122">
        <v>0.92152777777777772</v>
      </c>
      <c r="S195" s="56" t="s">
        <v>1047</v>
      </c>
      <c r="T195" s="56">
        <v>1</v>
      </c>
      <c r="U195" s="56">
        <v>21</v>
      </c>
      <c r="V195" s="56">
        <v>21.98</v>
      </c>
      <c r="W195" s="56">
        <v>16.329999999999998</v>
      </c>
      <c r="X195" s="56" t="s">
        <v>2624</v>
      </c>
      <c r="Y195" s="56" t="s">
        <v>2624</v>
      </c>
      <c r="Z195" s="56" t="s">
        <v>2624</v>
      </c>
      <c r="AA195" s="56" t="s">
        <v>459</v>
      </c>
      <c r="AB195" s="56">
        <v>14122871</v>
      </c>
      <c r="AC195" s="56" t="s">
        <v>459</v>
      </c>
      <c r="AD195" s="56">
        <v>14122871</v>
      </c>
      <c r="AE195" s="56" t="s">
        <v>2626</v>
      </c>
      <c r="AF195" s="56" t="s">
        <v>2627</v>
      </c>
      <c r="AG195" s="56" t="s">
        <v>2627</v>
      </c>
      <c r="AH195" s="56">
        <v>37</v>
      </c>
      <c r="AI195" s="56" t="s">
        <v>2628</v>
      </c>
      <c r="AJ195" s="56" t="s">
        <v>2640</v>
      </c>
      <c r="AK195" s="56">
        <v>527.79999999999995</v>
      </c>
      <c r="AL195" s="56" t="s">
        <v>2630</v>
      </c>
      <c r="AM195" s="56" t="s">
        <v>2631</v>
      </c>
      <c r="AN195" s="56" t="s">
        <v>2632</v>
      </c>
      <c r="AO195" s="56" t="s">
        <v>2627</v>
      </c>
      <c r="AP195" s="56" t="s">
        <v>2624</v>
      </c>
      <c r="AQ195" s="123">
        <v>1.4583333333333393E-2</v>
      </c>
      <c r="AR195" s="122">
        <v>1.1805555555555514E-2</v>
      </c>
      <c r="AS195" s="56" t="s">
        <v>1048</v>
      </c>
      <c r="AT195" s="56" t="s">
        <v>1059</v>
      </c>
      <c r="AU195" s="56" t="s">
        <v>1060</v>
      </c>
      <c r="AV195" s="56">
        <v>37</v>
      </c>
      <c r="AW195" s="56" t="s">
        <v>1051</v>
      </c>
      <c r="AX195" s="56" t="s">
        <v>1701</v>
      </c>
      <c r="AY195" s="56" t="s">
        <v>1140</v>
      </c>
      <c r="AZ195" s="56" t="s">
        <v>1062</v>
      </c>
      <c r="BA195" s="56" t="s">
        <v>1702</v>
      </c>
      <c r="BB195" s="56" t="s">
        <v>1703</v>
      </c>
      <c r="BC195" s="56" t="s">
        <v>1157</v>
      </c>
      <c r="BD195" s="56" t="s">
        <v>1704</v>
      </c>
    </row>
    <row r="196" spans="1:56" x14ac:dyDescent="0.2">
      <c r="A196" s="56">
        <v>176787115</v>
      </c>
      <c r="B196" s="56" t="s">
        <v>1491</v>
      </c>
      <c r="C196" s="56" t="s">
        <v>2623</v>
      </c>
      <c r="D196" s="56" t="s">
        <v>1492</v>
      </c>
      <c r="E196" s="56" t="s">
        <v>1044</v>
      </c>
      <c r="F196" s="56">
        <v>82</v>
      </c>
      <c r="G196" s="56"/>
      <c r="H196" s="56">
        <v>16785</v>
      </c>
      <c r="I196" s="56">
        <v>6</v>
      </c>
      <c r="J196" s="56" t="s">
        <v>1045</v>
      </c>
      <c r="K196" s="56" t="s">
        <v>1091</v>
      </c>
      <c r="L196" s="121">
        <v>46271</v>
      </c>
      <c r="M196" s="122">
        <v>0.88402777777777775</v>
      </c>
      <c r="N196" s="122">
        <v>0.8881944444444444</v>
      </c>
      <c r="O196" s="56" t="s">
        <v>1047</v>
      </c>
      <c r="P196" s="121">
        <v>46271</v>
      </c>
      <c r="Q196" s="122">
        <v>0.93402777777777779</v>
      </c>
      <c r="R196" s="122">
        <v>0.93125000000000002</v>
      </c>
      <c r="S196" s="56" t="s">
        <v>1047</v>
      </c>
      <c r="T196" s="56">
        <v>1</v>
      </c>
      <c r="U196" s="56">
        <v>22</v>
      </c>
      <c r="V196" s="56">
        <v>17.809999999999999</v>
      </c>
      <c r="W196" s="56">
        <v>19.14</v>
      </c>
      <c r="X196" s="56" t="s">
        <v>2624</v>
      </c>
      <c r="Y196" s="56" t="s">
        <v>2624</v>
      </c>
      <c r="Z196" s="56" t="s">
        <v>2624</v>
      </c>
      <c r="AA196" s="56" t="s">
        <v>1099</v>
      </c>
      <c r="AB196" s="56">
        <v>14116431</v>
      </c>
      <c r="AC196" s="56" t="s">
        <v>1099</v>
      </c>
      <c r="AD196" s="56">
        <v>14116431</v>
      </c>
      <c r="AE196" s="56" t="s">
        <v>2626</v>
      </c>
      <c r="AF196" s="56" t="s">
        <v>2627</v>
      </c>
      <c r="AG196" s="56" t="s">
        <v>2627</v>
      </c>
      <c r="AH196" s="56">
        <v>37</v>
      </c>
      <c r="AI196" s="56" t="s">
        <v>2628</v>
      </c>
      <c r="AJ196" s="56" t="s">
        <v>2629</v>
      </c>
      <c r="AK196" s="56">
        <v>0</v>
      </c>
      <c r="AL196" s="56" t="s">
        <v>2630</v>
      </c>
      <c r="AM196" s="56" t="s">
        <v>2631</v>
      </c>
      <c r="AN196" s="56" t="s">
        <v>2632</v>
      </c>
      <c r="AO196" s="56" t="s">
        <v>2627</v>
      </c>
      <c r="AP196" s="56" t="s">
        <v>2624</v>
      </c>
      <c r="AQ196" s="123">
        <v>4.1666666666666519E-3</v>
      </c>
      <c r="AR196" s="122">
        <v>-2.7777777777777679E-3</v>
      </c>
      <c r="AS196" s="56" t="s">
        <v>1048</v>
      </c>
      <c r="AT196" s="56" t="s">
        <v>1049</v>
      </c>
      <c r="AU196" s="56" t="s">
        <v>1050</v>
      </c>
      <c r="AV196" s="56">
        <v>37</v>
      </c>
      <c r="AW196" s="56" t="s">
        <v>1051</v>
      </c>
      <c r="AX196" s="56" t="s">
        <v>1493</v>
      </c>
      <c r="AY196" s="56" t="s">
        <v>1093</v>
      </c>
      <c r="AZ196" s="56" t="s">
        <v>1067</v>
      </c>
      <c r="BA196" s="56" t="s">
        <v>1494</v>
      </c>
      <c r="BB196" s="56" t="s">
        <v>1495</v>
      </c>
      <c r="BC196" s="56" t="s">
        <v>1157</v>
      </c>
      <c r="BD196" s="56" t="s">
        <v>1496</v>
      </c>
    </row>
    <row r="197" spans="1:56" x14ac:dyDescent="0.2">
      <c r="A197" s="56">
        <v>176784532</v>
      </c>
      <c r="B197" s="56" t="s">
        <v>3133</v>
      </c>
      <c r="C197" s="56" t="s">
        <v>2623</v>
      </c>
      <c r="D197" s="56" t="s">
        <v>3086</v>
      </c>
      <c r="E197" s="56" t="s">
        <v>1044</v>
      </c>
      <c r="F197" s="56">
        <v>115</v>
      </c>
      <c r="G197" s="56"/>
      <c r="H197" s="56">
        <v>6249</v>
      </c>
      <c r="I197" s="56">
        <v>7</v>
      </c>
      <c r="J197" s="56" t="s">
        <v>1045</v>
      </c>
      <c r="K197" s="56" t="s">
        <v>1212</v>
      </c>
      <c r="L197" s="121">
        <v>46271</v>
      </c>
      <c r="M197" s="122">
        <v>0.89236111111111116</v>
      </c>
      <c r="N197" s="122">
        <v>0.95</v>
      </c>
      <c r="O197" s="56" t="s">
        <v>1047</v>
      </c>
      <c r="P197" s="121">
        <v>46271</v>
      </c>
      <c r="Q197" s="122">
        <v>0.93055555555555558</v>
      </c>
      <c r="R197" s="122">
        <v>0.99097222222222225</v>
      </c>
      <c r="S197" s="56" t="s">
        <v>1163</v>
      </c>
      <c r="T197" s="56">
        <v>0</v>
      </c>
      <c r="U197" s="56">
        <v>17.7</v>
      </c>
      <c r="V197" s="56">
        <v>17.559999999999999</v>
      </c>
      <c r="W197" s="56" t="s">
        <v>2624</v>
      </c>
      <c r="X197" s="56" t="s">
        <v>2624</v>
      </c>
      <c r="Y197" s="56" t="s">
        <v>2624</v>
      </c>
      <c r="Z197" s="56" t="s">
        <v>2624</v>
      </c>
      <c r="AA197" s="56" t="s">
        <v>45</v>
      </c>
      <c r="AB197" s="56">
        <v>14105437</v>
      </c>
      <c r="AC197" s="56" t="s">
        <v>45</v>
      </c>
      <c r="AD197" s="56">
        <v>14105437</v>
      </c>
      <c r="AE197" s="56" t="s">
        <v>2626</v>
      </c>
      <c r="AF197" s="56" t="s">
        <v>2627</v>
      </c>
      <c r="AG197" s="56" t="s">
        <v>2627</v>
      </c>
      <c r="AH197" s="56">
        <v>37</v>
      </c>
      <c r="AI197" s="56" t="s">
        <v>2880</v>
      </c>
      <c r="AJ197" s="56" t="s">
        <v>2640</v>
      </c>
      <c r="AK197" s="56">
        <v>0</v>
      </c>
      <c r="AL197" s="56" t="s">
        <v>2630</v>
      </c>
      <c r="AM197" s="56" t="s">
        <v>2631</v>
      </c>
      <c r="AN197" s="56" t="s">
        <v>2632</v>
      </c>
      <c r="AO197" s="56" t="s">
        <v>2627</v>
      </c>
      <c r="AP197" s="56">
        <v>2</v>
      </c>
      <c r="AQ197" s="123">
        <v>5.7638888888888795E-2</v>
      </c>
      <c r="AR197" s="122">
        <v>6.0416666666666674E-2</v>
      </c>
      <c r="AS197" s="56" t="s">
        <v>1048</v>
      </c>
      <c r="AT197" s="56" t="s">
        <v>1059</v>
      </c>
      <c r="AU197" s="56" t="s">
        <v>1060</v>
      </c>
      <c r="AV197" s="56">
        <v>37</v>
      </c>
      <c r="AW197" s="56" t="s">
        <v>1051</v>
      </c>
      <c r="AX197" s="56" t="s">
        <v>3087</v>
      </c>
      <c r="AY197" s="56" t="s">
        <v>1164</v>
      </c>
      <c r="AZ197" s="56" t="s">
        <v>1062</v>
      </c>
      <c r="BA197" s="56" t="s">
        <v>3088</v>
      </c>
      <c r="BB197" s="56" t="s">
        <v>3134</v>
      </c>
      <c r="BC197" s="56" t="s">
        <v>1157</v>
      </c>
      <c r="BD197" s="56" t="s">
        <v>3135</v>
      </c>
    </row>
    <row r="198" spans="1:56" x14ac:dyDescent="0.2">
      <c r="A198" s="56">
        <v>176837700</v>
      </c>
      <c r="B198" s="56" t="s">
        <v>3136</v>
      </c>
      <c r="C198" s="56" t="s">
        <v>2623</v>
      </c>
      <c r="D198" s="56" t="s">
        <v>1180</v>
      </c>
      <c r="E198" s="56" t="s">
        <v>1044</v>
      </c>
      <c r="F198" s="56">
        <v>7</v>
      </c>
      <c r="G198" s="56"/>
      <c r="H198" s="56">
        <v>4393</v>
      </c>
      <c r="I198" s="56">
        <v>6</v>
      </c>
      <c r="J198" s="56" t="s">
        <v>1045</v>
      </c>
      <c r="K198" s="56" t="s">
        <v>2682</v>
      </c>
      <c r="L198" s="121">
        <v>46271</v>
      </c>
      <c r="M198" s="122">
        <v>0.89583333333333337</v>
      </c>
      <c r="N198" s="122">
        <v>0.89930555555555558</v>
      </c>
      <c r="O198" s="56" t="s">
        <v>1047</v>
      </c>
      <c r="P198" s="121">
        <v>46271</v>
      </c>
      <c r="Q198" s="122">
        <v>0.92708333333333337</v>
      </c>
      <c r="R198" s="122">
        <v>0.92986111111111114</v>
      </c>
      <c r="S198" s="56" t="s">
        <v>1047</v>
      </c>
      <c r="T198" s="56">
        <v>1</v>
      </c>
      <c r="U198" s="56">
        <v>21</v>
      </c>
      <c r="V198" s="56">
        <v>17.559999999999999</v>
      </c>
      <c r="W198" s="56">
        <v>17.97</v>
      </c>
      <c r="X198" s="56" t="s">
        <v>2624</v>
      </c>
      <c r="Y198" s="56" t="s">
        <v>2624</v>
      </c>
      <c r="Z198" s="56" t="s">
        <v>2624</v>
      </c>
      <c r="AA198" s="56" t="s">
        <v>910</v>
      </c>
      <c r="AB198" s="56">
        <v>14123652</v>
      </c>
      <c r="AC198" s="56" t="s">
        <v>910</v>
      </c>
      <c r="AD198" s="56">
        <v>14123652</v>
      </c>
      <c r="AE198" s="56" t="s">
        <v>3137</v>
      </c>
      <c r="AF198" s="124">
        <v>46271.873622685183</v>
      </c>
      <c r="AG198" s="56" t="s">
        <v>3096</v>
      </c>
      <c r="AH198" s="56">
        <v>37</v>
      </c>
      <c r="AI198" s="56" t="s">
        <v>2628</v>
      </c>
      <c r="AJ198" s="56" t="s">
        <v>2640</v>
      </c>
      <c r="AK198" s="56">
        <v>0</v>
      </c>
      <c r="AL198" s="56" t="s">
        <v>2630</v>
      </c>
      <c r="AM198" s="56" t="s">
        <v>2631</v>
      </c>
      <c r="AN198" s="56" t="s">
        <v>2632</v>
      </c>
      <c r="AO198" s="124">
        <v>46271.873622685183</v>
      </c>
      <c r="AP198" s="56" t="s">
        <v>2624</v>
      </c>
      <c r="AQ198" s="123">
        <v>3.4722222222222099E-3</v>
      </c>
      <c r="AR198" s="122">
        <v>2.7777777777777679E-3</v>
      </c>
      <c r="AS198" s="56" t="s">
        <v>1048</v>
      </c>
      <c r="AT198" s="56" t="s">
        <v>1049</v>
      </c>
      <c r="AU198" s="56" t="s">
        <v>1050</v>
      </c>
      <c r="AV198" s="56">
        <v>37</v>
      </c>
      <c r="AW198" s="56" t="s">
        <v>1051</v>
      </c>
      <c r="AX198" s="56" t="s">
        <v>2683</v>
      </c>
      <c r="AY198" s="56" t="s">
        <v>1140</v>
      </c>
      <c r="AZ198" s="56" t="s">
        <v>1062</v>
      </c>
      <c r="BA198" s="56" t="s">
        <v>2684</v>
      </c>
      <c r="BB198" s="56" t="e">
        <v>#N/A</v>
      </c>
      <c r="BC198" s="56" t="s">
        <v>1157</v>
      </c>
      <c r="BD198" s="56" t="s">
        <v>3138</v>
      </c>
    </row>
    <row r="199" spans="1:56" x14ac:dyDescent="0.2">
      <c r="A199" s="56">
        <v>176837597</v>
      </c>
      <c r="B199" s="56" t="s">
        <v>3139</v>
      </c>
      <c r="C199" s="56" t="s">
        <v>2623</v>
      </c>
      <c r="D199" s="56" t="s">
        <v>3140</v>
      </c>
      <c r="E199" s="56" t="s">
        <v>1044</v>
      </c>
      <c r="F199" s="56">
        <v>86</v>
      </c>
      <c r="G199" s="56"/>
      <c r="H199" s="56">
        <v>17345</v>
      </c>
      <c r="I199" s="56">
        <v>6</v>
      </c>
      <c r="J199" s="56" t="s">
        <v>1045</v>
      </c>
      <c r="K199" s="56" t="s">
        <v>1079</v>
      </c>
      <c r="L199" s="121">
        <v>46271</v>
      </c>
      <c r="M199" s="122">
        <v>0.90277777777777779</v>
      </c>
      <c r="N199" s="122">
        <v>0.90763888888888888</v>
      </c>
      <c r="O199" s="56" t="s">
        <v>1047</v>
      </c>
      <c r="P199" s="121">
        <v>46271</v>
      </c>
      <c r="Q199" s="122">
        <v>0.93402777777777779</v>
      </c>
      <c r="R199" s="122">
        <v>0.93055555555555558</v>
      </c>
      <c r="S199" s="56" t="s">
        <v>1047</v>
      </c>
      <c r="T199" s="56">
        <v>1</v>
      </c>
      <c r="U199" s="56">
        <v>16</v>
      </c>
      <c r="V199" s="56">
        <v>-3821.58</v>
      </c>
      <c r="W199" s="56">
        <v>14.88</v>
      </c>
      <c r="X199" s="56" t="s">
        <v>2624</v>
      </c>
      <c r="Y199" s="56" t="s">
        <v>2624</v>
      </c>
      <c r="Z199" s="56" t="s">
        <v>2624</v>
      </c>
      <c r="AA199" s="56" t="s">
        <v>258</v>
      </c>
      <c r="AB199" s="56">
        <v>14119751</v>
      </c>
      <c r="AC199" s="56" t="s">
        <v>258</v>
      </c>
      <c r="AD199" s="56">
        <v>14119751</v>
      </c>
      <c r="AE199" s="56" t="s">
        <v>3141</v>
      </c>
      <c r="AF199" s="124">
        <v>46271.842453703706</v>
      </c>
      <c r="AG199" s="56" t="s">
        <v>3096</v>
      </c>
      <c r="AH199" s="56">
        <v>37</v>
      </c>
      <c r="AI199" s="56" t="s">
        <v>2628</v>
      </c>
      <c r="AJ199" s="56" t="s">
        <v>2629</v>
      </c>
      <c r="AK199" s="56">
        <v>0</v>
      </c>
      <c r="AL199" s="56" t="s">
        <v>2630</v>
      </c>
      <c r="AM199" s="56" t="s">
        <v>2631</v>
      </c>
      <c r="AN199" s="56" t="s">
        <v>2632</v>
      </c>
      <c r="AO199" s="124">
        <v>46271.842453703706</v>
      </c>
      <c r="AP199" s="56" t="s">
        <v>2624</v>
      </c>
      <c r="AQ199" s="123">
        <v>4.8611111111110938E-3</v>
      </c>
      <c r="AR199" s="122">
        <v>-3.4722222222222099E-3</v>
      </c>
      <c r="AS199" s="56" t="s">
        <v>1048</v>
      </c>
      <c r="AT199" s="56" t="s">
        <v>1049</v>
      </c>
      <c r="AU199" s="56" t="s">
        <v>1050</v>
      </c>
      <c r="AV199" s="56">
        <v>37</v>
      </c>
      <c r="AW199" s="56" t="s">
        <v>1051</v>
      </c>
      <c r="AX199" s="56" t="s">
        <v>3142</v>
      </c>
      <c r="AY199" s="56" t="s">
        <v>1081</v>
      </c>
      <c r="AZ199" s="56" t="s">
        <v>1067</v>
      </c>
      <c r="BA199" s="56" t="s">
        <v>3143</v>
      </c>
      <c r="BB199" s="56" t="s">
        <v>3144</v>
      </c>
      <c r="BC199" s="56" t="s">
        <v>1157</v>
      </c>
      <c r="BD199" s="56" t="s">
        <v>3145</v>
      </c>
    </row>
    <row r="200" spans="1:56" x14ac:dyDescent="0.2">
      <c r="A200" s="56">
        <v>176759587</v>
      </c>
      <c r="B200" s="56" t="s">
        <v>3146</v>
      </c>
      <c r="C200" s="56" t="s">
        <v>2623</v>
      </c>
      <c r="D200" s="56" t="s">
        <v>3147</v>
      </c>
      <c r="E200" s="56" t="s">
        <v>1044</v>
      </c>
      <c r="F200" s="56">
        <v>38</v>
      </c>
      <c r="G200" s="56"/>
      <c r="H200" s="56">
        <v>15341</v>
      </c>
      <c r="I200" s="56">
        <v>6</v>
      </c>
      <c r="J200" s="56" t="s">
        <v>1045</v>
      </c>
      <c r="K200" s="56" t="s">
        <v>1046</v>
      </c>
      <c r="L200" s="121">
        <v>46270</v>
      </c>
      <c r="M200" s="122">
        <v>0.18055555555555555</v>
      </c>
      <c r="N200" s="122">
        <v>0.18402777777777779</v>
      </c>
      <c r="O200" s="56" t="s">
        <v>1047</v>
      </c>
      <c r="P200" s="121">
        <v>46270</v>
      </c>
      <c r="Q200" s="122">
        <v>0.26041666666666669</v>
      </c>
      <c r="R200" s="122">
        <v>0.25907407407407407</v>
      </c>
      <c r="S200" s="56" t="s">
        <v>1047</v>
      </c>
      <c r="T200" s="56">
        <v>1</v>
      </c>
      <c r="U200" s="56">
        <v>90</v>
      </c>
      <c r="V200" s="56">
        <v>90.06</v>
      </c>
      <c r="W200" s="56">
        <v>89.73</v>
      </c>
      <c r="X200" s="56" t="s">
        <v>2624</v>
      </c>
      <c r="Y200" s="56" t="s">
        <v>2624</v>
      </c>
      <c r="Z200" s="56" t="s">
        <v>2624</v>
      </c>
      <c r="AA200" s="56" t="s">
        <v>170</v>
      </c>
      <c r="AB200" s="56">
        <v>14116723</v>
      </c>
      <c r="AC200" s="56" t="s">
        <v>170</v>
      </c>
      <c r="AD200" s="56">
        <v>14116723</v>
      </c>
      <c r="AE200" s="56" t="s">
        <v>2626</v>
      </c>
      <c r="AF200" s="56" t="s">
        <v>2627</v>
      </c>
      <c r="AG200" s="56" t="s">
        <v>2627</v>
      </c>
      <c r="AH200" s="56">
        <v>36</v>
      </c>
      <c r="AI200" s="56" t="s">
        <v>2628</v>
      </c>
      <c r="AJ200" s="56" t="s">
        <v>2629</v>
      </c>
      <c r="AK200" s="56">
        <v>0</v>
      </c>
      <c r="AL200" s="56" t="s">
        <v>2630</v>
      </c>
      <c r="AM200" s="56" t="s">
        <v>2631</v>
      </c>
      <c r="AN200" s="56" t="s">
        <v>2632</v>
      </c>
      <c r="AO200" s="56" t="s">
        <v>2627</v>
      </c>
      <c r="AP200" s="56" t="s">
        <v>2624</v>
      </c>
      <c r="AQ200" s="123">
        <v>3.4722222222222376E-3</v>
      </c>
      <c r="AR200" s="122">
        <v>-1.3425925925926174E-3</v>
      </c>
      <c r="AS200" s="56" t="s">
        <v>1048</v>
      </c>
      <c r="AT200" s="56" t="s">
        <v>1049</v>
      </c>
      <c r="AU200" s="56" t="s">
        <v>1050</v>
      </c>
      <c r="AV200" s="56">
        <v>36</v>
      </c>
      <c r="AW200" s="56" t="s">
        <v>1051</v>
      </c>
      <c r="AX200" s="56" t="s">
        <v>3148</v>
      </c>
      <c r="AY200" s="56" t="s">
        <v>1053</v>
      </c>
      <c r="AZ200" s="56" t="s">
        <v>1054</v>
      </c>
      <c r="BA200" s="56" t="s">
        <v>3149</v>
      </c>
      <c r="BB200" s="56" t="s">
        <v>3150</v>
      </c>
      <c r="BC200" s="56" t="s">
        <v>1057</v>
      </c>
      <c r="BD200" s="56" t="s">
        <v>3151</v>
      </c>
    </row>
    <row r="201" spans="1:56" x14ac:dyDescent="0.2">
      <c r="A201" s="56">
        <v>176749920</v>
      </c>
      <c r="B201" s="56" t="s">
        <v>3152</v>
      </c>
      <c r="C201" s="56" t="s">
        <v>2623</v>
      </c>
      <c r="D201" s="56" t="s">
        <v>1180</v>
      </c>
      <c r="E201" s="56" t="s">
        <v>1044</v>
      </c>
      <c r="F201" s="56">
        <v>1</v>
      </c>
      <c r="G201" s="56"/>
      <c r="H201" s="56">
        <v>5351</v>
      </c>
      <c r="I201" s="56">
        <v>6</v>
      </c>
      <c r="J201" s="56" t="s">
        <v>1045</v>
      </c>
      <c r="K201" s="56" t="s">
        <v>1181</v>
      </c>
      <c r="L201" s="121">
        <v>46270</v>
      </c>
      <c r="M201" s="122">
        <v>0.2013888888888889</v>
      </c>
      <c r="N201" s="122">
        <v>0.2048611111111111</v>
      </c>
      <c r="O201" s="56" t="s">
        <v>1047</v>
      </c>
      <c r="P201" s="121">
        <v>46270</v>
      </c>
      <c r="Q201" s="122">
        <v>0.24652777777777779</v>
      </c>
      <c r="R201" s="122">
        <v>0.24687500000000001</v>
      </c>
      <c r="S201" s="56" t="s">
        <v>1047</v>
      </c>
      <c r="T201" s="56">
        <v>1</v>
      </c>
      <c r="U201" s="56">
        <v>26</v>
      </c>
      <c r="V201" s="56">
        <v>21.1</v>
      </c>
      <c r="W201" s="56">
        <v>21.21</v>
      </c>
      <c r="X201" s="56" t="s">
        <v>2624</v>
      </c>
      <c r="Y201" s="56" t="s">
        <v>2624</v>
      </c>
      <c r="Z201" s="56" t="s">
        <v>2624</v>
      </c>
      <c r="AA201" s="56" t="s">
        <v>429</v>
      </c>
      <c r="AB201" s="56">
        <v>14122495</v>
      </c>
      <c r="AC201" s="56" t="s">
        <v>429</v>
      </c>
      <c r="AD201" s="56">
        <v>14122495</v>
      </c>
      <c r="AE201" s="56" t="s">
        <v>2626</v>
      </c>
      <c r="AF201" s="56" t="s">
        <v>2627</v>
      </c>
      <c r="AG201" s="56" t="s">
        <v>2627</v>
      </c>
      <c r="AH201" s="56">
        <v>36</v>
      </c>
      <c r="AI201" s="56" t="s">
        <v>2628</v>
      </c>
      <c r="AJ201" s="56" t="s">
        <v>2629</v>
      </c>
      <c r="AK201" s="56">
        <v>522.74</v>
      </c>
      <c r="AL201" s="56" t="s">
        <v>2630</v>
      </c>
      <c r="AM201" s="56" t="s">
        <v>2631</v>
      </c>
      <c r="AN201" s="56" t="s">
        <v>2632</v>
      </c>
      <c r="AO201" s="56" t="s">
        <v>2627</v>
      </c>
      <c r="AP201" s="56" t="s">
        <v>2624</v>
      </c>
      <c r="AQ201" s="123">
        <v>3.4722222222222099E-3</v>
      </c>
      <c r="AR201" s="122">
        <v>3.4722222222222099E-4</v>
      </c>
      <c r="AS201" s="56" t="s">
        <v>1048</v>
      </c>
      <c r="AT201" s="56" t="s">
        <v>1049</v>
      </c>
      <c r="AU201" s="56" t="s">
        <v>1050</v>
      </c>
      <c r="AV201" s="56">
        <v>36</v>
      </c>
      <c r="AW201" s="56" t="s">
        <v>1051</v>
      </c>
      <c r="AX201" s="56" t="s">
        <v>1182</v>
      </c>
      <c r="AY201" s="56" t="s">
        <v>1140</v>
      </c>
      <c r="AZ201" s="56" t="s">
        <v>1062</v>
      </c>
      <c r="BA201" s="56" t="s">
        <v>1183</v>
      </c>
      <c r="BB201" s="56" t="s">
        <v>1184</v>
      </c>
      <c r="BC201" s="56" t="s">
        <v>1057</v>
      </c>
      <c r="BD201" s="56" t="s">
        <v>3153</v>
      </c>
    </row>
    <row r="202" spans="1:56" x14ac:dyDescent="0.2">
      <c r="A202" s="56">
        <v>176755166</v>
      </c>
      <c r="B202" s="56" t="s">
        <v>1185</v>
      </c>
      <c r="C202" s="56" t="s">
        <v>2623</v>
      </c>
      <c r="D202" s="56" t="s">
        <v>1186</v>
      </c>
      <c r="E202" s="56" t="s">
        <v>1044</v>
      </c>
      <c r="F202" s="56">
        <v>101</v>
      </c>
      <c r="G202" s="56"/>
      <c r="H202" s="56">
        <v>10747</v>
      </c>
      <c r="I202" s="56">
        <v>6</v>
      </c>
      <c r="J202" s="56" t="s">
        <v>1045</v>
      </c>
      <c r="K202" s="56" t="s">
        <v>1079</v>
      </c>
      <c r="L202" s="121">
        <v>46270</v>
      </c>
      <c r="M202" s="122">
        <v>0.2013888888888889</v>
      </c>
      <c r="N202" s="122">
        <v>0.21180555555555555</v>
      </c>
      <c r="O202" s="56" t="s">
        <v>1047</v>
      </c>
      <c r="P202" s="121">
        <v>46270</v>
      </c>
      <c r="Q202" s="122">
        <v>0.2673611111111111</v>
      </c>
      <c r="R202" s="122">
        <v>0.2441898148148148</v>
      </c>
      <c r="S202" s="56" t="s">
        <v>1047</v>
      </c>
      <c r="T202" s="56">
        <v>1</v>
      </c>
      <c r="U202" s="56">
        <v>43</v>
      </c>
      <c r="V202" s="56">
        <v>37</v>
      </c>
      <c r="W202" s="56">
        <v>38.369999999999997</v>
      </c>
      <c r="X202" s="56" t="s">
        <v>2624</v>
      </c>
      <c r="Y202" s="56" t="s">
        <v>2624</v>
      </c>
      <c r="Z202" s="56" t="s">
        <v>2624</v>
      </c>
      <c r="AA202" s="56" t="s">
        <v>527</v>
      </c>
      <c r="AB202" s="56">
        <v>14123488</v>
      </c>
      <c r="AC202" s="56" t="s">
        <v>527</v>
      </c>
      <c r="AD202" s="56">
        <v>14123488</v>
      </c>
      <c r="AE202" s="56" t="s">
        <v>2626</v>
      </c>
      <c r="AF202" s="56" t="s">
        <v>2627</v>
      </c>
      <c r="AG202" s="56" t="s">
        <v>2627</v>
      </c>
      <c r="AH202" s="56">
        <v>36</v>
      </c>
      <c r="AI202" s="56" t="s">
        <v>2628</v>
      </c>
      <c r="AJ202" s="56" t="s">
        <v>2629</v>
      </c>
      <c r="AK202" s="56">
        <v>0</v>
      </c>
      <c r="AL202" s="56" t="s">
        <v>2630</v>
      </c>
      <c r="AM202" s="56" t="s">
        <v>2631</v>
      </c>
      <c r="AN202" s="56" t="s">
        <v>2632</v>
      </c>
      <c r="AO202" s="56" t="s">
        <v>2627</v>
      </c>
      <c r="AP202" s="56">
        <v>11</v>
      </c>
      <c r="AQ202" s="123">
        <v>1.0416666666666657E-2</v>
      </c>
      <c r="AR202" s="122">
        <v>-2.3171296296296301E-2</v>
      </c>
      <c r="AS202" s="56" t="s">
        <v>1048</v>
      </c>
      <c r="AT202" s="56" t="s">
        <v>1049</v>
      </c>
      <c r="AU202" s="56" t="s">
        <v>1050</v>
      </c>
      <c r="AV202" s="56">
        <v>36</v>
      </c>
      <c r="AW202" s="56" t="s">
        <v>1051</v>
      </c>
      <c r="AX202" s="56" t="s">
        <v>1188</v>
      </c>
      <c r="AY202" s="56" t="s">
        <v>1081</v>
      </c>
      <c r="AZ202" s="56" t="s">
        <v>1067</v>
      </c>
      <c r="BA202" s="56" t="s">
        <v>1189</v>
      </c>
      <c r="BB202" s="56" t="s">
        <v>1190</v>
      </c>
      <c r="BC202" s="56" t="s">
        <v>1057</v>
      </c>
      <c r="BD202" s="56" t="s">
        <v>1191</v>
      </c>
    </row>
    <row r="203" spans="1:56" x14ac:dyDescent="0.2">
      <c r="A203" s="56">
        <v>176757536</v>
      </c>
      <c r="B203" s="56" t="s">
        <v>1674</v>
      </c>
      <c r="C203" s="56" t="s">
        <v>2623</v>
      </c>
      <c r="D203" s="56" t="s">
        <v>1111</v>
      </c>
      <c r="E203" s="56" t="s">
        <v>1044</v>
      </c>
      <c r="F203" s="56">
        <v>1</v>
      </c>
      <c r="G203" s="56"/>
      <c r="H203" s="56">
        <v>14892</v>
      </c>
      <c r="I203" s="56">
        <v>6</v>
      </c>
      <c r="J203" s="56" t="s">
        <v>1045</v>
      </c>
      <c r="K203" s="56" t="s">
        <v>1058</v>
      </c>
      <c r="L203" s="121">
        <v>46270</v>
      </c>
      <c r="M203" s="122">
        <v>0.2013888888888889</v>
      </c>
      <c r="N203" s="122">
        <v>0.20833333333333334</v>
      </c>
      <c r="O203" s="56" t="s">
        <v>1047</v>
      </c>
      <c r="P203" s="121">
        <v>46270</v>
      </c>
      <c r="Q203" s="122">
        <v>0.25</v>
      </c>
      <c r="R203" s="122">
        <v>0.23576388888888888</v>
      </c>
      <c r="S203" s="56" t="s">
        <v>1047</v>
      </c>
      <c r="T203" s="56">
        <v>1</v>
      </c>
      <c r="U203" s="56">
        <v>31</v>
      </c>
      <c r="V203" s="56">
        <v>26.18</v>
      </c>
      <c r="W203" s="56">
        <v>24.38</v>
      </c>
      <c r="X203" s="56" t="s">
        <v>2624</v>
      </c>
      <c r="Y203" s="56" t="s">
        <v>2624</v>
      </c>
      <c r="Z203" s="56" t="s">
        <v>2624</v>
      </c>
      <c r="AA203" s="56" t="s">
        <v>2018</v>
      </c>
      <c r="AB203" s="56">
        <v>14124185</v>
      </c>
      <c r="AC203" s="56" t="s">
        <v>2018</v>
      </c>
      <c r="AD203" s="56">
        <v>14124185</v>
      </c>
      <c r="AE203" s="56" t="s">
        <v>2626</v>
      </c>
      <c r="AF203" s="56" t="s">
        <v>2627</v>
      </c>
      <c r="AG203" s="56" t="s">
        <v>2627</v>
      </c>
      <c r="AH203" s="56">
        <v>36</v>
      </c>
      <c r="AI203" s="56" t="s">
        <v>2628</v>
      </c>
      <c r="AJ203" s="56" t="s">
        <v>2629</v>
      </c>
      <c r="AK203" s="56">
        <v>815</v>
      </c>
      <c r="AL203" s="56" t="s">
        <v>2630</v>
      </c>
      <c r="AM203" s="56" t="s">
        <v>2631</v>
      </c>
      <c r="AN203" s="56" t="s">
        <v>2632</v>
      </c>
      <c r="AO203" s="56" t="s">
        <v>2627</v>
      </c>
      <c r="AP203" s="56" t="s">
        <v>2624</v>
      </c>
      <c r="AQ203" s="123">
        <v>6.9444444444444475E-3</v>
      </c>
      <c r="AR203" s="122">
        <v>-1.4236111111111116E-2</v>
      </c>
      <c r="AS203" s="56" t="s">
        <v>1048</v>
      </c>
      <c r="AT203" s="56" t="s">
        <v>1049</v>
      </c>
      <c r="AU203" s="56" t="s">
        <v>1050</v>
      </c>
      <c r="AV203" s="56">
        <v>36</v>
      </c>
      <c r="AW203" s="56" t="s">
        <v>1051</v>
      </c>
      <c r="AX203" s="56" t="s">
        <v>1675</v>
      </c>
      <c r="AY203" s="56" t="s">
        <v>1061</v>
      </c>
      <c r="AZ203" s="56" t="s">
        <v>1062</v>
      </c>
      <c r="BA203" s="56" t="s">
        <v>1676</v>
      </c>
      <c r="BB203" s="56" t="s">
        <v>1677</v>
      </c>
      <c r="BC203" s="56" t="s">
        <v>1057</v>
      </c>
      <c r="BD203" s="56" t="s">
        <v>1678</v>
      </c>
    </row>
    <row r="204" spans="1:56" x14ac:dyDescent="0.2">
      <c r="A204" s="56">
        <v>176749631</v>
      </c>
      <c r="B204" s="56" t="s">
        <v>1752</v>
      </c>
      <c r="C204" s="56" t="s">
        <v>2623</v>
      </c>
      <c r="D204" s="56" t="s">
        <v>1547</v>
      </c>
      <c r="E204" s="56" t="s">
        <v>1044</v>
      </c>
      <c r="F204" s="56">
        <v>61</v>
      </c>
      <c r="G204" s="56"/>
      <c r="H204" s="56">
        <v>16744</v>
      </c>
      <c r="I204" s="56">
        <v>6</v>
      </c>
      <c r="J204" s="56" t="s">
        <v>1045</v>
      </c>
      <c r="K204" s="56" t="s">
        <v>1064</v>
      </c>
      <c r="L204" s="121">
        <v>46270</v>
      </c>
      <c r="M204" s="122">
        <v>0.20833333333333334</v>
      </c>
      <c r="N204" s="122">
        <v>0.21458333333333332</v>
      </c>
      <c r="O204" s="56" t="s">
        <v>1047</v>
      </c>
      <c r="P204" s="121">
        <v>46270</v>
      </c>
      <c r="Q204" s="122">
        <v>0.2673611111111111</v>
      </c>
      <c r="R204" s="122">
        <v>0.25347222222222221</v>
      </c>
      <c r="S204" s="56" t="s">
        <v>1047</v>
      </c>
      <c r="T204" s="56">
        <v>1</v>
      </c>
      <c r="U204" s="56">
        <v>46</v>
      </c>
      <c r="V204" s="56">
        <v>42.9</v>
      </c>
      <c r="W204" s="56">
        <v>40.54</v>
      </c>
      <c r="X204" s="56" t="s">
        <v>2624</v>
      </c>
      <c r="Y204" s="56" t="s">
        <v>2624</v>
      </c>
      <c r="Z204" s="56" t="s">
        <v>2624</v>
      </c>
      <c r="AA204" s="56" t="s">
        <v>270</v>
      </c>
      <c r="AB204" s="56">
        <v>14119956</v>
      </c>
      <c r="AC204" s="56" t="s">
        <v>270</v>
      </c>
      <c r="AD204" s="56">
        <v>14119956</v>
      </c>
      <c r="AE204" s="56" t="s">
        <v>2626</v>
      </c>
      <c r="AF204" s="56" t="s">
        <v>2627</v>
      </c>
      <c r="AG204" s="56" t="s">
        <v>2627</v>
      </c>
      <c r="AH204" s="56">
        <v>36</v>
      </c>
      <c r="AI204" s="56" t="s">
        <v>2628</v>
      </c>
      <c r="AJ204" s="56" t="s">
        <v>2629</v>
      </c>
      <c r="AK204" s="56">
        <v>530.63</v>
      </c>
      <c r="AL204" s="56" t="s">
        <v>2630</v>
      </c>
      <c r="AM204" s="56" t="s">
        <v>2631</v>
      </c>
      <c r="AN204" s="56" t="s">
        <v>2632</v>
      </c>
      <c r="AO204" s="56" t="s">
        <v>2627</v>
      </c>
      <c r="AP204" s="56" t="s">
        <v>2624</v>
      </c>
      <c r="AQ204" s="123">
        <v>6.2499999999999778E-3</v>
      </c>
      <c r="AR204" s="122">
        <v>-1.3888888888888895E-2</v>
      </c>
      <c r="AS204" s="56" t="s">
        <v>1048</v>
      </c>
      <c r="AT204" s="56" t="s">
        <v>1049</v>
      </c>
      <c r="AU204" s="56" t="s">
        <v>1050</v>
      </c>
      <c r="AV204" s="56">
        <v>36</v>
      </c>
      <c r="AW204" s="56" t="s">
        <v>1051</v>
      </c>
      <c r="AX204" s="56" t="s">
        <v>1548</v>
      </c>
      <c r="AY204" s="56" t="s">
        <v>1066</v>
      </c>
      <c r="AZ204" s="56" t="s">
        <v>1067</v>
      </c>
      <c r="BA204" s="56" t="s">
        <v>1549</v>
      </c>
      <c r="BB204" s="56" t="s">
        <v>1550</v>
      </c>
      <c r="BC204" s="56" t="s">
        <v>1057</v>
      </c>
      <c r="BD204" s="56" t="s">
        <v>1753</v>
      </c>
    </row>
    <row r="205" spans="1:56" x14ac:dyDescent="0.2">
      <c r="A205" s="56">
        <v>176754963</v>
      </c>
      <c r="B205" s="56" t="s">
        <v>1573</v>
      </c>
      <c r="C205" s="56" t="s">
        <v>2623</v>
      </c>
      <c r="D205" s="56" t="s">
        <v>1224</v>
      </c>
      <c r="E205" s="56" t="s">
        <v>1044</v>
      </c>
      <c r="F205" s="56">
        <v>29</v>
      </c>
      <c r="G205" s="56"/>
      <c r="H205" s="56">
        <v>13858</v>
      </c>
      <c r="I205" s="56">
        <v>6</v>
      </c>
      <c r="J205" s="56" t="s">
        <v>1045</v>
      </c>
      <c r="K205" s="56" t="s">
        <v>1091</v>
      </c>
      <c r="L205" s="121">
        <v>46270</v>
      </c>
      <c r="M205" s="122">
        <v>0.20833333333333334</v>
      </c>
      <c r="N205" s="122">
        <v>0.21736111111111112</v>
      </c>
      <c r="O205" s="56" t="s">
        <v>1047</v>
      </c>
      <c r="P205" s="121">
        <v>46270</v>
      </c>
      <c r="Q205" s="122">
        <v>0.2673611111111111</v>
      </c>
      <c r="R205" s="122">
        <v>0.25175925925925924</v>
      </c>
      <c r="S205" s="56" t="s">
        <v>1047</v>
      </c>
      <c r="T205" s="56">
        <v>1</v>
      </c>
      <c r="U205" s="56">
        <v>37</v>
      </c>
      <c r="V205" s="56">
        <v>31.65</v>
      </c>
      <c r="W205" s="56">
        <v>32.299999999999997</v>
      </c>
      <c r="X205" s="56" t="s">
        <v>2624</v>
      </c>
      <c r="Y205" s="56" t="s">
        <v>2624</v>
      </c>
      <c r="Z205" s="56" t="s">
        <v>2624</v>
      </c>
      <c r="AA205" s="56" t="s">
        <v>231</v>
      </c>
      <c r="AB205" s="56">
        <v>14119057</v>
      </c>
      <c r="AC205" s="56" t="s">
        <v>231</v>
      </c>
      <c r="AD205" s="56">
        <v>14119057</v>
      </c>
      <c r="AE205" s="56" t="s">
        <v>2626</v>
      </c>
      <c r="AF205" s="56" t="s">
        <v>2627</v>
      </c>
      <c r="AG205" s="56" t="s">
        <v>2627</v>
      </c>
      <c r="AH205" s="56">
        <v>36</v>
      </c>
      <c r="AI205" s="56" t="s">
        <v>2628</v>
      </c>
      <c r="AJ205" s="56" t="s">
        <v>2629</v>
      </c>
      <c r="AK205" s="56">
        <v>0</v>
      </c>
      <c r="AL205" s="56" t="s">
        <v>2630</v>
      </c>
      <c r="AM205" s="56" t="s">
        <v>2631</v>
      </c>
      <c r="AN205" s="56" t="s">
        <v>2632</v>
      </c>
      <c r="AO205" s="56" t="s">
        <v>2627</v>
      </c>
      <c r="AP205" s="56" t="s">
        <v>2624</v>
      </c>
      <c r="AQ205" s="123">
        <v>9.0277777777777735E-3</v>
      </c>
      <c r="AR205" s="122">
        <v>-1.5601851851851867E-2</v>
      </c>
      <c r="AS205" s="56" t="s">
        <v>1048</v>
      </c>
      <c r="AT205" s="56" t="s">
        <v>1049</v>
      </c>
      <c r="AU205" s="56" t="s">
        <v>1050</v>
      </c>
      <c r="AV205" s="56">
        <v>36</v>
      </c>
      <c r="AW205" s="56" t="s">
        <v>1051</v>
      </c>
      <c r="AX205" s="56" t="s">
        <v>1260</v>
      </c>
      <c r="AY205" s="56" t="s">
        <v>1093</v>
      </c>
      <c r="AZ205" s="56" t="s">
        <v>1067</v>
      </c>
      <c r="BA205" s="56" t="s">
        <v>1261</v>
      </c>
      <c r="BB205" s="56" t="s">
        <v>1262</v>
      </c>
      <c r="BC205" s="56" t="s">
        <v>1057</v>
      </c>
      <c r="BD205" s="56" t="s">
        <v>1574</v>
      </c>
    </row>
    <row r="206" spans="1:56" x14ac:dyDescent="0.2">
      <c r="A206" s="56">
        <v>176756537</v>
      </c>
      <c r="B206" s="56" t="s">
        <v>3154</v>
      </c>
      <c r="C206" s="56" t="s">
        <v>2623</v>
      </c>
      <c r="D206" s="56" t="s">
        <v>1178</v>
      </c>
      <c r="E206" s="56" t="s">
        <v>1044</v>
      </c>
      <c r="F206" s="56">
        <v>35</v>
      </c>
      <c r="G206" s="56"/>
      <c r="H206" s="56">
        <v>7657</v>
      </c>
      <c r="I206" s="56">
        <v>6</v>
      </c>
      <c r="J206" s="56" t="s">
        <v>1045</v>
      </c>
      <c r="K206" s="56" t="s">
        <v>1406</v>
      </c>
      <c r="L206" s="121">
        <v>46270</v>
      </c>
      <c r="M206" s="122">
        <v>0.20833333333333334</v>
      </c>
      <c r="N206" s="122">
        <v>0.2361111111111111</v>
      </c>
      <c r="O206" s="56" t="s">
        <v>1047</v>
      </c>
      <c r="P206" s="121">
        <v>46270</v>
      </c>
      <c r="Q206" s="122">
        <v>0.23958333333333334</v>
      </c>
      <c r="R206" s="122">
        <v>0.26116898148148149</v>
      </c>
      <c r="S206" s="56" t="s">
        <v>1047</v>
      </c>
      <c r="T206" s="56">
        <v>1</v>
      </c>
      <c r="U206" s="56">
        <v>21</v>
      </c>
      <c r="V206" s="56">
        <v>17.47</v>
      </c>
      <c r="W206" s="56">
        <v>18.850000000000001</v>
      </c>
      <c r="X206" s="56">
        <v>3.81</v>
      </c>
      <c r="Y206" s="56">
        <v>3.59</v>
      </c>
      <c r="Z206" s="56">
        <v>-18.63</v>
      </c>
      <c r="AA206" s="56" t="s">
        <v>1662</v>
      </c>
      <c r="AB206" s="56">
        <v>14115820</v>
      </c>
      <c r="AC206" s="56" t="s">
        <v>1662</v>
      </c>
      <c r="AD206" s="56">
        <v>14115820</v>
      </c>
      <c r="AE206" s="56" t="s">
        <v>2626</v>
      </c>
      <c r="AF206" s="56" t="s">
        <v>2627</v>
      </c>
      <c r="AG206" s="56" t="s">
        <v>2627</v>
      </c>
      <c r="AH206" s="56">
        <v>36</v>
      </c>
      <c r="AI206" s="56" t="s">
        <v>2628</v>
      </c>
      <c r="AJ206" s="56" t="s">
        <v>2640</v>
      </c>
      <c r="AK206" s="56">
        <v>0</v>
      </c>
      <c r="AL206" s="56" t="s">
        <v>2630</v>
      </c>
      <c r="AM206" s="56" t="s">
        <v>2631</v>
      </c>
      <c r="AN206" s="56" t="s">
        <v>2632</v>
      </c>
      <c r="AO206" s="56" t="s">
        <v>2627</v>
      </c>
      <c r="AP206" s="56" t="s">
        <v>2624</v>
      </c>
      <c r="AQ206" s="123">
        <v>2.7777777777777762E-2</v>
      </c>
      <c r="AR206" s="122">
        <v>2.1585648148148145E-2</v>
      </c>
      <c r="AS206" s="56" t="s">
        <v>1048</v>
      </c>
      <c r="AT206" s="56" t="s">
        <v>1059</v>
      </c>
      <c r="AU206" s="56" t="s">
        <v>1060</v>
      </c>
      <c r="AV206" s="56">
        <v>36</v>
      </c>
      <c r="AW206" s="56" t="s">
        <v>1051</v>
      </c>
      <c r="AX206" s="56" t="s">
        <v>3155</v>
      </c>
      <c r="AY206" s="56" t="s">
        <v>1259</v>
      </c>
      <c r="AZ206" s="56" t="s">
        <v>1062</v>
      </c>
      <c r="BA206" s="56" t="s">
        <v>3156</v>
      </c>
      <c r="BB206" s="56" t="s">
        <v>3157</v>
      </c>
      <c r="BC206" s="56" t="s">
        <v>1057</v>
      </c>
      <c r="BD206" s="56" t="s">
        <v>3158</v>
      </c>
    </row>
    <row r="207" spans="1:56" x14ac:dyDescent="0.2">
      <c r="A207" s="56">
        <v>176749237</v>
      </c>
      <c r="B207" s="56" t="s">
        <v>3159</v>
      </c>
      <c r="C207" s="56" t="s">
        <v>2623</v>
      </c>
      <c r="D207" s="56" t="s">
        <v>1129</v>
      </c>
      <c r="E207" s="56" t="s">
        <v>1044</v>
      </c>
      <c r="F207" s="56">
        <v>1</v>
      </c>
      <c r="G207" s="56"/>
      <c r="H207" s="56">
        <v>10363</v>
      </c>
      <c r="I207" s="56">
        <v>6</v>
      </c>
      <c r="J207" s="56" t="s">
        <v>1045</v>
      </c>
      <c r="K207" s="56" t="s">
        <v>1123</v>
      </c>
      <c r="L207" s="121">
        <v>46270</v>
      </c>
      <c r="M207" s="122">
        <v>0.21180555555555555</v>
      </c>
      <c r="N207" s="122">
        <v>0.21736111111111112</v>
      </c>
      <c r="O207" s="56" t="s">
        <v>1047</v>
      </c>
      <c r="P207" s="121">
        <v>46270</v>
      </c>
      <c r="Q207" s="122">
        <v>0.27083333333333331</v>
      </c>
      <c r="R207" s="122">
        <v>0.25443287037037038</v>
      </c>
      <c r="S207" s="56" t="s">
        <v>1047</v>
      </c>
      <c r="T207" s="56">
        <v>1</v>
      </c>
      <c r="U207" s="56">
        <v>34</v>
      </c>
      <c r="V207" s="56">
        <v>29.61</v>
      </c>
      <c r="W207" s="56">
        <v>30.06</v>
      </c>
      <c r="X207" s="56" t="s">
        <v>2624</v>
      </c>
      <c r="Y207" s="56" t="s">
        <v>2624</v>
      </c>
      <c r="Z207" s="56" t="s">
        <v>2624</v>
      </c>
      <c r="AA207" s="56" t="s">
        <v>25</v>
      </c>
      <c r="AB207" s="56">
        <v>14100842</v>
      </c>
      <c r="AC207" s="56" t="s">
        <v>25</v>
      </c>
      <c r="AD207" s="56">
        <v>14100842</v>
      </c>
      <c r="AE207" s="56" t="s">
        <v>2626</v>
      </c>
      <c r="AF207" s="56" t="s">
        <v>2627</v>
      </c>
      <c r="AG207" s="56" t="s">
        <v>2627</v>
      </c>
      <c r="AH207" s="56">
        <v>36</v>
      </c>
      <c r="AI207" s="56" t="s">
        <v>2628</v>
      </c>
      <c r="AJ207" s="56" t="s">
        <v>2629</v>
      </c>
      <c r="AK207" s="56">
        <v>626.88</v>
      </c>
      <c r="AL207" s="56" t="s">
        <v>2630</v>
      </c>
      <c r="AM207" s="56" t="s">
        <v>2631</v>
      </c>
      <c r="AN207" s="56" t="s">
        <v>2632</v>
      </c>
      <c r="AO207" s="56" t="s">
        <v>2627</v>
      </c>
      <c r="AP207" s="56">
        <v>35</v>
      </c>
      <c r="AQ207" s="123">
        <v>5.5555555555555636E-3</v>
      </c>
      <c r="AR207" s="122">
        <v>-1.6400462962962936E-2</v>
      </c>
      <c r="AS207" s="56" t="s">
        <v>1048</v>
      </c>
      <c r="AT207" s="56" t="s">
        <v>1049</v>
      </c>
      <c r="AU207" s="56" t="s">
        <v>1050</v>
      </c>
      <c r="AV207" s="56">
        <v>36</v>
      </c>
      <c r="AW207" s="56" t="s">
        <v>1051</v>
      </c>
      <c r="AX207" s="56" t="s">
        <v>1130</v>
      </c>
      <c r="AY207" s="56" t="s">
        <v>1124</v>
      </c>
      <c r="AZ207" s="56" t="s">
        <v>1054</v>
      </c>
      <c r="BA207" s="56" t="s">
        <v>1131</v>
      </c>
      <c r="BB207" s="56" t="s">
        <v>1132</v>
      </c>
      <c r="BC207" s="56" t="s">
        <v>1057</v>
      </c>
      <c r="BD207" s="56" t="s">
        <v>3160</v>
      </c>
    </row>
    <row r="208" spans="1:56" x14ac:dyDescent="0.2">
      <c r="A208" s="56">
        <v>176762080</v>
      </c>
      <c r="B208" s="56" t="s">
        <v>3161</v>
      </c>
      <c r="C208" s="56" t="s">
        <v>2623</v>
      </c>
      <c r="D208" s="56" t="s">
        <v>3162</v>
      </c>
      <c r="E208" s="56" t="s">
        <v>1044</v>
      </c>
      <c r="F208" s="56">
        <v>75</v>
      </c>
      <c r="G208" s="56"/>
      <c r="H208" s="56">
        <v>6919</v>
      </c>
      <c r="I208" s="56">
        <v>6</v>
      </c>
      <c r="J208" s="56" t="s">
        <v>1045</v>
      </c>
      <c r="K208" s="56" t="s">
        <v>1075</v>
      </c>
      <c r="L208" s="121">
        <v>46270</v>
      </c>
      <c r="M208" s="122">
        <v>0.21180555555555555</v>
      </c>
      <c r="N208" s="122">
        <v>0.22222222222222221</v>
      </c>
      <c r="O208" s="56" t="s">
        <v>1047</v>
      </c>
      <c r="P208" s="121">
        <v>46270</v>
      </c>
      <c r="Q208" s="122">
        <v>0.2673611111111111</v>
      </c>
      <c r="R208" s="122">
        <v>0.26053240740740741</v>
      </c>
      <c r="S208" s="56" t="s">
        <v>1047</v>
      </c>
      <c r="T208" s="56">
        <v>1</v>
      </c>
      <c r="U208" s="56">
        <v>39</v>
      </c>
      <c r="V208" s="56">
        <v>37.24</v>
      </c>
      <c r="W208" s="56">
        <v>37.909999999999997</v>
      </c>
      <c r="X208" s="56" t="s">
        <v>2624</v>
      </c>
      <c r="Y208" s="56" t="s">
        <v>2624</v>
      </c>
      <c r="Z208" s="56" t="s">
        <v>2624</v>
      </c>
      <c r="AA208" s="56" t="s">
        <v>42</v>
      </c>
      <c r="AB208" s="56">
        <v>14104822</v>
      </c>
      <c r="AC208" s="56" t="s">
        <v>42</v>
      </c>
      <c r="AD208" s="56">
        <v>14104822</v>
      </c>
      <c r="AE208" s="56" t="s">
        <v>2626</v>
      </c>
      <c r="AF208" s="56" t="s">
        <v>2627</v>
      </c>
      <c r="AG208" s="56" t="s">
        <v>2627</v>
      </c>
      <c r="AH208" s="56">
        <v>36</v>
      </c>
      <c r="AI208" s="56" t="s">
        <v>2628</v>
      </c>
      <c r="AJ208" s="56" t="s">
        <v>2629</v>
      </c>
      <c r="AK208" s="56">
        <v>0</v>
      </c>
      <c r="AL208" s="56" t="s">
        <v>2630</v>
      </c>
      <c r="AM208" s="56" t="s">
        <v>2631</v>
      </c>
      <c r="AN208" s="56" t="s">
        <v>2632</v>
      </c>
      <c r="AO208" s="56" t="s">
        <v>2627</v>
      </c>
      <c r="AP208" s="56" t="s">
        <v>2624</v>
      </c>
      <c r="AQ208" s="123">
        <v>1.0416666666666657E-2</v>
      </c>
      <c r="AR208" s="122">
        <v>-6.8287037037036979E-3</v>
      </c>
      <c r="AS208" s="56" t="s">
        <v>1048</v>
      </c>
      <c r="AT208" s="56" t="s">
        <v>1049</v>
      </c>
      <c r="AU208" s="56" t="s">
        <v>1050</v>
      </c>
      <c r="AV208" s="56">
        <v>36</v>
      </c>
      <c r="AW208" s="56" t="s">
        <v>1051</v>
      </c>
      <c r="AX208" s="56" t="s">
        <v>3163</v>
      </c>
      <c r="AY208" s="56" t="s">
        <v>1076</v>
      </c>
      <c r="AZ208" s="56" t="s">
        <v>1067</v>
      </c>
      <c r="BA208" s="56" t="s">
        <v>3164</v>
      </c>
      <c r="BB208" s="56" t="s">
        <v>3165</v>
      </c>
      <c r="BC208" s="56" t="s">
        <v>1057</v>
      </c>
      <c r="BD208" s="56" t="s">
        <v>3166</v>
      </c>
    </row>
    <row r="209" spans="1:56" x14ac:dyDescent="0.2">
      <c r="A209" s="56">
        <v>176761630</v>
      </c>
      <c r="B209" s="56" t="s">
        <v>2086</v>
      </c>
      <c r="C209" s="56" t="s">
        <v>2623</v>
      </c>
      <c r="D209" s="56" t="s">
        <v>2087</v>
      </c>
      <c r="E209" s="56" t="s">
        <v>1044</v>
      </c>
      <c r="F209" s="56">
        <v>86</v>
      </c>
      <c r="G209" s="56"/>
      <c r="H209" s="56">
        <v>4441</v>
      </c>
      <c r="I209" s="56">
        <v>6</v>
      </c>
      <c r="J209" s="56" t="s">
        <v>1045</v>
      </c>
      <c r="K209" s="56" t="s">
        <v>1091</v>
      </c>
      <c r="L209" s="121">
        <v>46270</v>
      </c>
      <c r="M209" s="122">
        <v>0.21319444444444444</v>
      </c>
      <c r="N209" s="122">
        <v>0.22222222222222221</v>
      </c>
      <c r="O209" s="56" t="s">
        <v>1047</v>
      </c>
      <c r="P209" s="121">
        <v>46270</v>
      </c>
      <c r="Q209" s="122">
        <v>0.2673611111111111</v>
      </c>
      <c r="R209" s="122">
        <v>0.25835648148148149</v>
      </c>
      <c r="S209" s="56" t="s">
        <v>1047</v>
      </c>
      <c r="T209" s="56">
        <v>1</v>
      </c>
      <c r="U209" s="56">
        <v>26</v>
      </c>
      <c r="V209" s="56">
        <v>23.06</v>
      </c>
      <c r="W209" s="56">
        <v>23.63</v>
      </c>
      <c r="X209" s="56" t="s">
        <v>2624</v>
      </c>
      <c r="Y209" s="56" t="s">
        <v>2624</v>
      </c>
      <c r="Z209" s="56" t="s">
        <v>2624</v>
      </c>
      <c r="AA209" s="56" t="s">
        <v>72</v>
      </c>
      <c r="AB209" s="56">
        <v>14108222</v>
      </c>
      <c r="AC209" s="56" t="s">
        <v>72</v>
      </c>
      <c r="AD209" s="56">
        <v>14108222</v>
      </c>
      <c r="AE209" s="56" t="s">
        <v>2626</v>
      </c>
      <c r="AF209" s="56" t="s">
        <v>2627</v>
      </c>
      <c r="AG209" s="56" t="s">
        <v>2627</v>
      </c>
      <c r="AH209" s="56">
        <v>36</v>
      </c>
      <c r="AI209" s="56" t="s">
        <v>2628</v>
      </c>
      <c r="AJ209" s="56" t="s">
        <v>2629</v>
      </c>
      <c r="AK209" s="56">
        <v>0</v>
      </c>
      <c r="AL209" s="56" t="s">
        <v>2630</v>
      </c>
      <c r="AM209" s="56" t="s">
        <v>2631</v>
      </c>
      <c r="AN209" s="56" t="s">
        <v>2632</v>
      </c>
      <c r="AO209" s="56" t="s">
        <v>2627</v>
      </c>
      <c r="AP209" s="56" t="s">
        <v>2624</v>
      </c>
      <c r="AQ209" s="123">
        <v>9.0277777777777735E-3</v>
      </c>
      <c r="AR209" s="122">
        <v>-9.0046296296296124E-3</v>
      </c>
      <c r="AS209" s="56" t="s">
        <v>1048</v>
      </c>
      <c r="AT209" s="56" t="s">
        <v>1049</v>
      </c>
      <c r="AU209" s="56" t="s">
        <v>1050</v>
      </c>
      <c r="AV209" s="56">
        <v>36</v>
      </c>
      <c r="AW209" s="56" t="s">
        <v>1051</v>
      </c>
      <c r="AX209" s="56" t="s">
        <v>2088</v>
      </c>
      <c r="AY209" s="56" t="s">
        <v>1093</v>
      </c>
      <c r="AZ209" s="56" t="s">
        <v>1067</v>
      </c>
      <c r="BA209" s="56" t="s">
        <v>2089</v>
      </c>
      <c r="BB209" s="56" t="s">
        <v>2090</v>
      </c>
      <c r="BC209" s="56" t="s">
        <v>1057</v>
      </c>
      <c r="BD209" s="56" t="s">
        <v>2091</v>
      </c>
    </row>
    <row r="210" spans="1:56" x14ac:dyDescent="0.2">
      <c r="A210" s="56">
        <v>176764506</v>
      </c>
      <c r="B210" s="56" t="s">
        <v>2046</v>
      </c>
      <c r="C210" s="56" t="s">
        <v>2623</v>
      </c>
      <c r="D210" s="56" t="s">
        <v>2047</v>
      </c>
      <c r="E210" s="56" t="s">
        <v>1044</v>
      </c>
      <c r="F210" s="56">
        <v>12</v>
      </c>
      <c r="G210" s="56"/>
      <c r="H210" s="56">
        <v>7345</v>
      </c>
      <c r="I210" s="56">
        <v>6</v>
      </c>
      <c r="J210" s="56" t="s">
        <v>1045</v>
      </c>
      <c r="K210" s="56" t="s">
        <v>2048</v>
      </c>
      <c r="L210" s="121">
        <v>46270</v>
      </c>
      <c r="M210" s="122">
        <v>0.21527777777777779</v>
      </c>
      <c r="N210" s="122">
        <v>0.22361111111111112</v>
      </c>
      <c r="O210" s="56" t="s">
        <v>1047</v>
      </c>
      <c r="P210" s="121">
        <v>46270</v>
      </c>
      <c r="Q210" s="122">
        <v>0.23958333333333334</v>
      </c>
      <c r="R210" s="122">
        <v>0.23712962962962963</v>
      </c>
      <c r="S210" s="56" t="s">
        <v>1047</v>
      </c>
      <c r="T210" s="56">
        <v>1</v>
      </c>
      <c r="U210" s="56">
        <v>17</v>
      </c>
      <c r="V210" s="56">
        <v>14.29</v>
      </c>
      <c r="W210" s="56">
        <v>13</v>
      </c>
      <c r="X210" s="56" t="s">
        <v>2624</v>
      </c>
      <c r="Y210" s="56" t="s">
        <v>2624</v>
      </c>
      <c r="Z210" s="56" t="s">
        <v>2624</v>
      </c>
      <c r="AA210" s="56" t="s">
        <v>180</v>
      </c>
      <c r="AB210" s="56">
        <v>14117542</v>
      </c>
      <c r="AC210" s="56" t="s">
        <v>180</v>
      </c>
      <c r="AD210" s="56">
        <v>14117542</v>
      </c>
      <c r="AE210" s="56" t="s">
        <v>2626</v>
      </c>
      <c r="AF210" s="56" t="s">
        <v>2627</v>
      </c>
      <c r="AG210" s="56" t="s">
        <v>2627</v>
      </c>
      <c r="AH210" s="56">
        <v>36</v>
      </c>
      <c r="AI210" s="56" t="s">
        <v>2628</v>
      </c>
      <c r="AJ210" s="56" t="s">
        <v>2629</v>
      </c>
      <c r="AK210" s="56" t="s">
        <v>2624</v>
      </c>
      <c r="AL210" s="56" t="s">
        <v>2630</v>
      </c>
      <c r="AM210" s="56" t="s">
        <v>2632</v>
      </c>
      <c r="AN210" s="56" t="s">
        <v>2632</v>
      </c>
      <c r="AO210" s="56" t="s">
        <v>2627</v>
      </c>
      <c r="AP210" s="56" t="s">
        <v>2624</v>
      </c>
      <c r="AQ210" s="123">
        <v>8.3333333333333315E-3</v>
      </c>
      <c r="AR210" s="122">
        <v>-2.4537037037037079E-3</v>
      </c>
      <c r="AS210" s="56" t="s">
        <v>1048</v>
      </c>
      <c r="AT210" s="56" t="s">
        <v>1049</v>
      </c>
      <c r="AU210" s="56" t="s">
        <v>1050</v>
      </c>
      <c r="AV210" s="56">
        <v>36</v>
      </c>
      <c r="AW210" s="56" t="s">
        <v>1051</v>
      </c>
      <c r="AX210" s="56" t="s">
        <v>2049</v>
      </c>
      <c r="AY210" s="56" t="s">
        <v>1124</v>
      </c>
      <c r="AZ210" s="56" t="s">
        <v>1054</v>
      </c>
      <c r="BA210" s="56" t="s">
        <v>2050</v>
      </c>
      <c r="BB210" s="56" t="e">
        <v>#N/A</v>
      </c>
      <c r="BC210" s="56" t="s">
        <v>1057</v>
      </c>
      <c r="BD210" s="56" t="s">
        <v>2051</v>
      </c>
    </row>
    <row r="211" spans="1:56" x14ac:dyDescent="0.2">
      <c r="A211" s="56">
        <v>176762426</v>
      </c>
      <c r="B211" s="56" t="s">
        <v>2157</v>
      </c>
      <c r="C211" s="56" t="s">
        <v>2623</v>
      </c>
      <c r="D211" s="56" t="s">
        <v>2158</v>
      </c>
      <c r="E211" s="56" t="s">
        <v>1044</v>
      </c>
      <c r="F211" s="56">
        <v>136</v>
      </c>
      <c r="G211" s="56" t="s">
        <v>2693</v>
      </c>
      <c r="H211" s="56">
        <v>11945</v>
      </c>
      <c r="I211" s="56">
        <v>6</v>
      </c>
      <c r="J211" s="56" t="s">
        <v>1045</v>
      </c>
      <c r="K211" s="56" t="s">
        <v>1116</v>
      </c>
      <c r="L211" s="121">
        <v>46270</v>
      </c>
      <c r="M211" s="122">
        <v>0.21736111111111112</v>
      </c>
      <c r="N211" s="122">
        <v>0.22083333333333333</v>
      </c>
      <c r="O211" s="56" t="s">
        <v>1047</v>
      </c>
      <c r="P211" s="121">
        <v>46270</v>
      </c>
      <c r="Q211" s="122">
        <v>0.28125</v>
      </c>
      <c r="R211" s="122">
        <v>0.27568287037037037</v>
      </c>
      <c r="S211" s="56" t="s">
        <v>1047</v>
      </c>
      <c r="T211" s="56">
        <v>1</v>
      </c>
      <c r="U211" s="56">
        <v>78</v>
      </c>
      <c r="V211" s="56">
        <v>71.430000000000007</v>
      </c>
      <c r="W211" s="56">
        <v>71.13</v>
      </c>
      <c r="X211" s="56" t="s">
        <v>2624</v>
      </c>
      <c r="Y211" s="56" t="s">
        <v>2624</v>
      </c>
      <c r="Z211" s="56" t="s">
        <v>2624</v>
      </c>
      <c r="AA211" s="56" t="s">
        <v>64</v>
      </c>
      <c r="AB211" s="56">
        <v>14107552</v>
      </c>
      <c r="AC211" s="56" t="s">
        <v>64</v>
      </c>
      <c r="AD211" s="56">
        <v>14107552</v>
      </c>
      <c r="AE211" s="56" t="s">
        <v>2626</v>
      </c>
      <c r="AF211" s="56" t="s">
        <v>2627</v>
      </c>
      <c r="AG211" s="56" t="s">
        <v>2627</v>
      </c>
      <c r="AH211" s="56">
        <v>36</v>
      </c>
      <c r="AI211" s="56" t="s">
        <v>2628</v>
      </c>
      <c r="AJ211" s="56" t="s">
        <v>2629</v>
      </c>
      <c r="AK211" s="56">
        <v>0</v>
      </c>
      <c r="AL211" s="56" t="s">
        <v>2630</v>
      </c>
      <c r="AM211" s="56" t="s">
        <v>2631</v>
      </c>
      <c r="AN211" s="56" t="s">
        <v>2632</v>
      </c>
      <c r="AO211" s="56" t="s">
        <v>2627</v>
      </c>
      <c r="AP211" s="56">
        <v>27</v>
      </c>
      <c r="AQ211" s="123">
        <v>3.4722222222222099E-3</v>
      </c>
      <c r="AR211" s="122">
        <v>-5.5671296296296302E-3</v>
      </c>
      <c r="AS211" s="56" t="s">
        <v>1048</v>
      </c>
      <c r="AT211" s="56" t="s">
        <v>1049</v>
      </c>
      <c r="AU211" s="56" t="s">
        <v>1050</v>
      </c>
      <c r="AV211" s="56">
        <v>36</v>
      </c>
      <c r="AW211" s="56" t="s">
        <v>1051</v>
      </c>
      <c r="AX211" s="56" t="s">
        <v>2159</v>
      </c>
      <c r="AY211" s="56" t="s">
        <v>1128</v>
      </c>
      <c r="AZ211" s="56" t="s">
        <v>1054</v>
      </c>
      <c r="BA211" s="56" t="s">
        <v>2160</v>
      </c>
      <c r="BB211" s="56" t="s">
        <v>2161</v>
      </c>
      <c r="BC211" s="56" t="s">
        <v>1057</v>
      </c>
      <c r="BD211" s="56" t="s">
        <v>2162</v>
      </c>
    </row>
    <row r="212" spans="1:56" x14ac:dyDescent="0.2">
      <c r="A212" s="56">
        <v>176755177</v>
      </c>
      <c r="B212" s="56" t="s">
        <v>2657</v>
      </c>
      <c r="C212" s="56" t="s">
        <v>2623</v>
      </c>
      <c r="D212" s="56" t="s">
        <v>2658</v>
      </c>
      <c r="E212" s="56" t="s">
        <v>1044</v>
      </c>
      <c r="F212" s="56">
        <v>105</v>
      </c>
      <c r="G212" s="56"/>
      <c r="H212" s="56">
        <v>15993</v>
      </c>
      <c r="I212" s="56">
        <v>6</v>
      </c>
      <c r="J212" s="56" t="s">
        <v>1045</v>
      </c>
      <c r="K212" s="56" t="s">
        <v>1079</v>
      </c>
      <c r="L212" s="121">
        <v>46270</v>
      </c>
      <c r="M212" s="122">
        <v>0.21875</v>
      </c>
      <c r="N212" s="122">
        <v>0.22291666666666668</v>
      </c>
      <c r="O212" s="56" t="s">
        <v>1047</v>
      </c>
      <c r="P212" s="121">
        <v>46270</v>
      </c>
      <c r="Q212" s="122">
        <v>0.2673611111111111</v>
      </c>
      <c r="R212" s="122">
        <v>0.25178240740740743</v>
      </c>
      <c r="S212" s="56" t="s">
        <v>1047</v>
      </c>
      <c r="T212" s="56">
        <v>1</v>
      </c>
      <c r="U212" s="56">
        <v>38</v>
      </c>
      <c r="V212" s="56">
        <v>33.18</v>
      </c>
      <c r="W212" s="56">
        <v>34.61</v>
      </c>
      <c r="X212" s="56" t="s">
        <v>2624</v>
      </c>
      <c r="Y212" s="56" t="s">
        <v>2624</v>
      </c>
      <c r="Z212" s="56" t="s">
        <v>2624</v>
      </c>
      <c r="AA212" s="56" t="s">
        <v>992</v>
      </c>
      <c r="AB212" s="56">
        <v>14123925</v>
      </c>
      <c r="AC212" s="56" t="s">
        <v>992</v>
      </c>
      <c r="AD212" s="56">
        <v>14123925</v>
      </c>
      <c r="AE212" s="56" t="s">
        <v>2626</v>
      </c>
      <c r="AF212" s="56" t="s">
        <v>2627</v>
      </c>
      <c r="AG212" s="56" t="s">
        <v>2627</v>
      </c>
      <c r="AH212" s="56">
        <v>36</v>
      </c>
      <c r="AI212" s="56" t="s">
        <v>2628</v>
      </c>
      <c r="AJ212" s="56" t="s">
        <v>2629</v>
      </c>
      <c r="AK212" s="56">
        <v>0</v>
      </c>
      <c r="AL212" s="56" t="s">
        <v>2630</v>
      </c>
      <c r="AM212" s="56" t="s">
        <v>2631</v>
      </c>
      <c r="AN212" s="56" t="s">
        <v>2632</v>
      </c>
      <c r="AO212" s="56" t="s">
        <v>2627</v>
      </c>
      <c r="AP212" s="56" t="s">
        <v>2624</v>
      </c>
      <c r="AQ212" s="123">
        <v>4.1666666666666796E-3</v>
      </c>
      <c r="AR212" s="122">
        <v>-1.5578703703703678E-2</v>
      </c>
      <c r="AS212" s="56" t="s">
        <v>1048</v>
      </c>
      <c r="AT212" s="56" t="s">
        <v>1049</v>
      </c>
      <c r="AU212" s="56" t="s">
        <v>1050</v>
      </c>
      <c r="AV212" s="56">
        <v>36</v>
      </c>
      <c r="AW212" s="56" t="s">
        <v>1051</v>
      </c>
      <c r="AX212" s="56" t="s">
        <v>2659</v>
      </c>
      <c r="AY212" s="56" t="s">
        <v>1081</v>
      </c>
      <c r="AZ212" s="56" t="s">
        <v>1067</v>
      </c>
      <c r="BA212" s="56" t="s">
        <v>2660</v>
      </c>
      <c r="BB212" s="56" t="s">
        <v>2661</v>
      </c>
      <c r="BC212" s="56" t="s">
        <v>1057</v>
      </c>
      <c r="BD212" s="56" t="s">
        <v>2662</v>
      </c>
    </row>
    <row r="213" spans="1:56" x14ac:dyDescent="0.2">
      <c r="A213" s="56">
        <v>176761992</v>
      </c>
      <c r="B213" s="56" t="s">
        <v>3167</v>
      </c>
      <c r="C213" s="56" t="s">
        <v>2623</v>
      </c>
      <c r="D213" s="56" t="s">
        <v>2832</v>
      </c>
      <c r="E213" s="56" t="s">
        <v>1044</v>
      </c>
      <c r="F213" s="56">
        <v>31</v>
      </c>
      <c r="G213" s="56" t="s">
        <v>2833</v>
      </c>
      <c r="H213" s="56">
        <v>4444</v>
      </c>
      <c r="I213" s="56">
        <v>6</v>
      </c>
      <c r="J213" s="56" t="s">
        <v>1045</v>
      </c>
      <c r="K213" s="56" t="s">
        <v>1075</v>
      </c>
      <c r="L213" s="121">
        <v>46270</v>
      </c>
      <c r="M213" s="122">
        <v>0.21875</v>
      </c>
      <c r="N213" s="122">
        <v>0.23055555555555557</v>
      </c>
      <c r="O213" s="56" t="s">
        <v>1047</v>
      </c>
      <c r="P213" s="121">
        <v>46270</v>
      </c>
      <c r="Q213" s="122">
        <v>0.2673611111111111</v>
      </c>
      <c r="R213" s="122">
        <v>0.26192129629629629</v>
      </c>
      <c r="S213" s="56" t="s">
        <v>1047</v>
      </c>
      <c r="T213" s="56">
        <v>1</v>
      </c>
      <c r="U213" s="56">
        <v>24</v>
      </c>
      <c r="V213" s="56">
        <v>21.47</v>
      </c>
      <c r="W213" s="56">
        <v>21.61</v>
      </c>
      <c r="X213" s="56" t="s">
        <v>2624</v>
      </c>
      <c r="Y213" s="56" t="s">
        <v>2624</v>
      </c>
      <c r="Z213" s="56" t="s">
        <v>2624</v>
      </c>
      <c r="AA213" s="56"/>
      <c r="AB213" s="56"/>
      <c r="AC213" s="56" t="s">
        <v>1187</v>
      </c>
      <c r="AD213" s="56"/>
      <c r="AE213" s="56" t="s">
        <v>2626</v>
      </c>
      <c r="AF213" s="56" t="s">
        <v>2627</v>
      </c>
      <c r="AG213" s="56" t="s">
        <v>2627</v>
      </c>
      <c r="AH213" s="56">
        <v>36</v>
      </c>
      <c r="AI213" s="56" t="s">
        <v>2628</v>
      </c>
      <c r="AJ213" s="56" t="s">
        <v>2629</v>
      </c>
      <c r="AK213" s="56">
        <v>0</v>
      </c>
      <c r="AL213" s="56" t="s">
        <v>2630</v>
      </c>
      <c r="AM213" s="56" t="s">
        <v>2631</v>
      </c>
      <c r="AN213" s="56" t="s">
        <v>2632</v>
      </c>
      <c r="AO213" s="56" t="s">
        <v>2627</v>
      </c>
      <c r="AP213" s="56" t="s">
        <v>2624</v>
      </c>
      <c r="AQ213" s="123">
        <v>1.1805555555555569E-2</v>
      </c>
      <c r="AR213" s="122">
        <v>-5.439814814814814E-3</v>
      </c>
      <c r="AS213" s="56" t="s">
        <v>1048</v>
      </c>
      <c r="AT213" s="56" t="s">
        <v>1049</v>
      </c>
      <c r="AU213" s="56" t="s">
        <v>1050</v>
      </c>
      <c r="AV213" s="56">
        <v>36</v>
      </c>
      <c r="AW213" s="56" t="s">
        <v>1051</v>
      </c>
      <c r="AX213" s="56" t="s">
        <v>2834</v>
      </c>
      <c r="AY213" s="56" t="s">
        <v>1076</v>
      </c>
      <c r="AZ213" s="56" t="s">
        <v>1067</v>
      </c>
      <c r="BA213" s="56" t="s">
        <v>2835</v>
      </c>
      <c r="BB213" s="56" t="s">
        <v>2836</v>
      </c>
      <c r="BC213" s="56" t="s">
        <v>1057</v>
      </c>
      <c r="BD213" s="56" t="s">
        <v>3168</v>
      </c>
    </row>
    <row r="214" spans="1:56" x14ac:dyDescent="0.2">
      <c r="A214" s="56">
        <v>176762016</v>
      </c>
      <c r="B214" s="56" t="s">
        <v>2092</v>
      </c>
      <c r="C214" s="56" t="s">
        <v>2623</v>
      </c>
      <c r="D214" s="56" t="s">
        <v>2093</v>
      </c>
      <c r="E214" s="56" t="s">
        <v>1044</v>
      </c>
      <c r="F214" s="56">
        <v>43</v>
      </c>
      <c r="G214" s="56"/>
      <c r="H214" s="56">
        <v>5275</v>
      </c>
      <c r="I214" s="56">
        <v>7</v>
      </c>
      <c r="J214" s="56" t="s">
        <v>1045</v>
      </c>
      <c r="K214" s="56" t="s">
        <v>1075</v>
      </c>
      <c r="L214" s="121">
        <v>46270</v>
      </c>
      <c r="M214" s="122">
        <v>0.21875</v>
      </c>
      <c r="N214" s="122">
        <v>0.23055555555555557</v>
      </c>
      <c r="O214" s="56" t="s">
        <v>1047</v>
      </c>
      <c r="P214" s="121">
        <v>46270</v>
      </c>
      <c r="Q214" s="122">
        <v>0.2673611111111111</v>
      </c>
      <c r="R214" s="122">
        <v>0.26321759259259259</v>
      </c>
      <c r="S214" s="56" t="s">
        <v>1047</v>
      </c>
      <c r="T214" s="56">
        <v>0</v>
      </c>
      <c r="U214" s="56">
        <v>40</v>
      </c>
      <c r="V214" s="56">
        <v>35.450000000000003</v>
      </c>
      <c r="W214" s="56">
        <v>47.56</v>
      </c>
      <c r="X214" s="56">
        <v>75.06</v>
      </c>
      <c r="Y214" s="56">
        <v>5.63</v>
      </c>
      <c r="Z214" s="56">
        <v>21.87</v>
      </c>
      <c r="AA214" s="56" t="s">
        <v>997</v>
      </c>
      <c r="AB214" s="56">
        <v>14123971</v>
      </c>
      <c r="AC214" s="56" t="s">
        <v>997</v>
      </c>
      <c r="AD214" s="56">
        <v>14123971</v>
      </c>
      <c r="AE214" s="56" t="s">
        <v>2626</v>
      </c>
      <c r="AF214" s="56" t="s">
        <v>2627</v>
      </c>
      <c r="AG214" s="56" t="s">
        <v>2627</v>
      </c>
      <c r="AH214" s="56">
        <v>36</v>
      </c>
      <c r="AI214" s="56" t="s">
        <v>2628</v>
      </c>
      <c r="AJ214" s="56" t="s">
        <v>2629</v>
      </c>
      <c r="AK214" s="56">
        <v>0</v>
      </c>
      <c r="AL214" s="56" t="s">
        <v>2630</v>
      </c>
      <c r="AM214" s="56" t="s">
        <v>2631</v>
      </c>
      <c r="AN214" s="56" t="s">
        <v>2632</v>
      </c>
      <c r="AO214" s="56" t="s">
        <v>2627</v>
      </c>
      <c r="AP214" s="56">
        <v>25</v>
      </c>
      <c r="AQ214" s="123">
        <v>1.1805555555555569E-2</v>
      </c>
      <c r="AR214" s="122">
        <v>-4.1435185185185186E-3</v>
      </c>
      <c r="AS214" s="56" t="s">
        <v>1048</v>
      </c>
      <c r="AT214" s="56" t="s">
        <v>1049</v>
      </c>
      <c r="AU214" s="56" t="s">
        <v>1050</v>
      </c>
      <c r="AV214" s="56">
        <v>36</v>
      </c>
      <c r="AW214" s="56" t="s">
        <v>1051</v>
      </c>
      <c r="AX214" s="56" t="s">
        <v>2094</v>
      </c>
      <c r="AY214" s="56" t="s">
        <v>1076</v>
      </c>
      <c r="AZ214" s="56" t="s">
        <v>1067</v>
      </c>
      <c r="BA214" s="56" t="s">
        <v>2095</v>
      </c>
      <c r="BB214" s="56" t="s">
        <v>2096</v>
      </c>
      <c r="BC214" s="56" t="s">
        <v>1057</v>
      </c>
      <c r="BD214" s="56" t="s">
        <v>2097</v>
      </c>
    </row>
    <row r="215" spans="1:56" x14ac:dyDescent="0.2">
      <c r="A215" s="56">
        <v>176762216</v>
      </c>
      <c r="B215" s="56" t="s">
        <v>2663</v>
      </c>
      <c r="C215" s="56" t="s">
        <v>2623</v>
      </c>
      <c r="D215" s="56" t="s">
        <v>1224</v>
      </c>
      <c r="E215" s="56" t="s">
        <v>1044</v>
      </c>
      <c r="F215" s="56">
        <v>227</v>
      </c>
      <c r="G215" s="56"/>
      <c r="H215" s="56">
        <v>13416</v>
      </c>
      <c r="I215" s="56">
        <v>6</v>
      </c>
      <c r="J215" s="56" t="s">
        <v>1045</v>
      </c>
      <c r="K215" s="56" t="s">
        <v>1079</v>
      </c>
      <c r="L215" s="121">
        <v>46270</v>
      </c>
      <c r="M215" s="122">
        <v>0.21875</v>
      </c>
      <c r="N215" s="122">
        <v>0.22569444444444445</v>
      </c>
      <c r="O215" s="56" t="s">
        <v>1047</v>
      </c>
      <c r="P215" s="121">
        <v>46270</v>
      </c>
      <c r="Q215" s="122">
        <v>0.2673611111111111</v>
      </c>
      <c r="R215" s="122">
        <v>0.25592592592592595</v>
      </c>
      <c r="S215" s="56" t="s">
        <v>1047</v>
      </c>
      <c r="T215" s="56">
        <v>1</v>
      </c>
      <c r="U215" s="56">
        <v>30</v>
      </c>
      <c r="V215" s="56">
        <v>29.86</v>
      </c>
      <c r="W215" s="56">
        <v>24.09</v>
      </c>
      <c r="X215" s="56" t="s">
        <v>2624</v>
      </c>
      <c r="Y215" s="56" t="s">
        <v>2624</v>
      </c>
      <c r="Z215" s="56" t="s">
        <v>2624</v>
      </c>
      <c r="AA215" s="56" t="s">
        <v>234</v>
      </c>
      <c r="AB215" s="56">
        <v>14119154</v>
      </c>
      <c r="AC215" s="56" t="s">
        <v>234</v>
      </c>
      <c r="AD215" s="56">
        <v>14119154</v>
      </c>
      <c r="AE215" s="56" t="s">
        <v>2626</v>
      </c>
      <c r="AF215" s="56" t="s">
        <v>2627</v>
      </c>
      <c r="AG215" s="56" t="s">
        <v>2627</v>
      </c>
      <c r="AH215" s="56">
        <v>36</v>
      </c>
      <c r="AI215" s="56" t="s">
        <v>2628</v>
      </c>
      <c r="AJ215" s="56" t="s">
        <v>2629</v>
      </c>
      <c r="AK215" s="56">
        <v>0</v>
      </c>
      <c r="AL215" s="56" t="s">
        <v>2630</v>
      </c>
      <c r="AM215" s="56" t="s">
        <v>2631</v>
      </c>
      <c r="AN215" s="56" t="s">
        <v>2632</v>
      </c>
      <c r="AO215" s="56" t="s">
        <v>2627</v>
      </c>
      <c r="AP215" s="56" t="s">
        <v>2624</v>
      </c>
      <c r="AQ215" s="123">
        <v>6.9444444444444475E-3</v>
      </c>
      <c r="AR215" s="122">
        <v>-1.1435185185185159E-2</v>
      </c>
      <c r="AS215" s="56" t="s">
        <v>1048</v>
      </c>
      <c r="AT215" s="56" t="s">
        <v>1049</v>
      </c>
      <c r="AU215" s="56" t="s">
        <v>1050</v>
      </c>
      <c r="AV215" s="56">
        <v>36</v>
      </c>
      <c r="AW215" s="56" t="s">
        <v>1051</v>
      </c>
      <c r="AX215" s="56" t="s">
        <v>2664</v>
      </c>
      <c r="AY215" s="56" t="s">
        <v>1081</v>
      </c>
      <c r="AZ215" s="56" t="s">
        <v>1067</v>
      </c>
      <c r="BA215" s="56" t="s">
        <v>2665</v>
      </c>
      <c r="BB215" s="56" t="s">
        <v>2666</v>
      </c>
      <c r="BC215" s="56" t="s">
        <v>1057</v>
      </c>
      <c r="BD215" s="56" t="s">
        <v>2667</v>
      </c>
    </row>
    <row r="216" spans="1:56" x14ac:dyDescent="0.2">
      <c r="A216" s="56">
        <v>176754973</v>
      </c>
      <c r="B216" s="56" t="s">
        <v>1511</v>
      </c>
      <c r="C216" s="56" t="s">
        <v>2623</v>
      </c>
      <c r="D216" s="56" t="s">
        <v>1512</v>
      </c>
      <c r="E216" s="56" t="s">
        <v>1044</v>
      </c>
      <c r="F216" s="56">
        <v>33</v>
      </c>
      <c r="G216" s="56"/>
      <c r="H216" s="56">
        <v>13901</v>
      </c>
      <c r="I216" s="56">
        <v>6</v>
      </c>
      <c r="J216" s="56" t="s">
        <v>1045</v>
      </c>
      <c r="K216" s="56" t="s">
        <v>1091</v>
      </c>
      <c r="L216" s="121">
        <v>46270</v>
      </c>
      <c r="M216" s="122">
        <v>0.22222222222222221</v>
      </c>
      <c r="N216" s="122">
        <v>0.22638888888888889</v>
      </c>
      <c r="O216" s="56" t="s">
        <v>1047</v>
      </c>
      <c r="P216" s="121">
        <v>46270</v>
      </c>
      <c r="Q216" s="122">
        <v>0.2673611111111111</v>
      </c>
      <c r="R216" s="122">
        <v>0.26564814814814813</v>
      </c>
      <c r="S216" s="56" t="s">
        <v>1047</v>
      </c>
      <c r="T216" s="56">
        <v>1</v>
      </c>
      <c r="U216" s="56">
        <v>26</v>
      </c>
      <c r="V216" s="56">
        <v>22.58</v>
      </c>
      <c r="W216" s="56">
        <v>21.87</v>
      </c>
      <c r="X216" s="56" t="s">
        <v>2624</v>
      </c>
      <c r="Y216" s="56" t="s">
        <v>2624</v>
      </c>
      <c r="Z216" s="56" t="s">
        <v>2624</v>
      </c>
      <c r="AA216" s="56" t="s">
        <v>909</v>
      </c>
      <c r="AB216" s="56">
        <v>14123651</v>
      </c>
      <c r="AC216" s="56" t="s">
        <v>909</v>
      </c>
      <c r="AD216" s="56">
        <v>14123651</v>
      </c>
      <c r="AE216" s="56" t="s">
        <v>2626</v>
      </c>
      <c r="AF216" s="56" t="s">
        <v>2627</v>
      </c>
      <c r="AG216" s="56" t="s">
        <v>2627</v>
      </c>
      <c r="AH216" s="56">
        <v>36</v>
      </c>
      <c r="AI216" s="56" t="s">
        <v>2628</v>
      </c>
      <c r="AJ216" s="56" t="s">
        <v>2629</v>
      </c>
      <c r="AK216" s="56">
        <v>0</v>
      </c>
      <c r="AL216" s="56" t="s">
        <v>2630</v>
      </c>
      <c r="AM216" s="56" t="s">
        <v>2631</v>
      </c>
      <c r="AN216" s="56" t="s">
        <v>2632</v>
      </c>
      <c r="AO216" s="56" t="s">
        <v>2627</v>
      </c>
      <c r="AP216" s="56" t="s">
        <v>2624</v>
      </c>
      <c r="AQ216" s="123">
        <v>4.1666666666666796E-3</v>
      </c>
      <c r="AR216" s="122">
        <v>-1.7129629629629717E-3</v>
      </c>
      <c r="AS216" s="56" t="s">
        <v>1048</v>
      </c>
      <c r="AT216" s="56" t="s">
        <v>1049</v>
      </c>
      <c r="AU216" s="56" t="s">
        <v>1050</v>
      </c>
      <c r="AV216" s="56">
        <v>36</v>
      </c>
      <c r="AW216" s="56" t="s">
        <v>1051</v>
      </c>
      <c r="AX216" s="56" t="s">
        <v>1513</v>
      </c>
      <c r="AY216" s="56" t="s">
        <v>1093</v>
      </c>
      <c r="AZ216" s="56" t="s">
        <v>1067</v>
      </c>
      <c r="BA216" s="56" t="s">
        <v>1514</v>
      </c>
      <c r="BB216" s="56" t="s">
        <v>1515</v>
      </c>
      <c r="BC216" s="56" t="s">
        <v>1057</v>
      </c>
      <c r="BD216" s="56" t="s">
        <v>1516</v>
      </c>
    </row>
    <row r="217" spans="1:56" x14ac:dyDescent="0.2">
      <c r="A217" s="56">
        <v>176762445</v>
      </c>
      <c r="B217" s="56" t="s">
        <v>3169</v>
      </c>
      <c r="C217" s="56" t="s">
        <v>2623</v>
      </c>
      <c r="D217" s="56" t="s">
        <v>3170</v>
      </c>
      <c r="E217" s="56" t="s">
        <v>1044</v>
      </c>
      <c r="F217" s="56">
        <v>93</v>
      </c>
      <c r="G217" s="56" t="s">
        <v>2833</v>
      </c>
      <c r="H217" s="56">
        <v>6881</v>
      </c>
      <c r="I217" s="56">
        <v>8</v>
      </c>
      <c r="J217" s="56" t="s">
        <v>1045</v>
      </c>
      <c r="K217" s="56" t="s">
        <v>1075</v>
      </c>
      <c r="L217" s="121">
        <v>46270</v>
      </c>
      <c r="M217" s="122">
        <v>0.22222222222222221</v>
      </c>
      <c r="N217" s="122">
        <v>0.22916666666666666</v>
      </c>
      <c r="O217" s="56" t="s">
        <v>1047</v>
      </c>
      <c r="P217" s="121">
        <v>46270</v>
      </c>
      <c r="Q217" s="122">
        <v>0.2673611111111111</v>
      </c>
      <c r="R217" s="122">
        <v>0.25377314814814816</v>
      </c>
      <c r="S217" s="56" t="s">
        <v>1047</v>
      </c>
      <c r="T217" s="56">
        <v>0</v>
      </c>
      <c r="U217" s="56">
        <v>20</v>
      </c>
      <c r="V217" s="56" t="s">
        <v>2624</v>
      </c>
      <c r="W217" s="56">
        <v>19.88</v>
      </c>
      <c r="X217" s="56" t="s">
        <v>2624</v>
      </c>
      <c r="Y217" s="56" t="s">
        <v>2624</v>
      </c>
      <c r="Z217" s="56" t="s">
        <v>2624</v>
      </c>
      <c r="AA217" s="56" t="s">
        <v>232</v>
      </c>
      <c r="AB217" s="56">
        <v>14119076</v>
      </c>
      <c r="AC217" s="56" t="s">
        <v>232</v>
      </c>
      <c r="AD217" s="56">
        <v>14119076</v>
      </c>
      <c r="AE217" s="56" t="s">
        <v>2626</v>
      </c>
      <c r="AF217" s="56" t="s">
        <v>2627</v>
      </c>
      <c r="AG217" s="56" t="s">
        <v>2627</v>
      </c>
      <c r="AH217" s="56">
        <v>36</v>
      </c>
      <c r="AI217" s="56" t="s">
        <v>2628</v>
      </c>
      <c r="AJ217" s="56" t="s">
        <v>2629</v>
      </c>
      <c r="AK217" s="56">
        <v>0</v>
      </c>
      <c r="AL217" s="56" t="s">
        <v>2630</v>
      </c>
      <c r="AM217" s="56" t="s">
        <v>2631</v>
      </c>
      <c r="AN217" s="56" t="s">
        <v>2632</v>
      </c>
      <c r="AO217" s="56" t="s">
        <v>2627</v>
      </c>
      <c r="AP217" s="56">
        <v>20</v>
      </c>
      <c r="AQ217" s="123">
        <v>6.9444444444444475E-3</v>
      </c>
      <c r="AR217" s="122">
        <v>-1.3587962962962941E-2</v>
      </c>
      <c r="AS217" s="56" t="s">
        <v>1048</v>
      </c>
      <c r="AT217" s="56" t="s">
        <v>1049</v>
      </c>
      <c r="AU217" s="56" t="s">
        <v>1050</v>
      </c>
      <c r="AV217" s="56">
        <v>36</v>
      </c>
      <c r="AW217" s="56" t="s">
        <v>1051</v>
      </c>
      <c r="AX217" s="56" t="s">
        <v>3171</v>
      </c>
      <c r="AY217" s="56" t="s">
        <v>1076</v>
      </c>
      <c r="AZ217" s="56" t="s">
        <v>1067</v>
      </c>
      <c r="BA217" s="56" t="s">
        <v>3172</v>
      </c>
      <c r="BB217" s="56" t="s">
        <v>3173</v>
      </c>
      <c r="BC217" s="56" t="s">
        <v>1057</v>
      </c>
      <c r="BD217" s="56" t="s">
        <v>3174</v>
      </c>
    </row>
    <row r="218" spans="1:56" x14ac:dyDescent="0.2">
      <c r="A218" s="56">
        <v>176756675</v>
      </c>
      <c r="B218" s="56" t="s">
        <v>1210</v>
      </c>
      <c r="C218" s="56" t="s">
        <v>2623</v>
      </c>
      <c r="D218" s="56" t="s">
        <v>1211</v>
      </c>
      <c r="E218" s="56" t="s">
        <v>1044</v>
      </c>
      <c r="F218" s="56">
        <v>98</v>
      </c>
      <c r="G218" s="56"/>
      <c r="H218" s="56">
        <v>6474</v>
      </c>
      <c r="I218" s="56">
        <v>6</v>
      </c>
      <c r="J218" s="56" t="s">
        <v>1045</v>
      </c>
      <c r="K218" s="56" t="s">
        <v>1212</v>
      </c>
      <c r="L218" s="121">
        <v>46270</v>
      </c>
      <c r="M218" s="122">
        <v>0.22569444444444445</v>
      </c>
      <c r="N218" s="122">
        <v>0.2326388888888889</v>
      </c>
      <c r="O218" s="56" t="s">
        <v>1047</v>
      </c>
      <c r="P218" s="121">
        <v>46270</v>
      </c>
      <c r="Q218" s="122">
        <v>0.2638888888888889</v>
      </c>
      <c r="R218" s="122">
        <v>0.25885416666666666</v>
      </c>
      <c r="S218" s="56" t="s">
        <v>1047</v>
      </c>
      <c r="T218" s="56">
        <v>1</v>
      </c>
      <c r="U218" s="56">
        <v>25</v>
      </c>
      <c r="V218" s="56">
        <v>22.02</v>
      </c>
      <c r="W218" s="56">
        <v>17.399999999999999</v>
      </c>
      <c r="X218" s="56" t="s">
        <v>2624</v>
      </c>
      <c r="Y218" s="56" t="s">
        <v>2624</v>
      </c>
      <c r="Z218" s="56" t="s">
        <v>2624</v>
      </c>
      <c r="AA218" s="56" t="s">
        <v>21</v>
      </c>
      <c r="AB218" s="56">
        <v>14100787</v>
      </c>
      <c r="AC218" s="56" t="s">
        <v>21</v>
      </c>
      <c r="AD218" s="56">
        <v>14100787</v>
      </c>
      <c r="AE218" s="56" t="s">
        <v>2626</v>
      </c>
      <c r="AF218" s="56" t="s">
        <v>2627</v>
      </c>
      <c r="AG218" s="56" t="s">
        <v>2627</v>
      </c>
      <c r="AH218" s="56">
        <v>36</v>
      </c>
      <c r="AI218" s="56" t="s">
        <v>2628</v>
      </c>
      <c r="AJ218" s="56" t="s">
        <v>2629</v>
      </c>
      <c r="AK218" s="56">
        <v>0</v>
      </c>
      <c r="AL218" s="56" t="s">
        <v>2630</v>
      </c>
      <c r="AM218" s="56" t="s">
        <v>2631</v>
      </c>
      <c r="AN218" s="56" t="s">
        <v>2632</v>
      </c>
      <c r="AO218" s="56" t="s">
        <v>2627</v>
      </c>
      <c r="AP218" s="56" t="s">
        <v>2624</v>
      </c>
      <c r="AQ218" s="123">
        <v>6.9444444444444475E-3</v>
      </c>
      <c r="AR218" s="122">
        <v>-5.0347222222222321E-3</v>
      </c>
      <c r="AS218" s="56" t="s">
        <v>1048</v>
      </c>
      <c r="AT218" s="56" t="s">
        <v>1049</v>
      </c>
      <c r="AU218" s="56" t="s">
        <v>1050</v>
      </c>
      <c r="AV218" s="56">
        <v>36</v>
      </c>
      <c r="AW218" s="56" t="s">
        <v>1051</v>
      </c>
      <c r="AX218" s="56" t="s">
        <v>1213</v>
      </c>
      <c r="AY218" s="56" t="s">
        <v>1164</v>
      </c>
      <c r="AZ218" s="56" t="s">
        <v>1062</v>
      </c>
      <c r="BA218" s="56" t="s">
        <v>1214</v>
      </c>
      <c r="BB218" s="56" t="s">
        <v>1215</v>
      </c>
      <c r="BC218" s="56" t="s">
        <v>1057</v>
      </c>
      <c r="BD218" s="56" t="s">
        <v>1216</v>
      </c>
    </row>
    <row r="219" spans="1:56" x14ac:dyDescent="0.2">
      <c r="A219" s="56">
        <v>176757561</v>
      </c>
      <c r="B219" s="56" t="s">
        <v>2687</v>
      </c>
      <c r="C219" s="56" t="s">
        <v>2623</v>
      </c>
      <c r="D219" s="56" t="s">
        <v>2688</v>
      </c>
      <c r="E219" s="56" t="s">
        <v>1044</v>
      </c>
      <c r="F219" s="56">
        <v>11</v>
      </c>
      <c r="G219" s="56"/>
      <c r="H219" s="56">
        <v>15185</v>
      </c>
      <c r="I219" s="56">
        <v>6</v>
      </c>
      <c r="J219" s="56" t="s">
        <v>1045</v>
      </c>
      <c r="K219" s="56" t="s">
        <v>1058</v>
      </c>
      <c r="L219" s="121">
        <v>46270</v>
      </c>
      <c r="M219" s="122">
        <v>0.22638888888888889</v>
      </c>
      <c r="N219" s="122">
        <v>0.23333333333333334</v>
      </c>
      <c r="O219" s="56" t="s">
        <v>1047</v>
      </c>
      <c r="P219" s="121">
        <v>46270</v>
      </c>
      <c r="Q219" s="122">
        <v>0.25</v>
      </c>
      <c r="R219" s="122">
        <v>0.24648148148148147</v>
      </c>
      <c r="S219" s="56" t="s">
        <v>1047</v>
      </c>
      <c r="T219" s="56">
        <v>1</v>
      </c>
      <c r="U219" s="56">
        <v>14</v>
      </c>
      <c r="V219" s="56">
        <v>8.8800000000000008</v>
      </c>
      <c r="W219" s="56">
        <v>8.51</v>
      </c>
      <c r="X219" s="56" t="s">
        <v>2624</v>
      </c>
      <c r="Y219" s="56" t="s">
        <v>2624</v>
      </c>
      <c r="Z219" s="56" t="s">
        <v>2624</v>
      </c>
      <c r="AA219" s="56" t="s">
        <v>1897</v>
      </c>
      <c r="AB219" s="56">
        <v>14124144</v>
      </c>
      <c r="AC219" s="56" t="s">
        <v>1897</v>
      </c>
      <c r="AD219" s="56">
        <v>14124144</v>
      </c>
      <c r="AE219" s="56" t="s">
        <v>2626</v>
      </c>
      <c r="AF219" s="56" t="s">
        <v>2627</v>
      </c>
      <c r="AG219" s="56" t="s">
        <v>2627</v>
      </c>
      <c r="AH219" s="56">
        <v>36</v>
      </c>
      <c r="AI219" s="56" t="s">
        <v>2628</v>
      </c>
      <c r="AJ219" s="56" t="s">
        <v>2629</v>
      </c>
      <c r="AK219" s="56">
        <v>730</v>
      </c>
      <c r="AL219" s="56" t="s">
        <v>2630</v>
      </c>
      <c r="AM219" s="56" t="s">
        <v>2631</v>
      </c>
      <c r="AN219" s="56" t="s">
        <v>2632</v>
      </c>
      <c r="AO219" s="56" t="s">
        <v>2627</v>
      </c>
      <c r="AP219" s="56">
        <v>13</v>
      </c>
      <c r="AQ219" s="123">
        <v>6.9444444444444475E-3</v>
      </c>
      <c r="AR219" s="122">
        <v>-3.5185185185185319E-3</v>
      </c>
      <c r="AS219" s="56" t="s">
        <v>1048</v>
      </c>
      <c r="AT219" s="56" t="s">
        <v>1049</v>
      </c>
      <c r="AU219" s="56" t="s">
        <v>1050</v>
      </c>
      <c r="AV219" s="56">
        <v>36</v>
      </c>
      <c r="AW219" s="56" t="s">
        <v>1051</v>
      </c>
      <c r="AX219" s="56" t="s">
        <v>2689</v>
      </c>
      <c r="AY219" s="56" t="s">
        <v>1061</v>
      </c>
      <c r="AZ219" s="56" t="s">
        <v>1062</v>
      </c>
      <c r="BA219" s="56" t="s">
        <v>2690</v>
      </c>
      <c r="BB219" s="56" t="s">
        <v>2691</v>
      </c>
      <c r="BC219" s="56" t="s">
        <v>1057</v>
      </c>
      <c r="BD219" s="56" t="s">
        <v>2692</v>
      </c>
    </row>
    <row r="220" spans="1:56" x14ac:dyDescent="0.2">
      <c r="A220" s="56">
        <v>176749255</v>
      </c>
      <c r="B220" s="56" t="s">
        <v>1631</v>
      </c>
      <c r="C220" s="56" t="s">
        <v>2623</v>
      </c>
      <c r="D220" s="56" t="s">
        <v>1632</v>
      </c>
      <c r="E220" s="56" t="s">
        <v>1044</v>
      </c>
      <c r="F220" s="56">
        <v>9</v>
      </c>
      <c r="G220" s="56"/>
      <c r="H220" s="56">
        <v>6900</v>
      </c>
      <c r="I220" s="56">
        <v>6</v>
      </c>
      <c r="J220" s="56" t="s">
        <v>1045</v>
      </c>
      <c r="K220" s="56" t="s">
        <v>1123</v>
      </c>
      <c r="L220" s="121">
        <v>46270</v>
      </c>
      <c r="M220" s="122">
        <v>0.22916666666666666</v>
      </c>
      <c r="N220" s="122">
        <v>0.24444444444444444</v>
      </c>
      <c r="O220" s="56" t="s">
        <v>1047</v>
      </c>
      <c r="P220" s="121">
        <v>46270</v>
      </c>
      <c r="Q220" s="122">
        <v>0.27083333333333331</v>
      </c>
      <c r="R220" s="122">
        <v>0.26578703703703704</v>
      </c>
      <c r="S220" s="56" t="s">
        <v>1047</v>
      </c>
      <c r="T220" s="56">
        <v>1</v>
      </c>
      <c r="U220" s="56">
        <v>22</v>
      </c>
      <c r="V220" s="56">
        <v>12.15</v>
      </c>
      <c r="W220" s="56">
        <v>13.94</v>
      </c>
      <c r="X220" s="56" t="s">
        <v>2624</v>
      </c>
      <c r="Y220" s="56" t="s">
        <v>2624</v>
      </c>
      <c r="Z220" s="56" t="s">
        <v>2624</v>
      </c>
      <c r="AA220" s="56" t="s">
        <v>201</v>
      </c>
      <c r="AB220" s="56">
        <v>14118440</v>
      </c>
      <c r="AC220" s="56" t="s">
        <v>201</v>
      </c>
      <c r="AD220" s="56">
        <v>14118440</v>
      </c>
      <c r="AE220" s="56" t="s">
        <v>2626</v>
      </c>
      <c r="AF220" s="56" t="s">
        <v>2627</v>
      </c>
      <c r="AG220" s="56" t="s">
        <v>2627</v>
      </c>
      <c r="AH220" s="56">
        <v>36</v>
      </c>
      <c r="AI220" s="56" t="s">
        <v>2628</v>
      </c>
      <c r="AJ220" s="56" t="s">
        <v>2629</v>
      </c>
      <c r="AK220" s="56">
        <v>544.9</v>
      </c>
      <c r="AL220" s="56" t="s">
        <v>2630</v>
      </c>
      <c r="AM220" s="56" t="s">
        <v>2631</v>
      </c>
      <c r="AN220" s="56" t="s">
        <v>2632</v>
      </c>
      <c r="AO220" s="56" t="s">
        <v>2627</v>
      </c>
      <c r="AP220" s="56" t="s">
        <v>2624</v>
      </c>
      <c r="AQ220" s="123">
        <v>1.5277777777777779E-2</v>
      </c>
      <c r="AR220" s="122">
        <v>-5.046296296296271E-3</v>
      </c>
      <c r="AS220" s="56" t="s">
        <v>1048</v>
      </c>
      <c r="AT220" s="56" t="s">
        <v>1049</v>
      </c>
      <c r="AU220" s="56" t="s">
        <v>1050</v>
      </c>
      <c r="AV220" s="56">
        <v>36</v>
      </c>
      <c r="AW220" s="56" t="s">
        <v>1051</v>
      </c>
      <c r="AX220" s="56" t="s">
        <v>1633</v>
      </c>
      <c r="AY220" s="56" t="s">
        <v>1124</v>
      </c>
      <c r="AZ220" s="56" t="s">
        <v>1054</v>
      </c>
      <c r="BA220" s="56" t="s">
        <v>1634</v>
      </c>
      <c r="BB220" s="56" t="s">
        <v>1635</v>
      </c>
      <c r="BC220" s="56" t="s">
        <v>1057</v>
      </c>
      <c r="BD220" s="56" t="s">
        <v>1636</v>
      </c>
    </row>
    <row r="221" spans="1:56" x14ac:dyDescent="0.2">
      <c r="A221" s="56">
        <v>176760193</v>
      </c>
      <c r="B221" s="56" t="s">
        <v>3175</v>
      </c>
      <c r="C221" s="56" t="s">
        <v>2623</v>
      </c>
      <c r="D221" s="56" t="s">
        <v>3020</v>
      </c>
      <c r="E221" s="56" t="s">
        <v>1044</v>
      </c>
      <c r="F221" s="56">
        <v>7</v>
      </c>
      <c r="G221" s="56"/>
      <c r="H221" s="56">
        <v>5726</v>
      </c>
      <c r="I221" s="56">
        <v>6</v>
      </c>
      <c r="J221" s="56" t="s">
        <v>1045</v>
      </c>
      <c r="K221" s="56" t="s">
        <v>1258</v>
      </c>
      <c r="L221" s="121">
        <v>46270</v>
      </c>
      <c r="M221" s="122">
        <v>0.22916666666666666</v>
      </c>
      <c r="N221" s="122">
        <v>0.2361111111111111</v>
      </c>
      <c r="O221" s="56" t="s">
        <v>1047</v>
      </c>
      <c r="P221" s="121">
        <v>46270</v>
      </c>
      <c r="Q221" s="122">
        <v>0.28472222222222221</v>
      </c>
      <c r="R221" s="122">
        <v>0.28437499999999999</v>
      </c>
      <c r="S221" s="56" t="s">
        <v>1047</v>
      </c>
      <c r="T221" s="56">
        <v>1</v>
      </c>
      <c r="U221" s="56">
        <v>29</v>
      </c>
      <c r="V221" s="56">
        <v>26.24</v>
      </c>
      <c r="W221" s="56">
        <v>26.4</v>
      </c>
      <c r="X221" s="56" t="s">
        <v>2624</v>
      </c>
      <c r="Y221" s="56" t="s">
        <v>2624</v>
      </c>
      <c r="Z221" s="56" t="s">
        <v>2624</v>
      </c>
      <c r="AA221" s="56" t="s">
        <v>112</v>
      </c>
      <c r="AB221" s="56">
        <v>14111557</v>
      </c>
      <c r="AC221" s="56" t="s">
        <v>112</v>
      </c>
      <c r="AD221" s="56">
        <v>14111557</v>
      </c>
      <c r="AE221" s="56" t="s">
        <v>2626</v>
      </c>
      <c r="AF221" s="56" t="s">
        <v>2627</v>
      </c>
      <c r="AG221" s="56" t="s">
        <v>2627</v>
      </c>
      <c r="AH221" s="56">
        <v>36</v>
      </c>
      <c r="AI221" s="56" t="s">
        <v>2628</v>
      </c>
      <c r="AJ221" s="56" t="s">
        <v>2629</v>
      </c>
      <c r="AK221" s="56">
        <v>0</v>
      </c>
      <c r="AL221" s="56" t="s">
        <v>2630</v>
      </c>
      <c r="AM221" s="56" t="s">
        <v>2631</v>
      </c>
      <c r="AN221" s="56" t="s">
        <v>2702</v>
      </c>
      <c r="AO221" s="56" t="s">
        <v>2627</v>
      </c>
      <c r="AP221" s="56" t="s">
        <v>2624</v>
      </c>
      <c r="AQ221" s="123">
        <v>6.9444444444444475E-3</v>
      </c>
      <c r="AR221" s="122">
        <v>-3.4722222222222099E-4</v>
      </c>
      <c r="AS221" s="56" t="s">
        <v>1048</v>
      </c>
      <c r="AT221" s="56" t="s">
        <v>1049</v>
      </c>
      <c r="AU221" s="56" t="s">
        <v>1050</v>
      </c>
      <c r="AV221" s="56">
        <v>36</v>
      </c>
      <c r="AW221" s="56" t="s">
        <v>1051</v>
      </c>
      <c r="AX221" s="56" t="s">
        <v>3021</v>
      </c>
      <c r="AY221" s="56" t="s">
        <v>1259</v>
      </c>
      <c r="AZ221" s="56" t="s">
        <v>1062</v>
      </c>
      <c r="BA221" s="56" t="s">
        <v>3022</v>
      </c>
      <c r="BB221" s="56" t="s">
        <v>3023</v>
      </c>
      <c r="BC221" s="56" t="s">
        <v>1057</v>
      </c>
      <c r="BD221" s="56" t="s">
        <v>3176</v>
      </c>
    </row>
    <row r="222" spans="1:56" x14ac:dyDescent="0.2">
      <c r="A222" s="56">
        <v>176761465</v>
      </c>
      <c r="B222" s="56" t="s">
        <v>1114</v>
      </c>
      <c r="C222" s="56" t="s">
        <v>2623</v>
      </c>
      <c r="D222" s="56" t="s">
        <v>1115</v>
      </c>
      <c r="E222" s="56" t="s">
        <v>1044</v>
      </c>
      <c r="F222" s="56">
        <v>98</v>
      </c>
      <c r="G222" s="56" t="s">
        <v>2670</v>
      </c>
      <c r="H222" s="56">
        <v>14692</v>
      </c>
      <c r="I222" s="56">
        <v>6</v>
      </c>
      <c r="J222" s="56" t="s">
        <v>1045</v>
      </c>
      <c r="K222" s="56" t="s">
        <v>1116</v>
      </c>
      <c r="L222" s="121">
        <v>46270</v>
      </c>
      <c r="M222" s="122">
        <v>0.22916666666666666</v>
      </c>
      <c r="N222" s="122">
        <v>0.24583333333333332</v>
      </c>
      <c r="O222" s="56" t="s">
        <v>1047</v>
      </c>
      <c r="P222" s="121">
        <v>46270</v>
      </c>
      <c r="Q222" s="122">
        <v>0.28125</v>
      </c>
      <c r="R222" s="122">
        <v>0.27665509259259258</v>
      </c>
      <c r="S222" s="56" t="s">
        <v>1047</v>
      </c>
      <c r="T222" s="56">
        <v>1</v>
      </c>
      <c r="U222" s="56">
        <v>31</v>
      </c>
      <c r="V222" s="56">
        <v>26.89</v>
      </c>
      <c r="W222" s="56">
        <v>26.69</v>
      </c>
      <c r="X222" s="56" t="s">
        <v>2624</v>
      </c>
      <c r="Y222" s="56" t="s">
        <v>2624</v>
      </c>
      <c r="Z222" s="56" t="s">
        <v>2624</v>
      </c>
      <c r="AA222" s="56" t="s">
        <v>958</v>
      </c>
      <c r="AB222" s="56">
        <v>14123725</v>
      </c>
      <c r="AC222" s="56" t="s">
        <v>958</v>
      </c>
      <c r="AD222" s="56">
        <v>14123725</v>
      </c>
      <c r="AE222" s="56" t="s">
        <v>2626</v>
      </c>
      <c r="AF222" s="56" t="s">
        <v>2627</v>
      </c>
      <c r="AG222" s="56" t="s">
        <v>2627</v>
      </c>
      <c r="AH222" s="56">
        <v>36</v>
      </c>
      <c r="AI222" s="56" t="s">
        <v>2628</v>
      </c>
      <c r="AJ222" s="56" t="s">
        <v>2629</v>
      </c>
      <c r="AK222" s="56">
        <v>0</v>
      </c>
      <c r="AL222" s="56" t="s">
        <v>2630</v>
      </c>
      <c r="AM222" s="56" t="s">
        <v>2631</v>
      </c>
      <c r="AN222" s="56" t="s">
        <v>2632</v>
      </c>
      <c r="AO222" s="56" t="s">
        <v>2627</v>
      </c>
      <c r="AP222" s="56">
        <v>33</v>
      </c>
      <c r="AQ222" s="123">
        <v>1.6666666666666663E-2</v>
      </c>
      <c r="AR222" s="122">
        <v>-4.5949074074074225E-3</v>
      </c>
      <c r="AS222" s="56" t="s">
        <v>1048</v>
      </c>
      <c r="AT222" s="56" t="s">
        <v>1049</v>
      </c>
      <c r="AU222" s="56" t="s">
        <v>1050</v>
      </c>
      <c r="AV222" s="56">
        <v>36</v>
      </c>
      <c r="AW222" s="56" t="s">
        <v>1051</v>
      </c>
      <c r="AX222" s="56" t="s">
        <v>1117</v>
      </c>
      <c r="AY222" s="56" t="s">
        <v>1118</v>
      </c>
      <c r="AZ222" s="56" t="s">
        <v>1054</v>
      </c>
      <c r="BA222" s="56" t="s">
        <v>1119</v>
      </c>
      <c r="BB222" s="56" t="s">
        <v>1120</v>
      </c>
      <c r="BC222" s="56" t="s">
        <v>1057</v>
      </c>
      <c r="BD222" s="56" t="s">
        <v>1121</v>
      </c>
    </row>
    <row r="223" spans="1:56" x14ac:dyDescent="0.2">
      <c r="A223" s="56">
        <v>176762122</v>
      </c>
      <c r="B223" s="56" t="s">
        <v>2989</v>
      </c>
      <c r="C223" s="56" t="s">
        <v>2623</v>
      </c>
      <c r="D223" s="56" t="s">
        <v>2990</v>
      </c>
      <c r="E223" s="56" t="s">
        <v>1044</v>
      </c>
      <c r="F223" s="56">
        <v>110</v>
      </c>
      <c r="G223" s="56" t="s">
        <v>2670</v>
      </c>
      <c r="H223" s="56">
        <v>15314</v>
      </c>
      <c r="I223" s="56">
        <v>6</v>
      </c>
      <c r="J223" s="56" t="s">
        <v>1045</v>
      </c>
      <c r="K223" s="56" t="s">
        <v>1116</v>
      </c>
      <c r="L223" s="121">
        <v>46270</v>
      </c>
      <c r="M223" s="122">
        <v>0.2361111111111111</v>
      </c>
      <c r="N223" s="122">
        <v>0.23958333333333334</v>
      </c>
      <c r="O223" s="56" t="s">
        <v>1047</v>
      </c>
      <c r="P223" s="121">
        <v>46270</v>
      </c>
      <c r="Q223" s="122">
        <v>0.28125</v>
      </c>
      <c r="R223" s="122">
        <v>0.26991898148148147</v>
      </c>
      <c r="S223" s="56" t="s">
        <v>1047</v>
      </c>
      <c r="T223" s="56">
        <v>1</v>
      </c>
      <c r="U223" s="56">
        <v>22</v>
      </c>
      <c r="V223" s="56">
        <v>17.11</v>
      </c>
      <c r="W223" s="56">
        <v>18.27</v>
      </c>
      <c r="X223" s="56" t="s">
        <v>2624</v>
      </c>
      <c r="Y223" s="56" t="s">
        <v>2624</v>
      </c>
      <c r="Z223" s="56" t="s">
        <v>2624</v>
      </c>
      <c r="AA223" s="56" t="s">
        <v>102</v>
      </c>
      <c r="AB223" s="56">
        <v>14110339</v>
      </c>
      <c r="AC223" s="56" t="s">
        <v>102</v>
      </c>
      <c r="AD223" s="56">
        <v>14110339</v>
      </c>
      <c r="AE223" s="56" t="s">
        <v>2626</v>
      </c>
      <c r="AF223" s="56" t="s">
        <v>2627</v>
      </c>
      <c r="AG223" s="56" t="s">
        <v>2627</v>
      </c>
      <c r="AH223" s="56">
        <v>36</v>
      </c>
      <c r="AI223" s="56" t="s">
        <v>2628</v>
      </c>
      <c r="AJ223" s="56" t="s">
        <v>2629</v>
      </c>
      <c r="AK223" s="56">
        <v>0</v>
      </c>
      <c r="AL223" s="56" t="s">
        <v>2630</v>
      </c>
      <c r="AM223" s="56" t="s">
        <v>2631</v>
      </c>
      <c r="AN223" s="56" t="s">
        <v>2632</v>
      </c>
      <c r="AO223" s="56" t="s">
        <v>2627</v>
      </c>
      <c r="AP223" s="56" t="s">
        <v>2624</v>
      </c>
      <c r="AQ223" s="123">
        <v>3.4722222222222376E-3</v>
      </c>
      <c r="AR223" s="122">
        <v>-1.1331018518518532E-2</v>
      </c>
      <c r="AS223" s="56" t="s">
        <v>1048</v>
      </c>
      <c r="AT223" s="56" t="s">
        <v>1049</v>
      </c>
      <c r="AU223" s="56" t="s">
        <v>1050</v>
      </c>
      <c r="AV223" s="56">
        <v>36</v>
      </c>
      <c r="AW223" s="56" t="s">
        <v>1051</v>
      </c>
      <c r="AX223" s="56" t="s">
        <v>2991</v>
      </c>
      <c r="AY223" s="56" t="s">
        <v>1128</v>
      </c>
      <c r="AZ223" s="56" t="s">
        <v>1054</v>
      </c>
      <c r="BA223" s="56" t="s">
        <v>2992</v>
      </c>
      <c r="BB223" s="56" t="s">
        <v>2993</v>
      </c>
      <c r="BC223" s="56" t="s">
        <v>1057</v>
      </c>
      <c r="BD223" s="56" t="s">
        <v>2994</v>
      </c>
    </row>
    <row r="224" spans="1:56" x14ac:dyDescent="0.2">
      <c r="A224" s="56">
        <v>176762474</v>
      </c>
      <c r="B224" s="56" t="s">
        <v>1230</v>
      </c>
      <c r="C224" s="56" t="s">
        <v>2623</v>
      </c>
      <c r="D224" s="56" t="s">
        <v>1231</v>
      </c>
      <c r="E224" s="56" t="s">
        <v>1044</v>
      </c>
      <c r="F224" s="56">
        <v>139</v>
      </c>
      <c r="G224" s="56" t="s">
        <v>2693</v>
      </c>
      <c r="H224" s="56">
        <v>10359</v>
      </c>
      <c r="I224" s="56">
        <v>6</v>
      </c>
      <c r="J224" s="56" t="s">
        <v>1045</v>
      </c>
      <c r="K224" s="56" t="s">
        <v>1116</v>
      </c>
      <c r="L224" s="121">
        <v>46270</v>
      </c>
      <c r="M224" s="122">
        <v>0.2361111111111111</v>
      </c>
      <c r="N224" s="122">
        <v>0.24097222222222223</v>
      </c>
      <c r="O224" s="56" t="s">
        <v>1047</v>
      </c>
      <c r="P224" s="121">
        <v>46270</v>
      </c>
      <c r="Q224" s="122">
        <v>0.28125</v>
      </c>
      <c r="R224" s="122">
        <v>0.27476851851851852</v>
      </c>
      <c r="S224" s="56" t="s">
        <v>1047</v>
      </c>
      <c r="T224" s="56">
        <v>1</v>
      </c>
      <c r="U224" s="56">
        <v>23</v>
      </c>
      <c r="V224" s="56">
        <v>23.7</v>
      </c>
      <c r="W224" s="56">
        <v>26.38</v>
      </c>
      <c r="X224" s="56" t="s">
        <v>2624</v>
      </c>
      <c r="Y224" s="56" t="s">
        <v>2624</v>
      </c>
      <c r="Z224" s="56" t="s">
        <v>2624</v>
      </c>
      <c r="AA224" s="56" t="s">
        <v>1232</v>
      </c>
      <c r="AB224" s="56">
        <v>14112026</v>
      </c>
      <c r="AC224" s="56" t="s">
        <v>1232</v>
      </c>
      <c r="AD224" s="56">
        <v>14112026</v>
      </c>
      <c r="AE224" s="56" t="s">
        <v>2626</v>
      </c>
      <c r="AF224" s="56" t="s">
        <v>2627</v>
      </c>
      <c r="AG224" s="56" t="s">
        <v>2627</v>
      </c>
      <c r="AH224" s="56">
        <v>36</v>
      </c>
      <c r="AI224" s="56" t="s">
        <v>2628</v>
      </c>
      <c r="AJ224" s="56" t="s">
        <v>2629</v>
      </c>
      <c r="AK224" s="56">
        <v>0</v>
      </c>
      <c r="AL224" s="56" t="s">
        <v>2630</v>
      </c>
      <c r="AM224" s="56" t="s">
        <v>2631</v>
      </c>
      <c r="AN224" s="56" t="s">
        <v>2632</v>
      </c>
      <c r="AO224" s="56" t="s">
        <v>2627</v>
      </c>
      <c r="AP224" s="56">
        <v>30</v>
      </c>
      <c r="AQ224" s="123">
        <v>4.8611111111111216E-3</v>
      </c>
      <c r="AR224" s="122">
        <v>-6.481481481481477E-3</v>
      </c>
      <c r="AS224" s="56" t="s">
        <v>1048</v>
      </c>
      <c r="AT224" s="56" t="s">
        <v>1049</v>
      </c>
      <c r="AU224" s="56" t="s">
        <v>1050</v>
      </c>
      <c r="AV224" s="56">
        <v>36</v>
      </c>
      <c r="AW224" s="56" t="s">
        <v>1051</v>
      </c>
      <c r="AX224" s="56" t="s">
        <v>1233</v>
      </c>
      <c r="AY224" s="56" t="s">
        <v>1128</v>
      </c>
      <c r="AZ224" s="56" t="s">
        <v>1054</v>
      </c>
      <c r="BA224" s="56" t="s">
        <v>1234</v>
      </c>
      <c r="BB224" s="56" t="s">
        <v>1235</v>
      </c>
      <c r="BC224" s="56" t="s">
        <v>1057</v>
      </c>
      <c r="BD224" s="56" t="s">
        <v>1236</v>
      </c>
    </row>
    <row r="225" spans="1:56" x14ac:dyDescent="0.2">
      <c r="A225" s="56">
        <v>176755060</v>
      </c>
      <c r="B225" s="56" t="s">
        <v>2105</v>
      </c>
      <c r="C225" s="56" t="s">
        <v>2623</v>
      </c>
      <c r="D225" s="56" t="s">
        <v>2106</v>
      </c>
      <c r="E225" s="56" t="s">
        <v>1044</v>
      </c>
      <c r="F225" s="56">
        <v>76</v>
      </c>
      <c r="G225" s="56" t="s">
        <v>3177</v>
      </c>
      <c r="H225" s="56">
        <v>15999</v>
      </c>
      <c r="I225" s="56">
        <v>6</v>
      </c>
      <c r="J225" s="56" t="s">
        <v>1045</v>
      </c>
      <c r="K225" s="56" t="s">
        <v>1296</v>
      </c>
      <c r="L225" s="121">
        <v>46270</v>
      </c>
      <c r="M225" s="122">
        <v>0.2388888888888889</v>
      </c>
      <c r="N225" s="122">
        <v>0.24583333333333332</v>
      </c>
      <c r="O225" s="56" t="s">
        <v>1047</v>
      </c>
      <c r="P225" s="121">
        <v>46270</v>
      </c>
      <c r="Q225" s="122">
        <v>0.2673611111111111</v>
      </c>
      <c r="R225" s="122">
        <v>0.25396990740740738</v>
      </c>
      <c r="S225" s="56" t="s">
        <v>1047</v>
      </c>
      <c r="T225" s="56">
        <v>1</v>
      </c>
      <c r="U225" s="56">
        <v>16</v>
      </c>
      <c r="V225" s="56">
        <v>7.72</v>
      </c>
      <c r="W225" s="56">
        <v>5.65</v>
      </c>
      <c r="X225" s="56" t="s">
        <v>2624</v>
      </c>
      <c r="Y225" s="56" t="s">
        <v>2624</v>
      </c>
      <c r="Z225" s="56" t="s">
        <v>2624</v>
      </c>
      <c r="AA225" s="56" t="s">
        <v>18</v>
      </c>
      <c r="AB225" s="56">
        <v>14100733</v>
      </c>
      <c r="AC225" s="56" t="s">
        <v>18</v>
      </c>
      <c r="AD225" s="56">
        <v>14100733</v>
      </c>
      <c r="AE225" s="56" t="s">
        <v>2626</v>
      </c>
      <c r="AF225" s="56" t="s">
        <v>2627</v>
      </c>
      <c r="AG225" s="56" t="s">
        <v>2627</v>
      </c>
      <c r="AH225" s="56">
        <v>36</v>
      </c>
      <c r="AI225" s="56" t="s">
        <v>2628</v>
      </c>
      <c r="AJ225" s="56" t="s">
        <v>2629</v>
      </c>
      <c r="AK225" s="56">
        <v>0</v>
      </c>
      <c r="AL225" s="56" t="s">
        <v>2630</v>
      </c>
      <c r="AM225" s="56" t="s">
        <v>2631</v>
      </c>
      <c r="AN225" s="56" t="s">
        <v>2632</v>
      </c>
      <c r="AO225" s="56" t="s">
        <v>2627</v>
      </c>
      <c r="AP225" s="56">
        <v>433134</v>
      </c>
      <c r="AQ225" s="123">
        <v>6.9444444444444198E-3</v>
      </c>
      <c r="AR225" s="122">
        <v>-1.3391203703703725E-2</v>
      </c>
      <c r="AS225" s="56" t="s">
        <v>1048</v>
      </c>
      <c r="AT225" s="56" t="s">
        <v>1049</v>
      </c>
      <c r="AU225" s="56" t="s">
        <v>1050</v>
      </c>
      <c r="AV225" s="56">
        <v>36</v>
      </c>
      <c r="AW225" s="56" t="s">
        <v>1051</v>
      </c>
      <c r="AX225" s="56" t="s">
        <v>2107</v>
      </c>
      <c r="AY225" s="56" t="s">
        <v>1297</v>
      </c>
      <c r="AZ225" s="56" t="s">
        <v>1067</v>
      </c>
      <c r="BA225" s="56" t="s">
        <v>2108</v>
      </c>
      <c r="BB225" s="56" t="s">
        <v>2109</v>
      </c>
      <c r="BC225" s="56" t="s">
        <v>1057</v>
      </c>
      <c r="BD225" s="56" t="s">
        <v>2110</v>
      </c>
    </row>
    <row r="226" spans="1:56" x14ac:dyDescent="0.2">
      <c r="A226" s="56">
        <v>176761063</v>
      </c>
      <c r="B226" s="56" t="s">
        <v>1579</v>
      </c>
      <c r="C226" s="56" t="s">
        <v>2623</v>
      </c>
      <c r="D226" s="56" t="s">
        <v>1580</v>
      </c>
      <c r="E226" s="56" t="s">
        <v>1044</v>
      </c>
      <c r="F226" s="56">
        <v>223</v>
      </c>
      <c r="G226" s="56"/>
      <c r="H226" s="56">
        <v>5958</v>
      </c>
      <c r="I226" s="56">
        <v>6</v>
      </c>
      <c r="J226" s="56" t="s">
        <v>1045</v>
      </c>
      <c r="K226" s="56" t="s">
        <v>1296</v>
      </c>
      <c r="L226" s="121">
        <v>46270</v>
      </c>
      <c r="M226" s="122">
        <v>0.24305555555555555</v>
      </c>
      <c r="N226" s="122">
        <v>0.24652777777777779</v>
      </c>
      <c r="O226" s="56" t="s">
        <v>1047</v>
      </c>
      <c r="P226" s="121">
        <v>46270</v>
      </c>
      <c r="Q226" s="122">
        <v>0.2673611111111111</v>
      </c>
      <c r="R226" s="122">
        <v>0.2575115740740741</v>
      </c>
      <c r="S226" s="56" t="s">
        <v>1047</v>
      </c>
      <c r="T226" s="56">
        <v>1</v>
      </c>
      <c r="U226" s="56">
        <v>16</v>
      </c>
      <c r="V226" s="56">
        <v>5.98</v>
      </c>
      <c r="W226" s="56">
        <v>6.12</v>
      </c>
      <c r="X226" s="56" t="s">
        <v>2624</v>
      </c>
      <c r="Y226" s="56" t="s">
        <v>2624</v>
      </c>
      <c r="Z226" s="56" t="s">
        <v>2624</v>
      </c>
      <c r="AA226" s="56" t="s">
        <v>1972</v>
      </c>
      <c r="AB226" s="56">
        <v>14124160</v>
      </c>
      <c r="AC226" s="56" t="s">
        <v>1972</v>
      </c>
      <c r="AD226" s="56">
        <v>14124160</v>
      </c>
      <c r="AE226" s="56" t="s">
        <v>2626</v>
      </c>
      <c r="AF226" s="56" t="s">
        <v>2627</v>
      </c>
      <c r="AG226" s="56" t="s">
        <v>2627</v>
      </c>
      <c r="AH226" s="56">
        <v>36</v>
      </c>
      <c r="AI226" s="56" t="s">
        <v>2628</v>
      </c>
      <c r="AJ226" s="56" t="s">
        <v>2629</v>
      </c>
      <c r="AK226" s="56">
        <v>0</v>
      </c>
      <c r="AL226" s="56" t="s">
        <v>2630</v>
      </c>
      <c r="AM226" s="56" t="s">
        <v>2631</v>
      </c>
      <c r="AN226" s="56" t="s">
        <v>2632</v>
      </c>
      <c r="AO226" s="56" t="s">
        <v>2627</v>
      </c>
      <c r="AP226" s="56" t="s">
        <v>2624</v>
      </c>
      <c r="AQ226" s="123">
        <v>3.4722222222222376E-3</v>
      </c>
      <c r="AR226" s="122">
        <v>-9.8495370370370039E-3</v>
      </c>
      <c r="AS226" s="56" t="s">
        <v>1048</v>
      </c>
      <c r="AT226" s="56" t="s">
        <v>1049</v>
      </c>
      <c r="AU226" s="56" t="s">
        <v>1050</v>
      </c>
      <c r="AV226" s="56">
        <v>36</v>
      </c>
      <c r="AW226" s="56" t="s">
        <v>1051</v>
      </c>
      <c r="AX226" s="56" t="s">
        <v>1581</v>
      </c>
      <c r="AY226" s="56" t="s">
        <v>1297</v>
      </c>
      <c r="AZ226" s="56" t="s">
        <v>1067</v>
      </c>
      <c r="BA226" s="56" t="s">
        <v>1582</v>
      </c>
      <c r="BB226" s="56" t="s">
        <v>1583</v>
      </c>
      <c r="BC226" s="56" t="s">
        <v>1057</v>
      </c>
      <c r="BD226" s="56" t="s">
        <v>1584</v>
      </c>
    </row>
    <row r="227" spans="1:56" x14ac:dyDescent="0.2">
      <c r="A227" s="56">
        <v>176762127</v>
      </c>
      <c r="B227" s="56" t="s">
        <v>3178</v>
      </c>
      <c r="C227" s="56" t="s">
        <v>2623</v>
      </c>
      <c r="D227" s="56" t="s">
        <v>2281</v>
      </c>
      <c r="E227" s="56" t="s">
        <v>1044</v>
      </c>
      <c r="F227" s="56">
        <v>112</v>
      </c>
      <c r="G227" s="56" t="s">
        <v>2693</v>
      </c>
      <c r="H227" s="56">
        <v>13374</v>
      </c>
      <c r="I227" s="56">
        <v>6</v>
      </c>
      <c r="J227" s="56" t="s">
        <v>1045</v>
      </c>
      <c r="K227" s="56" t="s">
        <v>1116</v>
      </c>
      <c r="L227" s="121">
        <v>46270</v>
      </c>
      <c r="M227" s="122">
        <v>0.25</v>
      </c>
      <c r="N227" s="122">
        <v>0.25416666666666665</v>
      </c>
      <c r="O227" s="56" t="s">
        <v>1047</v>
      </c>
      <c r="P227" s="121">
        <v>46270</v>
      </c>
      <c r="Q227" s="122">
        <v>0.28125</v>
      </c>
      <c r="R227" s="122">
        <v>0.27185185185185184</v>
      </c>
      <c r="S227" s="56" t="s">
        <v>1047</v>
      </c>
      <c r="T227" s="56">
        <v>1</v>
      </c>
      <c r="U227" s="56">
        <v>17</v>
      </c>
      <c r="V227" s="56">
        <v>11.49</v>
      </c>
      <c r="W227" s="56">
        <v>10.78</v>
      </c>
      <c r="X227" s="56" t="s">
        <v>2624</v>
      </c>
      <c r="Y227" s="56" t="s">
        <v>2624</v>
      </c>
      <c r="Z227" s="56" t="s">
        <v>2624</v>
      </c>
      <c r="AA227" s="56" t="s">
        <v>247</v>
      </c>
      <c r="AB227" s="56">
        <v>14119437</v>
      </c>
      <c r="AC227" s="56" t="s">
        <v>247</v>
      </c>
      <c r="AD227" s="56">
        <v>14119437</v>
      </c>
      <c r="AE227" s="56" t="s">
        <v>2626</v>
      </c>
      <c r="AF227" s="56" t="s">
        <v>2627</v>
      </c>
      <c r="AG227" s="56" t="s">
        <v>2627</v>
      </c>
      <c r="AH227" s="56">
        <v>36</v>
      </c>
      <c r="AI227" s="56" t="s">
        <v>2628</v>
      </c>
      <c r="AJ227" s="56" t="s">
        <v>2629</v>
      </c>
      <c r="AK227" s="56">
        <v>0</v>
      </c>
      <c r="AL227" s="56" t="s">
        <v>2630</v>
      </c>
      <c r="AM227" s="56" t="s">
        <v>2631</v>
      </c>
      <c r="AN227" s="56" t="s">
        <v>2632</v>
      </c>
      <c r="AO227" s="56" t="s">
        <v>2627</v>
      </c>
      <c r="AP227" s="56" t="s">
        <v>2624</v>
      </c>
      <c r="AQ227" s="123">
        <v>4.1666666666666519E-3</v>
      </c>
      <c r="AR227" s="122">
        <v>-9.3981481481481555E-3</v>
      </c>
      <c r="AS227" s="56" t="s">
        <v>1048</v>
      </c>
      <c r="AT227" s="56" t="s">
        <v>1049</v>
      </c>
      <c r="AU227" s="56" t="s">
        <v>1050</v>
      </c>
      <c r="AV227" s="56">
        <v>36</v>
      </c>
      <c r="AW227" s="56" t="s">
        <v>1051</v>
      </c>
      <c r="AX227" s="56" t="s">
        <v>2825</v>
      </c>
      <c r="AY227" s="56" t="s">
        <v>1128</v>
      </c>
      <c r="AZ227" s="56" t="s">
        <v>1054</v>
      </c>
      <c r="BA227" s="56" t="s">
        <v>2826</v>
      </c>
      <c r="BB227" s="56" t="s">
        <v>2827</v>
      </c>
      <c r="BC227" s="56" t="s">
        <v>1057</v>
      </c>
      <c r="BD227" s="56" t="s">
        <v>3179</v>
      </c>
    </row>
    <row r="228" spans="1:56" x14ac:dyDescent="0.2">
      <c r="A228" s="56">
        <v>176757544</v>
      </c>
      <c r="B228" s="56" t="s">
        <v>3180</v>
      </c>
      <c r="C228" s="56" t="s">
        <v>2623</v>
      </c>
      <c r="D228" s="56" t="s">
        <v>3181</v>
      </c>
      <c r="E228" s="56" t="s">
        <v>1044</v>
      </c>
      <c r="F228" s="56">
        <v>4</v>
      </c>
      <c r="G228" s="56" t="s">
        <v>3182</v>
      </c>
      <c r="H228" s="56">
        <v>17487</v>
      </c>
      <c r="I228" s="56">
        <v>6</v>
      </c>
      <c r="J228" s="56" t="s">
        <v>1045</v>
      </c>
      <c r="K228" s="56" t="s">
        <v>1058</v>
      </c>
      <c r="L228" s="121">
        <v>46270</v>
      </c>
      <c r="M228" s="122">
        <v>0.3923611111111111</v>
      </c>
      <c r="N228" s="122">
        <v>0.40555555555555556</v>
      </c>
      <c r="O228" s="56" t="s">
        <v>1047</v>
      </c>
      <c r="P228" s="121">
        <v>46270</v>
      </c>
      <c r="Q228" s="122">
        <v>0.45833333333333331</v>
      </c>
      <c r="R228" s="122">
        <v>0.46878472222222223</v>
      </c>
      <c r="S228" s="56" t="s">
        <v>1047</v>
      </c>
      <c r="T228" s="56">
        <v>1</v>
      </c>
      <c r="U228" s="56">
        <v>39</v>
      </c>
      <c r="V228" s="56">
        <v>34.619999999999997</v>
      </c>
      <c r="W228" s="56">
        <v>35.880000000000003</v>
      </c>
      <c r="X228" s="56" t="s">
        <v>2624</v>
      </c>
      <c r="Y228" s="56" t="s">
        <v>2624</v>
      </c>
      <c r="Z228" s="56" t="s">
        <v>2624</v>
      </c>
      <c r="AA228" s="56" t="s">
        <v>439</v>
      </c>
      <c r="AB228" s="56">
        <v>14122681</v>
      </c>
      <c r="AC228" s="56" t="s">
        <v>439</v>
      </c>
      <c r="AD228" s="56">
        <v>14122681</v>
      </c>
      <c r="AE228" s="56" t="s">
        <v>2626</v>
      </c>
      <c r="AF228" s="56" t="s">
        <v>2627</v>
      </c>
      <c r="AG228" s="56" t="s">
        <v>2627</v>
      </c>
      <c r="AH228" s="56">
        <v>36</v>
      </c>
      <c r="AI228" s="56" t="s">
        <v>2628</v>
      </c>
      <c r="AJ228" s="56" t="s">
        <v>2640</v>
      </c>
      <c r="AK228" s="56">
        <v>881</v>
      </c>
      <c r="AL228" s="56" t="s">
        <v>2630</v>
      </c>
      <c r="AM228" s="56" t="s">
        <v>2631</v>
      </c>
      <c r="AN228" s="56" t="s">
        <v>2632</v>
      </c>
      <c r="AO228" s="56" t="s">
        <v>2627</v>
      </c>
      <c r="AP228" s="56" t="s">
        <v>2624</v>
      </c>
      <c r="AQ228" s="123">
        <v>1.3194444444444453E-2</v>
      </c>
      <c r="AR228" s="122">
        <v>1.0451388888888913E-2</v>
      </c>
      <c r="AS228" s="56" t="s">
        <v>1048</v>
      </c>
      <c r="AT228" s="56" t="s">
        <v>1059</v>
      </c>
      <c r="AU228" s="56" t="s">
        <v>1060</v>
      </c>
      <c r="AV228" s="56">
        <v>36</v>
      </c>
      <c r="AW228" s="56" t="s">
        <v>1051</v>
      </c>
      <c r="AX228" s="56" t="s">
        <v>3183</v>
      </c>
      <c r="AY228" s="56" t="s">
        <v>1061</v>
      </c>
      <c r="AZ228" s="56" t="s">
        <v>1062</v>
      </c>
      <c r="BA228" s="56" t="s">
        <v>3184</v>
      </c>
      <c r="BB228" s="56" t="s">
        <v>3185</v>
      </c>
      <c r="BC228" s="56" t="s">
        <v>1133</v>
      </c>
      <c r="BD228" s="56" t="s">
        <v>3186</v>
      </c>
    </row>
    <row r="229" spans="1:56" x14ac:dyDescent="0.2">
      <c r="A229" s="56">
        <v>176757552</v>
      </c>
      <c r="B229" s="56" t="s">
        <v>2776</v>
      </c>
      <c r="C229" s="56" t="s">
        <v>2623</v>
      </c>
      <c r="D229" s="56" t="s">
        <v>1173</v>
      </c>
      <c r="E229" s="56" t="s">
        <v>1044</v>
      </c>
      <c r="F229" s="56">
        <v>7</v>
      </c>
      <c r="G229" s="56"/>
      <c r="H229" s="56">
        <v>15765</v>
      </c>
      <c r="I229" s="56">
        <v>6</v>
      </c>
      <c r="J229" s="56" t="s">
        <v>1045</v>
      </c>
      <c r="K229" s="56" t="s">
        <v>1058</v>
      </c>
      <c r="L229" s="121">
        <v>46270</v>
      </c>
      <c r="M229" s="122">
        <v>0.40277777777777779</v>
      </c>
      <c r="N229" s="122">
        <v>0.40972222222222221</v>
      </c>
      <c r="O229" s="56" t="s">
        <v>1047</v>
      </c>
      <c r="P229" s="121">
        <v>46270</v>
      </c>
      <c r="Q229" s="122">
        <v>0.45833333333333331</v>
      </c>
      <c r="R229" s="122">
        <v>0.45092592592592595</v>
      </c>
      <c r="S229" s="56" t="s">
        <v>1047</v>
      </c>
      <c r="T229" s="56">
        <v>1</v>
      </c>
      <c r="U229" s="56">
        <v>34</v>
      </c>
      <c r="V229" s="56">
        <v>28.3</v>
      </c>
      <c r="W229" s="56">
        <v>25.72</v>
      </c>
      <c r="X229" s="56" t="s">
        <v>2624</v>
      </c>
      <c r="Y229" s="56" t="s">
        <v>2624</v>
      </c>
      <c r="Z229" s="56" t="s">
        <v>2624</v>
      </c>
      <c r="AA229" s="56" t="s">
        <v>1174</v>
      </c>
      <c r="AB229" s="56">
        <v>14113198</v>
      </c>
      <c r="AC229" s="56" t="s">
        <v>1174</v>
      </c>
      <c r="AD229" s="56">
        <v>14113198</v>
      </c>
      <c r="AE229" s="56" t="s">
        <v>2626</v>
      </c>
      <c r="AF229" s="56" t="s">
        <v>2627</v>
      </c>
      <c r="AG229" s="56" t="s">
        <v>2627</v>
      </c>
      <c r="AH229" s="56">
        <v>36</v>
      </c>
      <c r="AI229" s="56" t="s">
        <v>2628</v>
      </c>
      <c r="AJ229" s="56" t="s">
        <v>2629</v>
      </c>
      <c r="AK229" s="56">
        <v>842</v>
      </c>
      <c r="AL229" s="56" t="s">
        <v>2630</v>
      </c>
      <c r="AM229" s="56" t="s">
        <v>2631</v>
      </c>
      <c r="AN229" s="56" t="s">
        <v>2632</v>
      </c>
      <c r="AO229" s="56" t="s">
        <v>2627</v>
      </c>
      <c r="AP229" s="56" t="s">
        <v>2624</v>
      </c>
      <c r="AQ229" s="123">
        <v>6.9444444444444198E-3</v>
      </c>
      <c r="AR229" s="122">
        <v>-7.4074074074073626E-3</v>
      </c>
      <c r="AS229" s="56" t="s">
        <v>1048</v>
      </c>
      <c r="AT229" s="56" t="s">
        <v>1049</v>
      </c>
      <c r="AU229" s="56" t="s">
        <v>1050</v>
      </c>
      <c r="AV229" s="56">
        <v>36</v>
      </c>
      <c r="AW229" s="56" t="s">
        <v>1051</v>
      </c>
      <c r="AX229" s="56" t="s">
        <v>1175</v>
      </c>
      <c r="AY229" s="56" t="s">
        <v>1061</v>
      </c>
      <c r="AZ229" s="56" t="s">
        <v>1062</v>
      </c>
      <c r="BA229" s="56" t="s">
        <v>1176</v>
      </c>
      <c r="BB229" s="56" t="s">
        <v>1177</v>
      </c>
      <c r="BC229" s="56" t="s">
        <v>1133</v>
      </c>
      <c r="BD229" s="56" t="s">
        <v>3187</v>
      </c>
    </row>
    <row r="230" spans="1:56" x14ac:dyDescent="0.2">
      <c r="A230" s="56">
        <v>176757562</v>
      </c>
      <c r="B230" s="56" t="s">
        <v>2816</v>
      </c>
      <c r="C230" s="56" t="s">
        <v>2623</v>
      </c>
      <c r="D230" s="56" t="s">
        <v>2688</v>
      </c>
      <c r="E230" s="56" t="s">
        <v>1044</v>
      </c>
      <c r="F230" s="56">
        <v>11</v>
      </c>
      <c r="G230" s="56"/>
      <c r="H230" s="56">
        <v>15185</v>
      </c>
      <c r="I230" s="56">
        <v>6</v>
      </c>
      <c r="J230" s="56" t="s">
        <v>1045</v>
      </c>
      <c r="K230" s="56" t="s">
        <v>1058</v>
      </c>
      <c r="L230" s="121">
        <v>46270</v>
      </c>
      <c r="M230" s="122">
        <v>0.43472222222222223</v>
      </c>
      <c r="N230" s="122">
        <v>0.44027777777777777</v>
      </c>
      <c r="O230" s="56" t="s">
        <v>1047</v>
      </c>
      <c r="P230" s="121">
        <v>46270</v>
      </c>
      <c r="Q230" s="122">
        <v>0.45833333333333331</v>
      </c>
      <c r="R230" s="122">
        <v>0.45458333333333334</v>
      </c>
      <c r="S230" s="56" t="s">
        <v>1047</v>
      </c>
      <c r="T230" s="56">
        <v>1</v>
      </c>
      <c r="U230" s="56">
        <v>14</v>
      </c>
      <c r="V230" s="56">
        <v>8.8800000000000008</v>
      </c>
      <c r="W230" s="56">
        <v>8.39</v>
      </c>
      <c r="X230" s="56" t="s">
        <v>2624</v>
      </c>
      <c r="Y230" s="56" t="s">
        <v>2624</v>
      </c>
      <c r="Z230" s="56" t="s">
        <v>2624</v>
      </c>
      <c r="AA230" s="56" t="s">
        <v>467</v>
      </c>
      <c r="AB230" s="56">
        <v>14122925</v>
      </c>
      <c r="AC230" s="56" t="s">
        <v>467</v>
      </c>
      <c r="AD230" s="56">
        <v>14122925</v>
      </c>
      <c r="AE230" s="56" t="s">
        <v>2626</v>
      </c>
      <c r="AF230" s="56" t="s">
        <v>2627</v>
      </c>
      <c r="AG230" s="56" t="s">
        <v>2627</v>
      </c>
      <c r="AH230" s="56">
        <v>36</v>
      </c>
      <c r="AI230" s="56" t="s">
        <v>2628</v>
      </c>
      <c r="AJ230" s="56" t="s">
        <v>2629</v>
      </c>
      <c r="AK230" s="56">
        <v>730</v>
      </c>
      <c r="AL230" s="56" t="s">
        <v>2630</v>
      </c>
      <c r="AM230" s="56" t="s">
        <v>2631</v>
      </c>
      <c r="AN230" s="56" t="s">
        <v>2632</v>
      </c>
      <c r="AO230" s="56" t="s">
        <v>2627</v>
      </c>
      <c r="AP230" s="56">
        <v>26</v>
      </c>
      <c r="AQ230" s="123">
        <v>5.5555555555555358E-3</v>
      </c>
      <c r="AR230" s="122">
        <v>-3.7499999999999756E-3</v>
      </c>
      <c r="AS230" s="56" t="s">
        <v>1048</v>
      </c>
      <c r="AT230" s="56" t="s">
        <v>1049</v>
      </c>
      <c r="AU230" s="56" t="s">
        <v>1050</v>
      </c>
      <c r="AV230" s="56">
        <v>36</v>
      </c>
      <c r="AW230" s="56" t="s">
        <v>1051</v>
      </c>
      <c r="AX230" s="56" t="s">
        <v>2689</v>
      </c>
      <c r="AY230" s="56" t="s">
        <v>1061</v>
      </c>
      <c r="AZ230" s="56" t="s">
        <v>1062</v>
      </c>
      <c r="BA230" s="56" t="s">
        <v>2690</v>
      </c>
      <c r="BB230" s="56" t="s">
        <v>2691</v>
      </c>
      <c r="BC230" s="56" t="s">
        <v>1133</v>
      </c>
      <c r="BD230" s="56" t="s">
        <v>3188</v>
      </c>
    </row>
    <row r="231" spans="1:56" x14ac:dyDescent="0.2">
      <c r="A231" s="56">
        <v>176752916</v>
      </c>
      <c r="B231" s="56" t="s">
        <v>3017</v>
      </c>
      <c r="C231" s="56" t="s">
        <v>2623</v>
      </c>
      <c r="D231" s="56" t="s">
        <v>2082</v>
      </c>
      <c r="E231" s="56" t="s">
        <v>1044</v>
      </c>
      <c r="F231" s="56">
        <v>40</v>
      </c>
      <c r="G231" s="56"/>
      <c r="H231" s="56">
        <v>5364</v>
      </c>
      <c r="I231" s="56">
        <v>6</v>
      </c>
      <c r="J231" s="56" t="s">
        <v>1045</v>
      </c>
      <c r="K231" s="56" t="s">
        <v>1123</v>
      </c>
      <c r="L231" s="121">
        <v>46270</v>
      </c>
      <c r="M231" s="122">
        <v>0.51875000000000004</v>
      </c>
      <c r="N231" s="122">
        <v>0.52569444444444446</v>
      </c>
      <c r="O231" s="56" t="s">
        <v>1047</v>
      </c>
      <c r="P231" s="121">
        <v>46270</v>
      </c>
      <c r="Q231" s="122">
        <v>0.60416666666666663</v>
      </c>
      <c r="R231" s="122">
        <v>0.58939814814814817</v>
      </c>
      <c r="S231" s="56" t="s">
        <v>1047</v>
      </c>
      <c r="T231" s="56">
        <v>1</v>
      </c>
      <c r="U231" s="56">
        <v>39</v>
      </c>
      <c r="V231" s="56">
        <v>32.549999999999997</v>
      </c>
      <c r="W231" s="56">
        <v>31.34</v>
      </c>
      <c r="X231" s="56" t="s">
        <v>2624</v>
      </c>
      <c r="Y231" s="56" t="s">
        <v>2624</v>
      </c>
      <c r="Z231" s="56" t="s">
        <v>2624</v>
      </c>
      <c r="AA231" s="56" t="s">
        <v>230</v>
      </c>
      <c r="AB231" s="56">
        <v>14119018</v>
      </c>
      <c r="AC231" s="56" t="s">
        <v>230</v>
      </c>
      <c r="AD231" s="56">
        <v>14119018</v>
      </c>
      <c r="AE231" s="56" t="s">
        <v>2626</v>
      </c>
      <c r="AF231" s="56" t="s">
        <v>2627</v>
      </c>
      <c r="AG231" s="56" t="s">
        <v>2627</v>
      </c>
      <c r="AH231" s="56">
        <v>36</v>
      </c>
      <c r="AI231" s="56" t="s">
        <v>2628</v>
      </c>
      <c r="AJ231" s="56" t="s">
        <v>2629</v>
      </c>
      <c r="AK231" s="56">
        <v>714.73</v>
      </c>
      <c r="AL231" s="56" t="s">
        <v>2630</v>
      </c>
      <c r="AM231" s="56" t="s">
        <v>2631</v>
      </c>
      <c r="AN231" s="56" t="s">
        <v>2632</v>
      </c>
      <c r="AO231" s="56" t="s">
        <v>2627</v>
      </c>
      <c r="AP231" s="56" t="s">
        <v>2624</v>
      </c>
      <c r="AQ231" s="123">
        <v>6.9444444444444198E-3</v>
      </c>
      <c r="AR231" s="122">
        <v>-1.4768518518518459E-2</v>
      </c>
      <c r="AS231" s="56" t="s">
        <v>1048</v>
      </c>
      <c r="AT231" s="56" t="s">
        <v>1049</v>
      </c>
      <c r="AU231" s="56" t="s">
        <v>1050</v>
      </c>
      <c r="AV231" s="56">
        <v>36</v>
      </c>
      <c r="AW231" s="56" t="s">
        <v>1051</v>
      </c>
      <c r="AX231" s="56" t="s">
        <v>2083</v>
      </c>
      <c r="AY231" s="56" t="s">
        <v>1124</v>
      </c>
      <c r="AZ231" s="56" t="s">
        <v>1054</v>
      </c>
      <c r="BA231" s="56" t="s">
        <v>2084</v>
      </c>
      <c r="BB231" s="56" t="s">
        <v>2085</v>
      </c>
      <c r="BC231" s="56" t="s">
        <v>1133</v>
      </c>
      <c r="BD231" s="56" t="s">
        <v>3018</v>
      </c>
    </row>
    <row r="232" spans="1:56" x14ac:dyDescent="0.2">
      <c r="A232" s="56">
        <v>176749644</v>
      </c>
      <c r="B232" s="56" t="s">
        <v>2120</v>
      </c>
      <c r="C232" s="56" t="s">
        <v>2623</v>
      </c>
      <c r="D232" s="56" t="s">
        <v>1575</v>
      </c>
      <c r="E232" s="56" t="s">
        <v>1044</v>
      </c>
      <c r="F232" s="56">
        <v>67</v>
      </c>
      <c r="G232" s="56"/>
      <c r="H232" s="56">
        <v>6795</v>
      </c>
      <c r="I232" s="56">
        <v>6</v>
      </c>
      <c r="J232" s="56" t="s">
        <v>1045</v>
      </c>
      <c r="K232" s="56" t="s">
        <v>1064</v>
      </c>
      <c r="L232" s="121">
        <v>46270</v>
      </c>
      <c r="M232" s="122">
        <v>0.52777777777777779</v>
      </c>
      <c r="N232" s="122">
        <v>0.53541666666666665</v>
      </c>
      <c r="O232" s="56" t="s">
        <v>1047</v>
      </c>
      <c r="P232" s="121">
        <v>46270</v>
      </c>
      <c r="Q232" s="122">
        <v>0.60069444444444442</v>
      </c>
      <c r="R232" s="122">
        <v>0.6221875</v>
      </c>
      <c r="S232" s="56" t="s">
        <v>1047</v>
      </c>
      <c r="T232" s="56">
        <v>1</v>
      </c>
      <c r="U232" s="56">
        <v>42</v>
      </c>
      <c r="V232" s="56">
        <v>38.21</v>
      </c>
      <c r="W232" s="56">
        <v>35.979999999999997</v>
      </c>
      <c r="X232" s="56" t="s">
        <v>2624</v>
      </c>
      <c r="Y232" s="56" t="s">
        <v>2624</v>
      </c>
      <c r="Z232" s="56" t="s">
        <v>2624</v>
      </c>
      <c r="AA232" s="56" t="s">
        <v>1759</v>
      </c>
      <c r="AB232" s="56">
        <v>14121677</v>
      </c>
      <c r="AC232" s="56" t="s">
        <v>1759</v>
      </c>
      <c r="AD232" s="56">
        <v>14121677</v>
      </c>
      <c r="AE232" s="56" t="s">
        <v>2626</v>
      </c>
      <c r="AF232" s="56" t="s">
        <v>2627</v>
      </c>
      <c r="AG232" s="56" t="s">
        <v>2627</v>
      </c>
      <c r="AH232" s="56">
        <v>36</v>
      </c>
      <c r="AI232" s="56" t="s">
        <v>2628</v>
      </c>
      <c r="AJ232" s="56" t="s">
        <v>2640</v>
      </c>
      <c r="AK232" s="56">
        <v>530.63</v>
      </c>
      <c r="AL232" s="56" t="s">
        <v>2630</v>
      </c>
      <c r="AM232" s="56" t="s">
        <v>2631</v>
      </c>
      <c r="AN232" s="56" t="s">
        <v>2632</v>
      </c>
      <c r="AO232" s="56" t="s">
        <v>2627</v>
      </c>
      <c r="AP232" s="56">
        <v>20</v>
      </c>
      <c r="AQ232" s="123">
        <v>7.6388888888888618E-3</v>
      </c>
      <c r="AR232" s="122">
        <v>2.1493055555555585E-2</v>
      </c>
      <c r="AS232" s="56" t="s">
        <v>1048</v>
      </c>
      <c r="AT232" s="56" t="s">
        <v>1059</v>
      </c>
      <c r="AU232" s="56" t="s">
        <v>1060</v>
      </c>
      <c r="AV232" s="56">
        <v>36</v>
      </c>
      <c r="AW232" s="56" t="s">
        <v>1051</v>
      </c>
      <c r="AX232" s="56" t="s">
        <v>1576</v>
      </c>
      <c r="AY232" s="56" t="s">
        <v>1066</v>
      </c>
      <c r="AZ232" s="56" t="s">
        <v>1067</v>
      </c>
      <c r="BA232" s="56" t="s">
        <v>1577</v>
      </c>
      <c r="BB232" s="56" t="s">
        <v>1578</v>
      </c>
      <c r="BC232" s="56" t="s">
        <v>1133</v>
      </c>
      <c r="BD232" s="56" t="s">
        <v>2121</v>
      </c>
    </row>
    <row r="233" spans="1:56" x14ac:dyDescent="0.2">
      <c r="A233" s="56">
        <v>176752585</v>
      </c>
      <c r="B233" s="56" t="s">
        <v>2227</v>
      </c>
      <c r="C233" s="56" t="s">
        <v>2623</v>
      </c>
      <c r="D233" s="56" t="s">
        <v>1411</v>
      </c>
      <c r="E233" s="56" t="s">
        <v>1044</v>
      </c>
      <c r="F233" s="56">
        <v>38</v>
      </c>
      <c r="G233" s="56"/>
      <c r="H233" s="56">
        <v>5429</v>
      </c>
      <c r="I233" s="56">
        <v>6</v>
      </c>
      <c r="J233" s="56" t="s">
        <v>1045</v>
      </c>
      <c r="K233" s="56" t="s">
        <v>1123</v>
      </c>
      <c r="L233" s="121">
        <v>46270</v>
      </c>
      <c r="M233" s="122">
        <v>0.52777777777777779</v>
      </c>
      <c r="N233" s="122">
        <v>0.54166666666666663</v>
      </c>
      <c r="O233" s="56" t="s">
        <v>1047</v>
      </c>
      <c r="P233" s="121">
        <v>46270</v>
      </c>
      <c r="Q233" s="122">
        <v>0.60416666666666663</v>
      </c>
      <c r="R233" s="122">
        <v>0.61651620370370375</v>
      </c>
      <c r="S233" s="56" t="s">
        <v>1047</v>
      </c>
      <c r="T233" s="56">
        <v>1</v>
      </c>
      <c r="U233" s="56">
        <v>26</v>
      </c>
      <c r="V233" s="56">
        <v>23.16</v>
      </c>
      <c r="W233" s="56">
        <v>24.07</v>
      </c>
      <c r="X233" s="56" t="s">
        <v>2624</v>
      </c>
      <c r="Y233" s="56" t="s">
        <v>2624</v>
      </c>
      <c r="Z233" s="56" t="s">
        <v>2624</v>
      </c>
      <c r="AA233" s="56" t="s">
        <v>446</v>
      </c>
      <c r="AB233" s="56">
        <v>14122709</v>
      </c>
      <c r="AC233" s="56" t="s">
        <v>446</v>
      </c>
      <c r="AD233" s="56">
        <v>14122709</v>
      </c>
      <c r="AE233" s="56" t="s">
        <v>2626</v>
      </c>
      <c r="AF233" s="56" t="s">
        <v>2627</v>
      </c>
      <c r="AG233" s="56" t="s">
        <v>2627</v>
      </c>
      <c r="AH233" s="56">
        <v>36</v>
      </c>
      <c r="AI233" s="56" t="s">
        <v>2628</v>
      </c>
      <c r="AJ233" s="56" t="s">
        <v>2640</v>
      </c>
      <c r="AK233" s="56">
        <v>483.41</v>
      </c>
      <c r="AL233" s="56" t="s">
        <v>2630</v>
      </c>
      <c r="AM233" s="56" t="s">
        <v>2631</v>
      </c>
      <c r="AN233" s="56" t="s">
        <v>2632</v>
      </c>
      <c r="AO233" s="56" t="s">
        <v>2627</v>
      </c>
      <c r="AP233" s="56" t="s">
        <v>2624</v>
      </c>
      <c r="AQ233" s="123">
        <v>1.388888888888884E-2</v>
      </c>
      <c r="AR233" s="122">
        <v>1.2349537037037117E-2</v>
      </c>
      <c r="AS233" s="56" t="s">
        <v>1048</v>
      </c>
      <c r="AT233" s="56" t="s">
        <v>1059</v>
      </c>
      <c r="AU233" s="56" t="s">
        <v>1060</v>
      </c>
      <c r="AV233" s="56">
        <v>36</v>
      </c>
      <c r="AW233" s="56" t="s">
        <v>1051</v>
      </c>
      <c r="AX233" s="56" t="s">
        <v>1412</v>
      </c>
      <c r="AY233" s="56" t="s">
        <v>1124</v>
      </c>
      <c r="AZ233" s="56" t="s">
        <v>1054</v>
      </c>
      <c r="BA233" s="56" t="s">
        <v>1413</v>
      </c>
      <c r="BB233" s="56" t="s">
        <v>1414</v>
      </c>
      <c r="BC233" s="56" t="s">
        <v>1133</v>
      </c>
      <c r="BD233" s="56" t="s">
        <v>2228</v>
      </c>
    </row>
    <row r="234" spans="1:56" x14ac:dyDescent="0.2">
      <c r="A234" s="56">
        <v>176755167</v>
      </c>
      <c r="B234" s="56" t="s">
        <v>2763</v>
      </c>
      <c r="C234" s="56" t="s">
        <v>2623</v>
      </c>
      <c r="D234" s="56" t="s">
        <v>1186</v>
      </c>
      <c r="E234" s="56" t="s">
        <v>1044</v>
      </c>
      <c r="F234" s="56">
        <v>101</v>
      </c>
      <c r="G234" s="56"/>
      <c r="H234" s="56">
        <v>10747</v>
      </c>
      <c r="I234" s="56">
        <v>6</v>
      </c>
      <c r="J234" s="56" t="s">
        <v>1045</v>
      </c>
      <c r="K234" s="56" t="s">
        <v>1079</v>
      </c>
      <c r="L234" s="121">
        <v>46270</v>
      </c>
      <c r="M234" s="122">
        <v>0.52777777777777779</v>
      </c>
      <c r="N234" s="122">
        <v>0.53125</v>
      </c>
      <c r="O234" s="56" t="s">
        <v>1047</v>
      </c>
      <c r="P234" s="121">
        <v>46270</v>
      </c>
      <c r="Q234" s="122">
        <v>0.60069444444444442</v>
      </c>
      <c r="R234" s="122">
        <v>0.6042939814814815</v>
      </c>
      <c r="S234" s="56" t="s">
        <v>1047</v>
      </c>
      <c r="T234" s="56">
        <v>1</v>
      </c>
      <c r="U234" s="56">
        <v>43</v>
      </c>
      <c r="V234" s="56">
        <v>37</v>
      </c>
      <c r="W234" s="56">
        <v>36.43</v>
      </c>
      <c r="X234" s="56" t="s">
        <v>2624</v>
      </c>
      <c r="Y234" s="56" t="s">
        <v>2624</v>
      </c>
      <c r="Z234" s="56" t="s">
        <v>2624</v>
      </c>
      <c r="AA234" s="56" t="s">
        <v>527</v>
      </c>
      <c r="AB234" s="56">
        <v>14123488</v>
      </c>
      <c r="AC234" s="56" t="s">
        <v>527</v>
      </c>
      <c r="AD234" s="56">
        <v>14123488</v>
      </c>
      <c r="AE234" s="56" t="s">
        <v>2626</v>
      </c>
      <c r="AF234" s="56" t="s">
        <v>2627</v>
      </c>
      <c r="AG234" s="56" t="s">
        <v>2627</v>
      </c>
      <c r="AH234" s="56">
        <v>36</v>
      </c>
      <c r="AI234" s="56" t="s">
        <v>2628</v>
      </c>
      <c r="AJ234" s="56" t="s">
        <v>2640</v>
      </c>
      <c r="AK234" s="56">
        <v>0</v>
      </c>
      <c r="AL234" s="56" t="s">
        <v>2630</v>
      </c>
      <c r="AM234" s="56" t="s">
        <v>2631</v>
      </c>
      <c r="AN234" s="56" t="s">
        <v>2632</v>
      </c>
      <c r="AO234" s="56" t="s">
        <v>2627</v>
      </c>
      <c r="AP234" s="56">
        <v>11</v>
      </c>
      <c r="AQ234" s="123">
        <v>3.4722222222222099E-3</v>
      </c>
      <c r="AR234" s="122">
        <v>3.5995370370370816E-3</v>
      </c>
      <c r="AS234" s="56" t="s">
        <v>1048</v>
      </c>
      <c r="AT234" s="56" t="s">
        <v>1059</v>
      </c>
      <c r="AU234" s="56" t="s">
        <v>1060</v>
      </c>
      <c r="AV234" s="56">
        <v>36</v>
      </c>
      <c r="AW234" s="56" t="s">
        <v>1051</v>
      </c>
      <c r="AX234" s="56" t="s">
        <v>1188</v>
      </c>
      <c r="AY234" s="56" t="s">
        <v>1081</v>
      </c>
      <c r="AZ234" s="56" t="s">
        <v>1067</v>
      </c>
      <c r="BA234" s="56" t="s">
        <v>1189</v>
      </c>
      <c r="BB234" s="56" t="s">
        <v>1190</v>
      </c>
      <c r="BC234" s="56" t="s">
        <v>1133</v>
      </c>
      <c r="BD234" s="56" t="s">
        <v>2764</v>
      </c>
    </row>
    <row r="235" spans="1:56" x14ac:dyDescent="0.2">
      <c r="A235" s="56">
        <v>176754952</v>
      </c>
      <c r="B235" s="56" t="s">
        <v>3189</v>
      </c>
      <c r="C235" s="56" t="s">
        <v>2623</v>
      </c>
      <c r="D235" s="56" t="s">
        <v>1136</v>
      </c>
      <c r="E235" s="56" t="s">
        <v>1044</v>
      </c>
      <c r="F235" s="56">
        <v>25</v>
      </c>
      <c r="G235" s="56"/>
      <c r="H235" s="56">
        <v>17355</v>
      </c>
      <c r="I235" s="56">
        <v>6</v>
      </c>
      <c r="J235" s="56" t="s">
        <v>1045</v>
      </c>
      <c r="K235" s="56" t="s">
        <v>1091</v>
      </c>
      <c r="L235" s="121">
        <v>46270</v>
      </c>
      <c r="M235" s="122">
        <v>0.53125</v>
      </c>
      <c r="N235" s="122">
        <v>0.5625</v>
      </c>
      <c r="O235" s="56" t="s">
        <v>1047</v>
      </c>
      <c r="P235" s="121">
        <v>46270</v>
      </c>
      <c r="Q235" s="122">
        <v>0.60069444444444442</v>
      </c>
      <c r="R235" s="122">
        <v>0.61018518518518516</v>
      </c>
      <c r="S235" s="56" t="s">
        <v>1047</v>
      </c>
      <c r="T235" s="56">
        <v>1</v>
      </c>
      <c r="U235" s="56">
        <v>24</v>
      </c>
      <c r="V235" s="56">
        <v>19.5</v>
      </c>
      <c r="W235" s="56">
        <v>20.65</v>
      </c>
      <c r="X235" s="56" t="s">
        <v>2624</v>
      </c>
      <c r="Y235" s="56" t="s">
        <v>2624</v>
      </c>
      <c r="Z235" s="56" t="s">
        <v>2624</v>
      </c>
      <c r="AA235" s="56" t="s">
        <v>1448</v>
      </c>
      <c r="AB235" s="56">
        <v>14115917</v>
      </c>
      <c r="AC235" s="56" t="s">
        <v>1448</v>
      </c>
      <c r="AD235" s="56">
        <v>14115917</v>
      </c>
      <c r="AE235" s="56" t="s">
        <v>2626</v>
      </c>
      <c r="AF235" s="56" t="s">
        <v>2627</v>
      </c>
      <c r="AG235" s="56" t="s">
        <v>2627</v>
      </c>
      <c r="AH235" s="56">
        <v>36</v>
      </c>
      <c r="AI235" s="56" t="s">
        <v>2628</v>
      </c>
      <c r="AJ235" s="56" t="s">
        <v>2640</v>
      </c>
      <c r="AK235" s="56">
        <v>0</v>
      </c>
      <c r="AL235" s="56" t="s">
        <v>2630</v>
      </c>
      <c r="AM235" s="56" t="s">
        <v>2631</v>
      </c>
      <c r="AN235" s="56" t="s">
        <v>2632</v>
      </c>
      <c r="AO235" s="56" t="s">
        <v>2627</v>
      </c>
      <c r="AP235" s="56" t="s">
        <v>2624</v>
      </c>
      <c r="AQ235" s="123">
        <v>3.125E-2</v>
      </c>
      <c r="AR235" s="122">
        <v>9.490740740740744E-3</v>
      </c>
      <c r="AS235" s="56" t="s">
        <v>1048</v>
      </c>
      <c r="AT235" s="56" t="s">
        <v>1059</v>
      </c>
      <c r="AU235" s="56" t="s">
        <v>1060</v>
      </c>
      <c r="AV235" s="56">
        <v>36</v>
      </c>
      <c r="AW235" s="56" t="s">
        <v>1051</v>
      </c>
      <c r="AX235" s="56" t="s">
        <v>1137</v>
      </c>
      <c r="AY235" s="56" t="s">
        <v>1093</v>
      </c>
      <c r="AZ235" s="56" t="s">
        <v>1067</v>
      </c>
      <c r="BA235" s="56" t="s">
        <v>1138</v>
      </c>
      <c r="BB235" s="56" t="s">
        <v>1139</v>
      </c>
      <c r="BC235" s="56" t="s">
        <v>1133</v>
      </c>
      <c r="BD235" s="56" t="s">
        <v>3190</v>
      </c>
    </row>
    <row r="236" spans="1:56" x14ac:dyDescent="0.2">
      <c r="A236" s="56">
        <v>176763134</v>
      </c>
      <c r="B236" s="56" t="s">
        <v>3191</v>
      </c>
      <c r="C236" s="56" t="s">
        <v>2623</v>
      </c>
      <c r="D236" s="56" t="s">
        <v>3192</v>
      </c>
      <c r="E236" s="56" t="s">
        <v>1044</v>
      </c>
      <c r="F236" s="56">
        <v>231</v>
      </c>
      <c r="G236" s="56"/>
      <c r="H236" s="56">
        <v>6279</v>
      </c>
      <c r="I236" s="56">
        <v>6</v>
      </c>
      <c r="J236" s="56" t="s">
        <v>1045</v>
      </c>
      <c r="K236" s="56" t="s">
        <v>1296</v>
      </c>
      <c r="L236" s="121">
        <v>46270</v>
      </c>
      <c r="M236" s="122">
        <v>0.53125</v>
      </c>
      <c r="N236" s="122">
        <v>0.54374999999999996</v>
      </c>
      <c r="O236" s="56" t="s">
        <v>1047</v>
      </c>
      <c r="P236" s="121">
        <v>46270</v>
      </c>
      <c r="Q236" s="122">
        <v>0.60069444444444442</v>
      </c>
      <c r="R236" s="122">
        <v>0.6179513888888889</v>
      </c>
      <c r="S236" s="56" t="s">
        <v>1047</v>
      </c>
      <c r="T236" s="56">
        <v>1</v>
      </c>
      <c r="U236" s="56">
        <v>63</v>
      </c>
      <c r="V236" s="56">
        <v>65.59</v>
      </c>
      <c r="W236" s="56">
        <v>65.47</v>
      </c>
      <c r="X236" s="56" t="s">
        <v>2624</v>
      </c>
      <c r="Y236" s="56" t="s">
        <v>2624</v>
      </c>
      <c r="Z236" s="56" t="s">
        <v>2624</v>
      </c>
      <c r="AA236" s="56" t="s">
        <v>1859</v>
      </c>
      <c r="AB236" s="56">
        <v>14113054</v>
      </c>
      <c r="AC236" s="56" t="s">
        <v>1859</v>
      </c>
      <c r="AD236" s="56">
        <v>14113054</v>
      </c>
      <c r="AE236" s="56" t="s">
        <v>2626</v>
      </c>
      <c r="AF236" s="56" t="s">
        <v>2627</v>
      </c>
      <c r="AG236" s="56" t="s">
        <v>2627</v>
      </c>
      <c r="AH236" s="56">
        <v>36</v>
      </c>
      <c r="AI236" s="56" t="s">
        <v>2628</v>
      </c>
      <c r="AJ236" s="56" t="s">
        <v>2640</v>
      </c>
      <c r="AK236" s="56">
        <v>0</v>
      </c>
      <c r="AL236" s="56" t="s">
        <v>2630</v>
      </c>
      <c r="AM236" s="56" t="s">
        <v>2631</v>
      </c>
      <c r="AN236" s="56" t="s">
        <v>2632</v>
      </c>
      <c r="AO236" s="56" t="s">
        <v>2627</v>
      </c>
      <c r="AP236" s="56" t="s">
        <v>2624</v>
      </c>
      <c r="AQ236" s="123">
        <v>1.2499999999999956E-2</v>
      </c>
      <c r="AR236" s="122">
        <v>1.7256944444444478E-2</v>
      </c>
      <c r="AS236" s="56" t="s">
        <v>1048</v>
      </c>
      <c r="AT236" s="56" t="s">
        <v>1059</v>
      </c>
      <c r="AU236" s="56" t="s">
        <v>1060</v>
      </c>
      <c r="AV236" s="56">
        <v>36</v>
      </c>
      <c r="AW236" s="56" t="s">
        <v>1051</v>
      </c>
      <c r="AX236" s="56" t="s">
        <v>3193</v>
      </c>
      <c r="AY236" s="56" t="s">
        <v>1297</v>
      </c>
      <c r="AZ236" s="56" t="s">
        <v>1067</v>
      </c>
      <c r="BA236" s="56" t="s">
        <v>3194</v>
      </c>
      <c r="BB236" s="56" t="s">
        <v>3195</v>
      </c>
      <c r="BC236" s="56" t="s">
        <v>1133</v>
      </c>
      <c r="BD236" s="56" t="s">
        <v>3196</v>
      </c>
    </row>
    <row r="237" spans="1:56" x14ac:dyDescent="0.2">
      <c r="A237" s="56">
        <v>176755615</v>
      </c>
      <c r="B237" s="56" t="s">
        <v>3197</v>
      </c>
      <c r="C237" s="56" t="s">
        <v>2623</v>
      </c>
      <c r="D237" s="56" t="s">
        <v>2140</v>
      </c>
      <c r="E237" s="56" t="s">
        <v>1044</v>
      </c>
      <c r="F237" s="56">
        <v>15</v>
      </c>
      <c r="G237" s="56"/>
      <c r="H237" s="56">
        <v>4979</v>
      </c>
      <c r="I237" s="56">
        <v>6</v>
      </c>
      <c r="J237" s="56" t="s">
        <v>1045</v>
      </c>
      <c r="K237" s="56" t="s">
        <v>1192</v>
      </c>
      <c r="L237" s="121">
        <v>46270</v>
      </c>
      <c r="M237" s="122">
        <v>0.53472222222222221</v>
      </c>
      <c r="N237" s="122">
        <v>0.54305555555555551</v>
      </c>
      <c r="O237" s="56" t="s">
        <v>1047</v>
      </c>
      <c r="P237" s="121">
        <v>46270</v>
      </c>
      <c r="Q237" s="122">
        <v>0.60416666666666663</v>
      </c>
      <c r="R237" s="122">
        <v>0.59983796296296299</v>
      </c>
      <c r="S237" s="56" t="s">
        <v>1047</v>
      </c>
      <c r="T237" s="56">
        <v>1</v>
      </c>
      <c r="U237" s="56">
        <v>45</v>
      </c>
      <c r="V237" s="56">
        <v>8.3000000000000007</v>
      </c>
      <c r="W237" s="56">
        <v>9.31</v>
      </c>
      <c r="X237" s="56" t="s">
        <v>2624</v>
      </c>
      <c r="Y237" s="56" t="s">
        <v>2624</v>
      </c>
      <c r="Z237" s="56" t="s">
        <v>2624</v>
      </c>
      <c r="AA237" s="56" t="s">
        <v>1851</v>
      </c>
      <c r="AB237" s="56">
        <v>14100863</v>
      </c>
      <c r="AC237" s="56" t="s">
        <v>1851</v>
      </c>
      <c r="AD237" s="56">
        <v>14100863</v>
      </c>
      <c r="AE237" s="56" t="s">
        <v>2626</v>
      </c>
      <c r="AF237" s="56" t="s">
        <v>2627</v>
      </c>
      <c r="AG237" s="56" t="s">
        <v>2627</v>
      </c>
      <c r="AH237" s="56">
        <v>36</v>
      </c>
      <c r="AI237" s="56" t="s">
        <v>2628</v>
      </c>
      <c r="AJ237" s="56" t="s">
        <v>2629</v>
      </c>
      <c r="AK237" s="56">
        <v>677.5</v>
      </c>
      <c r="AL237" s="56" t="s">
        <v>2630</v>
      </c>
      <c r="AM237" s="56" t="s">
        <v>2631</v>
      </c>
      <c r="AN237" s="56" t="s">
        <v>2632</v>
      </c>
      <c r="AO237" s="56" t="s">
        <v>2627</v>
      </c>
      <c r="AP237" s="56" t="s">
        <v>2624</v>
      </c>
      <c r="AQ237" s="123">
        <v>8.3333333333333037E-3</v>
      </c>
      <c r="AR237" s="122">
        <v>-4.3287037037036402E-3</v>
      </c>
      <c r="AS237" s="56" t="s">
        <v>1048</v>
      </c>
      <c r="AT237" s="56" t="s">
        <v>1049</v>
      </c>
      <c r="AU237" s="56" t="s">
        <v>1050</v>
      </c>
      <c r="AV237" s="56">
        <v>36</v>
      </c>
      <c r="AW237" s="56" t="s">
        <v>1051</v>
      </c>
      <c r="AX237" s="56" t="s">
        <v>2141</v>
      </c>
      <c r="AY237" s="56" t="s">
        <v>1124</v>
      </c>
      <c r="AZ237" s="56" t="s">
        <v>1054</v>
      </c>
      <c r="BA237" s="56" t="s">
        <v>2142</v>
      </c>
      <c r="BB237" s="56" t="s">
        <v>2143</v>
      </c>
      <c r="BC237" s="56" t="s">
        <v>1133</v>
      </c>
      <c r="BD237" s="56" t="s">
        <v>3198</v>
      </c>
    </row>
    <row r="238" spans="1:56" x14ac:dyDescent="0.2">
      <c r="A238" s="56">
        <v>176756252</v>
      </c>
      <c r="B238" s="56" t="s">
        <v>3199</v>
      </c>
      <c r="C238" s="56" t="s">
        <v>2623</v>
      </c>
      <c r="D238" s="56" t="s">
        <v>2646</v>
      </c>
      <c r="E238" s="56" t="s">
        <v>1044</v>
      </c>
      <c r="F238" s="56">
        <v>12</v>
      </c>
      <c r="G238" s="56"/>
      <c r="H238" s="56">
        <v>6857</v>
      </c>
      <c r="I238" s="56">
        <v>6</v>
      </c>
      <c r="J238" s="56" t="s">
        <v>1045</v>
      </c>
      <c r="K238" s="56" t="s">
        <v>1181</v>
      </c>
      <c r="L238" s="121">
        <v>46270</v>
      </c>
      <c r="M238" s="122">
        <v>0.53472222222222221</v>
      </c>
      <c r="N238" s="122">
        <v>0.54236111111111107</v>
      </c>
      <c r="O238" s="56" t="s">
        <v>1047</v>
      </c>
      <c r="P238" s="121">
        <v>46270</v>
      </c>
      <c r="Q238" s="122">
        <v>0.57986111111111116</v>
      </c>
      <c r="R238" s="122">
        <v>0.57368055555555553</v>
      </c>
      <c r="S238" s="56" t="s">
        <v>1047</v>
      </c>
      <c r="T238" s="56">
        <v>1</v>
      </c>
      <c r="U238" s="56">
        <v>18</v>
      </c>
      <c r="V238" s="56">
        <v>13.58</v>
      </c>
      <c r="W238" s="56">
        <v>13.81</v>
      </c>
      <c r="X238" s="56" t="s">
        <v>2624</v>
      </c>
      <c r="Y238" s="56" t="s">
        <v>2624</v>
      </c>
      <c r="Z238" s="56" t="s">
        <v>2624</v>
      </c>
      <c r="AA238" s="56" t="s">
        <v>996</v>
      </c>
      <c r="AB238" s="56">
        <v>14123951</v>
      </c>
      <c r="AC238" s="56" t="s">
        <v>996</v>
      </c>
      <c r="AD238" s="56">
        <v>14123951</v>
      </c>
      <c r="AE238" s="56" t="s">
        <v>2626</v>
      </c>
      <c r="AF238" s="56" t="s">
        <v>2627</v>
      </c>
      <c r="AG238" s="56" t="s">
        <v>2627</v>
      </c>
      <c r="AH238" s="56">
        <v>36</v>
      </c>
      <c r="AI238" s="56" t="s">
        <v>2628</v>
      </c>
      <c r="AJ238" s="56" t="s">
        <v>2629</v>
      </c>
      <c r="AK238" s="56">
        <v>408.1</v>
      </c>
      <c r="AL238" s="56" t="s">
        <v>2630</v>
      </c>
      <c r="AM238" s="56" t="s">
        <v>2631</v>
      </c>
      <c r="AN238" s="56" t="s">
        <v>2632</v>
      </c>
      <c r="AO238" s="56" t="s">
        <v>2627</v>
      </c>
      <c r="AP238" s="56" t="s">
        <v>2624</v>
      </c>
      <c r="AQ238" s="123">
        <v>7.6388888888888618E-3</v>
      </c>
      <c r="AR238" s="122">
        <v>-6.1805555555556335E-3</v>
      </c>
      <c r="AS238" s="56" t="s">
        <v>1048</v>
      </c>
      <c r="AT238" s="56" t="s">
        <v>1049</v>
      </c>
      <c r="AU238" s="56" t="s">
        <v>1050</v>
      </c>
      <c r="AV238" s="56">
        <v>36</v>
      </c>
      <c r="AW238" s="56" t="s">
        <v>1051</v>
      </c>
      <c r="AX238" s="56" t="s">
        <v>2647</v>
      </c>
      <c r="AY238" s="56" t="s">
        <v>1140</v>
      </c>
      <c r="AZ238" s="56" t="s">
        <v>1062</v>
      </c>
      <c r="BA238" s="56" t="s">
        <v>2648</v>
      </c>
      <c r="BB238" s="56" t="s">
        <v>2649</v>
      </c>
      <c r="BC238" s="56" t="s">
        <v>1133</v>
      </c>
      <c r="BD238" s="56" t="s">
        <v>3200</v>
      </c>
    </row>
    <row r="239" spans="1:56" x14ac:dyDescent="0.2">
      <c r="A239" s="56">
        <v>176754961</v>
      </c>
      <c r="B239" s="56" t="s">
        <v>3201</v>
      </c>
      <c r="C239" s="56" t="s">
        <v>2623</v>
      </c>
      <c r="D239" s="56" t="s">
        <v>1090</v>
      </c>
      <c r="E239" s="56" t="s">
        <v>1044</v>
      </c>
      <c r="F239" s="56">
        <v>28</v>
      </c>
      <c r="G239" s="56"/>
      <c r="H239" s="56">
        <v>16733</v>
      </c>
      <c r="I239" s="56">
        <v>6</v>
      </c>
      <c r="J239" s="56" t="s">
        <v>1045</v>
      </c>
      <c r="K239" s="56" t="s">
        <v>1091</v>
      </c>
      <c r="L239" s="121">
        <v>46270</v>
      </c>
      <c r="M239" s="122">
        <v>0.5395833333333333</v>
      </c>
      <c r="N239" s="122">
        <v>0.55138888888888893</v>
      </c>
      <c r="O239" s="56" t="s">
        <v>1047</v>
      </c>
      <c r="P239" s="121">
        <v>46270</v>
      </c>
      <c r="Q239" s="122">
        <v>0.60069444444444442</v>
      </c>
      <c r="R239" s="122">
        <v>0.5919444444444445</v>
      </c>
      <c r="S239" s="56" t="s">
        <v>1047</v>
      </c>
      <c r="T239" s="56">
        <v>1</v>
      </c>
      <c r="U239" s="56">
        <v>28</v>
      </c>
      <c r="V239" s="56">
        <v>23.51</v>
      </c>
      <c r="W239" s="56">
        <v>24.21</v>
      </c>
      <c r="X239" s="56" t="s">
        <v>2624</v>
      </c>
      <c r="Y239" s="56" t="s">
        <v>2624</v>
      </c>
      <c r="Z239" s="56" t="s">
        <v>2624</v>
      </c>
      <c r="AA239" s="56" t="s">
        <v>430</v>
      </c>
      <c r="AB239" s="56">
        <v>14122510</v>
      </c>
      <c r="AC239" s="56" t="s">
        <v>430</v>
      </c>
      <c r="AD239" s="56">
        <v>14122510</v>
      </c>
      <c r="AE239" s="56" t="s">
        <v>2626</v>
      </c>
      <c r="AF239" s="56" t="s">
        <v>2627</v>
      </c>
      <c r="AG239" s="56" t="s">
        <v>2627</v>
      </c>
      <c r="AH239" s="56">
        <v>36</v>
      </c>
      <c r="AI239" s="56" t="s">
        <v>2628</v>
      </c>
      <c r="AJ239" s="56" t="s">
        <v>2629</v>
      </c>
      <c r="AK239" s="56">
        <v>0</v>
      </c>
      <c r="AL239" s="56" t="s">
        <v>2630</v>
      </c>
      <c r="AM239" s="56" t="s">
        <v>2631</v>
      </c>
      <c r="AN239" s="56" t="s">
        <v>2632</v>
      </c>
      <c r="AO239" s="56" t="s">
        <v>2627</v>
      </c>
      <c r="AP239" s="56" t="s">
        <v>2624</v>
      </c>
      <c r="AQ239" s="123">
        <v>1.1805555555555625E-2</v>
      </c>
      <c r="AR239" s="122">
        <v>-8.7499999999999245E-3</v>
      </c>
      <c r="AS239" s="56" t="s">
        <v>1048</v>
      </c>
      <c r="AT239" s="56" t="s">
        <v>1049</v>
      </c>
      <c r="AU239" s="56" t="s">
        <v>1050</v>
      </c>
      <c r="AV239" s="56">
        <v>36</v>
      </c>
      <c r="AW239" s="56" t="s">
        <v>1051</v>
      </c>
      <c r="AX239" s="56" t="s">
        <v>1092</v>
      </c>
      <c r="AY239" s="56" t="s">
        <v>1093</v>
      </c>
      <c r="AZ239" s="56" t="s">
        <v>1067</v>
      </c>
      <c r="BA239" s="56" t="s">
        <v>1094</v>
      </c>
      <c r="BB239" s="56" t="s">
        <v>1095</v>
      </c>
      <c r="BC239" s="56" t="s">
        <v>1133</v>
      </c>
      <c r="BD239" s="56" t="s">
        <v>3202</v>
      </c>
    </row>
    <row r="240" spans="1:56" x14ac:dyDescent="0.2">
      <c r="A240" s="56">
        <v>176756682</v>
      </c>
      <c r="B240" s="56" t="s">
        <v>3041</v>
      </c>
      <c r="C240" s="56" t="s">
        <v>2623</v>
      </c>
      <c r="D240" s="56" t="s">
        <v>1654</v>
      </c>
      <c r="E240" s="56" t="s">
        <v>1044</v>
      </c>
      <c r="F240" s="56">
        <v>102</v>
      </c>
      <c r="G240" s="56"/>
      <c r="H240" s="56">
        <v>6883</v>
      </c>
      <c r="I240" s="56">
        <v>6</v>
      </c>
      <c r="J240" s="56" t="s">
        <v>1045</v>
      </c>
      <c r="K240" s="56" t="s">
        <v>1212</v>
      </c>
      <c r="L240" s="121">
        <v>46270</v>
      </c>
      <c r="M240" s="122">
        <v>0.54166666666666663</v>
      </c>
      <c r="N240" s="122">
        <v>0.54513888888888884</v>
      </c>
      <c r="O240" s="56" t="s">
        <v>1047</v>
      </c>
      <c r="P240" s="121">
        <v>46270</v>
      </c>
      <c r="Q240" s="122">
        <v>0.59722222222222221</v>
      </c>
      <c r="R240" s="122">
        <v>0.63194444444444442</v>
      </c>
      <c r="S240" s="56" t="s">
        <v>1047</v>
      </c>
      <c r="T240" s="56">
        <v>1</v>
      </c>
      <c r="U240" s="56">
        <v>36</v>
      </c>
      <c r="V240" s="56">
        <v>31.12</v>
      </c>
      <c r="W240" s="56">
        <v>35.25</v>
      </c>
      <c r="X240" s="56">
        <v>42.22</v>
      </c>
      <c r="Y240" s="56">
        <v>1.0900000000000001</v>
      </c>
      <c r="Z240" s="56">
        <v>5.88</v>
      </c>
      <c r="AA240" s="56" t="s">
        <v>302</v>
      </c>
      <c r="AB240" s="56">
        <v>14120789</v>
      </c>
      <c r="AC240" s="56" t="s">
        <v>302</v>
      </c>
      <c r="AD240" s="56">
        <v>14120789</v>
      </c>
      <c r="AE240" s="56" t="s">
        <v>2626</v>
      </c>
      <c r="AF240" s="56" t="s">
        <v>2627</v>
      </c>
      <c r="AG240" s="56" t="s">
        <v>2627</v>
      </c>
      <c r="AH240" s="56">
        <v>36</v>
      </c>
      <c r="AI240" s="56" t="s">
        <v>2628</v>
      </c>
      <c r="AJ240" s="56" t="s">
        <v>2640</v>
      </c>
      <c r="AK240" s="56">
        <v>0</v>
      </c>
      <c r="AL240" s="56" t="s">
        <v>2630</v>
      </c>
      <c r="AM240" s="56" t="s">
        <v>2631</v>
      </c>
      <c r="AN240" s="56" t="s">
        <v>2632</v>
      </c>
      <c r="AO240" s="56" t="s">
        <v>2627</v>
      </c>
      <c r="AP240" s="56" t="s">
        <v>2624</v>
      </c>
      <c r="AQ240" s="123">
        <v>3.4722222222222099E-3</v>
      </c>
      <c r="AR240" s="122">
        <v>3.472222222222221E-2</v>
      </c>
      <c r="AS240" s="56" t="s">
        <v>1048</v>
      </c>
      <c r="AT240" s="56" t="s">
        <v>1059</v>
      </c>
      <c r="AU240" s="56" t="s">
        <v>1060</v>
      </c>
      <c r="AV240" s="56">
        <v>36</v>
      </c>
      <c r="AW240" s="56" t="s">
        <v>1051</v>
      </c>
      <c r="AX240" s="56" t="s">
        <v>1655</v>
      </c>
      <c r="AY240" s="56" t="s">
        <v>1164</v>
      </c>
      <c r="AZ240" s="56" t="s">
        <v>1062</v>
      </c>
      <c r="BA240" s="56" t="s">
        <v>1656</v>
      </c>
      <c r="BB240" s="56" t="s">
        <v>1657</v>
      </c>
      <c r="BC240" s="56" t="s">
        <v>1133</v>
      </c>
      <c r="BD240" s="56" t="s">
        <v>3044</v>
      </c>
    </row>
    <row r="241" spans="1:56" x14ac:dyDescent="0.2">
      <c r="A241" s="56">
        <v>176762217</v>
      </c>
      <c r="B241" s="56" t="s">
        <v>2778</v>
      </c>
      <c r="C241" s="56" t="s">
        <v>2623</v>
      </c>
      <c r="D241" s="56" t="s">
        <v>1224</v>
      </c>
      <c r="E241" s="56" t="s">
        <v>1044</v>
      </c>
      <c r="F241" s="56">
        <v>227</v>
      </c>
      <c r="G241" s="56"/>
      <c r="H241" s="56">
        <v>13416</v>
      </c>
      <c r="I241" s="56">
        <v>6</v>
      </c>
      <c r="J241" s="56" t="s">
        <v>1045</v>
      </c>
      <c r="K241" s="56" t="s">
        <v>1079</v>
      </c>
      <c r="L241" s="121">
        <v>46270</v>
      </c>
      <c r="M241" s="122">
        <v>0.54166666666666663</v>
      </c>
      <c r="N241" s="122">
        <v>0.54583333333333328</v>
      </c>
      <c r="O241" s="56" t="s">
        <v>1047</v>
      </c>
      <c r="P241" s="121">
        <v>46270</v>
      </c>
      <c r="Q241" s="122">
        <v>0.60069444444444442</v>
      </c>
      <c r="R241" s="122">
        <v>0.58333333333333337</v>
      </c>
      <c r="S241" s="56" t="s">
        <v>1047</v>
      </c>
      <c r="T241" s="56">
        <v>1</v>
      </c>
      <c r="U241" s="56">
        <v>30</v>
      </c>
      <c r="V241" s="56">
        <v>29.86</v>
      </c>
      <c r="W241" s="56">
        <v>24.48</v>
      </c>
      <c r="X241" s="56">
        <v>31.12</v>
      </c>
      <c r="Y241" s="56">
        <v>3.47</v>
      </c>
      <c r="Z241" s="56">
        <v>3.17</v>
      </c>
      <c r="AA241" s="56" t="s">
        <v>234</v>
      </c>
      <c r="AB241" s="56">
        <v>14119154</v>
      </c>
      <c r="AC241" s="56" t="s">
        <v>234</v>
      </c>
      <c r="AD241" s="56">
        <v>14119154</v>
      </c>
      <c r="AE241" s="56" t="s">
        <v>2626</v>
      </c>
      <c r="AF241" s="56" t="s">
        <v>2627</v>
      </c>
      <c r="AG241" s="56" t="s">
        <v>2627</v>
      </c>
      <c r="AH241" s="56">
        <v>36</v>
      </c>
      <c r="AI241" s="56" t="s">
        <v>2628</v>
      </c>
      <c r="AJ241" s="56" t="s">
        <v>2629</v>
      </c>
      <c r="AK241" s="56">
        <v>0</v>
      </c>
      <c r="AL241" s="56" t="s">
        <v>2630</v>
      </c>
      <c r="AM241" s="56" t="s">
        <v>2631</v>
      </c>
      <c r="AN241" s="56" t="s">
        <v>2632</v>
      </c>
      <c r="AO241" s="56" t="s">
        <v>2627</v>
      </c>
      <c r="AP241" s="56" t="s">
        <v>2624</v>
      </c>
      <c r="AQ241" s="123">
        <v>4.1666666666666519E-3</v>
      </c>
      <c r="AR241" s="122">
        <v>-1.7361111111111049E-2</v>
      </c>
      <c r="AS241" s="56" t="s">
        <v>1048</v>
      </c>
      <c r="AT241" s="56" t="s">
        <v>1049</v>
      </c>
      <c r="AU241" s="56" t="s">
        <v>1050</v>
      </c>
      <c r="AV241" s="56">
        <v>36</v>
      </c>
      <c r="AW241" s="56" t="s">
        <v>1051</v>
      </c>
      <c r="AX241" s="56" t="s">
        <v>2664</v>
      </c>
      <c r="AY241" s="56" t="s">
        <v>1081</v>
      </c>
      <c r="AZ241" s="56" t="s">
        <v>1067</v>
      </c>
      <c r="BA241" s="56" t="s">
        <v>2665</v>
      </c>
      <c r="BB241" s="56" t="s">
        <v>2666</v>
      </c>
      <c r="BC241" s="56" t="s">
        <v>1133</v>
      </c>
      <c r="BD241" s="56" t="s">
        <v>2779</v>
      </c>
    </row>
    <row r="242" spans="1:56" x14ac:dyDescent="0.2">
      <c r="A242" s="56">
        <v>176759273</v>
      </c>
      <c r="B242" s="56" t="s">
        <v>1462</v>
      </c>
      <c r="C242" s="56" t="s">
        <v>2623</v>
      </c>
      <c r="D242" s="56" t="s">
        <v>1463</v>
      </c>
      <c r="E242" s="56" t="s">
        <v>1044</v>
      </c>
      <c r="F242" s="56">
        <v>67</v>
      </c>
      <c r="G242" s="56" t="s">
        <v>2693</v>
      </c>
      <c r="H242" s="56">
        <v>5870</v>
      </c>
      <c r="I242" s="56">
        <v>7</v>
      </c>
      <c r="J242" s="56" t="s">
        <v>1045</v>
      </c>
      <c r="K242" s="56" t="s">
        <v>1116</v>
      </c>
      <c r="L242" s="121">
        <v>46270</v>
      </c>
      <c r="M242" s="122">
        <v>0.54513888888888884</v>
      </c>
      <c r="N242" s="122">
        <v>0.6118055555555556</v>
      </c>
      <c r="O242" s="56" t="s">
        <v>1047</v>
      </c>
      <c r="P242" s="121">
        <v>46270</v>
      </c>
      <c r="Q242" s="122">
        <v>0.61458333333333337</v>
      </c>
      <c r="R242" s="56"/>
      <c r="S242" s="56" t="s">
        <v>1148</v>
      </c>
      <c r="T242" s="56">
        <v>0</v>
      </c>
      <c r="U242" s="56">
        <v>28</v>
      </c>
      <c r="V242" s="56">
        <v>25.79</v>
      </c>
      <c r="W242" s="56">
        <v>15.6</v>
      </c>
      <c r="X242" s="56">
        <v>26.35</v>
      </c>
      <c r="Y242" s="56">
        <v>12.28</v>
      </c>
      <c r="Z242" s="56">
        <v>-1.53</v>
      </c>
      <c r="AA242" s="56" t="s">
        <v>426</v>
      </c>
      <c r="AB242" s="56">
        <v>14122481</v>
      </c>
      <c r="AC242" s="56" t="s">
        <v>426</v>
      </c>
      <c r="AD242" s="56">
        <v>14122481</v>
      </c>
      <c r="AE242" s="56" t="s">
        <v>2626</v>
      </c>
      <c r="AF242" s="56" t="s">
        <v>2627</v>
      </c>
      <c r="AG242" s="56" t="s">
        <v>2627</v>
      </c>
      <c r="AH242" s="56">
        <v>36</v>
      </c>
      <c r="AI242" s="56" t="s">
        <v>2706</v>
      </c>
      <c r="AJ242" s="56" t="s">
        <v>2640</v>
      </c>
      <c r="AK242" s="56">
        <v>0</v>
      </c>
      <c r="AL242" s="56" t="s">
        <v>2630</v>
      </c>
      <c r="AM242" s="56" t="s">
        <v>2631</v>
      </c>
      <c r="AN242" s="56" t="s">
        <v>2632</v>
      </c>
      <c r="AO242" s="56" t="s">
        <v>2627</v>
      </c>
      <c r="AP242" s="56" t="s">
        <v>2624</v>
      </c>
      <c r="AQ242" s="123">
        <v>6.6666666666666763E-2</v>
      </c>
      <c r="AR242" s="122">
        <v>-0.61458333333333337</v>
      </c>
      <c r="AS242" s="56" t="s">
        <v>1048</v>
      </c>
      <c r="AT242" s="56" t="s">
        <v>1049</v>
      </c>
      <c r="AU242" s="56" t="s">
        <v>1050</v>
      </c>
      <c r="AV242" s="56">
        <v>36</v>
      </c>
      <c r="AW242" s="56" t="s">
        <v>1051</v>
      </c>
      <c r="AX242" s="56" t="s">
        <v>1464</v>
      </c>
      <c r="AY242" s="56" t="s">
        <v>1128</v>
      </c>
      <c r="AZ242" s="56" t="s">
        <v>1054</v>
      </c>
      <c r="BA242" s="56" t="s">
        <v>1465</v>
      </c>
      <c r="BB242" s="56" t="s">
        <v>1466</v>
      </c>
      <c r="BC242" s="56" t="s">
        <v>1133</v>
      </c>
      <c r="BD242" s="56" t="s">
        <v>1467</v>
      </c>
    </row>
    <row r="243" spans="1:56" x14ac:dyDescent="0.2">
      <c r="A243" s="56">
        <v>176761005</v>
      </c>
      <c r="B243" s="56" t="s">
        <v>1302</v>
      </c>
      <c r="C243" s="56" t="s">
        <v>2623</v>
      </c>
      <c r="D243" s="56" t="s">
        <v>1303</v>
      </c>
      <c r="E243" s="56" t="s">
        <v>1044</v>
      </c>
      <c r="F243" s="56">
        <v>66</v>
      </c>
      <c r="G243" s="56"/>
      <c r="H243" s="56">
        <v>13901</v>
      </c>
      <c r="I243" s="56">
        <v>6</v>
      </c>
      <c r="J243" s="56" t="s">
        <v>1045</v>
      </c>
      <c r="K243" s="56" t="s">
        <v>1091</v>
      </c>
      <c r="L243" s="121">
        <v>46270</v>
      </c>
      <c r="M243" s="122">
        <v>0.54513888888888884</v>
      </c>
      <c r="N243" s="122">
        <v>0.55069444444444449</v>
      </c>
      <c r="O243" s="56" t="s">
        <v>1047</v>
      </c>
      <c r="P243" s="121">
        <v>46270</v>
      </c>
      <c r="Q243" s="122">
        <v>0.60069444444444442</v>
      </c>
      <c r="R243" s="122">
        <v>0.59509259259259262</v>
      </c>
      <c r="S243" s="56" t="s">
        <v>1047</v>
      </c>
      <c r="T243" s="56">
        <v>1</v>
      </c>
      <c r="U243" s="56">
        <v>26</v>
      </c>
      <c r="V243" s="56">
        <v>21.23</v>
      </c>
      <c r="W243" s="56">
        <v>21.65</v>
      </c>
      <c r="X243" s="56" t="s">
        <v>2624</v>
      </c>
      <c r="Y243" s="56" t="s">
        <v>2624</v>
      </c>
      <c r="Z243" s="56" t="s">
        <v>2624</v>
      </c>
      <c r="AA243" s="56" t="s">
        <v>909</v>
      </c>
      <c r="AB243" s="56">
        <v>14123651</v>
      </c>
      <c r="AC243" s="56" t="s">
        <v>909</v>
      </c>
      <c r="AD243" s="56">
        <v>14123651</v>
      </c>
      <c r="AE243" s="56" t="s">
        <v>2626</v>
      </c>
      <c r="AF243" s="56" t="s">
        <v>2627</v>
      </c>
      <c r="AG243" s="56" t="s">
        <v>2627</v>
      </c>
      <c r="AH243" s="56">
        <v>36</v>
      </c>
      <c r="AI243" s="56" t="s">
        <v>2628</v>
      </c>
      <c r="AJ243" s="56" t="s">
        <v>2629</v>
      </c>
      <c r="AK243" s="56">
        <v>0</v>
      </c>
      <c r="AL243" s="56" t="s">
        <v>2630</v>
      </c>
      <c r="AM243" s="56" t="s">
        <v>2631</v>
      </c>
      <c r="AN243" s="56" t="s">
        <v>2632</v>
      </c>
      <c r="AO243" s="56" t="s">
        <v>2627</v>
      </c>
      <c r="AP243" s="56" t="s">
        <v>2624</v>
      </c>
      <c r="AQ243" s="123">
        <v>5.5555555555556468E-3</v>
      </c>
      <c r="AR243" s="122">
        <v>-5.6018518518518023E-3</v>
      </c>
      <c r="AS243" s="56" t="s">
        <v>1048</v>
      </c>
      <c r="AT243" s="56" t="s">
        <v>1049</v>
      </c>
      <c r="AU243" s="56" t="s">
        <v>1050</v>
      </c>
      <c r="AV243" s="56">
        <v>36</v>
      </c>
      <c r="AW243" s="56" t="s">
        <v>1051</v>
      </c>
      <c r="AX243" s="56" t="s">
        <v>1304</v>
      </c>
      <c r="AY243" s="56" t="s">
        <v>1093</v>
      </c>
      <c r="AZ243" s="56" t="s">
        <v>1067</v>
      </c>
      <c r="BA243" s="56" t="s">
        <v>1305</v>
      </c>
      <c r="BB243" s="56" t="s">
        <v>1306</v>
      </c>
      <c r="BC243" s="56" t="s">
        <v>1133</v>
      </c>
      <c r="BD243" s="56" t="s">
        <v>1307</v>
      </c>
    </row>
    <row r="244" spans="1:56" x14ac:dyDescent="0.2">
      <c r="A244" s="56">
        <v>176760250</v>
      </c>
      <c r="B244" s="56" t="s">
        <v>3203</v>
      </c>
      <c r="C244" s="56" t="s">
        <v>2623</v>
      </c>
      <c r="D244" s="56" t="s">
        <v>3204</v>
      </c>
      <c r="E244" s="56" t="s">
        <v>1044</v>
      </c>
      <c r="F244" s="56">
        <v>58</v>
      </c>
      <c r="G244" s="56"/>
      <c r="H244" s="56">
        <v>16786</v>
      </c>
      <c r="I244" s="56">
        <v>6</v>
      </c>
      <c r="J244" s="56" t="s">
        <v>1045</v>
      </c>
      <c r="K244" s="56" t="s">
        <v>1091</v>
      </c>
      <c r="L244" s="121">
        <v>46270</v>
      </c>
      <c r="M244" s="122">
        <v>0.54861111111111116</v>
      </c>
      <c r="N244" s="122">
        <v>0.55277777777777781</v>
      </c>
      <c r="O244" s="56" t="s">
        <v>1047</v>
      </c>
      <c r="P244" s="121">
        <v>46270</v>
      </c>
      <c r="Q244" s="122">
        <v>0.60069444444444442</v>
      </c>
      <c r="R244" s="122">
        <v>0.60276620370370371</v>
      </c>
      <c r="S244" s="56" t="s">
        <v>1047</v>
      </c>
      <c r="T244" s="56">
        <v>1</v>
      </c>
      <c r="U244" s="56">
        <v>30</v>
      </c>
      <c r="V244" s="56">
        <v>26.07</v>
      </c>
      <c r="W244" s="56">
        <v>26.52</v>
      </c>
      <c r="X244" s="56" t="s">
        <v>2624</v>
      </c>
      <c r="Y244" s="56" t="s">
        <v>2624</v>
      </c>
      <c r="Z244" s="56" t="s">
        <v>2624</v>
      </c>
      <c r="AA244" s="56" t="s">
        <v>24</v>
      </c>
      <c r="AB244" s="56">
        <v>14100807</v>
      </c>
      <c r="AC244" s="56" t="s">
        <v>24</v>
      </c>
      <c r="AD244" s="56">
        <v>14100807</v>
      </c>
      <c r="AE244" s="56" t="s">
        <v>2626</v>
      </c>
      <c r="AF244" s="56" t="s">
        <v>2627</v>
      </c>
      <c r="AG244" s="56" t="s">
        <v>2627</v>
      </c>
      <c r="AH244" s="56">
        <v>36</v>
      </c>
      <c r="AI244" s="56" t="s">
        <v>2628</v>
      </c>
      <c r="AJ244" s="56" t="s">
        <v>2640</v>
      </c>
      <c r="AK244" s="56">
        <v>0</v>
      </c>
      <c r="AL244" s="56" t="s">
        <v>2630</v>
      </c>
      <c r="AM244" s="56" t="s">
        <v>2631</v>
      </c>
      <c r="AN244" s="56" t="s">
        <v>2632</v>
      </c>
      <c r="AO244" s="56" t="s">
        <v>2627</v>
      </c>
      <c r="AP244" s="56" t="s">
        <v>2624</v>
      </c>
      <c r="AQ244" s="123">
        <v>4.1666666666666519E-3</v>
      </c>
      <c r="AR244" s="122">
        <v>2.0717592592592871E-3</v>
      </c>
      <c r="AS244" s="56" t="s">
        <v>1048</v>
      </c>
      <c r="AT244" s="56" t="s">
        <v>1049</v>
      </c>
      <c r="AU244" s="56" t="s">
        <v>1050</v>
      </c>
      <c r="AV244" s="56">
        <v>36</v>
      </c>
      <c r="AW244" s="56" t="s">
        <v>1051</v>
      </c>
      <c r="AX244" s="56" t="s">
        <v>3205</v>
      </c>
      <c r="AY244" s="56" t="s">
        <v>1093</v>
      </c>
      <c r="AZ244" s="56" t="s">
        <v>1067</v>
      </c>
      <c r="BA244" s="56" t="s">
        <v>3206</v>
      </c>
      <c r="BB244" s="56" t="s">
        <v>3207</v>
      </c>
      <c r="BC244" s="56" t="s">
        <v>1133</v>
      </c>
      <c r="BD244" s="56" t="s">
        <v>3208</v>
      </c>
    </row>
    <row r="245" spans="1:56" x14ac:dyDescent="0.2">
      <c r="A245" s="56">
        <v>176762705</v>
      </c>
      <c r="B245" s="56" t="s">
        <v>3209</v>
      </c>
      <c r="C245" s="56" t="s">
        <v>2623</v>
      </c>
      <c r="D245" s="56" t="s">
        <v>1542</v>
      </c>
      <c r="E245" s="56" t="s">
        <v>1044</v>
      </c>
      <c r="F245" s="56">
        <v>181</v>
      </c>
      <c r="G245" s="56" t="s">
        <v>2670</v>
      </c>
      <c r="H245" s="56">
        <v>14711</v>
      </c>
      <c r="I245" s="56">
        <v>6</v>
      </c>
      <c r="J245" s="56" t="s">
        <v>1045</v>
      </c>
      <c r="K245" s="56" t="s">
        <v>1116</v>
      </c>
      <c r="L245" s="121">
        <v>46270</v>
      </c>
      <c r="M245" s="122">
        <v>0.54861111111111116</v>
      </c>
      <c r="N245" s="122">
        <v>0.56736111111111109</v>
      </c>
      <c r="O245" s="56" t="s">
        <v>1047</v>
      </c>
      <c r="P245" s="121">
        <v>46270</v>
      </c>
      <c r="Q245" s="122">
        <v>0.61458333333333337</v>
      </c>
      <c r="R245" s="122">
        <v>0.62343749999999998</v>
      </c>
      <c r="S245" s="56" t="s">
        <v>1047</v>
      </c>
      <c r="T245" s="56">
        <v>1</v>
      </c>
      <c r="U245" s="56">
        <v>29</v>
      </c>
      <c r="V245" s="56">
        <v>25.18</v>
      </c>
      <c r="W245" s="56">
        <v>25.11</v>
      </c>
      <c r="X245" s="56" t="s">
        <v>2624</v>
      </c>
      <c r="Y245" s="56" t="s">
        <v>2624</v>
      </c>
      <c r="Z245" s="56" t="s">
        <v>2624</v>
      </c>
      <c r="AA245" s="56" t="s">
        <v>1587</v>
      </c>
      <c r="AB245" s="56">
        <v>14121600</v>
      </c>
      <c r="AC245" s="56" t="s">
        <v>1587</v>
      </c>
      <c r="AD245" s="56">
        <v>14121600</v>
      </c>
      <c r="AE245" s="56" t="s">
        <v>2626</v>
      </c>
      <c r="AF245" s="56" t="s">
        <v>2627</v>
      </c>
      <c r="AG245" s="56" t="s">
        <v>2627</v>
      </c>
      <c r="AH245" s="56">
        <v>36</v>
      </c>
      <c r="AI245" s="56" t="s">
        <v>2628</v>
      </c>
      <c r="AJ245" s="56" t="s">
        <v>2640</v>
      </c>
      <c r="AK245" s="56">
        <v>0</v>
      </c>
      <c r="AL245" s="56" t="s">
        <v>2630</v>
      </c>
      <c r="AM245" s="56" t="s">
        <v>2631</v>
      </c>
      <c r="AN245" s="56" t="s">
        <v>2632</v>
      </c>
      <c r="AO245" s="56" t="s">
        <v>2627</v>
      </c>
      <c r="AP245" s="56" t="s">
        <v>2624</v>
      </c>
      <c r="AQ245" s="123">
        <v>1.8749999999999933E-2</v>
      </c>
      <c r="AR245" s="122">
        <v>8.8541666666666075E-3</v>
      </c>
      <c r="AS245" s="56" t="s">
        <v>1048</v>
      </c>
      <c r="AT245" s="56" t="s">
        <v>1059</v>
      </c>
      <c r="AU245" s="56" t="s">
        <v>1060</v>
      </c>
      <c r="AV245" s="56">
        <v>36</v>
      </c>
      <c r="AW245" s="56" t="s">
        <v>1051</v>
      </c>
      <c r="AX245" s="56" t="s">
        <v>1543</v>
      </c>
      <c r="AY245" s="56" t="s">
        <v>1118</v>
      </c>
      <c r="AZ245" s="56" t="s">
        <v>1054</v>
      </c>
      <c r="BA245" s="56" t="s">
        <v>1544</v>
      </c>
      <c r="BB245" s="56" t="s">
        <v>1545</v>
      </c>
      <c r="BC245" s="56" t="s">
        <v>1133</v>
      </c>
      <c r="BD245" s="56" t="s">
        <v>3210</v>
      </c>
    </row>
    <row r="246" spans="1:56" x14ac:dyDescent="0.2">
      <c r="A246" s="56">
        <v>176759874</v>
      </c>
      <c r="B246" s="56" t="s">
        <v>3211</v>
      </c>
      <c r="C246" s="56" t="s">
        <v>2623</v>
      </c>
      <c r="D246" s="56" t="s">
        <v>3212</v>
      </c>
      <c r="E246" s="56" t="s">
        <v>1044</v>
      </c>
      <c r="F246" s="56">
        <v>57</v>
      </c>
      <c r="G246" s="56"/>
      <c r="H246" s="56">
        <v>13004</v>
      </c>
      <c r="I246" s="56">
        <v>6</v>
      </c>
      <c r="J246" s="56" t="s">
        <v>1045</v>
      </c>
      <c r="K246" s="56" t="s">
        <v>1112</v>
      </c>
      <c r="L246" s="121">
        <v>46270</v>
      </c>
      <c r="M246" s="122">
        <v>0.55208333333333337</v>
      </c>
      <c r="N246" s="122">
        <v>0.56111111111111112</v>
      </c>
      <c r="O246" s="56" t="s">
        <v>1047</v>
      </c>
      <c r="P246" s="121">
        <v>46270</v>
      </c>
      <c r="Q246" s="122">
        <v>0.59375</v>
      </c>
      <c r="R246" s="122">
        <v>0.59791666666666665</v>
      </c>
      <c r="S246" s="56" t="s">
        <v>1047</v>
      </c>
      <c r="T246" s="56">
        <v>1</v>
      </c>
      <c r="U246" s="56">
        <v>27</v>
      </c>
      <c r="V246" s="56">
        <v>22.52</v>
      </c>
      <c r="W246" s="56">
        <v>22.07</v>
      </c>
      <c r="X246" s="56" t="s">
        <v>2624</v>
      </c>
      <c r="Y246" s="56" t="s">
        <v>2624</v>
      </c>
      <c r="Z246" s="56" t="s">
        <v>2624</v>
      </c>
      <c r="AA246" s="56" t="s">
        <v>1793</v>
      </c>
      <c r="AB246" s="56">
        <v>14121728</v>
      </c>
      <c r="AC246" s="56" t="s">
        <v>1793</v>
      </c>
      <c r="AD246" s="56">
        <v>14121728</v>
      </c>
      <c r="AE246" s="56" t="s">
        <v>2626</v>
      </c>
      <c r="AF246" s="56" t="s">
        <v>2627</v>
      </c>
      <c r="AG246" s="56" t="s">
        <v>2627</v>
      </c>
      <c r="AH246" s="56">
        <v>36</v>
      </c>
      <c r="AI246" s="56" t="s">
        <v>2628</v>
      </c>
      <c r="AJ246" s="56" t="s">
        <v>2640</v>
      </c>
      <c r="AK246" s="56">
        <v>0</v>
      </c>
      <c r="AL246" s="56" t="s">
        <v>2630</v>
      </c>
      <c r="AM246" s="56" t="s">
        <v>2631</v>
      </c>
      <c r="AN246" s="56" t="s">
        <v>2632</v>
      </c>
      <c r="AO246" s="56" t="s">
        <v>2627</v>
      </c>
      <c r="AP246" s="56" t="s">
        <v>2624</v>
      </c>
      <c r="AQ246" s="123">
        <v>9.0277777777777457E-3</v>
      </c>
      <c r="AR246" s="122">
        <v>4.1666666666666519E-3</v>
      </c>
      <c r="AS246" s="56" t="s">
        <v>1048</v>
      </c>
      <c r="AT246" s="56" t="s">
        <v>1059</v>
      </c>
      <c r="AU246" s="56" t="s">
        <v>1060</v>
      </c>
      <c r="AV246" s="56">
        <v>36</v>
      </c>
      <c r="AW246" s="56" t="s">
        <v>1051</v>
      </c>
      <c r="AX246" s="56" t="s">
        <v>3213</v>
      </c>
      <c r="AY246" s="56" t="s">
        <v>1113</v>
      </c>
      <c r="AZ246" s="56" t="s">
        <v>1062</v>
      </c>
      <c r="BA246" s="56" t="s">
        <v>3214</v>
      </c>
      <c r="BB246" s="56" t="s">
        <v>3215</v>
      </c>
      <c r="BC246" s="56" t="s">
        <v>1133</v>
      </c>
      <c r="BD246" s="56" t="s">
        <v>3216</v>
      </c>
    </row>
    <row r="247" spans="1:56" x14ac:dyDescent="0.2">
      <c r="A247" s="56">
        <v>176761466</v>
      </c>
      <c r="B247" s="56" t="s">
        <v>1309</v>
      </c>
      <c r="C247" s="56" t="s">
        <v>2623</v>
      </c>
      <c r="D247" s="56" t="s">
        <v>1115</v>
      </c>
      <c r="E247" s="56" t="s">
        <v>1044</v>
      </c>
      <c r="F247" s="56">
        <v>98</v>
      </c>
      <c r="G247" s="56" t="s">
        <v>2670</v>
      </c>
      <c r="H247" s="56">
        <v>14692</v>
      </c>
      <c r="I247" s="56">
        <v>6</v>
      </c>
      <c r="J247" s="56" t="s">
        <v>1045</v>
      </c>
      <c r="K247" s="56" t="s">
        <v>1116</v>
      </c>
      <c r="L247" s="121">
        <v>46270</v>
      </c>
      <c r="M247" s="122">
        <v>0.55208333333333337</v>
      </c>
      <c r="N247" s="122">
        <v>0.56597222222222221</v>
      </c>
      <c r="O247" s="56" t="s">
        <v>1047</v>
      </c>
      <c r="P247" s="121">
        <v>46270</v>
      </c>
      <c r="Q247" s="122">
        <v>0.61458333333333337</v>
      </c>
      <c r="R247" s="122">
        <v>0.62608796296296299</v>
      </c>
      <c r="S247" s="56" t="s">
        <v>1047</v>
      </c>
      <c r="T247" s="56">
        <v>1</v>
      </c>
      <c r="U247" s="56">
        <v>31</v>
      </c>
      <c r="V247" s="56">
        <v>26.89</v>
      </c>
      <c r="W247" s="56">
        <v>26.82</v>
      </c>
      <c r="X247" s="56" t="s">
        <v>2624</v>
      </c>
      <c r="Y247" s="56" t="s">
        <v>2624</v>
      </c>
      <c r="Z247" s="56" t="s">
        <v>2624</v>
      </c>
      <c r="AA247" s="56" t="s">
        <v>958</v>
      </c>
      <c r="AB247" s="56">
        <v>14123725</v>
      </c>
      <c r="AC247" s="56" t="s">
        <v>958</v>
      </c>
      <c r="AD247" s="56">
        <v>14123725</v>
      </c>
      <c r="AE247" s="56" t="s">
        <v>2626</v>
      </c>
      <c r="AF247" s="56" t="s">
        <v>2627</v>
      </c>
      <c r="AG247" s="56" t="s">
        <v>2627</v>
      </c>
      <c r="AH247" s="56">
        <v>36</v>
      </c>
      <c r="AI247" s="56" t="s">
        <v>2628</v>
      </c>
      <c r="AJ247" s="56" t="s">
        <v>2640</v>
      </c>
      <c r="AK247" s="56">
        <v>0</v>
      </c>
      <c r="AL247" s="56" t="s">
        <v>2630</v>
      </c>
      <c r="AM247" s="56" t="s">
        <v>2631</v>
      </c>
      <c r="AN247" s="56" t="s">
        <v>2632</v>
      </c>
      <c r="AO247" s="56" t="s">
        <v>2627</v>
      </c>
      <c r="AP247" s="56">
        <v>35</v>
      </c>
      <c r="AQ247" s="123">
        <v>1.388888888888884E-2</v>
      </c>
      <c r="AR247" s="122">
        <v>1.1504629629629615E-2</v>
      </c>
      <c r="AS247" s="56" t="s">
        <v>1048</v>
      </c>
      <c r="AT247" s="56" t="s">
        <v>1059</v>
      </c>
      <c r="AU247" s="56" t="s">
        <v>1060</v>
      </c>
      <c r="AV247" s="56">
        <v>36</v>
      </c>
      <c r="AW247" s="56" t="s">
        <v>1051</v>
      </c>
      <c r="AX247" s="56" t="s">
        <v>1117</v>
      </c>
      <c r="AY247" s="56" t="s">
        <v>1118</v>
      </c>
      <c r="AZ247" s="56" t="s">
        <v>1054</v>
      </c>
      <c r="BA247" s="56" t="s">
        <v>1119</v>
      </c>
      <c r="BB247" s="56" t="s">
        <v>1120</v>
      </c>
      <c r="BC247" s="56" t="s">
        <v>1133</v>
      </c>
      <c r="BD247" s="56" t="s">
        <v>1310</v>
      </c>
    </row>
    <row r="248" spans="1:56" x14ac:dyDescent="0.2">
      <c r="A248" s="56">
        <v>176761059</v>
      </c>
      <c r="B248" s="56" t="s">
        <v>2790</v>
      </c>
      <c r="C248" s="56" t="s">
        <v>2623</v>
      </c>
      <c r="D248" s="56" t="s">
        <v>2676</v>
      </c>
      <c r="E248" s="56" t="s">
        <v>1044</v>
      </c>
      <c r="F248" s="56">
        <v>221</v>
      </c>
      <c r="G248" s="56"/>
      <c r="H248" s="56">
        <v>5423</v>
      </c>
      <c r="I248" s="56">
        <v>6</v>
      </c>
      <c r="J248" s="56" t="s">
        <v>1045</v>
      </c>
      <c r="K248" s="56" t="s">
        <v>1296</v>
      </c>
      <c r="L248" s="121">
        <v>46270</v>
      </c>
      <c r="M248" s="122">
        <v>0.55555555555555558</v>
      </c>
      <c r="N248" s="122">
        <v>0.55902777777777779</v>
      </c>
      <c r="O248" s="56" t="s">
        <v>1047</v>
      </c>
      <c r="P248" s="121">
        <v>46270</v>
      </c>
      <c r="Q248" s="122">
        <v>0.60069444444444442</v>
      </c>
      <c r="R248" s="122">
        <v>0.63901620370370371</v>
      </c>
      <c r="S248" s="56" t="s">
        <v>1047</v>
      </c>
      <c r="T248" s="56">
        <v>1</v>
      </c>
      <c r="U248" s="56">
        <v>12</v>
      </c>
      <c r="V248" s="56">
        <v>17.559999999999999</v>
      </c>
      <c r="W248" s="56">
        <v>18</v>
      </c>
      <c r="X248" s="56" t="s">
        <v>2624</v>
      </c>
      <c r="Y248" s="56" t="s">
        <v>2624</v>
      </c>
      <c r="Z248" s="56" t="s">
        <v>2624</v>
      </c>
      <c r="AA248" s="56" t="s">
        <v>993</v>
      </c>
      <c r="AB248" s="56">
        <v>14123926</v>
      </c>
      <c r="AC248" s="56" t="s">
        <v>993</v>
      </c>
      <c r="AD248" s="56">
        <v>14123926</v>
      </c>
      <c r="AE248" s="56" t="s">
        <v>2626</v>
      </c>
      <c r="AF248" s="56" t="s">
        <v>2627</v>
      </c>
      <c r="AG248" s="56" t="s">
        <v>2627</v>
      </c>
      <c r="AH248" s="56">
        <v>36</v>
      </c>
      <c r="AI248" s="56" t="s">
        <v>2628</v>
      </c>
      <c r="AJ248" s="56" t="s">
        <v>2640</v>
      </c>
      <c r="AK248" s="56">
        <v>0</v>
      </c>
      <c r="AL248" s="56" t="s">
        <v>2630</v>
      </c>
      <c r="AM248" s="56" t="s">
        <v>2631</v>
      </c>
      <c r="AN248" s="56" t="s">
        <v>2632</v>
      </c>
      <c r="AO248" s="56" t="s">
        <v>2627</v>
      </c>
      <c r="AP248" s="56" t="s">
        <v>2624</v>
      </c>
      <c r="AQ248" s="123">
        <v>3.4722222222222099E-3</v>
      </c>
      <c r="AR248" s="122">
        <v>3.8321759259259291E-2</v>
      </c>
      <c r="AS248" s="56" t="s">
        <v>1048</v>
      </c>
      <c r="AT248" s="56" t="s">
        <v>1059</v>
      </c>
      <c r="AU248" s="56" t="s">
        <v>1060</v>
      </c>
      <c r="AV248" s="56">
        <v>36</v>
      </c>
      <c r="AW248" s="56" t="s">
        <v>1051</v>
      </c>
      <c r="AX248" s="56" t="s">
        <v>2677</v>
      </c>
      <c r="AY248" s="56" t="s">
        <v>1297</v>
      </c>
      <c r="AZ248" s="56" t="s">
        <v>1067</v>
      </c>
      <c r="BA248" s="56" t="s">
        <v>2678</v>
      </c>
      <c r="BB248" s="56" t="s">
        <v>2679</v>
      </c>
      <c r="BC248" s="56" t="s">
        <v>1133</v>
      </c>
      <c r="BD248" s="56" t="s">
        <v>2791</v>
      </c>
    </row>
    <row r="249" spans="1:56" x14ac:dyDescent="0.2">
      <c r="A249" s="56">
        <v>176762485</v>
      </c>
      <c r="B249" s="56" t="s">
        <v>3217</v>
      </c>
      <c r="C249" s="56" t="s">
        <v>2623</v>
      </c>
      <c r="D249" s="56" t="s">
        <v>1754</v>
      </c>
      <c r="E249" s="56" t="s">
        <v>1044</v>
      </c>
      <c r="F249" s="56">
        <v>143</v>
      </c>
      <c r="G249" s="56" t="s">
        <v>2693</v>
      </c>
      <c r="H249" s="56">
        <v>14708</v>
      </c>
      <c r="I249" s="56">
        <v>6</v>
      </c>
      <c r="J249" s="56" t="s">
        <v>1045</v>
      </c>
      <c r="K249" s="56" t="s">
        <v>1116</v>
      </c>
      <c r="L249" s="121">
        <v>46270</v>
      </c>
      <c r="M249" s="122">
        <v>0.56388888888888888</v>
      </c>
      <c r="N249" s="122">
        <v>0.57013888888888886</v>
      </c>
      <c r="O249" s="56" t="s">
        <v>1047</v>
      </c>
      <c r="P249" s="121">
        <v>46270</v>
      </c>
      <c r="Q249" s="122">
        <v>0.61458333333333337</v>
      </c>
      <c r="R249" s="122">
        <v>0.60633101851851856</v>
      </c>
      <c r="S249" s="56" t="s">
        <v>1047</v>
      </c>
      <c r="T249" s="56">
        <v>1</v>
      </c>
      <c r="U249" s="56">
        <v>21</v>
      </c>
      <c r="V249" s="56">
        <v>20.53</v>
      </c>
      <c r="W249" s="56">
        <v>20.74</v>
      </c>
      <c r="X249" s="56" t="s">
        <v>2624</v>
      </c>
      <c r="Y249" s="56" t="s">
        <v>2624</v>
      </c>
      <c r="Z249" s="56" t="s">
        <v>2624</v>
      </c>
      <c r="AA249" s="56" t="s">
        <v>382</v>
      </c>
      <c r="AB249" s="56">
        <v>14122072</v>
      </c>
      <c r="AC249" s="56" t="s">
        <v>382</v>
      </c>
      <c r="AD249" s="56">
        <v>14122072</v>
      </c>
      <c r="AE249" s="56" t="s">
        <v>2626</v>
      </c>
      <c r="AF249" s="56" t="s">
        <v>2627</v>
      </c>
      <c r="AG249" s="56" t="s">
        <v>2627</v>
      </c>
      <c r="AH249" s="56">
        <v>36</v>
      </c>
      <c r="AI249" s="56" t="s">
        <v>2628</v>
      </c>
      <c r="AJ249" s="56" t="s">
        <v>2629</v>
      </c>
      <c r="AK249" s="56">
        <v>0</v>
      </c>
      <c r="AL249" s="56" t="s">
        <v>2630</v>
      </c>
      <c r="AM249" s="56" t="s">
        <v>2631</v>
      </c>
      <c r="AN249" s="56" t="s">
        <v>2632</v>
      </c>
      <c r="AO249" s="56" t="s">
        <v>2627</v>
      </c>
      <c r="AP249" s="56">
        <v>22</v>
      </c>
      <c r="AQ249" s="123">
        <v>6.2499999999999778E-3</v>
      </c>
      <c r="AR249" s="122">
        <v>-8.2523148148148096E-3</v>
      </c>
      <c r="AS249" s="56" t="s">
        <v>1048</v>
      </c>
      <c r="AT249" s="56" t="s">
        <v>1049</v>
      </c>
      <c r="AU249" s="56" t="s">
        <v>1050</v>
      </c>
      <c r="AV249" s="56">
        <v>36</v>
      </c>
      <c r="AW249" s="56" t="s">
        <v>1051</v>
      </c>
      <c r="AX249" s="56" t="s">
        <v>1755</v>
      </c>
      <c r="AY249" s="56" t="s">
        <v>1128</v>
      </c>
      <c r="AZ249" s="56" t="s">
        <v>1054</v>
      </c>
      <c r="BA249" s="56" t="s">
        <v>1756</v>
      </c>
      <c r="BB249" s="56" t="s">
        <v>1757</v>
      </c>
      <c r="BC249" s="56" t="s">
        <v>1133</v>
      </c>
      <c r="BD249" s="56" t="s">
        <v>3218</v>
      </c>
    </row>
    <row r="250" spans="1:56" x14ac:dyDescent="0.2">
      <c r="A250" s="56">
        <v>176762695</v>
      </c>
      <c r="B250" s="56" t="s">
        <v>1667</v>
      </c>
      <c r="C250" s="56" t="s">
        <v>2623</v>
      </c>
      <c r="D250" s="56" t="s">
        <v>1668</v>
      </c>
      <c r="E250" s="56" t="s">
        <v>1044</v>
      </c>
      <c r="F250" s="56">
        <v>177</v>
      </c>
      <c r="G250" s="56" t="s">
        <v>2693</v>
      </c>
      <c r="H250" s="56">
        <v>4982</v>
      </c>
      <c r="I250" s="56">
        <v>6</v>
      </c>
      <c r="J250" s="56" t="s">
        <v>1045</v>
      </c>
      <c r="K250" s="56" t="s">
        <v>1116</v>
      </c>
      <c r="L250" s="121">
        <v>46270</v>
      </c>
      <c r="M250" s="122">
        <v>0.56388888888888888</v>
      </c>
      <c r="N250" s="122">
        <v>0.56736111111111109</v>
      </c>
      <c r="O250" s="56" t="s">
        <v>1047</v>
      </c>
      <c r="P250" s="121">
        <v>46270</v>
      </c>
      <c r="Q250" s="122">
        <v>0.61458333333333337</v>
      </c>
      <c r="R250" s="122">
        <v>0.63093750000000004</v>
      </c>
      <c r="S250" s="56" t="s">
        <v>1047</v>
      </c>
      <c r="T250" s="56">
        <v>1</v>
      </c>
      <c r="U250" s="56">
        <v>22</v>
      </c>
      <c r="V250" s="56">
        <v>3643.76</v>
      </c>
      <c r="W250" s="56">
        <v>25.24</v>
      </c>
      <c r="X250" s="56" t="s">
        <v>2624</v>
      </c>
      <c r="Y250" s="56" t="s">
        <v>2624</v>
      </c>
      <c r="Z250" s="56" t="s">
        <v>2624</v>
      </c>
      <c r="AA250" s="56" t="s">
        <v>284</v>
      </c>
      <c r="AB250" s="56">
        <v>14111678</v>
      </c>
      <c r="AC250" s="56" t="s">
        <v>284</v>
      </c>
      <c r="AD250" s="56">
        <v>14111678</v>
      </c>
      <c r="AE250" s="56" t="s">
        <v>2626</v>
      </c>
      <c r="AF250" s="56" t="s">
        <v>2627</v>
      </c>
      <c r="AG250" s="56" t="s">
        <v>2627</v>
      </c>
      <c r="AH250" s="56">
        <v>36</v>
      </c>
      <c r="AI250" s="56" t="s">
        <v>2628</v>
      </c>
      <c r="AJ250" s="56" t="s">
        <v>2640</v>
      </c>
      <c r="AK250" s="56">
        <v>0</v>
      </c>
      <c r="AL250" s="56" t="s">
        <v>2630</v>
      </c>
      <c r="AM250" s="56" t="s">
        <v>2631</v>
      </c>
      <c r="AN250" s="56" t="s">
        <v>2632</v>
      </c>
      <c r="AO250" s="56" t="s">
        <v>2627</v>
      </c>
      <c r="AP250" s="56" t="s">
        <v>2624</v>
      </c>
      <c r="AQ250" s="123">
        <v>3.4722222222222099E-3</v>
      </c>
      <c r="AR250" s="122">
        <v>1.635416666666667E-2</v>
      </c>
      <c r="AS250" s="56" t="s">
        <v>1048</v>
      </c>
      <c r="AT250" s="56" t="s">
        <v>1059</v>
      </c>
      <c r="AU250" s="56" t="s">
        <v>1060</v>
      </c>
      <c r="AV250" s="56">
        <v>36</v>
      </c>
      <c r="AW250" s="56" t="s">
        <v>1051</v>
      </c>
      <c r="AX250" s="56" t="s">
        <v>1669</v>
      </c>
      <c r="AY250" s="56" t="s">
        <v>1128</v>
      </c>
      <c r="AZ250" s="56" t="s">
        <v>1054</v>
      </c>
      <c r="BA250" s="56" t="s">
        <v>1670</v>
      </c>
      <c r="BB250" s="56" t="s">
        <v>1671</v>
      </c>
      <c r="BC250" s="56" t="s">
        <v>1133</v>
      </c>
      <c r="BD250" s="56" t="s">
        <v>1672</v>
      </c>
    </row>
    <row r="251" spans="1:56" x14ac:dyDescent="0.2">
      <c r="A251" s="56">
        <v>176755079</v>
      </c>
      <c r="B251" s="56" t="s">
        <v>3219</v>
      </c>
      <c r="C251" s="56" t="s">
        <v>2623</v>
      </c>
      <c r="D251" s="56" t="s">
        <v>2244</v>
      </c>
      <c r="E251" s="56" t="s">
        <v>1044</v>
      </c>
      <c r="F251" s="56">
        <v>83</v>
      </c>
      <c r="G251" s="56"/>
      <c r="H251" s="56">
        <v>13432</v>
      </c>
      <c r="I251" s="56">
        <v>7</v>
      </c>
      <c r="J251" s="56" t="s">
        <v>1045</v>
      </c>
      <c r="K251" s="56" t="s">
        <v>1296</v>
      </c>
      <c r="L251" s="121">
        <v>46270</v>
      </c>
      <c r="M251" s="122">
        <v>0.56736111111111109</v>
      </c>
      <c r="N251" s="122">
        <v>0.57291666666666663</v>
      </c>
      <c r="O251" s="56" t="s">
        <v>1047</v>
      </c>
      <c r="P251" s="121">
        <v>46270</v>
      </c>
      <c r="Q251" s="122">
        <v>0.60069444444444442</v>
      </c>
      <c r="R251" s="122">
        <v>0.62031250000000004</v>
      </c>
      <c r="S251" s="56" t="s">
        <v>1047</v>
      </c>
      <c r="T251" s="56">
        <v>0</v>
      </c>
      <c r="U251" s="56">
        <v>13</v>
      </c>
      <c r="V251" s="56">
        <v>12.24</v>
      </c>
      <c r="W251" s="56">
        <v>12.67</v>
      </c>
      <c r="X251" s="56">
        <v>32.200000000000003</v>
      </c>
      <c r="Y251" s="56">
        <v>8.2200000000000006</v>
      </c>
      <c r="Z251" s="56">
        <v>11.31</v>
      </c>
      <c r="AA251" s="56" t="s">
        <v>178</v>
      </c>
      <c r="AB251" s="56">
        <v>14117297</v>
      </c>
      <c r="AC251" s="56" t="s">
        <v>178</v>
      </c>
      <c r="AD251" s="56">
        <v>14117297</v>
      </c>
      <c r="AE251" s="56" t="s">
        <v>2626</v>
      </c>
      <c r="AF251" s="56" t="s">
        <v>2627</v>
      </c>
      <c r="AG251" s="56" t="s">
        <v>2627</v>
      </c>
      <c r="AH251" s="56">
        <v>36</v>
      </c>
      <c r="AI251" s="56" t="s">
        <v>2628</v>
      </c>
      <c r="AJ251" s="56" t="s">
        <v>2640</v>
      </c>
      <c r="AK251" s="56">
        <v>0</v>
      </c>
      <c r="AL251" s="56" t="s">
        <v>2630</v>
      </c>
      <c r="AM251" s="56" t="s">
        <v>2631</v>
      </c>
      <c r="AN251" s="56" t="s">
        <v>2632</v>
      </c>
      <c r="AO251" s="56" t="s">
        <v>2627</v>
      </c>
      <c r="AP251" s="56" t="s">
        <v>2624</v>
      </c>
      <c r="AQ251" s="123">
        <v>5.5555555555555358E-3</v>
      </c>
      <c r="AR251" s="122">
        <v>1.9618055555555625E-2</v>
      </c>
      <c r="AS251" s="56" t="s">
        <v>1048</v>
      </c>
      <c r="AT251" s="56" t="s">
        <v>1059</v>
      </c>
      <c r="AU251" s="56" t="s">
        <v>1060</v>
      </c>
      <c r="AV251" s="56">
        <v>36</v>
      </c>
      <c r="AW251" s="56" t="s">
        <v>1051</v>
      </c>
      <c r="AX251" s="56" t="s">
        <v>2245</v>
      </c>
      <c r="AY251" s="56" t="s">
        <v>1297</v>
      </c>
      <c r="AZ251" s="56" t="s">
        <v>1067</v>
      </c>
      <c r="BA251" s="56" t="s">
        <v>2246</v>
      </c>
      <c r="BB251" s="56" t="s">
        <v>2247</v>
      </c>
      <c r="BC251" s="56" t="s">
        <v>1133</v>
      </c>
      <c r="BD251" s="56" t="s">
        <v>3220</v>
      </c>
    </row>
    <row r="252" spans="1:56" x14ac:dyDescent="0.2">
      <c r="A252" s="56">
        <v>176763746</v>
      </c>
      <c r="B252" s="56" t="s">
        <v>2180</v>
      </c>
      <c r="C252" s="56" t="s">
        <v>2623</v>
      </c>
      <c r="D252" s="56" t="s">
        <v>2181</v>
      </c>
      <c r="E252" s="56" t="s">
        <v>1044</v>
      </c>
      <c r="F252" s="56">
        <v>254</v>
      </c>
      <c r="G252" s="56" t="s">
        <v>2693</v>
      </c>
      <c r="H252" s="56">
        <v>13850</v>
      </c>
      <c r="I252" s="56">
        <v>6</v>
      </c>
      <c r="J252" s="56" t="s">
        <v>1045</v>
      </c>
      <c r="K252" s="56" t="s">
        <v>1116</v>
      </c>
      <c r="L252" s="121">
        <v>46270</v>
      </c>
      <c r="M252" s="122">
        <v>0.56874999999999998</v>
      </c>
      <c r="N252" s="122">
        <v>0.58125000000000004</v>
      </c>
      <c r="O252" s="56" t="s">
        <v>1047</v>
      </c>
      <c r="P252" s="121">
        <v>46270</v>
      </c>
      <c r="Q252" s="122">
        <v>0.61458333333333337</v>
      </c>
      <c r="R252" s="122">
        <v>0.63087962962962962</v>
      </c>
      <c r="S252" s="56" t="s">
        <v>1047</v>
      </c>
      <c r="T252" s="56">
        <v>1</v>
      </c>
      <c r="U252" s="56">
        <v>47</v>
      </c>
      <c r="V252" s="56">
        <v>42.95</v>
      </c>
      <c r="W252" s="56">
        <v>48.87</v>
      </c>
      <c r="X252" s="56" t="s">
        <v>2624</v>
      </c>
      <c r="Y252" s="56" t="s">
        <v>2624</v>
      </c>
      <c r="Z252" s="56" t="s">
        <v>2624</v>
      </c>
      <c r="AA252" s="56" t="s">
        <v>907</v>
      </c>
      <c r="AB252" s="56">
        <v>14123649</v>
      </c>
      <c r="AC252" s="56" t="s">
        <v>907</v>
      </c>
      <c r="AD252" s="56">
        <v>14123649</v>
      </c>
      <c r="AE252" s="56" t="s">
        <v>2626</v>
      </c>
      <c r="AF252" s="56" t="s">
        <v>2627</v>
      </c>
      <c r="AG252" s="56" t="s">
        <v>2627</v>
      </c>
      <c r="AH252" s="56">
        <v>36</v>
      </c>
      <c r="AI252" s="56" t="s">
        <v>2628</v>
      </c>
      <c r="AJ252" s="56" t="s">
        <v>2640</v>
      </c>
      <c r="AK252" s="56">
        <v>0</v>
      </c>
      <c r="AL252" s="56" t="s">
        <v>2630</v>
      </c>
      <c r="AM252" s="56" t="s">
        <v>2631</v>
      </c>
      <c r="AN252" s="56" t="s">
        <v>2632</v>
      </c>
      <c r="AO252" s="56" t="s">
        <v>2627</v>
      </c>
      <c r="AP252" s="56">
        <v>28</v>
      </c>
      <c r="AQ252" s="123">
        <v>1.2500000000000067E-2</v>
      </c>
      <c r="AR252" s="122">
        <v>1.6296296296296253E-2</v>
      </c>
      <c r="AS252" s="56" t="s">
        <v>1048</v>
      </c>
      <c r="AT252" s="56" t="s">
        <v>1059</v>
      </c>
      <c r="AU252" s="56" t="s">
        <v>1060</v>
      </c>
      <c r="AV252" s="56">
        <v>36</v>
      </c>
      <c r="AW252" s="56" t="s">
        <v>1051</v>
      </c>
      <c r="AX252" s="56" t="s">
        <v>2182</v>
      </c>
      <c r="AY252" s="56" t="s">
        <v>1128</v>
      </c>
      <c r="AZ252" s="56" t="s">
        <v>1054</v>
      </c>
      <c r="BA252" s="56" t="s">
        <v>2183</v>
      </c>
      <c r="BB252" s="56" t="s">
        <v>2184</v>
      </c>
      <c r="BC252" s="56" t="s">
        <v>1133</v>
      </c>
      <c r="BD252" s="56" t="s">
        <v>2185</v>
      </c>
    </row>
    <row r="253" spans="1:56" x14ac:dyDescent="0.2">
      <c r="A253" s="56">
        <v>176758341</v>
      </c>
      <c r="B253" s="56" t="s">
        <v>3221</v>
      </c>
      <c r="C253" s="56" t="s">
        <v>2623</v>
      </c>
      <c r="D253" s="56" t="s">
        <v>3222</v>
      </c>
      <c r="E253" s="56" t="s">
        <v>1044</v>
      </c>
      <c r="F253" s="56">
        <v>28</v>
      </c>
      <c r="G253" s="56" t="s">
        <v>2670</v>
      </c>
      <c r="H253" s="56">
        <v>14706</v>
      </c>
      <c r="I253" s="56">
        <v>6</v>
      </c>
      <c r="J253" s="56" t="s">
        <v>1045</v>
      </c>
      <c r="K253" s="56" t="s">
        <v>1116</v>
      </c>
      <c r="L253" s="121">
        <v>46270</v>
      </c>
      <c r="M253" s="122">
        <v>0.57361111111111107</v>
      </c>
      <c r="N253" s="122">
        <v>0.58958333333333335</v>
      </c>
      <c r="O253" s="56" t="s">
        <v>1047</v>
      </c>
      <c r="P253" s="121">
        <v>46270</v>
      </c>
      <c r="Q253" s="122">
        <v>0.61458333333333337</v>
      </c>
      <c r="R253" s="122">
        <v>0.62305555555555558</v>
      </c>
      <c r="S253" s="56" t="s">
        <v>1047</v>
      </c>
      <c r="T253" s="56">
        <v>1</v>
      </c>
      <c r="U253" s="56">
        <v>32</v>
      </c>
      <c r="V253" s="56">
        <v>26.33</v>
      </c>
      <c r="W253" s="56">
        <v>24.19</v>
      </c>
      <c r="X253" s="56" t="s">
        <v>2624</v>
      </c>
      <c r="Y253" s="56" t="s">
        <v>2624</v>
      </c>
      <c r="Z253" s="56" t="s">
        <v>2624</v>
      </c>
      <c r="AA253" s="56" t="s">
        <v>273</v>
      </c>
      <c r="AB253" s="56">
        <v>14120041</v>
      </c>
      <c r="AC253" s="56" t="s">
        <v>273</v>
      </c>
      <c r="AD253" s="56">
        <v>14120041</v>
      </c>
      <c r="AE253" s="56" t="s">
        <v>2626</v>
      </c>
      <c r="AF253" s="56" t="s">
        <v>2627</v>
      </c>
      <c r="AG253" s="56" t="s">
        <v>2627</v>
      </c>
      <c r="AH253" s="56">
        <v>36</v>
      </c>
      <c r="AI253" s="56" t="s">
        <v>2628</v>
      </c>
      <c r="AJ253" s="56" t="s">
        <v>2640</v>
      </c>
      <c r="AK253" s="56">
        <v>0</v>
      </c>
      <c r="AL253" s="56" t="s">
        <v>2630</v>
      </c>
      <c r="AM253" s="56" t="s">
        <v>2631</v>
      </c>
      <c r="AN253" s="56" t="s">
        <v>2632</v>
      </c>
      <c r="AO253" s="56" t="s">
        <v>2627</v>
      </c>
      <c r="AP253" s="56" t="s">
        <v>2624</v>
      </c>
      <c r="AQ253" s="123">
        <v>1.5972222222222276E-2</v>
      </c>
      <c r="AR253" s="122">
        <v>8.4722222222222143E-3</v>
      </c>
      <c r="AS253" s="56" t="s">
        <v>1048</v>
      </c>
      <c r="AT253" s="56" t="s">
        <v>1059</v>
      </c>
      <c r="AU253" s="56" t="s">
        <v>1060</v>
      </c>
      <c r="AV253" s="56">
        <v>36</v>
      </c>
      <c r="AW253" s="56" t="s">
        <v>1051</v>
      </c>
      <c r="AX253" s="56" t="s">
        <v>3223</v>
      </c>
      <c r="AY253" s="56" t="s">
        <v>1118</v>
      </c>
      <c r="AZ253" s="56" t="s">
        <v>1054</v>
      </c>
      <c r="BA253" s="56" t="s">
        <v>3224</v>
      </c>
      <c r="BB253" s="56" t="s">
        <v>3225</v>
      </c>
      <c r="BC253" s="56" t="s">
        <v>1133</v>
      </c>
      <c r="BD253" s="56" t="s">
        <v>3226</v>
      </c>
    </row>
    <row r="254" spans="1:56" x14ac:dyDescent="0.2">
      <c r="A254" s="56">
        <v>176761072</v>
      </c>
      <c r="B254" s="56" t="s">
        <v>2136</v>
      </c>
      <c r="C254" s="56" t="s">
        <v>2623</v>
      </c>
      <c r="D254" s="56" t="s">
        <v>1322</v>
      </c>
      <c r="E254" s="56" t="s">
        <v>1044</v>
      </c>
      <c r="F254" s="56">
        <v>225</v>
      </c>
      <c r="G254" s="56"/>
      <c r="H254" s="56">
        <v>13408</v>
      </c>
      <c r="I254" s="56">
        <v>6</v>
      </c>
      <c r="J254" s="56" t="s">
        <v>1045</v>
      </c>
      <c r="K254" s="56" t="s">
        <v>1296</v>
      </c>
      <c r="L254" s="121">
        <v>46270</v>
      </c>
      <c r="M254" s="122">
        <v>0.57638888888888884</v>
      </c>
      <c r="N254" s="122">
        <v>0.58194444444444449</v>
      </c>
      <c r="O254" s="56" t="s">
        <v>1047</v>
      </c>
      <c r="P254" s="121">
        <v>46270</v>
      </c>
      <c r="Q254" s="122">
        <v>0.60069444444444442</v>
      </c>
      <c r="R254" s="122">
        <v>0.60620370370370369</v>
      </c>
      <c r="S254" s="56" t="s">
        <v>1047</v>
      </c>
      <c r="T254" s="56">
        <v>1</v>
      </c>
      <c r="U254" s="56">
        <v>13</v>
      </c>
      <c r="V254" s="56">
        <v>11.81</v>
      </c>
      <c r="W254" s="56">
        <v>15.37</v>
      </c>
      <c r="X254" s="56" t="s">
        <v>2624</v>
      </c>
      <c r="Y254" s="56" t="s">
        <v>2624</v>
      </c>
      <c r="Z254" s="56" t="s">
        <v>2624</v>
      </c>
      <c r="AA254" s="56" t="s">
        <v>545</v>
      </c>
      <c r="AB254" s="56">
        <v>14123559</v>
      </c>
      <c r="AC254" s="56" t="s">
        <v>545</v>
      </c>
      <c r="AD254" s="56">
        <v>14123559</v>
      </c>
      <c r="AE254" s="56" t="s">
        <v>2626</v>
      </c>
      <c r="AF254" s="56" t="s">
        <v>2627</v>
      </c>
      <c r="AG254" s="56" t="s">
        <v>2627</v>
      </c>
      <c r="AH254" s="56">
        <v>36</v>
      </c>
      <c r="AI254" s="56" t="s">
        <v>2628</v>
      </c>
      <c r="AJ254" s="56" t="s">
        <v>2640</v>
      </c>
      <c r="AK254" s="56">
        <v>0</v>
      </c>
      <c r="AL254" s="56" t="s">
        <v>2630</v>
      </c>
      <c r="AM254" s="56" t="s">
        <v>2631</v>
      </c>
      <c r="AN254" s="56" t="s">
        <v>2632</v>
      </c>
      <c r="AO254" s="56" t="s">
        <v>2627</v>
      </c>
      <c r="AP254" s="56" t="s">
        <v>2624</v>
      </c>
      <c r="AQ254" s="123">
        <v>5.5555555555556468E-3</v>
      </c>
      <c r="AR254" s="122">
        <v>5.5092592592592693E-3</v>
      </c>
      <c r="AS254" s="56" t="s">
        <v>1048</v>
      </c>
      <c r="AT254" s="56" t="s">
        <v>1059</v>
      </c>
      <c r="AU254" s="56" t="s">
        <v>1060</v>
      </c>
      <c r="AV254" s="56">
        <v>36</v>
      </c>
      <c r="AW254" s="56" t="s">
        <v>1051</v>
      </c>
      <c r="AX254" s="56" t="s">
        <v>1323</v>
      </c>
      <c r="AY254" s="56" t="s">
        <v>1297</v>
      </c>
      <c r="AZ254" s="56" t="s">
        <v>1067</v>
      </c>
      <c r="BA254" s="56" t="s">
        <v>1324</v>
      </c>
      <c r="BB254" s="56" t="s">
        <v>1325</v>
      </c>
      <c r="BC254" s="56" t="s">
        <v>1133</v>
      </c>
      <c r="BD254" s="56" t="s">
        <v>2137</v>
      </c>
    </row>
    <row r="255" spans="1:56" x14ac:dyDescent="0.2">
      <c r="A255" s="56">
        <v>176762128</v>
      </c>
      <c r="B255" s="56" t="s">
        <v>2824</v>
      </c>
      <c r="C255" s="56" t="s">
        <v>2623</v>
      </c>
      <c r="D255" s="56" t="s">
        <v>2281</v>
      </c>
      <c r="E255" s="56" t="s">
        <v>1044</v>
      </c>
      <c r="F255" s="56">
        <v>112</v>
      </c>
      <c r="G255" s="56" t="s">
        <v>2693</v>
      </c>
      <c r="H255" s="56">
        <v>13374</v>
      </c>
      <c r="I255" s="56">
        <v>6</v>
      </c>
      <c r="J255" s="56" t="s">
        <v>1045</v>
      </c>
      <c r="K255" s="56" t="s">
        <v>1116</v>
      </c>
      <c r="L255" s="121">
        <v>46270</v>
      </c>
      <c r="M255" s="122">
        <v>0.57986111111111116</v>
      </c>
      <c r="N255" s="122">
        <v>0.58611111111111114</v>
      </c>
      <c r="O255" s="56" t="s">
        <v>1047</v>
      </c>
      <c r="P255" s="121">
        <v>46270</v>
      </c>
      <c r="Q255" s="122">
        <v>0.61458333333333337</v>
      </c>
      <c r="R255" s="122">
        <v>0.61189814814814814</v>
      </c>
      <c r="S255" s="56" t="s">
        <v>1047</v>
      </c>
      <c r="T255" s="56">
        <v>1</v>
      </c>
      <c r="U255" s="56">
        <v>17</v>
      </c>
      <c r="V255" s="56">
        <v>11.49</v>
      </c>
      <c r="W255" s="56">
        <v>10.78</v>
      </c>
      <c r="X255" s="56" t="s">
        <v>2624</v>
      </c>
      <c r="Y255" s="56" t="s">
        <v>2624</v>
      </c>
      <c r="Z255" s="56" t="s">
        <v>2624</v>
      </c>
      <c r="AA255" s="56" t="s">
        <v>247</v>
      </c>
      <c r="AB255" s="56">
        <v>14119437</v>
      </c>
      <c r="AC255" s="56" t="s">
        <v>247</v>
      </c>
      <c r="AD255" s="56">
        <v>14119437</v>
      </c>
      <c r="AE255" s="56" t="s">
        <v>2626</v>
      </c>
      <c r="AF255" s="56" t="s">
        <v>2627</v>
      </c>
      <c r="AG255" s="56" t="s">
        <v>2627</v>
      </c>
      <c r="AH255" s="56">
        <v>36</v>
      </c>
      <c r="AI255" s="56" t="s">
        <v>2628</v>
      </c>
      <c r="AJ255" s="56" t="s">
        <v>2629</v>
      </c>
      <c r="AK255" s="56">
        <v>0</v>
      </c>
      <c r="AL255" s="56" t="s">
        <v>2630</v>
      </c>
      <c r="AM255" s="56" t="s">
        <v>2631</v>
      </c>
      <c r="AN255" s="56" t="s">
        <v>2632</v>
      </c>
      <c r="AO255" s="56" t="s">
        <v>2627</v>
      </c>
      <c r="AP255" s="56" t="s">
        <v>2624</v>
      </c>
      <c r="AQ255" s="123">
        <v>6.2499999999999778E-3</v>
      </c>
      <c r="AR255" s="122">
        <v>-2.6851851851852349E-3</v>
      </c>
      <c r="AS255" s="56" t="s">
        <v>1048</v>
      </c>
      <c r="AT255" s="56" t="s">
        <v>1049</v>
      </c>
      <c r="AU255" s="56" t="s">
        <v>1050</v>
      </c>
      <c r="AV255" s="56">
        <v>36</v>
      </c>
      <c r="AW255" s="56" t="s">
        <v>1051</v>
      </c>
      <c r="AX255" s="56" t="s">
        <v>2825</v>
      </c>
      <c r="AY255" s="56" t="s">
        <v>1128</v>
      </c>
      <c r="AZ255" s="56" t="s">
        <v>1054</v>
      </c>
      <c r="BA255" s="56" t="s">
        <v>2826</v>
      </c>
      <c r="BB255" s="56" t="s">
        <v>2827</v>
      </c>
      <c r="BC255" s="56" t="s">
        <v>1133</v>
      </c>
      <c r="BD255" s="56" t="s">
        <v>2828</v>
      </c>
    </row>
    <row r="256" spans="1:56" x14ac:dyDescent="0.2">
      <c r="A256" s="56">
        <v>176759440</v>
      </c>
      <c r="B256" s="56" t="s">
        <v>1461</v>
      </c>
      <c r="C256" s="56" t="s">
        <v>2623</v>
      </c>
      <c r="D256" s="56" t="s">
        <v>1456</v>
      </c>
      <c r="E256" s="56" t="s">
        <v>1044</v>
      </c>
      <c r="F256" s="56">
        <v>22</v>
      </c>
      <c r="G256" s="56"/>
      <c r="H256" s="56">
        <v>13447</v>
      </c>
      <c r="I256" s="56">
        <v>6</v>
      </c>
      <c r="J256" s="56" t="s">
        <v>1045</v>
      </c>
      <c r="K256" s="56" t="s">
        <v>1457</v>
      </c>
      <c r="L256" s="121">
        <v>46270</v>
      </c>
      <c r="M256" s="122">
        <v>0.61805555555555558</v>
      </c>
      <c r="N256" s="122">
        <v>0.62777777777777777</v>
      </c>
      <c r="O256" s="56" t="s">
        <v>1047</v>
      </c>
      <c r="P256" s="121">
        <v>46270</v>
      </c>
      <c r="Q256" s="122">
        <v>0.65972222222222221</v>
      </c>
      <c r="R256" s="122">
        <v>0.62016203703703698</v>
      </c>
      <c r="S256" s="56" t="s">
        <v>1047</v>
      </c>
      <c r="T256" s="56">
        <v>1</v>
      </c>
      <c r="U256" s="56">
        <v>35</v>
      </c>
      <c r="V256" s="56">
        <v>26.3</v>
      </c>
      <c r="W256" s="56">
        <v>28.31</v>
      </c>
      <c r="X256" s="56" t="s">
        <v>2624</v>
      </c>
      <c r="Y256" s="56" t="s">
        <v>2624</v>
      </c>
      <c r="Z256" s="56" t="s">
        <v>2624</v>
      </c>
      <c r="AA256" s="56" t="s">
        <v>276</v>
      </c>
      <c r="AB256" s="56">
        <v>14120091</v>
      </c>
      <c r="AC256" s="56" t="s">
        <v>276</v>
      </c>
      <c r="AD256" s="56">
        <v>14120091</v>
      </c>
      <c r="AE256" s="56" t="s">
        <v>2626</v>
      </c>
      <c r="AF256" s="56" t="s">
        <v>2627</v>
      </c>
      <c r="AG256" s="56" t="s">
        <v>2627</v>
      </c>
      <c r="AH256" s="56">
        <v>36</v>
      </c>
      <c r="AI256" s="56" t="s">
        <v>2628</v>
      </c>
      <c r="AJ256" s="56" t="s">
        <v>2629</v>
      </c>
      <c r="AK256" s="56">
        <v>0</v>
      </c>
      <c r="AL256" s="56" t="s">
        <v>2630</v>
      </c>
      <c r="AM256" s="56" t="s">
        <v>2631</v>
      </c>
      <c r="AN256" s="56" t="s">
        <v>2632</v>
      </c>
      <c r="AO256" s="56" t="s">
        <v>2627</v>
      </c>
      <c r="AP256" s="56" t="s">
        <v>2624</v>
      </c>
      <c r="AQ256" s="123">
        <v>9.7222222222221877E-3</v>
      </c>
      <c r="AR256" s="122">
        <v>-3.9560185185185226E-2</v>
      </c>
      <c r="AS256" s="56" t="s">
        <v>1048</v>
      </c>
      <c r="AT256" s="56" t="s">
        <v>1049</v>
      </c>
      <c r="AU256" s="56" t="s">
        <v>1050</v>
      </c>
      <c r="AV256" s="56">
        <v>36</v>
      </c>
      <c r="AW256" s="56" t="s">
        <v>1051</v>
      </c>
      <c r="AX256" s="56" t="s">
        <v>1458</v>
      </c>
      <c r="AY256" s="56" t="s">
        <v>1259</v>
      </c>
      <c r="AZ256" s="56" t="s">
        <v>1062</v>
      </c>
      <c r="BA256" s="56" t="s">
        <v>1459</v>
      </c>
      <c r="BB256" s="56" t="e">
        <v>#N/A</v>
      </c>
      <c r="BC256" s="56" t="s">
        <v>1133</v>
      </c>
      <c r="BD256" s="56" t="s">
        <v>3227</v>
      </c>
    </row>
    <row r="257" spans="1:56" x14ac:dyDescent="0.2">
      <c r="A257" s="56">
        <v>176761985</v>
      </c>
      <c r="B257" s="56" t="s">
        <v>3228</v>
      </c>
      <c r="C257" s="56" t="s">
        <v>2623</v>
      </c>
      <c r="D257" s="56" t="s">
        <v>1074</v>
      </c>
      <c r="E257" s="56" t="s">
        <v>1044</v>
      </c>
      <c r="F257" s="56">
        <v>27</v>
      </c>
      <c r="G257" s="56"/>
      <c r="H257" s="56">
        <v>17195</v>
      </c>
      <c r="I257" s="56">
        <v>6</v>
      </c>
      <c r="J257" s="56" t="s">
        <v>1045</v>
      </c>
      <c r="K257" s="56" t="s">
        <v>1075</v>
      </c>
      <c r="L257" s="121">
        <v>46270</v>
      </c>
      <c r="M257" s="122">
        <v>0.67708333333333337</v>
      </c>
      <c r="N257" s="122">
        <v>0.69444444444444442</v>
      </c>
      <c r="O257" s="56" t="s">
        <v>1047</v>
      </c>
      <c r="P257" s="121">
        <v>46270</v>
      </c>
      <c r="Q257" s="122">
        <v>0.76736111111111116</v>
      </c>
      <c r="R257" s="122">
        <v>0.76597222222222228</v>
      </c>
      <c r="S257" s="56" t="s">
        <v>1047</v>
      </c>
      <c r="T257" s="56">
        <v>1</v>
      </c>
      <c r="U257" s="56">
        <v>40</v>
      </c>
      <c r="V257" s="56">
        <v>37.93</v>
      </c>
      <c r="W257" s="56">
        <v>38.32</v>
      </c>
      <c r="X257" s="56" t="s">
        <v>2624</v>
      </c>
      <c r="Y257" s="56" t="s">
        <v>2624</v>
      </c>
      <c r="Z257" s="56" t="s">
        <v>2624</v>
      </c>
      <c r="AA257" s="56" t="s">
        <v>345</v>
      </c>
      <c r="AB257" s="56">
        <v>14121598</v>
      </c>
      <c r="AC257" s="56" t="s">
        <v>345</v>
      </c>
      <c r="AD257" s="56">
        <v>14121598</v>
      </c>
      <c r="AE257" s="56" t="s">
        <v>2626</v>
      </c>
      <c r="AF257" s="56" t="s">
        <v>2627</v>
      </c>
      <c r="AG257" s="56" t="s">
        <v>2627</v>
      </c>
      <c r="AH257" s="56">
        <v>36</v>
      </c>
      <c r="AI257" s="56" t="s">
        <v>2628</v>
      </c>
      <c r="AJ257" s="56" t="s">
        <v>2629</v>
      </c>
      <c r="AK257" s="56">
        <v>0</v>
      </c>
      <c r="AL257" s="56" t="s">
        <v>2630</v>
      </c>
      <c r="AM257" s="56" t="s">
        <v>2631</v>
      </c>
      <c r="AN257" s="56" t="s">
        <v>2632</v>
      </c>
      <c r="AO257" s="56" t="s">
        <v>2627</v>
      </c>
      <c r="AP257" s="56" t="s">
        <v>2624</v>
      </c>
      <c r="AQ257" s="123">
        <v>1.7361111111111049E-2</v>
      </c>
      <c r="AR257" s="122">
        <v>-1.388888888888884E-3</v>
      </c>
      <c r="AS257" s="56" t="s">
        <v>1048</v>
      </c>
      <c r="AT257" s="56" t="s">
        <v>1049</v>
      </c>
      <c r="AU257" s="56" t="s">
        <v>1050</v>
      </c>
      <c r="AV257" s="56">
        <v>36</v>
      </c>
      <c r="AW257" s="56" t="s">
        <v>1051</v>
      </c>
      <c r="AX257" s="56" t="s">
        <v>3229</v>
      </c>
      <c r="AY257" s="56" t="s">
        <v>1076</v>
      </c>
      <c r="AZ257" s="56" t="s">
        <v>1067</v>
      </c>
      <c r="BA257" s="56" t="s">
        <v>3230</v>
      </c>
      <c r="BB257" s="56" t="s">
        <v>3231</v>
      </c>
      <c r="BC257" s="56" t="s">
        <v>1133</v>
      </c>
      <c r="BD257" s="56" t="s">
        <v>3232</v>
      </c>
    </row>
    <row r="258" spans="1:56" x14ac:dyDescent="0.2">
      <c r="A258" s="56">
        <v>176761969</v>
      </c>
      <c r="B258" s="56" t="s">
        <v>3233</v>
      </c>
      <c r="C258" s="56" t="s">
        <v>2623</v>
      </c>
      <c r="D258" s="56" t="s">
        <v>1085</v>
      </c>
      <c r="E258" s="56" t="s">
        <v>1044</v>
      </c>
      <c r="F258" s="56">
        <v>19</v>
      </c>
      <c r="G258" s="56" t="s">
        <v>2833</v>
      </c>
      <c r="H258" s="56">
        <v>4449</v>
      </c>
      <c r="I258" s="56">
        <v>6</v>
      </c>
      <c r="J258" s="56" t="s">
        <v>1045</v>
      </c>
      <c r="K258" s="56" t="s">
        <v>1075</v>
      </c>
      <c r="L258" s="121">
        <v>46270</v>
      </c>
      <c r="M258" s="122">
        <v>0.68402777777777779</v>
      </c>
      <c r="N258" s="122">
        <v>0.69305555555555554</v>
      </c>
      <c r="O258" s="56" t="s">
        <v>1047</v>
      </c>
      <c r="P258" s="121">
        <v>46270</v>
      </c>
      <c r="Q258" s="122">
        <v>0.76736111111111116</v>
      </c>
      <c r="R258" s="122">
        <v>0.7416666666666667</v>
      </c>
      <c r="S258" s="56" t="s">
        <v>1047</v>
      </c>
      <c r="T258" s="56">
        <v>1</v>
      </c>
      <c r="U258" s="56">
        <v>39</v>
      </c>
      <c r="V258" s="56">
        <v>37.33</v>
      </c>
      <c r="W258" s="56">
        <v>37.06</v>
      </c>
      <c r="X258" s="56">
        <v>43.5</v>
      </c>
      <c r="Y258" s="56">
        <v>6.44</v>
      </c>
      <c r="Z258" s="56">
        <v>0</v>
      </c>
      <c r="AA258" s="56" t="s">
        <v>526</v>
      </c>
      <c r="AB258" s="56">
        <v>14123473</v>
      </c>
      <c r="AC258" s="56" t="s">
        <v>526</v>
      </c>
      <c r="AD258" s="56">
        <v>14123473</v>
      </c>
      <c r="AE258" s="56" t="s">
        <v>2626</v>
      </c>
      <c r="AF258" s="56" t="s">
        <v>2627</v>
      </c>
      <c r="AG258" s="56" t="s">
        <v>2627</v>
      </c>
      <c r="AH258" s="56">
        <v>36</v>
      </c>
      <c r="AI258" s="56" t="s">
        <v>2628</v>
      </c>
      <c r="AJ258" s="56" t="s">
        <v>2629</v>
      </c>
      <c r="AK258" s="56">
        <v>0</v>
      </c>
      <c r="AL258" s="56" t="s">
        <v>2630</v>
      </c>
      <c r="AM258" s="56" t="s">
        <v>2631</v>
      </c>
      <c r="AN258" s="56" t="s">
        <v>2632</v>
      </c>
      <c r="AO258" s="56" t="s">
        <v>2627</v>
      </c>
      <c r="AP258" s="56" t="s">
        <v>2624</v>
      </c>
      <c r="AQ258" s="123">
        <v>9.0277777777777457E-3</v>
      </c>
      <c r="AR258" s="122">
        <v>-2.5694444444444464E-2</v>
      </c>
      <c r="AS258" s="56" t="s">
        <v>1048</v>
      </c>
      <c r="AT258" s="56" t="s">
        <v>1049</v>
      </c>
      <c r="AU258" s="56" t="s">
        <v>1050</v>
      </c>
      <c r="AV258" s="56">
        <v>36</v>
      </c>
      <c r="AW258" s="56" t="s">
        <v>1051</v>
      </c>
      <c r="AX258" s="56" t="s">
        <v>1086</v>
      </c>
      <c r="AY258" s="56" t="s">
        <v>1076</v>
      </c>
      <c r="AZ258" s="56" t="s">
        <v>1067</v>
      </c>
      <c r="BA258" s="56" t="s">
        <v>1087</v>
      </c>
      <c r="BB258" s="56" t="s">
        <v>1088</v>
      </c>
      <c r="BC258" s="56" t="s">
        <v>1133</v>
      </c>
      <c r="BD258" s="56" t="s">
        <v>3234</v>
      </c>
    </row>
    <row r="259" spans="1:56" x14ac:dyDescent="0.2">
      <c r="A259" s="56">
        <v>176762013</v>
      </c>
      <c r="B259" s="56" t="s">
        <v>2186</v>
      </c>
      <c r="C259" s="56" t="s">
        <v>2623</v>
      </c>
      <c r="D259" s="56" t="s">
        <v>2187</v>
      </c>
      <c r="E259" s="56" t="s">
        <v>1044</v>
      </c>
      <c r="F259" s="56">
        <v>41</v>
      </c>
      <c r="G259" s="56" t="s">
        <v>2833</v>
      </c>
      <c r="H259" s="56">
        <v>5353</v>
      </c>
      <c r="I259" s="56">
        <v>6</v>
      </c>
      <c r="J259" s="56" t="s">
        <v>1045</v>
      </c>
      <c r="K259" s="56" t="s">
        <v>1075</v>
      </c>
      <c r="L259" s="121">
        <v>46270</v>
      </c>
      <c r="M259" s="122">
        <v>0.68402777777777779</v>
      </c>
      <c r="N259" s="122">
        <v>0.7104166666666667</v>
      </c>
      <c r="O259" s="56" t="s">
        <v>1047</v>
      </c>
      <c r="P259" s="121">
        <v>46270</v>
      </c>
      <c r="Q259" s="122">
        <v>0.76736111111111116</v>
      </c>
      <c r="R259" s="122">
        <v>0.77656250000000004</v>
      </c>
      <c r="S259" s="56" t="s">
        <v>1047</v>
      </c>
      <c r="T259" s="56">
        <v>1</v>
      </c>
      <c r="U259" s="56">
        <v>38</v>
      </c>
      <c r="V259" s="56">
        <v>36.08</v>
      </c>
      <c r="W259" s="56">
        <v>37.340000000000003</v>
      </c>
      <c r="X259" s="56" t="s">
        <v>2624</v>
      </c>
      <c r="Y259" s="56" t="s">
        <v>2624</v>
      </c>
      <c r="Z259" s="56" t="s">
        <v>2624</v>
      </c>
      <c r="AA259" s="56" t="s">
        <v>1002</v>
      </c>
      <c r="AB259" s="56">
        <v>14123988</v>
      </c>
      <c r="AC259" s="56" t="s">
        <v>1002</v>
      </c>
      <c r="AD259" s="56">
        <v>14123988</v>
      </c>
      <c r="AE259" s="56" t="s">
        <v>2626</v>
      </c>
      <c r="AF259" s="56" t="s">
        <v>2627</v>
      </c>
      <c r="AG259" s="56" t="s">
        <v>2627</v>
      </c>
      <c r="AH259" s="56">
        <v>36</v>
      </c>
      <c r="AI259" s="56" t="s">
        <v>2628</v>
      </c>
      <c r="AJ259" s="56" t="s">
        <v>2640</v>
      </c>
      <c r="AK259" s="56">
        <v>0</v>
      </c>
      <c r="AL259" s="56" t="s">
        <v>2630</v>
      </c>
      <c r="AM259" s="56" t="s">
        <v>2631</v>
      </c>
      <c r="AN259" s="56" t="s">
        <v>2632</v>
      </c>
      <c r="AO259" s="56" t="s">
        <v>2627</v>
      </c>
      <c r="AP259" s="56" t="s">
        <v>2624</v>
      </c>
      <c r="AQ259" s="123">
        <v>2.6388888888888906E-2</v>
      </c>
      <c r="AR259" s="122">
        <v>9.201388888888884E-3</v>
      </c>
      <c r="AS259" s="56" t="s">
        <v>1048</v>
      </c>
      <c r="AT259" s="56" t="s">
        <v>1059</v>
      </c>
      <c r="AU259" s="56" t="s">
        <v>1060</v>
      </c>
      <c r="AV259" s="56">
        <v>36</v>
      </c>
      <c r="AW259" s="56" t="s">
        <v>1051</v>
      </c>
      <c r="AX259" s="56" t="s">
        <v>2188</v>
      </c>
      <c r="AY259" s="56" t="s">
        <v>1076</v>
      </c>
      <c r="AZ259" s="56" t="s">
        <v>1067</v>
      </c>
      <c r="BA259" s="56" t="s">
        <v>2189</v>
      </c>
      <c r="BB259" s="56" t="s">
        <v>2190</v>
      </c>
      <c r="BC259" s="56" t="s">
        <v>1133</v>
      </c>
      <c r="BD259" s="56" t="s">
        <v>2191</v>
      </c>
    </row>
    <row r="260" spans="1:56" x14ac:dyDescent="0.2">
      <c r="A260" s="56">
        <v>176762081</v>
      </c>
      <c r="B260" s="56" t="s">
        <v>3235</v>
      </c>
      <c r="C260" s="56" t="s">
        <v>2623</v>
      </c>
      <c r="D260" s="56" t="s">
        <v>3162</v>
      </c>
      <c r="E260" s="56" t="s">
        <v>1044</v>
      </c>
      <c r="F260" s="56">
        <v>75</v>
      </c>
      <c r="G260" s="56"/>
      <c r="H260" s="56">
        <v>6919</v>
      </c>
      <c r="I260" s="56">
        <v>6</v>
      </c>
      <c r="J260" s="56" t="s">
        <v>1045</v>
      </c>
      <c r="K260" s="56" t="s">
        <v>1075</v>
      </c>
      <c r="L260" s="121">
        <v>46270</v>
      </c>
      <c r="M260" s="122">
        <v>0.70138888888888884</v>
      </c>
      <c r="N260" s="122">
        <v>0.71597222222222223</v>
      </c>
      <c r="O260" s="56" t="s">
        <v>1047</v>
      </c>
      <c r="P260" s="121">
        <v>46270</v>
      </c>
      <c r="Q260" s="122">
        <v>0.76736111111111116</v>
      </c>
      <c r="R260" s="122">
        <v>0.75967592592592592</v>
      </c>
      <c r="S260" s="56" t="s">
        <v>1047</v>
      </c>
      <c r="T260" s="56">
        <v>1</v>
      </c>
      <c r="U260" s="56">
        <v>39</v>
      </c>
      <c r="V260" s="56">
        <v>37.24</v>
      </c>
      <c r="W260" s="56">
        <v>37.979999999999997</v>
      </c>
      <c r="X260" s="56" t="s">
        <v>2624</v>
      </c>
      <c r="Y260" s="56" t="s">
        <v>2624</v>
      </c>
      <c r="Z260" s="56" t="s">
        <v>2624</v>
      </c>
      <c r="AA260" s="56" t="s">
        <v>42</v>
      </c>
      <c r="AB260" s="56">
        <v>14104822</v>
      </c>
      <c r="AC260" s="56" t="s">
        <v>42</v>
      </c>
      <c r="AD260" s="56">
        <v>14104822</v>
      </c>
      <c r="AE260" s="56" t="s">
        <v>2626</v>
      </c>
      <c r="AF260" s="56" t="s">
        <v>2627</v>
      </c>
      <c r="AG260" s="56" t="s">
        <v>2627</v>
      </c>
      <c r="AH260" s="56">
        <v>36</v>
      </c>
      <c r="AI260" s="56" t="s">
        <v>2628</v>
      </c>
      <c r="AJ260" s="56" t="s">
        <v>2629</v>
      </c>
      <c r="AK260" s="56">
        <v>0</v>
      </c>
      <c r="AL260" s="56" t="s">
        <v>2630</v>
      </c>
      <c r="AM260" s="56" t="s">
        <v>2631</v>
      </c>
      <c r="AN260" s="56" t="s">
        <v>2632</v>
      </c>
      <c r="AO260" s="56" t="s">
        <v>2627</v>
      </c>
      <c r="AP260" s="56" t="s">
        <v>2624</v>
      </c>
      <c r="AQ260" s="123">
        <v>1.4583333333333393E-2</v>
      </c>
      <c r="AR260" s="122">
        <v>-7.6851851851852393E-3</v>
      </c>
      <c r="AS260" s="56" t="s">
        <v>1048</v>
      </c>
      <c r="AT260" s="56" t="s">
        <v>1049</v>
      </c>
      <c r="AU260" s="56" t="s">
        <v>1050</v>
      </c>
      <c r="AV260" s="56">
        <v>36</v>
      </c>
      <c r="AW260" s="56" t="s">
        <v>1051</v>
      </c>
      <c r="AX260" s="56" t="s">
        <v>3163</v>
      </c>
      <c r="AY260" s="56" t="s">
        <v>1076</v>
      </c>
      <c r="AZ260" s="56" t="s">
        <v>1067</v>
      </c>
      <c r="BA260" s="56" t="s">
        <v>3164</v>
      </c>
      <c r="BB260" s="56" t="s">
        <v>3165</v>
      </c>
      <c r="BC260" s="56" t="s">
        <v>1133</v>
      </c>
      <c r="BD260" s="56" t="s">
        <v>3236</v>
      </c>
    </row>
    <row r="261" spans="1:56" x14ac:dyDescent="0.2">
      <c r="A261" s="56">
        <v>176762085</v>
      </c>
      <c r="B261" s="56" t="s">
        <v>1540</v>
      </c>
      <c r="C261" s="56" t="s">
        <v>2623</v>
      </c>
      <c r="D261" s="56" t="s">
        <v>1444</v>
      </c>
      <c r="E261" s="56" t="s">
        <v>1044</v>
      </c>
      <c r="F261" s="56">
        <v>77</v>
      </c>
      <c r="G261" s="56" t="s">
        <v>2833</v>
      </c>
      <c r="H261" s="56">
        <v>4446</v>
      </c>
      <c r="I261" s="56">
        <v>8</v>
      </c>
      <c r="J261" s="56" t="s">
        <v>1045</v>
      </c>
      <c r="K261" s="56" t="s">
        <v>1075</v>
      </c>
      <c r="L261" s="121">
        <v>46270</v>
      </c>
      <c r="M261" s="122">
        <v>0.70138888888888884</v>
      </c>
      <c r="N261" s="122">
        <v>0.70902777777777781</v>
      </c>
      <c r="O261" s="56" t="s">
        <v>1047</v>
      </c>
      <c r="P261" s="121">
        <v>46270</v>
      </c>
      <c r="Q261" s="122">
        <v>0.76736111111111116</v>
      </c>
      <c r="R261" s="122">
        <v>0.75605324074074076</v>
      </c>
      <c r="S261" s="56" t="s">
        <v>1047</v>
      </c>
      <c r="T261" s="56">
        <v>0</v>
      </c>
      <c r="U261" s="56">
        <v>38</v>
      </c>
      <c r="V261" s="56">
        <v>35.520000000000003</v>
      </c>
      <c r="W261" s="56">
        <v>35.450000000000003</v>
      </c>
      <c r="X261" s="56" t="s">
        <v>2624</v>
      </c>
      <c r="Y261" s="56" t="s">
        <v>2624</v>
      </c>
      <c r="Z261" s="56" t="s">
        <v>2624</v>
      </c>
      <c r="AA261" s="56" t="s">
        <v>522</v>
      </c>
      <c r="AB261" s="56">
        <v>14123460</v>
      </c>
      <c r="AC261" s="56" t="s">
        <v>522</v>
      </c>
      <c r="AD261" s="56">
        <v>14123460</v>
      </c>
      <c r="AE261" s="56" t="s">
        <v>2626</v>
      </c>
      <c r="AF261" s="56" t="s">
        <v>2627</v>
      </c>
      <c r="AG261" s="56" t="s">
        <v>2627</v>
      </c>
      <c r="AH261" s="56">
        <v>36</v>
      </c>
      <c r="AI261" s="56" t="s">
        <v>2628</v>
      </c>
      <c r="AJ261" s="56" t="s">
        <v>2629</v>
      </c>
      <c r="AK261" s="56">
        <v>0</v>
      </c>
      <c r="AL261" s="56" t="s">
        <v>2630</v>
      </c>
      <c r="AM261" s="56" t="s">
        <v>2631</v>
      </c>
      <c r="AN261" s="56" t="s">
        <v>2632</v>
      </c>
      <c r="AO261" s="56" t="s">
        <v>2627</v>
      </c>
      <c r="AP261" s="56" t="s">
        <v>2624</v>
      </c>
      <c r="AQ261" s="123">
        <v>7.6388888888889728E-3</v>
      </c>
      <c r="AR261" s="122">
        <v>-1.1307870370370399E-2</v>
      </c>
      <c r="AS261" s="56" t="s">
        <v>1048</v>
      </c>
      <c r="AT261" s="56" t="s">
        <v>1049</v>
      </c>
      <c r="AU261" s="56" t="s">
        <v>1050</v>
      </c>
      <c r="AV261" s="56">
        <v>36</v>
      </c>
      <c r="AW261" s="56" t="s">
        <v>1051</v>
      </c>
      <c r="AX261" s="56" t="s">
        <v>1445</v>
      </c>
      <c r="AY261" s="56" t="s">
        <v>1076</v>
      </c>
      <c r="AZ261" s="56" t="s">
        <v>1067</v>
      </c>
      <c r="BA261" s="56" t="s">
        <v>1446</v>
      </c>
      <c r="BB261" s="56" t="s">
        <v>1447</v>
      </c>
      <c r="BC261" s="56" t="s">
        <v>1133</v>
      </c>
      <c r="BD261" s="56" t="s">
        <v>1541</v>
      </c>
    </row>
    <row r="262" spans="1:56" x14ac:dyDescent="0.2">
      <c r="A262" s="56">
        <v>176762089</v>
      </c>
      <c r="B262" s="56" t="s">
        <v>3237</v>
      </c>
      <c r="C262" s="56" t="s">
        <v>2623</v>
      </c>
      <c r="D262" s="56" t="s">
        <v>3238</v>
      </c>
      <c r="E262" s="56" t="s">
        <v>1044</v>
      </c>
      <c r="F262" s="56">
        <v>79</v>
      </c>
      <c r="G262" s="56" t="s">
        <v>2833</v>
      </c>
      <c r="H262" s="56">
        <v>15315</v>
      </c>
      <c r="I262" s="56">
        <v>6</v>
      </c>
      <c r="J262" s="56" t="s">
        <v>1045</v>
      </c>
      <c r="K262" s="56" t="s">
        <v>1075</v>
      </c>
      <c r="L262" s="121">
        <v>46270</v>
      </c>
      <c r="M262" s="122">
        <v>0.70833333333333337</v>
      </c>
      <c r="N262" s="122">
        <v>0.73263888888888884</v>
      </c>
      <c r="O262" s="56" t="s">
        <v>1047</v>
      </c>
      <c r="P262" s="121">
        <v>46270</v>
      </c>
      <c r="Q262" s="122">
        <v>0.76736111111111116</v>
      </c>
      <c r="R262" s="122">
        <v>0.76656250000000004</v>
      </c>
      <c r="S262" s="56" t="s">
        <v>1047</v>
      </c>
      <c r="T262" s="56">
        <v>1</v>
      </c>
      <c r="U262" s="56">
        <v>27</v>
      </c>
      <c r="V262" s="56">
        <v>25.06</v>
      </c>
      <c r="W262" s="56">
        <v>25.8</v>
      </c>
      <c r="X262" s="56" t="s">
        <v>2624</v>
      </c>
      <c r="Y262" s="56" t="s">
        <v>2624</v>
      </c>
      <c r="Z262" s="56" t="s">
        <v>2624</v>
      </c>
      <c r="AA262" s="56" t="s">
        <v>1225</v>
      </c>
      <c r="AB262" s="56">
        <v>14122419</v>
      </c>
      <c r="AC262" s="56" t="s">
        <v>1225</v>
      </c>
      <c r="AD262" s="56">
        <v>14122419</v>
      </c>
      <c r="AE262" s="56" t="s">
        <v>2626</v>
      </c>
      <c r="AF262" s="56" t="s">
        <v>2627</v>
      </c>
      <c r="AG262" s="56" t="s">
        <v>2627</v>
      </c>
      <c r="AH262" s="56">
        <v>36</v>
      </c>
      <c r="AI262" s="56" t="s">
        <v>2628</v>
      </c>
      <c r="AJ262" s="56" t="s">
        <v>2629</v>
      </c>
      <c r="AK262" s="56">
        <v>0</v>
      </c>
      <c r="AL262" s="56" t="s">
        <v>2630</v>
      </c>
      <c r="AM262" s="56" t="s">
        <v>2631</v>
      </c>
      <c r="AN262" s="56" t="s">
        <v>2632</v>
      </c>
      <c r="AO262" s="56" t="s">
        <v>2627</v>
      </c>
      <c r="AP262" s="56" t="s">
        <v>2624</v>
      </c>
      <c r="AQ262" s="123">
        <v>2.4305555555555469E-2</v>
      </c>
      <c r="AR262" s="122">
        <v>-7.9861111111112493E-4</v>
      </c>
      <c r="AS262" s="56" t="s">
        <v>1048</v>
      </c>
      <c r="AT262" s="56" t="s">
        <v>1049</v>
      </c>
      <c r="AU262" s="56" t="s">
        <v>1050</v>
      </c>
      <c r="AV262" s="56">
        <v>36</v>
      </c>
      <c r="AW262" s="56" t="s">
        <v>1051</v>
      </c>
      <c r="AX262" s="56" t="s">
        <v>3239</v>
      </c>
      <c r="AY262" s="56" t="s">
        <v>1076</v>
      </c>
      <c r="AZ262" s="56" t="s">
        <v>1067</v>
      </c>
      <c r="BA262" s="56" t="s">
        <v>3240</v>
      </c>
      <c r="BB262" s="56" t="s">
        <v>3241</v>
      </c>
      <c r="BC262" s="56" t="s">
        <v>1133</v>
      </c>
      <c r="BD262" s="56" t="s">
        <v>3242</v>
      </c>
    </row>
    <row r="263" spans="1:56" x14ac:dyDescent="0.2">
      <c r="A263" s="56">
        <v>176761957</v>
      </c>
      <c r="B263" s="56" t="s">
        <v>3243</v>
      </c>
      <c r="C263" s="56" t="s">
        <v>2623</v>
      </c>
      <c r="D263" s="56" t="s">
        <v>3244</v>
      </c>
      <c r="E263" s="56" t="s">
        <v>1044</v>
      </c>
      <c r="F263" s="56">
        <v>13</v>
      </c>
      <c r="G263" s="56"/>
      <c r="H263" s="56">
        <v>4448</v>
      </c>
      <c r="I263" s="56">
        <v>6</v>
      </c>
      <c r="J263" s="56" t="s">
        <v>1045</v>
      </c>
      <c r="K263" s="56" t="s">
        <v>1075</v>
      </c>
      <c r="L263" s="121">
        <v>46270</v>
      </c>
      <c r="M263" s="122">
        <v>0.70972222222222225</v>
      </c>
      <c r="N263" s="122">
        <v>0.71666666666666667</v>
      </c>
      <c r="O263" s="56" t="s">
        <v>1047</v>
      </c>
      <c r="P263" s="121">
        <v>46270</v>
      </c>
      <c r="Q263" s="122">
        <v>0.76736111111111116</v>
      </c>
      <c r="R263" s="122">
        <v>0.76072916666666668</v>
      </c>
      <c r="S263" s="56" t="s">
        <v>1047</v>
      </c>
      <c r="T263" s="56">
        <v>1</v>
      </c>
      <c r="U263" s="56">
        <v>33</v>
      </c>
      <c r="V263" s="56">
        <v>30.91</v>
      </c>
      <c r="W263" s="56">
        <v>31.13</v>
      </c>
      <c r="X263" s="56" t="s">
        <v>2624</v>
      </c>
      <c r="Y263" s="56" t="s">
        <v>2624</v>
      </c>
      <c r="Z263" s="56" t="s">
        <v>2624</v>
      </c>
      <c r="AA263" s="56" t="s">
        <v>233</v>
      </c>
      <c r="AB263" s="56">
        <v>14119153</v>
      </c>
      <c r="AC263" s="56" t="s">
        <v>233</v>
      </c>
      <c r="AD263" s="56">
        <v>14119153</v>
      </c>
      <c r="AE263" s="56" t="s">
        <v>2626</v>
      </c>
      <c r="AF263" s="56" t="s">
        <v>2627</v>
      </c>
      <c r="AG263" s="56" t="s">
        <v>2627</v>
      </c>
      <c r="AH263" s="56">
        <v>36</v>
      </c>
      <c r="AI263" s="56" t="s">
        <v>2628</v>
      </c>
      <c r="AJ263" s="56" t="s">
        <v>2629</v>
      </c>
      <c r="AK263" s="56">
        <v>0</v>
      </c>
      <c r="AL263" s="56" t="s">
        <v>2630</v>
      </c>
      <c r="AM263" s="56" t="s">
        <v>2631</v>
      </c>
      <c r="AN263" s="56" t="s">
        <v>2632</v>
      </c>
      <c r="AO263" s="56" t="s">
        <v>2627</v>
      </c>
      <c r="AP263" s="56" t="s">
        <v>2624</v>
      </c>
      <c r="AQ263" s="123">
        <v>6.9444444444444198E-3</v>
      </c>
      <c r="AR263" s="122">
        <v>-6.6319444444444819E-3</v>
      </c>
      <c r="AS263" s="56" t="s">
        <v>1048</v>
      </c>
      <c r="AT263" s="56" t="s">
        <v>1049</v>
      </c>
      <c r="AU263" s="56" t="s">
        <v>1050</v>
      </c>
      <c r="AV263" s="56">
        <v>36</v>
      </c>
      <c r="AW263" s="56" t="s">
        <v>1051</v>
      </c>
      <c r="AX263" s="56" t="s">
        <v>3245</v>
      </c>
      <c r="AY263" s="56" t="s">
        <v>1076</v>
      </c>
      <c r="AZ263" s="56" t="s">
        <v>1067</v>
      </c>
      <c r="BA263" s="56" t="s">
        <v>3246</v>
      </c>
      <c r="BB263" s="56" t="s">
        <v>3247</v>
      </c>
      <c r="BC263" s="56" t="s">
        <v>1133</v>
      </c>
      <c r="BD263" s="56" t="s">
        <v>3248</v>
      </c>
    </row>
    <row r="264" spans="1:56" x14ac:dyDescent="0.2">
      <c r="A264" s="56">
        <v>176762017</v>
      </c>
      <c r="B264" s="56" t="s">
        <v>2138</v>
      </c>
      <c r="C264" s="56" t="s">
        <v>2623</v>
      </c>
      <c r="D264" s="56" t="s">
        <v>2093</v>
      </c>
      <c r="E264" s="56" t="s">
        <v>1044</v>
      </c>
      <c r="F264" s="56">
        <v>43</v>
      </c>
      <c r="G264" s="56"/>
      <c r="H264" s="56">
        <v>5275</v>
      </c>
      <c r="I264" s="56">
        <v>7</v>
      </c>
      <c r="J264" s="56" t="s">
        <v>1045</v>
      </c>
      <c r="K264" s="56" t="s">
        <v>1075</v>
      </c>
      <c r="L264" s="121">
        <v>46270</v>
      </c>
      <c r="M264" s="122">
        <v>0.71180555555555558</v>
      </c>
      <c r="N264" s="122">
        <v>0.73541666666666672</v>
      </c>
      <c r="O264" s="56" t="s">
        <v>1047</v>
      </c>
      <c r="P264" s="121">
        <v>46270</v>
      </c>
      <c r="Q264" s="122">
        <v>0.76736111111111116</v>
      </c>
      <c r="R264" s="122">
        <v>0.77076388888888892</v>
      </c>
      <c r="S264" s="56" t="s">
        <v>1047</v>
      </c>
      <c r="T264" s="56">
        <v>0</v>
      </c>
      <c r="U264" s="56">
        <v>40</v>
      </c>
      <c r="V264" s="56">
        <v>35.450000000000003</v>
      </c>
      <c r="W264" s="56">
        <v>35.31</v>
      </c>
      <c r="X264" s="56">
        <v>46.25</v>
      </c>
      <c r="Y264" s="56">
        <v>10.94</v>
      </c>
      <c r="Z264" s="56">
        <v>0</v>
      </c>
      <c r="AA264" s="56" t="s">
        <v>997</v>
      </c>
      <c r="AB264" s="56">
        <v>14123971</v>
      </c>
      <c r="AC264" s="56" t="s">
        <v>997</v>
      </c>
      <c r="AD264" s="56">
        <v>14123971</v>
      </c>
      <c r="AE264" s="56" t="s">
        <v>2626</v>
      </c>
      <c r="AF264" s="56" t="s">
        <v>2627</v>
      </c>
      <c r="AG264" s="56" t="s">
        <v>2627</v>
      </c>
      <c r="AH264" s="56">
        <v>36</v>
      </c>
      <c r="AI264" s="56" t="s">
        <v>2628</v>
      </c>
      <c r="AJ264" s="56" t="s">
        <v>2640</v>
      </c>
      <c r="AK264" s="56">
        <v>0</v>
      </c>
      <c r="AL264" s="56" t="s">
        <v>2630</v>
      </c>
      <c r="AM264" s="56" t="s">
        <v>2631</v>
      </c>
      <c r="AN264" s="56" t="s">
        <v>2632</v>
      </c>
      <c r="AO264" s="56" t="s">
        <v>2627</v>
      </c>
      <c r="AP264" s="56">
        <v>15</v>
      </c>
      <c r="AQ264" s="123">
        <v>2.3611111111111138E-2</v>
      </c>
      <c r="AR264" s="122">
        <v>3.4027777777777546E-3</v>
      </c>
      <c r="AS264" s="56" t="s">
        <v>1048</v>
      </c>
      <c r="AT264" s="56" t="s">
        <v>1049</v>
      </c>
      <c r="AU264" s="56" t="s">
        <v>1050</v>
      </c>
      <c r="AV264" s="56">
        <v>36</v>
      </c>
      <c r="AW264" s="56" t="s">
        <v>1051</v>
      </c>
      <c r="AX264" s="56" t="s">
        <v>2094</v>
      </c>
      <c r="AY264" s="56" t="s">
        <v>1076</v>
      </c>
      <c r="AZ264" s="56" t="s">
        <v>1067</v>
      </c>
      <c r="BA264" s="56" t="s">
        <v>2095</v>
      </c>
      <c r="BB264" s="56" t="s">
        <v>2096</v>
      </c>
      <c r="BC264" s="56" t="s">
        <v>1133</v>
      </c>
      <c r="BD264" s="56" t="s">
        <v>2139</v>
      </c>
    </row>
    <row r="265" spans="1:56" x14ac:dyDescent="0.2">
      <c r="A265" s="56">
        <v>176762005</v>
      </c>
      <c r="B265" s="56" t="s">
        <v>3249</v>
      </c>
      <c r="C265" s="56" t="s">
        <v>2623</v>
      </c>
      <c r="D265" s="56" t="s">
        <v>2949</v>
      </c>
      <c r="E265" s="56" t="s">
        <v>1044</v>
      </c>
      <c r="F265" s="56">
        <v>37</v>
      </c>
      <c r="G265" s="56"/>
      <c r="H265" s="56">
        <v>5034</v>
      </c>
      <c r="I265" s="56">
        <v>6</v>
      </c>
      <c r="J265" s="56" t="s">
        <v>1045</v>
      </c>
      <c r="K265" s="56" t="s">
        <v>1075</v>
      </c>
      <c r="L265" s="121">
        <v>46270</v>
      </c>
      <c r="M265" s="122">
        <v>0.71527777777777779</v>
      </c>
      <c r="N265" s="122">
        <v>0.72083333333333333</v>
      </c>
      <c r="O265" s="56" t="s">
        <v>1047</v>
      </c>
      <c r="P265" s="121">
        <v>46270</v>
      </c>
      <c r="Q265" s="122">
        <v>0.76736111111111116</v>
      </c>
      <c r="R265" s="122">
        <v>0.75722222222222224</v>
      </c>
      <c r="S265" s="56" t="s">
        <v>1047</v>
      </c>
      <c r="T265" s="56">
        <v>1</v>
      </c>
      <c r="U265" s="56">
        <v>33</v>
      </c>
      <c r="V265" s="56">
        <v>32.119999999999997</v>
      </c>
      <c r="W265" s="56">
        <v>32.74</v>
      </c>
      <c r="X265" s="56" t="s">
        <v>2624</v>
      </c>
      <c r="Y265" s="56" t="s">
        <v>2624</v>
      </c>
      <c r="Z265" s="56" t="s">
        <v>2624</v>
      </c>
      <c r="AA265" s="56" t="s">
        <v>328</v>
      </c>
      <c r="AB265" s="56">
        <v>14121239</v>
      </c>
      <c r="AC265" s="56" t="s">
        <v>328</v>
      </c>
      <c r="AD265" s="56">
        <v>14121239</v>
      </c>
      <c r="AE265" s="56" t="s">
        <v>2626</v>
      </c>
      <c r="AF265" s="56" t="s">
        <v>2627</v>
      </c>
      <c r="AG265" s="56" t="s">
        <v>2627</v>
      </c>
      <c r="AH265" s="56">
        <v>36</v>
      </c>
      <c r="AI265" s="56" t="s">
        <v>2628</v>
      </c>
      <c r="AJ265" s="56" t="s">
        <v>2629</v>
      </c>
      <c r="AK265" s="56">
        <v>0</v>
      </c>
      <c r="AL265" s="56" t="s">
        <v>2630</v>
      </c>
      <c r="AM265" s="56" t="s">
        <v>2631</v>
      </c>
      <c r="AN265" s="56" t="s">
        <v>2632</v>
      </c>
      <c r="AO265" s="56" t="s">
        <v>2627</v>
      </c>
      <c r="AP265" s="56">
        <v>15</v>
      </c>
      <c r="AQ265" s="123">
        <v>5.5555555555555358E-3</v>
      </c>
      <c r="AR265" s="122">
        <v>-1.0138888888888919E-2</v>
      </c>
      <c r="AS265" s="56" t="s">
        <v>1048</v>
      </c>
      <c r="AT265" s="56" t="s">
        <v>1049</v>
      </c>
      <c r="AU265" s="56" t="s">
        <v>1050</v>
      </c>
      <c r="AV265" s="56">
        <v>36</v>
      </c>
      <c r="AW265" s="56" t="s">
        <v>1051</v>
      </c>
      <c r="AX265" s="56" t="s">
        <v>2950</v>
      </c>
      <c r="AY265" s="56" t="s">
        <v>1076</v>
      </c>
      <c r="AZ265" s="56" t="s">
        <v>1067</v>
      </c>
      <c r="BA265" s="56" t="s">
        <v>2951</v>
      </c>
      <c r="BB265" s="56" t="s">
        <v>2952</v>
      </c>
      <c r="BC265" s="56" t="s">
        <v>1133</v>
      </c>
      <c r="BD265" s="56" t="s">
        <v>3250</v>
      </c>
    </row>
    <row r="266" spans="1:56" x14ac:dyDescent="0.2">
      <c r="A266" s="56">
        <v>176761993</v>
      </c>
      <c r="B266" s="56" t="s">
        <v>2831</v>
      </c>
      <c r="C266" s="56" t="s">
        <v>2623</v>
      </c>
      <c r="D266" s="56" t="s">
        <v>2832</v>
      </c>
      <c r="E266" s="56" t="s">
        <v>1044</v>
      </c>
      <c r="F266" s="56">
        <v>31</v>
      </c>
      <c r="G266" s="56" t="s">
        <v>2833</v>
      </c>
      <c r="H266" s="56">
        <v>13535</v>
      </c>
      <c r="I266" s="56">
        <v>6</v>
      </c>
      <c r="J266" s="56" t="s">
        <v>1045</v>
      </c>
      <c r="K266" s="56" t="s">
        <v>1075</v>
      </c>
      <c r="L266" s="121">
        <v>46270</v>
      </c>
      <c r="M266" s="122">
        <v>0.71875</v>
      </c>
      <c r="N266" s="122">
        <v>0.72777777777777775</v>
      </c>
      <c r="O266" s="56" t="s">
        <v>1047</v>
      </c>
      <c r="P266" s="121">
        <v>46270</v>
      </c>
      <c r="Q266" s="122">
        <v>0.76736111111111116</v>
      </c>
      <c r="R266" s="122">
        <v>0.760625</v>
      </c>
      <c r="S266" s="56" t="s">
        <v>1047</v>
      </c>
      <c r="T266" s="56">
        <v>1</v>
      </c>
      <c r="U266" s="56">
        <v>24</v>
      </c>
      <c r="V266" s="56">
        <v>21.47</v>
      </c>
      <c r="W266" s="56">
        <v>20.79</v>
      </c>
      <c r="X266" s="56" t="s">
        <v>2624</v>
      </c>
      <c r="Y266" s="56" t="s">
        <v>2624</v>
      </c>
      <c r="Z266" s="56" t="s">
        <v>2624</v>
      </c>
      <c r="AA266" s="56" t="s">
        <v>395</v>
      </c>
      <c r="AB266" s="56">
        <v>14122149</v>
      </c>
      <c r="AC266" s="56" t="s">
        <v>395</v>
      </c>
      <c r="AD266" s="56">
        <v>14122149</v>
      </c>
      <c r="AE266" s="56" t="s">
        <v>2626</v>
      </c>
      <c r="AF266" s="56" t="s">
        <v>2627</v>
      </c>
      <c r="AG266" s="56" t="s">
        <v>2627</v>
      </c>
      <c r="AH266" s="56">
        <v>36</v>
      </c>
      <c r="AI266" s="56" t="s">
        <v>2628</v>
      </c>
      <c r="AJ266" s="56" t="s">
        <v>2629</v>
      </c>
      <c r="AK266" s="56">
        <v>0</v>
      </c>
      <c r="AL266" s="56" t="s">
        <v>2630</v>
      </c>
      <c r="AM266" s="56" t="s">
        <v>2631</v>
      </c>
      <c r="AN266" s="56" t="s">
        <v>2632</v>
      </c>
      <c r="AO266" s="56" t="s">
        <v>2627</v>
      </c>
      <c r="AP266" s="56" t="s">
        <v>2624</v>
      </c>
      <c r="AQ266" s="123">
        <v>9.0277777777777457E-3</v>
      </c>
      <c r="AR266" s="122">
        <v>-6.7361111111111649E-3</v>
      </c>
      <c r="AS266" s="56" t="s">
        <v>1048</v>
      </c>
      <c r="AT266" s="56" t="s">
        <v>1049</v>
      </c>
      <c r="AU266" s="56" t="s">
        <v>1050</v>
      </c>
      <c r="AV266" s="56">
        <v>36</v>
      </c>
      <c r="AW266" s="56" t="s">
        <v>1051</v>
      </c>
      <c r="AX266" s="56" t="s">
        <v>2834</v>
      </c>
      <c r="AY266" s="56" t="s">
        <v>1076</v>
      </c>
      <c r="AZ266" s="56" t="s">
        <v>1067</v>
      </c>
      <c r="BA266" s="56" t="s">
        <v>2835</v>
      </c>
      <c r="BB266" s="56" t="s">
        <v>2836</v>
      </c>
      <c r="BC266" s="56" t="s">
        <v>1133</v>
      </c>
      <c r="BD266" s="56" t="s">
        <v>2837</v>
      </c>
    </row>
    <row r="267" spans="1:56" x14ac:dyDescent="0.2">
      <c r="A267" s="56">
        <v>176762093</v>
      </c>
      <c r="B267" s="56" t="s">
        <v>3251</v>
      </c>
      <c r="C267" s="56" t="s">
        <v>2623</v>
      </c>
      <c r="D267" s="56" t="s">
        <v>3252</v>
      </c>
      <c r="E267" s="56" t="s">
        <v>1044</v>
      </c>
      <c r="F267" s="56">
        <v>81</v>
      </c>
      <c r="G267" s="56"/>
      <c r="H267" s="56">
        <v>4410</v>
      </c>
      <c r="I267" s="56">
        <v>6</v>
      </c>
      <c r="J267" s="56" t="s">
        <v>1045</v>
      </c>
      <c r="K267" s="56" t="s">
        <v>1075</v>
      </c>
      <c r="L267" s="121">
        <v>46270</v>
      </c>
      <c r="M267" s="122">
        <v>0.71875</v>
      </c>
      <c r="N267" s="122">
        <v>0.7319444444444444</v>
      </c>
      <c r="O267" s="56" t="s">
        <v>1047</v>
      </c>
      <c r="P267" s="121">
        <v>46270</v>
      </c>
      <c r="Q267" s="122">
        <v>0.76736111111111116</v>
      </c>
      <c r="R267" s="122">
        <v>0.76342592592592595</v>
      </c>
      <c r="S267" s="56" t="s">
        <v>1047</v>
      </c>
      <c r="T267" s="56">
        <v>1</v>
      </c>
      <c r="U267" s="56">
        <v>33</v>
      </c>
      <c r="V267" s="56">
        <v>27.64</v>
      </c>
      <c r="W267" s="56">
        <v>31.17</v>
      </c>
      <c r="X267" s="56" t="s">
        <v>2624</v>
      </c>
      <c r="Y267" s="56" t="s">
        <v>2624</v>
      </c>
      <c r="Z267" s="56" t="s">
        <v>2624</v>
      </c>
      <c r="AA267" s="56" t="s">
        <v>161</v>
      </c>
      <c r="AB267" s="56">
        <v>14105645</v>
      </c>
      <c r="AC267" s="56" t="s">
        <v>161</v>
      </c>
      <c r="AD267" s="56">
        <v>14105645</v>
      </c>
      <c r="AE267" s="56" t="s">
        <v>2626</v>
      </c>
      <c r="AF267" s="56" t="s">
        <v>2627</v>
      </c>
      <c r="AG267" s="56" t="s">
        <v>2627</v>
      </c>
      <c r="AH267" s="56">
        <v>36</v>
      </c>
      <c r="AI267" s="56" t="s">
        <v>2628</v>
      </c>
      <c r="AJ267" s="56" t="s">
        <v>2629</v>
      </c>
      <c r="AK267" s="56">
        <v>0</v>
      </c>
      <c r="AL267" s="56" t="s">
        <v>2630</v>
      </c>
      <c r="AM267" s="56" t="s">
        <v>2631</v>
      </c>
      <c r="AN267" s="56" t="s">
        <v>2632</v>
      </c>
      <c r="AO267" s="56" t="s">
        <v>2627</v>
      </c>
      <c r="AP267" s="56" t="s">
        <v>2624</v>
      </c>
      <c r="AQ267" s="123">
        <v>1.3194444444444398E-2</v>
      </c>
      <c r="AR267" s="122">
        <v>-3.9351851851852082E-3</v>
      </c>
      <c r="AS267" s="56" t="s">
        <v>1048</v>
      </c>
      <c r="AT267" s="56" t="s">
        <v>1049</v>
      </c>
      <c r="AU267" s="56" t="s">
        <v>1050</v>
      </c>
      <c r="AV267" s="56">
        <v>36</v>
      </c>
      <c r="AW267" s="56" t="s">
        <v>1051</v>
      </c>
      <c r="AX267" s="56" t="s">
        <v>3253</v>
      </c>
      <c r="AY267" s="56" t="s">
        <v>1076</v>
      </c>
      <c r="AZ267" s="56" t="s">
        <v>1067</v>
      </c>
      <c r="BA267" s="56" t="s">
        <v>3254</v>
      </c>
      <c r="BB267" s="56" t="s">
        <v>3255</v>
      </c>
      <c r="BC267" s="56" t="s">
        <v>1133</v>
      </c>
      <c r="BD267" s="56" t="s">
        <v>3256</v>
      </c>
    </row>
    <row r="268" spans="1:56" x14ac:dyDescent="0.2">
      <c r="A268" s="56">
        <v>176762450</v>
      </c>
      <c r="B268" s="56" t="s">
        <v>1150</v>
      </c>
      <c r="C268" s="56" t="s">
        <v>2623</v>
      </c>
      <c r="D268" s="56" t="s">
        <v>1151</v>
      </c>
      <c r="E268" s="56" t="s">
        <v>1044</v>
      </c>
      <c r="F268" s="56">
        <v>95</v>
      </c>
      <c r="G268" s="56" t="s">
        <v>2833</v>
      </c>
      <c r="H268" s="56">
        <v>4534</v>
      </c>
      <c r="I268" s="56">
        <v>6</v>
      </c>
      <c r="J268" s="56" t="s">
        <v>1045</v>
      </c>
      <c r="K268" s="56" t="s">
        <v>1075</v>
      </c>
      <c r="L268" s="121">
        <v>46270</v>
      </c>
      <c r="M268" s="122">
        <v>0.72222222222222221</v>
      </c>
      <c r="N268" s="122">
        <v>0.72569444444444442</v>
      </c>
      <c r="O268" s="56" t="s">
        <v>1047</v>
      </c>
      <c r="P268" s="121">
        <v>46270</v>
      </c>
      <c r="Q268" s="122">
        <v>0.76736111111111116</v>
      </c>
      <c r="R268" s="122">
        <v>0.75763888888888886</v>
      </c>
      <c r="S268" s="56" t="s">
        <v>1047</v>
      </c>
      <c r="T268" s="56">
        <v>1</v>
      </c>
      <c r="U268" s="56">
        <v>26</v>
      </c>
      <c r="V268" s="56">
        <v>21</v>
      </c>
      <c r="W268" s="56">
        <v>21.69</v>
      </c>
      <c r="X268" s="56">
        <v>30.62</v>
      </c>
      <c r="Y268" s="56">
        <v>8.93</v>
      </c>
      <c r="Z268" s="56">
        <v>0</v>
      </c>
      <c r="AA268" s="56" t="s">
        <v>1152</v>
      </c>
      <c r="AB268" s="56">
        <v>14122113</v>
      </c>
      <c r="AC268" s="56" t="s">
        <v>1152</v>
      </c>
      <c r="AD268" s="56">
        <v>14122113</v>
      </c>
      <c r="AE268" s="56" t="s">
        <v>2626</v>
      </c>
      <c r="AF268" s="56" t="s">
        <v>2627</v>
      </c>
      <c r="AG268" s="56" t="s">
        <v>2627</v>
      </c>
      <c r="AH268" s="56">
        <v>36</v>
      </c>
      <c r="AI268" s="56" t="s">
        <v>2628</v>
      </c>
      <c r="AJ268" s="56" t="s">
        <v>2629</v>
      </c>
      <c r="AK268" s="56">
        <v>0</v>
      </c>
      <c r="AL268" s="56" t="s">
        <v>2630</v>
      </c>
      <c r="AM268" s="56" t="s">
        <v>2631</v>
      </c>
      <c r="AN268" s="56" t="s">
        <v>2632</v>
      </c>
      <c r="AO268" s="56" t="s">
        <v>2627</v>
      </c>
      <c r="AP268" s="56" t="s">
        <v>2624</v>
      </c>
      <c r="AQ268" s="123">
        <v>3.4722222222222099E-3</v>
      </c>
      <c r="AR268" s="122">
        <v>-9.7222222222222987E-3</v>
      </c>
      <c r="AS268" s="56" t="s">
        <v>1048</v>
      </c>
      <c r="AT268" s="56" t="s">
        <v>1049</v>
      </c>
      <c r="AU268" s="56" t="s">
        <v>1050</v>
      </c>
      <c r="AV268" s="56">
        <v>36</v>
      </c>
      <c r="AW268" s="56" t="s">
        <v>1051</v>
      </c>
      <c r="AX268" s="56" t="s">
        <v>1153</v>
      </c>
      <c r="AY268" s="56" t="s">
        <v>1076</v>
      </c>
      <c r="AZ268" s="56" t="s">
        <v>1067</v>
      </c>
      <c r="BA268" s="56" t="s">
        <v>1154</v>
      </c>
      <c r="BB268" s="56" t="s">
        <v>1155</v>
      </c>
      <c r="BC268" s="56" t="s">
        <v>1133</v>
      </c>
      <c r="BD268" s="56" t="s">
        <v>1156</v>
      </c>
    </row>
    <row r="269" spans="1:56" x14ac:dyDescent="0.2">
      <c r="A269" s="56">
        <v>176754665</v>
      </c>
      <c r="B269" s="56" t="s">
        <v>3257</v>
      </c>
      <c r="C269" s="56" t="s">
        <v>2623</v>
      </c>
      <c r="D269" s="56" t="s">
        <v>1178</v>
      </c>
      <c r="E269" s="56" t="s">
        <v>1044</v>
      </c>
      <c r="F269" s="56">
        <v>2</v>
      </c>
      <c r="G269" s="56"/>
      <c r="H269" s="56">
        <v>12767</v>
      </c>
      <c r="I269" s="56">
        <v>6</v>
      </c>
      <c r="J269" s="56" t="s">
        <v>1045</v>
      </c>
      <c r="K269" s="56" t="s">
        <v>1167</v>
      </c>
      <c r="L269" s="121">
        <v>46270</v>
      </c>
      <c r="M269" s="122">
        <v>0.83472222222222225</v>
      </c>
      <c r="N269" s="122">
        <v>0.83958333333333335</v>
      </c>
      <c r="O269" s="56" t="s">
        <v>1047</v>
      </c>
      <c r="P269" s="121">
        <v>46270</v>
      </c>
      <c r="Q269" s="122">
        <v>0.88541666666666663</v>
      </c>
      <c r="R269" s="122">
        <v>0.87749999999999995</v>
      </c>
      <c r="S269" s="56" t="s">
        <v>1047</v>
      </c>
      <c r="T269" s="56">
        <v>1</v>
      </c>
      <c r="U269" s="56">
        <v>21</v>
      </c>
      <c r="V269" s="56">
        <v>21.32</v>
      </c>
      <c r="W269" s="56">
        <v>20.3</v>
      </c>
      <c r="X269" s="56" t="s">
        <v>2624</v>
      </c>
      <c r="Y269" s="56" t="s">
        <v>2624</v>
      </c>
      <c r="Z269" s="56" t="s">
        <v>2624</v>
      </c>
      <c r="AA269" s="56" t="s">
        <v>2003</v>
      </c>
      <c r="AB269" s="56">
        <v>14124146</v>
      </c>
      <c r="AC269" s="56" t="s">
        <v>2003</v>
      </c>
      <c r="AD269" s="56">
        <v>14124146</v>
      </c>
      <c r="AE269" s="56" t="s">
        <v>2626</v>
      </c>
      <c r="AF269" s="56" t="s">
        <v>2627</v>
      </c>
      <c r="AG269" s="56" t="s">
        <v>2627</v>
      </c>
      <c r="AH269" s="56">
        <v>36</v>
      </c>
      <c r="AI269" s="56" t="s">
        <v>2628</v>
      </c>
      <c r="AJ269" s="56" t="s">
        <v>2629</v>
      </c>
      <c r="AK269" s="56" t="s">
        <v>2624</v>
      </c>
      <c r="AL269" s="56" t="s">
        <v>2630</v>
      </c>
      <c r="AM269" s="56" t="s">
        <v>3258</v>
      </c>
      <c r="AN269" s="56" t="s">
        <v>2632</v>
      </c>
      <c r="AO269" s="56" t="s">
        <v>2627</v>
      </c>
      <c r="AP269" s="56" t="s">
        <v>2624</v>
      </c>
      <c r="AQ269" s="123">
        <v>4.8611111111110938E-3</v>
      </c>
      <c r="AR269" s="122">
        <v>-7.9166666666666829E-3</v>
      </c>
      <c r="AS269" s="56" t="s">
        <v>1048</v>
      </c>
      <c r="AT269" s="56" t="s">
        <v>1049</v>
      </c>
      <c r="AU269" s="56" t="s">
        <v>1050</v>
      </c>
      <c r="AV269" s="56">
        <v>36</v>
      </c>
      <c r="AW269" s="56" t="s">
        <v>1051</v>
      </c>
      <c r="AX269" s="56" t="s">
        <v>2171</v>
      </c>
      <c r="AY269" s="56" t="s">
        <v>1140</v>
      </c>
      <c r="AZ269" s="56" t="s">
        <v>1062</v>
      </c>
      <c r="BA269" s="56" t="s">
        <v>2172</v>
      </c>
      <c r="BB269" s="56" t="s">
        <v>2173</v>
      </c>
      <c r="BC269" s="56" t="s">
        <v>1157</v>
      </c>
      <c r="BD269" s="56" t="s">
        <v>3259</v>
      </c>
    </row>
    <row r="270" spans="1:56" x14ac:dyDescent="0.2">
      <c r="A270" s="56">
        <v>176749922</v>
      </c>
      <c r="B270" s="56" t="s">
        <v>1327</v>
      </c>
      <c r="C270" s="56" t="s">
        <v>2623</v>
      </c>
      <c r="D270" s="56" t="s">
        <v>1180</v>
      </c>
      <c r="E270" s="56" t="s">
        <v>1044</v>
      </c>
      <c r="F270" s="56">
        <v>1</v>
      </c>
      <c r="G270" s="56"/>
      <c r="H270" s="56">
        <v>6384</v>
      </c>
      <c r="I270" s="56">
        <v>6</v>
      </c>
      <c r="J270" s="56" t="s">
        <v>1045</v>
      </c>
      <c r="K270" s="56" t="s">
        <v>1181</v>
      </c>
      <c r="L270" s="121">
        <v>46270</v>
      </c>
      <c r="M270" s="122">
        <v>0.83680555555555558</v>
      </c>
      <c r="N270" s="122">
        <v>0.84097222222222223</v>
      </c>
      <c r="O270" s="56" t="s">
        <v>1047</v>
      </c>
      <c r="P270" s="121">
        <v>46270</v>
      </c>
      <c r="Q270" s="122">
        <v>0.88888888888888884</v>
      </c>
      <c r="R270" s="122">
        <v>0.88055555555555554</v>
      </c>
      <c r="S270" s="56" t="s">
        <v>1047</v>
      </c>
      <c r="T270" s="56">
        <v>1</v>
      </c>
      <c r="U270" s="56">
        <v>26</v>
      </c>
      <c r="V270" s="56">
        <v>21.1</v>
      </c>
      <c r="W270" s="56">
        <v>20.350000000000001</v>
      </c>
      <c r="X270" s="56" t="s">
        <v>2624</v>
      </c>
      <c r="Y270" s="56" t="s">
        <v>2624</v>
      </c>
      <c r="Z270" s="56" t="s">
        <v>2624</v>
      </c>
      <c r="AA270" s="56" t="s">
        <v>459</v>
      </c>
      <c r="AB270" s="56">
        <v>14122871</v>
      </c>
      <c r="AC270" s="56" t="s">
        <v>459</v>
      </c>
      <c r="AD270" s="56">
        <v>14122871</v>
      </c>
      <c r="AE270" s="56" t="s">
        <v>2626</v>
      </c>
      <c r="AF270" s="56" t="s">
        <v>2627</v>
      </c>
      <c r="AG270" s="56" t="s">
        <v>2627</v>
      </c>
      <c r="AH270" s="56">
        <v>36</v>
      </c>
      <c r="AI270" s="56" t="s">
        <v>2628</v>
      </c>
      <c r="AJ270" s="56" t="s">
        <v>2629</v>
      </c>
      <c r="AK270" s="56">
        <v>522.74</v>
      </c>
      <c r="AL270" s="56" t="s">
        <v>2630</v>
      </c>
      <c r="AM270" s="56" t="s">
        <v>2631</v>
      </c>
      <c r="AN270" s="56" t="s">
        <v>2632</v>
      </c>
      <c r="AO270" s="56" t="s">
        <v>2627</v>
      </c>
      <c r="AP270" s="56" t="s">
        <v>2624</v>
      </c>
      <c r="AQ270" s="123">
        <v>4.1666666666666519E-3</v>
      </c>
      <c r="AR270" s="122">
        <v>-8.3333333333333037E-3</v>
      </c>
      <c r="AS270" s="56" t="s">
        <v>1048</v>
      </c>
      <c r="AT270" s="56" t="s">
        <v>1049</v>
      </c>
      <c r="AU270" s="56" t="s">
        <v>1050</v>
      </c>
      <c r="AV270" s="56">
        <v>36</v>
      </c>
      <c r="AW270" s="56" t="s">
        <v>1051</v>
      </c>
      <c r="AX270" s="56" t="s">
        <v>1182</v>
      </c>
      <c r="AY270" s="56" t="s">
        <v>1140</v>
      </c>
      <c r="AZ270" s="56" t="s">
        <v>1062</v>
      </c>
      <c r="BA270" s="56" t="s">
        <v>1183</v>
      </c>
      <c r="BB270" s="56" t="s">
        <v>1184</v>
      </c>
      <c r="BC270" s="56" t="s">
        <v>1157</v>
      </c>
      <c r="BD270" s="56" t="s">
        <v>1328</v>
      </c>
    </row>
    <row r="271" spans="1:56" x14ac:dyDescent="0.2">
      <c r="A271" s="56">
        <v>176759425</v>
      </c>
      <c r="B271" s="56" t="s">
        <v>3260</v>
      </c>
      <c r="C271" s="56" t="s">
        <v>2623</v>
      </c>
      <c r="D271" s="56" t="s">
        <v>1263</v>
      </c>
      <c r="E271" s="56" t="s">
        <v>1044</v>
      </c>
      <c r="F271" s="56">
        <v>5</v>
      </c>
      <c r="G271" s="56"/>
      <c r="H271" s="56">
        <v>9700</v>
      </c>
      <c r="I271" s="56">
        <v>6</v>
      </c>
      <c r="J271" s="56" t="s">
        <v>1045</v>
      </c>
      <c r="K271" s="56" t="s">
        <v>1167</v>
      </c>
      <c r="L271" s="121">
        <v>46270</v>
      </c>
      <c r="M271" s="122">
        <v>0.84722222222222221</v>
      </c>
      <c r="N271" s="122">
        <v>0.86805555555555558</v>
      </c>
      <c r="O271" s="56" t="s">
        <v>1047</v>
      </c>
      <c r="P271" s="121">
        <v>46270</v>
      </c>
      <c r="Q271" s="122">
        <v>0.88541666666666663</v>
      </c>
      <c r="R271" s="122">
        <v>0.90630787037037042</v>
      </c>
      <c r="S271" s="56" t="s">
        <v>1047</v>
      </c>
      <c r="T271" s="56">
        <v>1</v>
      </c>
      <c r="U271" s="56">
        <v>32</v>
      </c>
      <c r="V271" s="56">
        <v>25.1</v>
      </c>
      <c r="W271" s="56">
        <v>26.48</v>
      </c>
      <c r="X271" s="56" t="s">
        <v>2624</v>
      </c>
      <c r="Y271" s="56" t="s">
        <v>2624</v>
      </c>
      <c r="Z271" s="56" t="s">
        <v>2624</v>
      </c>
      <c r="AA271" s="56" t="s">
        <v>101</v>
      </c>
      <c r="AB271" s="56">
        <v>14110292</v>
      </c>
      <c r="AC271" s="56" t="s">
        <v>101</v>
      </c>
      <c r="AD271" s="56">
        <v>14110292</v>
      </c>
      <c r="AE271" s="56" t="s">
        <v>2626</v>
      </c>
      <c r="AF271" s="56" t="s">
        <v>2627</v>
      </c>
      <c r="AG271" s="56" t="s">
        <v>2627</v>
      </c>
      <c r="AH271" s="56">
        <v>36</v>
      </c>
      <c r="AI271" s="56" t="s">
        <v>2628</v>
      </c>
      <c r="AJ271" s="56" t="s">
        <v>2640</v>
      </c>
      <c r="AK271" s="56" t="s">
        <v>2624</v>
      </c>
      <c r="AL271" s="56" t="s">
        <v>2630</v>
      </c>
      <c r="AM271" s="56" t="s">
        <v>3258</v>
      </c>
      <c r="AN271" s="56" t="s">
        <v>2632</v>
      </c>
      <c r="AO271" s="56" t="s">
        <v>2627</v>
      </c>
      <c r="AP271" s="56" t="s">
        <v>2624</v>
      </c>
      <c r="AQ271" s="123">
        <v>2.083333333333337E-2</v>
      </c>
      <c r="AR271" s="122">
        <v>2.0891203703703787E-2</v>
      </c>
      <c r="AS271" s="56" t="s">
        <v>1048</v>
      </c>
      <c r="AT271" s="56" t="s">
        <v>1059</v>
      </c>
      <c r="AU271" s="56" t="s">
        <v>1060</v>
      </c>
      <c r="AV271" s="56">
        <v>36</v>
      </c>
      <c r="AW271" s="56" t="s">
        <v>1051</v>
      </c>
      <c r="AX271" s="56" t="s">
        <v>3261</v>
      </c>
      <c r="AY271" s="56" t="s">
        <v>1140</v>
      </c>
      <c r="AZ271" s="56" t="s">
        <v>1062</v>
      </c>
      <c r="BA271" s="56" t="s">
        <v>3262</v>
      </c>
      <c r="BB271" s="56" t="s">
        <v>3263</v>
      </c>
      <c r="BC271" s="56" t="s">
        <v>1157</v>
      </c>
      <c r="BD271" s="56" t="s">
        <v>3264</v>
      </c>
    </row>
    <row r="272" spans="1:56" x14ac:dyDescent="0.2">
      <c r="A272" s="56">
        <v>176762729</v>
      </c>
      <c r="B272" s="56" t="s">
        <v>3265</v>
      </c>
      <c r="C272" s="56" t="s">
        <v>2623</v>
      </c>
      <c r="D272" s="56" t="s">
        <v>3266</v>
      </c>
      <c r="E272" s="56" t="s">
        <v>1044</v>
      </c>
      <c r="F272" s="56">
        <v>191</v>
      </c>
      <c r="G272" s="56" t="s">
        <v>2693</v>
      </c>
      <c r="H272" s="56">
        <v>12898</v>
      </c>
      <c r="I272" s="56">
        <v>6</v>
      </c>
      <c r="J272" s="56" t="s">
        <v>1045</v>
      </c>
      <c r="K272" s="56" t="s">
        <v>1116</v>
      </c>
      <c r="L272" s="121">
        <v>46270</v>
      </c>
      <c r="M272" s="122">
        <v>0.86458333333333337</v>
      </c>
      <c r="N272" s="122">
        <v>0.87430555555555556</v>
      </c>
      <c r="O272" s="56" t="s">
        <v>1047</v>
      </c>
      <c r="P272" s="121">
        <v>46270</v>
      </c>
      <c r="Q272" s="122">
        <v>0.92708333333333337</v>
      </c>
      <c r="R272" s="122">
        <v>0.91287037037037033</v>
      </c>
      <c r="S272" s="56" t="s">
        <v>1047</v>
      </c>
      <c r="T272" s="56">
        <v>1</v>
      </c>
      <c r="U272" s="56">
        <v>33</v>
      </c>
      <c r="V272" s="56">
        <v>28.84</v>
      </c>
      <c r="W272" s="56">
        <v>32.119999999999997</v>
      </c>
      <c r="X272" s="56" t="s">
        <v>2624</v>
      </c>
      <c r="Y272" s="56" t="s">
        <v>2624</v>
      </c>
      <c r="Z272" s="56" t="s">
        <v>2624</v>
      </c>
      <c r="AA272" s="56" t="s">
        <v>338</v>
      </c>
      <c r="AB272" s="56">
        <v>14121523</v>
      </c>
      <c r="AC272" s="56" t="s">
        <v>338</v>
      </c>
      <c r="AD272" s="56">
        <v>14121523</v>
      </c>
      <c r="AE272" s="56" t="s">
        <v>2626</v>
      </c>
      <c r="AF272" s="56" t="s">
        <v>2627</v>
      </c>
      <c r="AG272" s="56" t="s">
        <v>2627</v>
      </c>
      <c r="AH272" s="56">
        <v>36</v>
      </c>
      <c r="AI272" s="56" t="s">
        <v>2628</v>
      </c>
      <c r="AJ272" s="56" t="s">
        <v>2629</v>
      </c>
      <c r="AK272" s="56">
        <v>0</v>
      </c>
      <c r="AL272" s="56" t="s">
        <v>2630</v>
      </c>
      <c r="AM272" s="56" t="s">
        <v>2631</v>
      </c>
      <c r="AN272" s="56" t="s">
        <v>2632</v>
      </c>
      <c r="AO272" s="56" t="s">
        <v>2627</v>
      </c>
      <c r="AP272" s="56" t="s">
        <v>2624</v>
      </c>
      <c r="AQ272" s="123">
        <v>9.7222222222221877E-3</v>
      </c>
      <c r="AR272" s="122">
        <v>-1.4212962962963038E-2</v>
      </c>
      <c r="AS272" s="56" t="s">
        <v>1048</v>
      </c>
      <c r="AT272" s="56" t="s">
        <v>1049</v>
      </c>
      <c r="AU272" s="56" t="s">
        <v>1050</v>
      </c>
      <c r="AV272" s="56">
        <v>36</v>
      </c>
      <c r="AW272" s="56" t="s">
        <v>1051</v>
      </c>
      <c r="AX272" s="56" t="s">
        <v>3267</v>
      </c>
      <c r="AY272" s="56" t="s">
        <v>1246</v>
      </c>
      <c r="AZ272" s="56" t="s">
        <v>1054</v>
      </c>
      <c r="BA272" s="56" t="s">
        <v>3268</v>
      </c>
      <c r="BB272" s="56" t="s">
        <v>3269</v>
      </c>
      <c r="BC272" s="56" t="s">
        <v>1157</v>
      </c>
      <c r="BD272" s="56" t="s">
        <v>3270</v>
      </c>
    </row>
    <row r="273" spans="1:56" x14ac:dyDescent="0.2">
      <c r="A273" s="56">
        <v>176749254</v>
      </c>
      <c r="B273" s="56" t="s">
        <v>3271</v>
      </c>
      <c r="C273" s="56" t="s">
        <v>2623</v>
      </c>
      <c r="D273" s="56" t="s">
        <v>1777</v>
      </c>
      <c r="E273" s="56" t="s">
        <v>1044</v>
      </c>
      <c r="F273" s="56">
        <v>8</v>
      </c>
      <c r="G273" s="56"/>
      <c r="H273" s="56">
        <v>5725</v>
      </c>
      <c r="I273" s="56">
        <v>6</v>
      </c>
      <c r="J273" s="56" t="s">
        <v>1045</v>
      </c>
      <c r="K273" s="56" t="s">
        <v>1123</v>
      </c>
      <c r="L273" s="121">
        <v>46270</v>
      </c>
      <c r="M273" s="122">
        <v>0.8666666666666667</v>
      </c>
      <c r="N273" s="122">
        <v>0.87013888888888891</v>
      </c>
      <c r="O273" s="56" t="s">
        <v>1047</v>
      </c>
      <c r="P273" s="121">
        <v>46270</v>
      </c>
      <c r="Q273" s="122">
        <v>0.90277777777777779</v>
      </c>
      <c r="R273" s="122">
        <v>0.89652777777777781</v>
      </c>
      <c r="S273" s="56" t="s">
        <v>1047</v>
      </c>
      <c r="T273" s="56">
        <v>1</v>
      </c>
      <c r="U273" s="56">
        <v>17</v>
      </c>
      <c r="V273" s="56">
        <v>10.66</v>
      </c>
      <c r="W273" s="56">
        <v>11.35</v>
      </c>
      <c r="X273" s="56" t="s">
        <v>2624</v>
      </c>
      <c r="Y273" s="56" t="s">
        <v>2624</v>
      </c>
      <c r="Z273" s="56" t="s">
        <v>2624</v>
      </c>
      <c r="AA273" s="56" t="s">
        <v>166</v>
      </c>
      <c r="AB273" s="56">
        <v>14109948</v>
      </c>
      <c r="AC273" s="56" t="s">
        <v>166</v>
      </c>
      <c r="AD273" s="56">
        <v>14109948</v>
      </c>
      <c r="AE273" s="56" t="s">
        <v>2626</v>
      </c>
      <c r="AF273" s="56" t="s">
        <v>2627</v>
      </c>
      <c r="AG273" s="56" t="s">
        <v>2627</v>
      </c>
      <c r="AH273" s="56">
        <v>36</v>
      </c>
      <c r="AI273" s="56" t="s">
        <v>2628</v>
      </c>
      <c r="AJ273" s="56" t="s">
        <v>2629</v>
      </c>
      <c r="AK273" s="56">
        <v>496.68</v>
      </c>
      <c r="AL273" s="56" t="s">
        <v>2630</v>
      </c>
      <c r="AM273" s="56" t="s">
        <v>2631</v>
      </c>
      <c r="AN273" s="56" t="s">
        <v>2632</v>
      </c>
      <c r="AO273" s="56" t="s">
        <v>2627</v>
      </c>
      <c r="AP273" s="56" t="s">
        <v>2624</v>
      </c>
      <c r="AQ273" s="123">
        <v>3.4722222222222099E-3</v>
      </c>
      <c r="AR273" s="122">
        <v>-6.2499999999999778E-3</v>
      </c>
      <c r="AS273" s="56" t="s">
        <v>1048</v>
      </c>
      <c r="AT273" s="56" t="s">
        <v>1049</v>
      </c>
      <c r="AU273" s="56" t="s">
        <v>1050</v>
      </c>
      <c r="AV273" s="56">
        <v>36</v>
      </c>
      <c r="AW273" s="56" t="s">
        <v>1051</v>
      </c>
      <c r="AX273" s="56" t="s">
        <v>1778</v>
      </c>
      <c r="AY273" s="56" t="s">
        <v>1124</v>
      </c>
      <c r="AZ273" s="56" t="s">
        <v>1054</v>
      </c>
      <c r="BA273" s="56" t="s">
        <v>1779</v>
      </c>
      <c r="BB273" s="56" t="s">
        <v>1780</v>
      </c>
      <c r="BC273" s="56" t="s">
        <v>1157</v>
      </c>
      <c r="BD273" s="56" t="s">
        <v>3272</v>
      </c>
    </row>
    <row r="274" spans="1:56" x14ac:dyDescent="0.2">
      <c r="A274" s="56">
        <v>176750615</v>
      </c>
      <c r="B274" s="56" t="s">
        <v>2201</v>
      </c>
      <c r="C274" s="56" t="s">
        <v>2623</v>
      </c>
      <c r="D274" s="56" t="s">
        <v>2073</v>
      </c>
      <c r="E274" s="56" t="s">
        <v>1044</v>
      </c>
      <c r="F274" s="56">
        <v>18</v>
      </c>
      <c r="G274" s="56"/>
      <c r="H274" s="56">
        <v>6802</v>
      </c>
      <c r="I274" s="56">
        <v>6</v>
      </c>
      <c r="J274" s="56" t="s">
        <v>1045</v>
      </c>
      <c r="K274" s="56" t="s">
        <v>1123</v>
      </c>
      <c r="L274" s="121">
        <v>46270</v>
      </c>
      <c r="M274" s="122">
        <v>0.86805555555555558</v>
      </c>
      <c r="N274" s="122">
        <v>0.88055555555555554</v>
      </c>
      <c r="O274" s="56" t="s">
        <v>1047</v>
      </c>
      <c r="P274" s="121">
        <v>46270</v>
      </c>
      <c r="Q274" s="122">
        <v>0.90277777777777779</v>
      </c>
      <c r="R274" s="122">
        <v>0.90694444444444444</v>
      </c>
      <c r="S274" s="56" t="s">
        <v>1047</v>
      </c>
      <c r="T274" s="56">
        <v>1</v>
      </c>
      <c r="U274" s="56">
        <v>16</v>
      </c>
      <c r="V274" s="56">
        <v>10.220000000000001</v>
      </c>
      <c r="W274" s="56">
        <v>8.99</v>
      </c>
      <c r="X274" s="56" t="s">
        <v>2624</v>
      </c>
      <c r="Y274" s="56" t="s">
        <v>2624</v>
      </c>
      <c r="Z274" s="56" t="s">
        <v>2624</v>
      </c>
      <c r="AA274" s="56" t="s">
        <v>1891</v>
      </c>
      <c r="AB274" s="56">
        <v>14124131</v>
      </c>
      <c r="AC274" s="56" t="s">
        <v>1891</v>
      </c>
      <c r="AD274" s="56">
        <v>14124131</v>
      </c>
      <c r="AE274" s="56" t="s">
        <v>2626</v>
      </c>
      <c r="AF274" s="56" t="s">
        <v>2627</v>
      </c>
      <c r="AG274" s="56" t="s">
        <v>2627</v>
      </c>
      <c r="AH274" s="56">
        <v>36</v>
      </c>
      <c r="AI274" s="56" t="s">
        <v>2628</v>
      </c>
      <c r="AJ274" s="56" t="s">
        <v>2640</v>
      </c>
      <c r="AK274" s="56">
        <v>584.1</v>
      </c>
      <c r="AL274" s="56" t="s">
        <v>2630</v>
      </c>
      <c r="AM274" s="56" t="s">
        <v>2631</v>
      </c>
      <c r="AN274" s="56" t="s">
        <v>2632</v>
      </c>
      <c r="AO274" s="56" t="s">
        <v>2627</v>
      </c>
      <c r="AP274" s="56" t="s">
        <v>2624</v>
      </c>
      <c r="AQ274" s="123">
        <v>1.2499999999999956E-2</v>
      </c>
      <c r="AR274" s="122">
        <v>4.1666666666666519E-3</v>
      </c>
      <c r="AS274" s="56" t="s">
        <v>1048</v>
      </c>
      <c r="AT274" s="56" t="s">
        <v>1059</v>
      </c>
      <c r="AU274" s="56" t="s">
        <v>1060</v>
      </c>
      <c r="AV274" s="56">
        <v>36</v>
      </c>
      <c r="AW274" s="56" t="s">
        <v>1051</v>
      </c>
      <c r="AX274" s="56" t="s">
        <v>2074</v>
      </c>
      <c r="AY274" s="56" t="s">
        <v>1124</v>
      </c>
      <c r="AZ274" s="56" t="s">
        <v>1054</v>
      </c>
      <c r="BA274" s="56" t="s">
        <v>2075</v>
      </c>
      <c r="BB274" s="56" t="s">
        <v>2076</v>
      </c>
      <c r="BC274" s="56" t="s">
        <v>1157</v>
      </c>
      <c r="BD274" s="56" t="s">
        <v>2202</v>
      </c>
    </row>
    <row r="275" spans="1:56" x14ac:dyDescent="0.2">
      <c r="A275" s="56">
        <v>176754923</v>
      </c>
      <c r="B275" s="56" t="s">
        <v>3273</v>
      </c>
      <c r="C275" s="56" t="s">
        <v>2623</v>
      </c>
      <c r="D275" s="56" t="s">
        <v>3274</v>
      </c>
      <c r="E275" s="56" t="s">
        <v>1044</v>
      </c>
      <c r="F275" s="56">
        <v>13</v>
      </c>
      <c r="G275" s="56"/>
      <c r="H275" s="56">
        <v>4441</v>
      </c>
      <c r="I275" s="56">
        <v>6</v>
      </c>
      <c r="J275" s="56" t="s">
        <v>1045</v>
      </c>
      <c r="K275" s="56" t="s">
        <v>1091</v>
      </c>
      <c r="L275" s="121">
        <v>46270</v>
      </c>
      <c r="M275" s="122">
        <v>0.87291666666666667</v>
      </c>
      <c r="N275" s="122">
        <v>0.88263888888888886</v>
      </c>
      <c r="O275" s="56" t="s">
        <v>1047</v>
      </c>
      <c r="P275" s="121">
        <v>46270</v>
      </c>
      <c r="Q275" s="122">
        <v>0.93402777777777779</v>
      </c>
      <c r="R275" s="122">
        <v>0.92689814814814819</v>
      </c>
      <c r="S275" s="56" t="s">
        <v>1047</v>
      </c>
      <c r="T275" s="56">
        <v>1</v>
      </c>
      <c r="U275" s="56">
        <v>26</v>
      </c>
      <c r="V275" s="56">
        <v>23.2</v>
      </c>
      <c r="W275" s="56">
        <v>23.28</v>
      </c>
      <c r="X275" s="56" t="s">
        <v>2624</v>
      </c>
      <c r="Y275" s="56" t="s">
        <v>2624</v>
      </c>
      <c r="Z275" s="56" t="s">
        <v>2624</v>
      </c>
      <c r="AA275" s="56" t="s">
        <v>72</v>
      </c>
      <c r="AB275" s="56">
        <v>14108222</v>
      </c>
      <c r="AC275" s="56" t="s">
        <v>72</v>
      </c>
      <c r="AD275" s="56">
        <v>14108222</v>
      </c>
      <c r="AE275" s="56" t="s">
        <v>2626</v>
      </c>
      <c r="AF275" s="56" t="s">
        <v>2627</v>
      </c>
      <c r="AG275" s="56" t="s">
        <v>2627</v>
      </c>
      <c r="AH275" s="56">
        <v>36</v>
      </c>
      <c r="AI275" s="56" t="s">
        <v>2628</v>
      </c>
      <c r="AJ275" s="56" t="s">
        <v>2629</v>
      </c>
      <c r="AK275" s="56">
        <v>0</v>
      </c>
      <c r="AL275" s="56" t="s">
        <v>2630</v>
      </c>
      <c r="AM275" s="56" t="s">
        <v>2631</v>
      </c>
      <c r="AN275" s="56" t="s">
        <v>2632</v>
      </c>
      <c r="AO275" s="56" t="s">
        <v>2627</v>
      </c>
      <c r="AP275" s="56" t="s">
        <v>2624</v>
      </c>
      <c r="AQ275" s="123">
        <v>9.7222222222221877E-3</v>
      </c>
      <c r="AR275" s="122">
        <v>-7.1296296296295969E-3</v>
      </c>
      <c r="AS275" s="56" t="s">
        <v>1048</v>
      </c>
      <c r="AT275" s="56" t="s">
        <v>1049</v>
      </c>
      <c r="AU275" s="56" t="s">
        <v>1050</v>
      </c>
      <c r="AV275" s="56">
        <v>36</v>
      </c>
      <c r="AW275" s="56" t="s">
        <v>1051</v>
      </c>
      <c r="AX275" s="56" t="s">
        <v>3275</v>
      </c>
      <c r="AY275" s="56" t="s">
        <v>1093</v>
      </c>
      <c r="AZ275" s="56" t="s">
        <v>1067</v>
      </c>
      <c r="BA275" s="56" t="s">
        <v>3276</v>
      </c>
      <c r="BB275" s="56" t="s">
        <v>3277</v>
      </c>
      <c r="BC275" s="56" t="s">
        <v>1157</v>
      </c>
      <c r="BD275" s="56" t="s">
        <v>3278</v>
      </c>
    </row>
    <row r="276" spans="1:56" x14ac:dyDescent="0.2">
      <c r="A276" s="56">
        <v>176762890</v>
      </c>
      <c r="B276" s="56" t="s">
        <v>3279</v>
      </c>
      <c r="C276" s="56" t="s">
        <v>2623</v>
      </c>
      <c r="D276" s="56" t="s">
        <v>3280</v>
      </c>
      <c r="E276" s="56" t="s">
        <v>1044</v>
      </c>
      <c r="F276" s="56">
        <v>211</v>
      </c>
      <c r="G276" s="56" t="s">
        <v>2693</v>
      </c>
      <c r="H276" s="56">
        <v>15316</v>
      </c>
      <c r="I276" s="56">
        <v>6</v>
      </c>
      <c r="J276" s="56" t="s">
        <v>1045</v>
      </c>
      <c r="K276" s="56" t="s">
        <v>1116</v>
      </c>
      <c r="L276" s="121">
        <v>46270</v>
      </c>
      <c r="M276" s="122">
        <v>0.87847222222222221</v>
      </c>
      <c r="N276" s="122">
        <v>0.88194444444444442</v>
      </c>
      <c r="O276" s="56" t="s">
        <v>1047</v>
      </c>
      <c r="P276" s="121">
        <v>46270</v>
      </c>
      <c r="Q276" s="122">
        <v>0.92708333333333337</v>
      </c>
      <c r="R276" s="122">
        <v>0.90773148148148153</v>
      </c>
      <c r="S276" s="56" t="s">
        <v>1047</v>
      </c>
      <c r="T276" s="56">
        <v>1</v>
      </c>
      <c r="U276" s="56">
        <v>22</v>
      </c>
      <c r="V276" s="56">
        <v>18.11</v>
      </c>
      <c r="W276" s="56">
        <v>18.18</v>
      </c>
      <c r="X276" s="56" t="s">
        <v>2624</v>
      </c>
      <c r="Y276" s="56" t="s">
        <v>2624</v>
      </c>
      <c r="Z276" s="56" t="s">
        <v>2624</v>
      </c>
      <c r="AA276" s="56" t="s">
        <v>1473</v>
      </c>
      <c r="AB276" s="56">
        <v>14118505</v>
      </c>
      <c r="AC276" s="56" t="s">
        <v>1473</v>
      </c>
      <c r="AD276" s="56">
        <v>14118505</v>
      </c>
      <c r="AE276" s="56" t="s">
        <v>2626</v>
      </c>
      <c r="AF276" s="56" t="s">
        <v>2627</v>
      </c>
      <c r="AG276" s="56" t="s">
        <v>2627</v>
      </c>
      <c r="AH276" s="56">
        <v>36</v>
      </c>
      <c r="AI276" s="56" t="s">
        <v>2628</v>
      </c>
      <c r="AJ276" s="56" t="s">
        <v>2629</v>
      </c>
      <c r="AK276" s="56">
        <v>0</v>
      </c>
      <c r="AL276" s="56" t="s">
        <v>2630</v>
      </c>
      <c r="AM276" s="56" t="s">
        <v>2631</v>
      </c>
      <c r="AN276" s="56" t="s">
        <v>2632</v>
      </c>
      <c r="AO276" s="56" t="s">
        <v>2627</v>
      </c>
      <c r="AP276" s="56" t="s">
        <v>2624</v>
      </c>
      <c r="AQ276" s="123">
        <v>3.4722222222222099E-3</v>
      </c>
      <c r="AR276" s="122">
        <v>-1.9351851851851842E-2</v>
      </c>
      <c r="AS276" s="56" t="s">
        <v>1048</v>
      </c>
      <c r="AT276" s="56" t="s">
        <v>1049</v>
      </c>
      <c r="AU276" s="56" t="s">
        <v>1050</v>
      </c>
      <c r="AV276" s="56">
        <v>36</v>
      </c>
      <c r="AW276" s="56" t="s">
        <v>1051</v>
      </c>
      <c r="AX276" s="56" t="s">
        <v>3281</v>
      </c>
      <c r="AY276" s="56" t="s">
        <v>1246</v>
      </c>
      <c r="AZ276" s="56" t="s">
        <v>1054</v>
      </c>
      <c r="BA276" s="56" t="s">
        <v>3282</v>
      </c>
      <c r="BB276" s="56" t="s">
        <v>3283</v>
      </c>
      <c r="BC276" s="56" t="s">
        <v>1157</v>
      </c>
      <c r="BD276" s="56" t="s">
        <v>3284</v>
      </c>
    </row>
    <row r="277" spans="1:56" x14ac:dyDescent="0.2">
      <c r="A277" s="56">
        <v>176801171</v>
      </c>
      <c r="B277" s="56" t="s">
        <v>2869</v>
      </c>
      <c r="C277" s="56" t="s">
        <v>2623</v>
      </c>
      <c r="D277" s="56" t="s">
        <v>2181</v>
      </c>
      <c r="E277" s="56" t="s">
        <v>1044</v>
      </c>
      <c r="F277" s="56">
        <v>254</v>
      </c>
      <c r="G277" s="56" t="s">
        <v>2693</v>
      </c>
      <c r="H277" s="56">
        <v>13850</v>
      </c>
      <c r="I277" s="56">
        <v>6</v>
      </c>
      <c r="J277" s="56" t="s">
        <v>1045</v>
      </c>
      <c r="K277" s="56" t="s">
        <v>1116</v>
      </c>
      <c r="L277" s="121">
        <v>46270</v>
      </c>
      <c r="M277" s="122">
        <v>0.88124999999999998</v>
      </c>
      <c r="N277" s="122">
        <v>0.89444444444444449</v>
      </c>
      <c r="O277" s="56" t="s">
        <v>1047</v>
      </c>
      <c r="P277" s="121">
        <v>46270</v>
      </c>
      <c r="Q277" s="122">
        <v>0.92708333333333337</v>
      </c>
      <c r="R277" s="122">
        <v>0.9243055555555556</v>
      </c>
      <c r="S277" s="56" t="s">
        <v>1047</v>
      </c>
      <c r="T277" s="56">
        <v>1</v>
      </c>
      <c r="U277" s="56">
        <v>47</v>
      </c>
      <c r="V277" s="56">
        <v>42.95</v>
      </c>
      <c r="W277" s="56">
        <v>41.53</v>
      </c>
      <c r="X277" s="56">
        <v>68.2</v>
      </c>
      <c r="Y277" s="56">
        <v>23.58</v>
      </c>
      <c r="Z277" s="56">
        <v>3.09</v>
      </c>
      <c r="AA277" s="56" t="s">
        <v>907</v>
      </c>
      <c r="AB277" s="56">
        <v>14123649</v>
      </c>
      <c r="AC277" s="56" t="s">
        <v>907</v>
      </c>
      <c r="AD277" s="56">
        <v>14123649</v>
      </c>
      <c r="AE277" s="56" t="s">
        <v>3285</v>
      </c>
      <c r="AF277" s="124">
        <v>46270.85665509259</v>
      </c>
      <c r="AG277" s="56" t="s">
        <v>3096</v>
      </c>
      <c r="AH277" s="56">
        <v>36</v>
      </c>
      <c r="AI277" s="56" t="s">
        <v>2628</v>
      </c>
      <c r="AJ277" s="56" t="s">
        <v>2629</v>
      </c>
      <c r="AK277" s="56">
        <v>0</v>
      </c>
      <c r="AL277" s="56" t="s">
        <v>2630</v>
      </c>
      <c r="AM277" s="56" t="s">
        <v>2631</v>
      </c>
      <c r="AN277" s="56" t="s">
        <v>2632</v>
      </c>
      <c r="AO277" s="124">
        <v>46270.85665509259</v>
      </c>
      <c r="AP277" s="56">
        <v>3</v>
      </c>
      <c r="AQ277" s="123">
        <v>1.3194444444444509E-2</v>
      </c>
      <c r="AR277" s="122">
        <v>-2.7777777777777679E-3</v>
      </c>
      <c r="AS277" s="56" t="s">
        <v>1048</v>
      </c>
      <c r="AT277" s="56" t="s">
        <v>1049</v>
      </c>
      <c r="AU277" s="56" t="s">
        <v>1050</v>
      </c>
      <c r="AV277" s="56">
        <v>36</v>
      </c>
      <c r="AW277" s="56" t="s">
        <v>1051</v>
      </c>
      <c r="AX277" s="56" t="s">
        <v>2182</v>
      </c>
      <c r="AY277" s="56" t="s">
        <v>1128</v>
      </c>
      <c r="AZ277" s="56" t="s">
        <v>1054</v>
      </c>
      <c r="BA277" s="56" t="s">
        <v>2183</v>
      </c>
      <c r="BB277" s="56" t="s">
        <v>2184</v>
      </c>
      <c r="BC277" s="56" t="s">
        <v>1157</v>
      </c>
      <c r="BD277" s="56" t="s">
        <v>2870</v>
      </c>
    </row>
    <row r="278" spans="1:56" x14ac:dyDescent="0.2">
      <c r="A278" s="56">
        <v>176798007</v>
      </c>
      <c r="B278" s="56" t="s">
        <v>1335</v>
      </c>
      <c r="C278" s="56" t="s">
        <v>2623</v>
      </c>
      <c r="D278" s="56" t="s">
        <v>1336</v>
      </c>
      <c r="E278" s="56" t="s">
        <v>1044</v>
      </c>
      <c r="F278" s="56">
        <v>428</v>
      </c>
      <c r="G278" s="56"/>
      <c r="H278" s="56">
        <v>16788</v>
      </c>
      <c r="I278" s="56">
        <v>6</v>
      </c>
      <c r="J278" s="56" t="s">
        <v>1045</v>
      </c>
      <c r="K278" s="56" t="s">
        <v>1064</v>
      </c>
      <c r="L278" s="121">
        <v>46270</v>
      </c>
      <c r="M278" s="122">
        <v>0.88194444444444442</v>
      </c>
      <c r="N278" s="122">
        <v>0.98888888888888893</v>
      </c>
      <c r="O278" s="56" t="s">
        <v>1047</v>
      </c>
      <c r="P278" s="121">
        <v>46270</v>
      </c>
      <c r="Q278" s="122">
        <v>0.93402777777777779</v>
      </c>
      <c r="R278" s="56"/>
      <c r="S278" s="56" t="s">
        <v>1148</v>
      </c>
      <c r="T278" s="56">
        <v>1</v>
      </c>
      <c r="U278" s="56">
        <v>43</v>
      </c>
      <c r="V278" s="56">
        <v>35.909999999999997</v>
      </c>
      <c r="W278" s="56" t="s">
        <v>2624</v>
      </c>
      <c r="X278" s="56">
        <v>31.76</v>
      </c>
      <c r="Y278" s="56" t="s">
        <v>2624</v>
      </c>
      <c r="Z278" s="56">
        <v>0</v>
      </c>
      <c r="AA278" s="56" t="s">
        <v>10</v>
      </c>
      <c r="AB278" s="56">
        <v>14100721</v>
      </c>
      <c r="AC278" s="56" t="s">
        <v>10</v>
      </c>
      <c r="AD278" s="56">
        <v>14100721</v>
      </c>
      <c r="AE278" s="56" t="s">
        <v>3286</v>
      </c>
      <c r="AF278" s="124">
        <v>46270.513333333336</v>
      </c>
      <c r="AG278" s="56" t="s">
        <v>3096</v>
      </c>
      <c r="AH278" s="56">
        <v>36</v>
      </c>
      <c r="AI278" s="56" t="s">
        <v>2706</v>
      </c>
      <c r="AJ278" s="56" t="s">
        <v>2640</v>
      </c>
      <c r="AK278" s="56">
        <v>0</v>
      </c>
      <c r="AL278" s="56" t="s">
        <v>2630</v>
      </c>
      <c r="AM278" s="56" t="s">
        <v>2631</v>
      </c>
      <c r="AN278" s="56" t="s">
        <v>2632</v>
      </c>
      <c r="AO278" s="124">
        <v>46270.513333333336</v>
      </c>
      <c r="AP278" s="56" t="s">
        <v>2624</v>
      </c>
      <c r="AQ278" s="123">
        <v>0.10694444444444451</v>
      </c>
      <c r="AR278" s="122">
        <v>-0.93402777777777779</v>
      </c>
      <c r="AS278" s="56" t="s">
        <v>1048</v>
      </c>
      <c r="AT278" s="56" t="s">
        <v>1049</v>
      </c>
      <c r="AU278" s="56" t="s">
        <v>1050</v>
      </c>
      <c r="AV278" s="56">
        <v>36</v>
      </c>
      <c r="AW278" s="56" t="s">
        <v>1051</v>
      </c>
      <c r="AX278" s="56" t="s">
        <v>1337</v>
      </c>
      <c r="AY278" s="56" t="s">
        <v>1066</v>
      </c>
      <c r="AZ278" s="56" t="s">
        <v>1067</v>
      </c>
      <c r="BA278" s="56" t="s">
        <v>1338</v>
      </c>
      <c r="BB278" s="56" t="s">
        <v>1339</v>
      </c>
      <c r="BC278" s="56" t="s">
        <v>1157</v>
      </c>
      <c r="BD278" s="56" t="s">
        <v>1340</v>
      </c>
    </row>
    <row r="279" spans="1:56" x14ac:dyDescent="0.2">
      <c r="A279" s="56">
        <v>176761925</v>
      </c>
      <c r="B279" s="56" t="s">
        <v>1341</v>
      </c>
      <c r="C279" s="56" t="s">
        <v>2623</v>
      </c>
      <c r="D279" s="56" t="s">
        <v>1342</v>
      </c>
      <c r="E279" s="56" t="s">
        <v>1044</v>
      </c>
      <c r="F279" s="56">
        <v>87</v>
      </c>
      <c r="G279" s="56"/>
      <c r="H279" s="56">
        <v>17355</v>
      </c>
      <c r="I279" s="56">
        <v>6</v>
      </c>
      <c r="J279" s="56" t="s">
        <v>1045</v>
      </c>
      <c r="K279" s="56" t="s">
        <v>1091</v>
      </c>
      <c r="L279" s="121">
        <v>46270</v>
      </c>
      <c r="M279" s="122">
        <v>0.88541666666666663</v>
      </c>
      <c r="N279" s="122">
        <v>0.89166666666666672</v>
      </c>
      <c r="O279" s="56" t="s">
        <v>1047</v>
      </c>
      <c r="P279" s="121">
        <v>46270</v>
      </c>
      <c r="Q279" s="122">
        <v>0.93402777777777779</v>
      </c>
      <c r="R279" s="122">
        <v>0.92538194444444444</v>
      </c>
      <c r="S279" s="56" t="s">
        <v>1047</v>
      </c>
      <c r="T279" s="56">
        <v>1</v>
      </c>
      <c r="U279" s="56">
        <v>17</v>
      </c>
      <c r="V279" s="56">
        <v>12.98</v>
      </c>
      <c r="W279" s="56">
        <v>13.67</v>
      </c>
      <c r="X279" s="56" t="s">
        <v>2624</v>
      </c>
      <c r="Y279" s="56" t="s">
        <v>2624</v>
      </c>
      <c r="Z279" s="56" t="s">
        <v>2624</v>
      </c>
      <c r="AA279" s="56" t="s">
        <v>1448</v>
      </c>
      <c r="AB279" s="56">
        <v>14115917</v>
      </c>
      <c r="AC279" s="56" t="s">
        <v>1448</v>
      </c>
      <c r="AD279" s="56">
        <v>14115917</v>
      </c>
      <c r="AE279" s="56" t="s">
        <v>2626</v>
      </c>
      <c r="AF279" s="56" t="s">
        <v>2627</v>
      </c>
      <c r="AG279" s="56" t="s">
        <v>2627</v>
      </c>
      <c r="AH279" s="56">
        <v>36</v>
      </c>
      <c r="AI279" s="56" t="s">
        <v>2628</v>
      </c>
      <c r="AJ279" s="56" t="s">
        <v>2629</v>
      </c>
      <c r="AK279" s="56">
        <v>0</v>
      </c>
      <c r="AL279" s="56" t="s">
        <v>2630</v>
      </c>
      <c r="AM279" s="56" t="s">
        <v>2631</v>
      </c>
      <c r="AN279" s="56" t="s">
        <v>2632</v>
      </c>
      <c r="AO279" s="56" t="s">
        <v>2627</v>
      </c>
      <c r="AP279" s="56" t="s">
        <v>2624</v>
      </c>
      <c r="AQ279" s="123">
        <v>6.2500000000000888E-3</v>
      </c>
      <c r="AR279" s="122">
        <v>-8.6458333333333526E-3</v>
      </c>
      <c r="AS279" s="56" t="s">
        <v>1048</v>
      </c>
      <c r="AT279" s="56" t="s">
        <v>1049</v>
      </c>
      <c r="AU279" s="56" t="s">
        <v>1050</v>
      </c>
      <c r="AV279" s="56">
        <v>36</v>
      </c>
      <c r="AW279" s="56" t="s">
        <v>1051</v>
      </c>
      <c r="AX279" s="56" t="s">
        <v>1343</v>
      </c>
      <c r="AY279" s="56" t="s">
        <v>1093</v>
      </c>
      <c r="AZ279" s="56" t="s">
        <v>1067</v>
      </c>
      <c r="BA279" s="56" t="s">
        <v>1344</v>
      </c>
      <c r="BB279" s="56" t="s">
        <v>1345</v>
      </c>
      <c r="BC279" s="56" t="s">
        <v>1157</v>
      </c>
      <c r="BD279" s="56" t="s">
        <v>1346</v>
      </c>
    </row>
    <row r="280" spans="1:56" x14ac:dyDescent="0.2">
      <c r="A280" s="56">
        <v>176797978</v>
      </c>
      <c r="B280" s="56" t="s">
        <v>3287</v>
      </c>
      <c r="C280" s="56" t="s">
        <v>2623</v>
      </c>
      <c r="D280" s="56" t="s">
        <v>3074</v>
      </c>
      <c r="E280" s="56" t="s">
        <v>1044</v>
      </c>
      <c r="F280" s="56">
        <v>139</v>
      </c>
      <c r="G280" s="56"/>
      <c r="H280" s="56">
        <v>16731</v>
      </c>
      <c r="I280" s="56">
        <v>6</v>
      </c>
      <c r="J280" s="56" t="s">
        <v>1045</v>
      </c>
      <c r="K280" s="56" t="s">
        <v>1296</v>
      </c>
      <c r="L280" s="121">
        <v>46270</v>
      </c>
      <c r="M280" s="122">
        <v>0.88888888888888884</v>
      </c>
      <c r="N280" s="122">
        <v>0.90069444444444446</v>
      </c>
      <c r="O280" s="56" t="s">
        <v>1047</v>
      </c>
      <c r="P280" s="121">
        <v>46270</v>
      </c>
      <c r="Q280" s="122">
        <v>0.93402777777777779</v>
      </c>
      <c r="R280" s="122">
        <v>0.93464120370370374</v>
      </c>
      <c r="S280" s="56" t="s">
        <v>1047</v>
      </c>
      <c r="T280" s="56">
        <v>1</v>
      </c>
      <c r="U280" s="56">
        <v>25</v>
      </c>
      <c r="V280" s="56">
        <v>20.420000000000002</v>
      </c>
      <c r="W280" s="56">
        <v>22.19</v>
      </c>
      <c r="X280" s="56" t="s">
        <v>2624</v>
      </c>
      <c r="Y280" s="56" t="s">
        <v>2624</v>
      </c>
      <c r="Z280" s="56" t="s">
        <v>2624</v>
      </c>
      <c r="AA280" s="56" t="s">
        <v>174</v>
      </c>
      <c r="AB280" s="56">
        <v>14116917</v>
      </c>
      <c r="AC280" s="56" t="s">
        <v>174</v>
      </c>
      <c r="AD280" s="56">
        <v>14116917</v>
      </c>
      <c r="AE280" s="56" t="s">
        <v>3286</v>
      </c>
      <c r="AF280" s="124">
        <v>46270.510960648149</v>
      </c>
      <c r="AG280" s="56" t="s">
        <v>3096</v>
      </c>
      <c r="AH280" s="56">
        <v>36</v>
      </c>
      <c r="AI280" s="56" t="s">
        <v>2628</v>
      </c>
      <c r="AJ280" s="56" t="s">
        <v>2629</v>
      </c>
      <c r="AK280" s="56">
        <v>0</v>
      </c>
      <c r="AL280" s="56" t="s">
        <v>2630</v>
      </c>
      <c r="AM280" s="56" t="s">
        <v>2631</v>
      </c>
      <c r="AN280" s="56" t="s">
        <v>2632</v>
      </c>
      <c r="AO280" s="124">
        <v>46270.510960648149</v>
      </c>
      <c r="AP280" s="56" t="s">
        <v>2624</v>
      </c>
      <c r="AQ280" s="123">
        <v>1.1805555555555625E-2</v>
      </c>
      <c r="AR280" s="122">
        <v>6.134259259259478E-4</v>
      </c>
      <c r="AS280" s="56" t="s">
        <v>1048</v>
      </c>
      <c r="AT280" s="56" t="s">
        <v>1049</v>
      </c>
      <c r="AU280" s="56" t="s">
        <v>1050</v>
      </c>
      <c r="AV280" s="56">
        <v>36</v>
      </c>
      <c r="AW280" s="56" t="s">
        <v>1051</v>
      </c>
      <c r="AX280" s="56" t="s">
        <v>3075</v>
      </c>
      <c r="AY280" s="56" t="s">
        <v>1297</v>
      </c>
      <c r="AZ280" s="56" t="s">
        <v>1067</v>
      </c>
      <c r="BA280" s="56" t="s">
        <v>3076</v>
      </c>
      <c r="BB280" s="56" t="s">
        <v>3077</v>
      </c>
      <c r="BC280" s="56" t="s">
        <v>1157</v>
      </c>
      <c r="BD280" s="56" t="s">
        <v>3288</v>
      </c>
    </row>
    <row r="281" spans="1:56" x14ac:dyDescent="0.2">
      <c r="A281" s="56">
        <v>176757004</v>
      </c>
      <c r="B281" s="56" t="s">
        <v>2144</v>
      </c>
      <c r="C281" s="56" t="s">
        <v>2623</v>
      </c>
      <c r="D281" s="56" t="s">
        <v>1658</v>
      </c>
      <c r="E281" s="56" t="s">
        <v>1044</v>
      </c>
      <c r="F281" s="56">
        <v>35</v>
      </c>
      <c r="G281" s="56"/>
      <c r="H281" s="56">
        <v>4542</v>
      </c>
      <c r="I281" s="56">
        <v>6</v>
      </c>
      <c r="J281" s="56" t="s">
        <v>1045</v>
      </c>
      <c r="K281" s="56" t="s">
        <v>1162</v>
      </c>
      <c r="L281" s="121">
        <v>46270</v>
      </c>
      <c r="M281" s="122">
        <v>0.89930555555555558</v>
      </c>
      <c r="N281" s="122">
        <v>0.90625</v>
      </c>
      <c r="O281" s="56" t="s">
        <v>1047</v>
      </c>
      <c r="P281" s="121">
        <v>46270</v>
      </c>
      <c r="Q281" s="122">
        <v>0.93055555555555558</v>
      </c>
      <c r="R281" s="122">
        <v>0.9316550925925926</v>
      </c>
      <c r="S281" s="56" t="s">
        <v>1047</v>
      </c>
      <c r="T281" s="56">
        <v>1</v>
      </c>
      <c r="U281" s="56">
        <v>23</v>
      </c>
      <c r="V281" s="56">
        <v>24.33</v>
      </c>
      <c r="W281" s="56">
        <v>23.87</v>
      </c>
      <c r="X281" s="56" t="s">
        <v>2624</v>
      </c>
      <c r="Y281" s="56" t="s">
        <v>2624</v>
      </c>
      <c r="Z281" s="56" t="s">
        <v>2624</v>
      </c>
      <c r="AA281" s="56" t="s">
        <v>515</v>
      </c>
      <c r="AB281" s="56">
        <v>14123375</v>
      </c>
      <c r="AC281" s="56" t="s">
        <v>515</v>
      </c>
      <c r="AD281" s="56">
        <v>14123375</v>
      </c>
      <c r="AE281" s="56" t="s">
        <v>2626</v>
      </c>
      <c r="AF281" s="56" t="s">
        <v>2627</v>
      </c>
      <c r="AG281" s="56" t="s">
        <v>2627</v>
      </c>
      <c r="AH281" s="56">
        <v>36</v>
      </c>
      <c r="AI281" s="56" t="s">
        <v>2628</v>
      </c>
      <c r="AJ281" s="56" t="s">
        <v>2640</v>
      </c>
      <c r="AK281" s="56">
        <v>0</v>
      </c>
      <c r="AL281" s="56" t="s">
        <v>2630</v>
      </c>
      <c r="AM281" s="56" t="s">
        <v>2631</v>
      </c>
      <c r="AN281" s="56" t="s">
        <v>2632</v>
      </c>
      <c r="AO281" s="56" t="s">
        <v>2627</v>
      </c>
      <c r="AP281" s="56" t="s">
        <v>2624</v>
      </c>
      <c r="AQ281" s="123">
        <v>6.9444444444444198E-3</v>
      </c>
      <c r="AR281" s="122">
        <v>1.0995370370370239E-3</v>
      </c>
      <c r="AS281" s="56" t="s">
        <v>1048</v>
      </c>
      <c r="AT281" s="56" t="s">
        <v>1049</v>
      </c>
      <c r="AU281" s="56" t="s">
        <v>1050</v>
      </c>
      <c r="AV281" s="56">
        <v>36</v>
      </c>
      <c r="AW281" s="56" t="s">
        <v>1051</v>
      </c>
      <c r="AX281" s="56" t="s">
        <v>1659</v>
      </c>
      <c r="AY281" s="56" t="s">
        <v>1164</v>
      </c>
      <c r="AZ281" s="56" t="s">
        <v>1062</v>
      </c>
      <c r="BA281" s="56" t="s">
        <v>1660</v>
      </c>
      <c r="BB281" s="56" t="s">
        <v>1661</v>
      </c>
      <c r="BC281" s="56" t="s">
        <v>1157</v>
      </c>
      <c r="BD281" s="56" t="s">
        <v>2145</v>
      </c>
    </row>
    <row r="282" spans="1:56" x14ac:dyDescent="0.2">
      <c r="A282" s="56">
        <v>176707585</v>
      </c>
      <c r="B282" s="56" t="s">
        <v>1588</v>
      </c>
      <c r="C282" s="56" t="s">
        <v>2623</v>
      </c>
      <c r="D282" s="56" t="s">
        <v>1589</v>
      </c>
      <c r="E282" s="56" t="s">
        <v>1044</v>
      </c>
      <c r="F282" s="56">
        <v>2</v>
      </c>
      <c r="G282" s="56"/>
      <c r="H282" s="56">
        <v>6384</v>
      </c>
      <c r="I282" s="56">
        <v>6</v>
      </c>
      <c r="J282" s="56" t="s">
        <v>1045</v>
      </c>
      <c r="K282" s="56" t="s">
        <v>1181</v>
      </c>
      <c r="L282" s="121">
        <v>46269</v>
      </c>
      <c r="M282" s="122">
        <v>0.18263888888888888</v>
      </c>
      <c r="N282" s="122">
        <v>0.19444444444444445</v>
      </c>
      <c r="O282" s="56" t="s">
        <v>1047</v>
      </c>
      <c r="P282" s="121">
        <v>46269</v>
      </c>
      <c r="Q282" s="122">
        <v>0.2361111111111111</v>
      </c>
      <c r="R282" s="122">
        <v>0.24443287037037037</v>
      </c>
      <c r="S282" s="56" t="s">
        <v>1047</v>
      </c>
      <c r="T282" s="56">
        <v>1</v>
      </c>
      <c r="U282" s="56">
        <v>32</v>
      </c>
      <c r="V282" s="56">
        <v>28.11</v>
      </c>
      <c r="W282" s="56">
        <v>27.95</v>
      </c>
      <c r="X282" s="56">
        <v>31.85</v>
      </c>
      <c r="Y282" s="56">
        <v>3.9</v>
      </c>
      <c r="Z282" s="56">
        <v>0</v>
      </c>
      <c r="AA282" s="56" t="s">
        <v>459</v>
      </c>
      <c r="AB282" s="56">
        <v>14122871</v>
      </c>
      <c r="AC282" s="56" t="s">
        <v>459</v>
      </c>
      <c r="AD282" s="56">
        <v>14122871</v>
      </c>
      <c r="AE282" s="56" t="s">
        <v>2626</v>
      </c>
      <c r="AF282" s="56" t="s">
        <v>2627</v>
      </c>
      <c r="AG282" s="56" t="s">
        <v>2627</v>
      </c>
      <c r="AH282" s="56">
        <v>36</v>
      </c>
      <c r="AI282" s="56" t="s">
        <v>2628</v>
      </c>
      <c r="AJ282" s="56" t="s">
        <v>2640</v>
      </c>
      <c r="AK282" s="56">
        <v>447.41</v>
      </c>
      <c r="AL282" s="56" t="s">
        <v>2630</v>
      </c>
      <c r="AM282" s="56" t="s">
        <v>2631</v>
      </c>
      <c r="AN282" s="56" t="s">
        <v>2632</v>
      </c>
      <c r="AO282" s="56" t="s">
        <v>2627</v>
      </c>
      <c r="AP282" s="56" t="s">
        <v>2624</v>
      </c>
      <c r="AQ282" s="123">
        <v>1.1805555555555569E-2</v>
      </c>
      <c r="AR282" s="122">
        <v>8.3217592592592649E-3</v>
      </c>
      <c r="AS282" s="56" t="s">
        <v>1048</v>
      </c>
      <c r="AT282" s="56" t="s">
        <v>1059</v>
      </c>
      <c r="AU282" s="56" t="s">
        <v>1060</v>
      </c>
      <c r="AV282" s="56">
        <v>36</v>
      </c>
      <c r="AW282" s="56" t="s">
        <v>1051</v>
      </c>
      <c r="AX282" s="56" t="s">
        <v>1590</v>
      </c>
      <c r="AY282" s="56" t="s">
        <v>1140</v>
      </c>
      <c r="AZ282" s="56" t="s">
        <v>1062</v>
      </c>
      <c r="BA282" s="56" t="s">
        <v>1591</v>
      </c>
      <c r="BB282" s="56" t="s">
        <v>1592</v>
      </c>
      <c r="BC282" s="56" t="s">
        <v>1057</v>
      </c>
      <c r="BD282" s="56" t="s">
        <v>3289</v>
      </c>
    </row>
    <row r="283" spans="1:56" x14ac:dyDescent="0.2">
      <c r="A283" s="56">
        <v>176729253</v>
      </c>
      <c r="B283" s="56" t="s">
        <v>3290</v>
      </c>
      <c r="C283" s="56" t="s">
        <v>2623</v>
      </c>
      <c r="D283" s="56" t="s">
        <v>1166</v>
      </c>
      <c r="E283" s="56" t="s">
        <v>1044</v>
      </c>
      <c r="F283" s="56">
        <v>1</v>
      </c>
      <c r="G283" s="56"/>
      <c r="H283" s="56">
        <v>5923</v>
      </c>
      <c r="I283" s="56">
        <v>6</v>
      </c>
      <c r="J283" s="56" t="s">
        <v>1045</v>
      </c>
      <c r="K283" s="56" t="s">
        <v>2048</v>
      </c>
      <c r="L283" s="121">
        <v>46269</v>
      </c>
      <c r="M283" s="122">
        <v>0.1875</v>
      </c>
      <c r="N283" s="122">
        <v>0.19097222222222221</v>
      </c>
      <c r="O283" s="56" t="s">
        <v>1047</v>
      </c>
      <c r="P283" s="121">
        <v>46269</v>
      </c>
      <c r="Q283" s="122">
        <v>0.23958333333333334</v>
      </c>
      <c r="R283" s="122">
        <v>0.24791666666666667</v>
      </c>
      <c r="S283" s="56" t="s">
        <v>1047</v>
      </c>
      <c r="T283" s="56">
        <v>1</v>
      </c>
      <c r="U283" s="56">
        <v>39</v>
      </c>
      <c r="V283" s="56">
        <v>35.18</v>
      </c>
      <c r="W283" s="56">
        <v>34.979999999999997</v>
      </c>
      <c r="X283" s="56">
        <v>45.54</v>
      </c>
      <c r="Y283" s="56">
        <v>7.92</v>
      </c>
      <c r="Z283" s="56">
        <v>2.64</v>
      </c>
      <c r="AA283" s="56" t="s">
        <v>2000</v>
      </c>
      <c r="AB283" s="56">
        <v>14122133</v>
      </c>
      <c r="AC283" s="56" t="s">
        <v>2000</v>
      </c>
      <c r="AD283" s="56">
        <v>14122133</v>
      </c>
      <c r="AE283" s="56" t="s">
        <v>2626</v>
      </c>
      <c r="AF283" s="56" t="s">
        <v>2627</v>
      </c>
      <c r="AG283" s="56" t="s">
        <v>2627</v>
      </c>
      <c r="AH283" s="56">
        <v>36</v>
      </c>
      <c r="AI283" s="56" t="s">
        <v>2628</v>
      </c>
      <c r="AJ283" s="56" t="s">
        <v>2640</v>
      </c>
      <c r="AK283" s="56" t="s">
        <v>2624</v>
      </c>
      <c r="AL283" s="56" t="s">
        <v>2630</v>
      </c>
      <c r="AM283" s="56" t="s">
        <v>2632</v>
      </c>
      <c r="AN283" s="56" t="s">
        <v>2632</v>
      </c>
      <c r="AO283" s="56" t="s">
        <v>2627</v>
      </c>
      <c r="AP283" s="56" t="s">
        <v>2624</v>
      </c>
      <c r="AQ283" s="123">
        <v>3.4722222222222099E-3</v>
      </c>
      <c r="AR283" s="122">
        <v>8.3333333333333315E-3</v>
      </c>
      <c r="AS283" s="56" t="s">
        <v>1048</v>
      </c>
      <c r="AT283" s="56" t="s">
        <v>1059</v>
      </c>
      <c r="AU283" s="56" t="s">
        <v>1060</v>
      </c>
      <c r="AV283" s="56">
        <v>36</v>
      </c>
      <c r="AW283" s="56" t="s">
        <v>1051</v>
      </c>
      <c r="AX283" s="56" t="s">
        <v>3291</v>
      </c>
      <c r="AY283" s="56" t="s">
        <v>1124</v>
      </c>
      <c r="AZ283" s="56" t="s">
        <v>1054</v>
      </c>
      <c r="BA283" s="56" t="s">
        <v>3292</v>
      </c>
      <c r="BB283" s="56" t="e">
        <v>#N/A</v>
      </c>
      <c r="BC283" s="56" t="s">
        <v>1057</v>
      </c>
      <c r="BD283" s="56" t="s">
        <v>3293</v>
      </c>
    </row>
    <row r="284" spans="1:56" x14ac:dyDescent="0.2">
      <c r="A284" s="56">
        <v>176718706</v>
      </c>
      <c r="B284" s="56" t="s">
        <v>2622</v>
      </c>
      <c r="C284" s="56" t="s">
        <v>2623</v>
      </c>
      <c r="D284" s="56" t="s">
        <v>1070</v>
      </c>
      <c r="E284" s="56" t="s">
        <v>1044</v>
      </c>
      <c r="F284" s="56">
        <v>17</v>
      </c>
      <c r="G284" s="56"/>
      <c r="H284" s="56">
        <v>15693</v>
      </c>
      <c r="I284" s="56">
        <v>6</v>
      </c>
      <c r="J284" s="56" t="s">
        <v>1045</v>
      </c>
      <c r="K284" s="56" t="s">
        <v>1058</v>
      </c>
      <c r="L284" s="121">
        <v>46269</v>
      </c>
      <c r="M284" s="122">
        <v>0.19444444444444445</v>
      </c>
      <c r="N284" s="122">
        <v>0.22222222222222221</v>
      </c>
      <c r="O284" s="56" t="s">
        <v>1047</v>
      </c>
      <c r="P284" s="121">
        <v>46269</v>
      </c>
      <c r="Q284" s="122">
        <v>0.25</v>
      </c>
      <c r="R284" s="122">
        <v>0.27083333333333331</v>
      </c>
      <c r="S284" s="56" t="s">
        <v>1047</v>
      </c>
      <c r="T284" s="56">
        <v>1</v>
      </c>
      <c r="U284" s="56">
        <v>37</v>
      </c>
      <c r="V284" s="56">
        <v>33.42</v>
      </c>
      <c r="W284" s="56">
        <v>34.08</v>
      </c>
      <c r="X284" s="56">
        <v>52.83</v>
      </c>
      <c r="Y284" s="56">
        <v>18.440000000000001</v>
      </c>
      <c r="Z284" s="56">
        <v>0.31</v>
      </c>
      <c r="AA284" s="56" t="s">
        <v>472</v>
      </c>
      <c r="AB284" s="56">
        <v>14122992</v>
      </c>
      <c r="AC284" s="56" t="s">
        <v>472</v>
      </c>
      <c r="AD284" s="56">
        <v>14122992</v>
      </c>
      <c r="AE284" s="56" t="s">
        <v>2626</v>
      </c>
      <c r="AF284" s="56" t="s">
        <v>2627</v>
      </c>
      <c r="AG284" s="56" t="s">
        <v>2627</v>
      </c>
      <c r="AH284" s="56">
        <v>36</v>
      </c>
      <c r="AI284" s="56" t="s">
        <v>2628</v>
      </c>
      <c r="AJ284" s="56" t="s">
        <v>2640</v>
      </c>
      <c r="AK284" s="56">
        <v>815</v>
      </c>
      <c r="AL284" s="56" t="s">
        <v>2630</v>
      </c>
      <c r="AM284" s="56" t="s">
        <v>2631</v>
      </c>
      <c r="AN284" s="56" t="s">
        <v>2632</v>
      </c>
      <c r="AO284" s="56" t="s">
        <v>2627</v>
      </c>
      <c r="AP284" s="56" t="s">
        <v>2624</v>
      </c>
      <c r="AQ284" s="123">
        <v>2.7777777777777762E-2</v>
      </c>
      <c r="AR284" s="122">
        <v>2.0833333333333315E-2</v>
      </c>
      <c r="AS284" s="56" t="s">
        <v>1048</v>
      </c>
      <c r="AT284" s="56" t="s">
        <v>1059</v>
      </c>
      <c r="AU284" s="56" t="s">
        <v>1060</v>
      </c>
      <c r="AV284" s="56">
        <v>36</v>
      </c>
      <c r="AW284" s="56" t="s">
        <v>1051</v>
      </c>
      <c r="AX284" s="56" t="s">
        <v>1071</v>
      </c>
      <c r="AY284" s="56" t="s">
        <v>1061</v>
      </c>
      <c r="AZ284" s="56" t="s">
        <v>1062</v>
      </c>
      <c r="BA284" s="56" t="s">
        <v>1072</v>
      </c>
      <c r="BB284" s="56" t="s">
        <v>1073</v>
      </c>
      <c r="BC284" s="56" t="s">
        <v>1057</v>
      </c>
      <c r="BD284" s="56" t="s">
        <v>2633</v>
      </c>
    </row>
    <row r="285" spans="1:56" x14ac:dyDescent="0.2">
      <c r="A285" s="56">
        <v>176725660</v>
      </c>
      <c r="B285" s="56" t="s">
        <v>3294</v>
      </c>
      <c r="C285" s="56" t="s">
        <v>2623</v>
      </c>
      <c r="D285" s="56" t="s">
        <v>3295</v>
      </c>
      <c r="E285" s="56" t="s">
        <v>1044</v>
      </c>
      <c r="F285" s="56">
        <v>55</v>
      </c>
      <c r="G285" s="56"/>
      <c r="H285" s="56">
        <v>4410</v>
      </c>
      <c r="I285" s="56">
        <v>6</v>
      </c>
      <c r="J285" s="56" t="s">
        <v>1045</v>
      </c>
      <c r="K285" s="56" t="s">
        <v>1075</v>
      </c>
      <c r="L285" s="121">
        <v>46269</v>
      </c>
      <c r="M285" s="122">
        <v>0.19444444444444445</v>
      </c>
      <c r="N285" s="122">
        <v>0.2013888888888889</v>
      </c>
      <c r="O285" s="56" t="s">
        <v>1047</v>
      </c>
      <c r="P285" s="121">
        <v>46269</v>
      </c>
      <c r="Q285" s="122">
        <v>0.2673611111111111</v>
      </c>
      <c r="R285" s="122">
        <v>0.25624999999999998</v>
      </c>
      <c r="S285" s="56" t="s">
        <v>1047</v>
      </c>
      <c r="T285" s="56">
        <v>1</v>
      </c>
      <c r="U285" s="56">
        <v>55</v>
      </c>
      <c r="V285" s="56">
        <v>48.53</v>
      </c>
      <c r="W285" s="56">
        <v>49.09</v>
      </c>
      <c r="X285" s="56">
        <v>63.03</v>
      </c>
      <c r="Y285" s="56">
        <v>13.58</v>
      </c>
      <c r="Z285" s="56">
        <v>0.36</v>
      </c>
      <c r="AA285" s="56" t="s">
        <v>161</v>
      </c>
      <c r="AB285" s="56">
        <v>14105645</v>
      </c>
      <c r="AC285" s="56" t="s">
        <v>161</v>
      </c>
      <c r="AD285" s="56">
        <v>14105645</v>
      </c>
      <c r="AE285" s="56" t="s">
        <v>2626</v>
      </c>
      <c r="AF285" s="56" t="s">
        <v>2627</v>
      </c>
      <c r="AG285" s="56" t="s">
        <v>2627</v>
      </c>
      <c r="AH285" s="56">
        <v>36</v>
      </c>
      <c r="AI285" s="56" t="s">
        <v>2628</v>
      </c>
      <c r="AJ285" s="56" t="s">
        <v>2629</v>
      </c>
      <c r="AK285" s="56">
        <v>0</v>
      </c>
      <c r="AL285" s="56" t="s">
        <v>2630</v>
      </c>
      <c r="AM285" s="56" t="s">
        <v>2631</v>
      </c>
      <c r="AN285" s="56" t="s">
        <v>2632</v>
      </c>
      <c r="AO285" s="56" t="s">
        <v>2627</v>
      </c>
      <c r="AP285" s="56">
        <v>21</v>
      </c>
      <c r="AQ285" s="123">
        <v>6.9444444444444475E-3</v>
      </c>
      <c r="AR285" s="122">
        <v>-1.1111111111111127E-2</v>
      </c>
      <c r="AS285" s="56" t="s">
        <v>1048</v>
      </c>
      <c r="AT285" s="56" t="s">
        <v>1049</v>
      </c>
      <c r="AU285" s="56" t="s">
        <v>1050</v>
      </c>
      <c r="AV285" s="56">
        <v>36</v>
      </c>
      <c r="AW285" s="56" t="s">
        <v>1051</v>
      </c>
      <c r="AX285" s="56" t="s">
        <v>3296</v>
      </c>
      <c r="AY285" s="56" t="s">
        <v>1076</v>
      </c>
      <c r="AZ285" s="56" t="s">
        <v>1067</v>
      </c>
      <c r="BA285" s="56" t="s">
        <v>3297</v>
      </c>
      <c r="BB285" s="56" t="s">
        <v>3298</v>
      </c>
      <c r="BC285" s="56" t="s">
        <v>1057</v>
      </c>
      <c r="BD285" s="56" t="s">
        <v>3299</v>
      </c>
    </row>
    <row r="286" spans="1:56" x14ac:dyDescent="0.2">
      <c r="A286" s="56">
        <v>176715622</v>
      </c>
      <c r="B286" s="56" t="s">
        <v>1185</v>
      </c>
      <c r="C286" s="56" t="s">
        <v>2623</v>
      </c>
      <c r="D286" s="56" t="s">
        <v>1186</v>
      </c>
      <c r="E286" s="56" t="s">
        <v>1044</v>
      </c>
      <c r="F286" s="56">
        <v>101</v>
      </c>
      <c r="G286" s="56"/>
      <c r="H286" s="56">
        <v>10747</v>
      </c>
      <c r="I286" s="56">
        <v>6</v>
      </c>
      <c r="J286" s="56" t="s">
        <v>1045</v>
      </c>
      <c r="K286" s="56" t="s">
        <v>1079</v>
      </c>
      <c r="L286" s="121">
        <v>46269</v>
      </c>
      <c r="M286" s="122">
        <v>0.2013888888888889</v>
      </c>
      <c r="N286" s="122">
        <v>0.21458333333333332</v>
      </c>
      <c r="O286" s="56" t="s">
        <v>1047</v>
      </c>
      <c r="P286" s="121">
        <v>46269</v>
      </c>
      <c r="Q286" s="122">
        <v>0.2673611111111111</v>
      </c>
      <c r="R286" s="122">
        <v>0.25153935185185183</v>
      </c>
      <c r="S286" s="56" t="s">
        <v>1047</v>
      </c>
      <c r="T286" s="56">
        <v>1</v>
      </c>
      <c r="U286" s="56">
        <v>43</v>
      </c>
      <c r="V286" s="56">
        <v>37</v>
      </c>
      <c r="W286" s="56">
        <v>40.08</v>
      </c>
      <c r="X286" s="56">
        <v>43.21</v>
      </c>
      <c r="Y286" s="56">
        <v>2.74</v>
      </c>
      <c r="Z286" s="56">
        <v>0.39</v>
      </c>
      <c r="AA286" s="56" t="s">
        <v>527</v>
      </c>
      <c r="AB286" s="56">
        <v>14123488</v>
      </c>
      <c r="AC286" s="56" t="s">
        <v>527</v>
      </c>
      <c r="AD286" s="56">
        <v>14123488</v>
      </c>
      <c r="AE286" s="56" t="s">
        <v>2626</v>
      </c>
      <c r="AF286" s="56" t="s">
        <v>2627</v>
      </c>
      <c r="AG286" s="56" t="s">
        <v>2627</v>
      </c>
      <c r="AH286" s="56">
        <v>36</v>
      </c>
      <c r="AI286" s="56" t="s">
        <v>2628</v>
      </c>
      <c r="AJ286" s="56" t="s">
        <v>2629</v>
      </c>
      <c r="AK286" s="56">
        <v>0</v>
      </c>
      <c r="AL286" s="56" t="s">
        <v>2630</v>
      </c>
      <c r="AM286" s="56" t="s">
        <v>2631</v>
      </c>
      <c r="AN286" s="56" t="s">
        <v>2632</v>
      </c>
      <c r="AO286" s="56" t="s">
        <v>2627</v>
      </c>
      <c r="AP286" s="56">
        <v>13</v>
      </c>
      <c r="AQ286" s="123">
        <v>1.3194444444444425E-2</v>
      </c>
      <c r="AR286" s="122">
        <v>-1.5821759259259272E-2</v>
      </c>
      <c r="AS286" s="56" t="s">
        <v>1048</v>
      </c>
      <c r="AT286" s="56" t="s">
        <v>1049</v>
      </c>
      <c r="AU286" s="56" t="s">
        <v>1050</v>
      </c>
      <c r="AV286" s="56">
        <v>36</v>
      </c>
      <c r="AW286" s="56" t="s">
        <v>1051</v>
      </c>
      <c r="AX286" s="56" t="s">
        <v>1188</v>
      </c>
      <c r="AY286" s="56" t="s">
        <v>1081</v>
      </c>
      <c r="AZ286" s="56" t="s">
        <v>1067</v>
      </c>
      <c r="BA286" s="56" t="s">
        <v>1189</v>
      </c>
      <c r="BB286" s="56" t="s">
        <v>1190</v>
      </c>
      <c r="BC286" s="56" t="s">
        <v>1057</v>
      </c>
      <c r="BD286" s="56" t="s">
        <v>1191</v>
      </c>
    </row>
    <row r="287" spans="1:56" x14ac:dyDescent="0.2">
      <c r="A287" s="56">
        <v>176716051</v>
      </c>
      <c r="B287" s="56" t="s">
        <v>1349</v>
      </c>
      <c r="C287" s="56" t="s">
        <v>2623</v>
      </c>
      <c r="D287" s="56" t="s">
        <v>1350</v>
      </c>
      <c r="E287" s="56" t="s">
        <v>1044</v>
      </c>
      <c r="F287" s="56">
        <v>13</v>
      </c>
      <c r="G287" s="56"/>
      <c r="H287" s="56">
        <v>10743</v>
      </c>
      <c r="I287" s="56">
        <v>6</v>
      </c>
      <c r="J287" s="56" t="s">
        <v>1045</v>
      </c>
      <c r="K287" s="56" t="s">
        <v>1192</v>
      </c>
      <c r="L287" s="121">
        <v>46269</v>
      </c>
      <c r="M287" s="122">
        <v>0.2013888888888889</v>
      </c>
      <c r="N287" s="122">
        <v>0.20624999999999999</v>
      </c>
      <c r="O287" s="56" t="s">
        <v>1047</v>
      </c>
      <c r="P287" s="121">
        <v>46269</v>
      </c>
      <c r="Q287" s="122">
        <v>0.27083333333333331</v>
      </c>
      <c r="R287" s="122">
        <v>0.25624999999999998</v>
      </c>
      <c r="S287" s="56" t="s">
        <v>1047</v>
      </c>
      <c r="T287" s="56">
        <v>1</v>
      </c>
      <c r="U287" s="56">
        <v>45</v>
      </c>
      <c r="V287" s="56">
        <v>41.3</v>
      </c>
      <c r="W287" s="56">
        <v>41.51</v>
      </c>
      <c r="X287" s="56">
        <v>44.58</v>
      </c>
      <c r="Y287" s="56">
        <v>2.88</v>
      </c>
      <c r="Z287" s="56">
        <v>0.19</v>
      </c>
      <c r="AA287" s="56" t="s">
        <v>2520</v>
      </c>
      <c r="AB287" s="56">
        <v>14123918</v>
      </c>
      <c r="AC287" s="56" t="s">
        <v>2520</v>
      </c>
      <c r="AD287" s="56">
        <v>14123918</v>
      </c>
      <c r="AE287" s="56" t="s">
        <v>2626</v>
      </c>
      <c r="AF287" s="56" t="s">
        <v>2627</v>
      </c>
      <c r="AG287" s="56" t="s">
        <v>2627</v>
      </c>
      <c r="AH287" s="56">
        <v>36</v>
      </c>
      <c r="AI287" s="56" t="s">
        <v>2628</v>
      </c>
      <c r="AJ287" s="56" t="s">
        <v>2629</v>
      </c>
      <c r="AK287" s="56">
        <v>616.02</v>
      </c>
      <c r="AL287" s="56" t="s">
        <v>2630</v>
      </c>
      <c r="AM287" s="56" t="s">
        <v>2631</v>
      </c>
      <c r="AN287" s="56" t="s">
        <v>2632</v>
      </c>
      <c r="AO287" s="56" t="s">
        <v>2627</v>
      </c>
      <c r="AP287" s="56" t="s">
        <v>2624</v>
      </c>
      <c r="AQ287" s="123">
        <v>4.8611111111110938E-3</v>
      </c>
      <c r="AR287" s="122">
        <v>-1.4583333333333337E-2</v>
      </c>
      <c r="AS287" s="56" t="s">
        <v>1048</v>
      </c>
      <c r="AT287" s="56" t="s">
        <v>1049</v>
      </c>
      <c r="AU287" s="56" t="s">
        <v>1050</v>
      </c>
      <c r="AV287" s="56">
        <v>36</v>
      </c>
      <c r="AW287" s="56" t="s">
        <v>1051</v>
      </c>
      <c r="AX287" s="56" t="s">
        <v>1351</v>
      </c>
      <c r="AY287" s="56" t="s">
        <v>1124</v>
      </c>
      <c r="AZ287" s="56" t="s">
        <v>1054</v>
      </c>
      <c r="BA287" s="56" t="s">
        <v>1352</v>
      </c>
      <c r="BB287" s="56" t="s">
        <v>1353</v>
      </c>
      <c r="BC287" s="56" t="s">
        <v>1057</v>
      </c>
      <c r="BD287" s="56" t="s">
        <v>1354</v>
      </c>
    </row>
    <row r="288" spans="1:56" x14ac:dyDescent="0.2">
      <c r="A288" s="56">
        <v>176722135</v>
      </c>
      <c r="B288" s="56" t="s">
        <v>3300</v>
      </c>
      <c r="C288" s="56" t="s">
        <v>2623</v>
      </c>
      <c r="D288" s="56" t="s">
        <v>2841</v>
      </c>
      <c r="E288" s="56" t="s">
        <v>1044</v>
      </c>
      <c r="F288" s="56">
        <v>39</v>
      </c>
      <c r="G288" s="56"/>
      <c r="H288" s="56">
        <v>13444</v>
      </c>
      <c r="I288" s="56">
        <v>6</v>
      </c>
      <c r="J288" s="56" t="s">
        <v>1045</v>
      </c>
      <c r="K288" s="56" t="s">
        <v>1112</v>
      </c>
      <c r="L288" s="121">
        <v>46269</v>
      </c>
      <c r="M288" s="122">
        <v>0.2013888888888889</v>
      </c>
      <c r="N288" s="122">
        <v>0.20555555555555555</v>
      </c>
      <c r="O288" s="56" t="s">
        <v>1047</v>
      </c>
      <c r="P288" s="121">
        <v>46269</v>
      </c>
      <c r="Q288" s="122">
        <v>0.26041666666666669</v>
      </c>
      <c r="R288" s="122">
        <v>0.2590277777777778</v>
      </c>
      <c r="S288" s="56" t="s">
        <v>1047</v>
      </c>
      <c r="T288" s="56">
        <v>1</v>
      </c>
      <c r="U288" s="56">
        <v>58</v>
      </c>
      <c r="V288" s="56">
        <v>52.42</v>
      </c>
      <c r="W288" s="56">
        <v>57.28</v>
      </c>
      <c r="X288" s="56">
        <v>57.87</v>
      </c>
      <c r="Y288" s="56">
        <v>0.57999999999999996</v>
      </c>
      <c r="Z288" s="56">
        <v>0.01</v>
      </c>
      <c r="AA288" s="56" t="s">
        <v>469</v>
      </c>
      <c r="AB288" s="56">
        <v>14122928</v>
      </c>
      <c r="AC288" s="56" t="s">
        <v>469</v>
      </c>
      <c r="AD288" s="56">
        <v>14122928</v>
      </c>
      <c r="AE288" s="56" t="s">
        <v>2626</v>
      </c>
      <c r="AF288" s="56" t="s">
        <v>2627</v>
      </c>
      <c r="AG288" s="56" t="s">
        <v>2627</v>
      </c>
      <c r="AH288" s="56">
        <v>36</v>
      </c>
      <c r="AI288" s="56" t="s">
        <v>2628</v>
      </c>
      <c r="AJ288" s="56" t="s">
        <v>2629</v>
      </c>
      <c r="AK288" s="56">
        <v>0</v>
      </c>
      <c r="AL288" s="56" t="s">
        <v>2630</v>
      </c>
      <c r="AM288" s="56" t="s">
        <v>2631</v>
      </c>
      <c r="AN288" s="56" t="s">
        <v>2632</v>
      </c>
      <c r="AO288" s="56" t="s">
        <v>2627</v>
      </c>
      <c r="AP288" s="56" t="s">
        <v>2624</v>
      </c>
      <c r="AQ288" s="123">
        <v>4.1666666666666519E-3</v>
      </c>
      <c r="AR288" s="122">
        <v>-1.388888888888884E-3</v>
      </c>
      <c r="AS288" s="56" t="s">
        <v>1048</v>
      </c>
      <c r="AT288" s="56" t="s">
        <v>1049</v>
      </c>
      <c r="AU288" s="56" t="s">
        <v>1050</v>
      </c>
      <c r="AV288" s="56">
        <v>36</v>
      </c>
      <c r="AW288" s="56" t="s">
        <v>1051</v>
      </c>
      <c r="AX288" s="56" t="s">
        <v>2843</v>
      </c>
      <c r="AY288" s="56" t="s">
        <v>1113</v>
      </c>
      <c r="AZ288" s="56" t="s">
        <v>1062</v>
      </c>
      <c r="BA288" s="56" t="s">
        <v>2844</v>
      </c>
      <c r="BB288" s="56" t="s">
        <v>2845</v>
      </c>
      <c r="BC288" s="56" t="s">
        <v>1057</v>
      </c>
      <c r="BD288" s="56" t="s">
        <v>3301</v>
      </c>
    </row>
    <row r="289" spans="1:56" x14ac:dyDescent="0.2">
      <c r="A289" s="56">
        <v>176706626</v>
      </c>
      <c r="B289" s="56" t="s">
        <v>2277</v>
      </c>
      <c r="C289" s="56" t="s">
        <v>2623</v>
      </c>
      <c r="D289" s="56" t="s">
        <v>2197</v>
      </c>
      <c r="E289" s="56" t="s">
        <v>1044</v>
      </c>
      <c r="F289" s="56">
        <v>7</v>
      </c>
      <c r="G289" s="56"/>
      <c r="H289" s="56">
        <v>5722</v>
      </c>
      <c r="I289" s="56">
        <v>6</v>
      </c>
      <c r="J289" s="56" t="s">
        <v>1045</v>
      </c>
      <c r="K289" s="56" t="s">
        <v>1123</v>
      </c>
      <c r="L289" s="121">
        <v>46269</v>
      </c>
      <c r="M289" s="122">
        <v>0.2048611111111111</v>
      </c>
      <c r="N289" s="122">
        <v>0.21041666666666667</v>
      </c>
      <c r="O289" s="56" t="s">
        <v>1047</v>
      </c>
      <c r="P289" s="121">
        <v>46269</v>
      </c>
      <c r="Q289" s="122">
        <v>0.27083333333333331</v>
      </c>
      <c r="R289" s="122">
        <v>0.26319444444444445</v>
      </c>
      <c r="S289" s="56" t="s">
        <v>1047</v>
      </c>
      <c r="T289" s="56">
        <v>1</v>
      </c>
      <c r="U289" s="56">
        <v>38</v>
      </c>
      <c r="V289" s="56">
        <v>31.77</v>
      </c>
      <c r="W289" s="56">
        <v>33.07</v>
      </c>
      <c r="X289" s="56">
        <v>35.56</v>
      </c>
      <c r="Y289" s="56">
        <v>2.27</v>
      </c>
      <c r="Z289" s="56">
        <v>0.22</v>
      </c>
      <c r="AA289" s="56"/>
      <c r="AB289" s="56"/>
      <c r="AC289" s="56" t="s">
        <v>1187</v>
      </c>
      <c r="AD289" s="56"/>
      <c r="AE289" s="56" t="s">
        <v>2626</v>
      </c>
      <c r="AF289" s="56" t="s">
        <v>2627</v>
      </c>
      <c r="AG289" s="56" t="s">
        <v>2627</v>
      </c>
      <c r="AH289" s="56">
        <v>36</v>
      </c>
      <c r="AI289" s="56" t="s">
        <v>2628</v>
      </c>
      <c r="AJ289" s="56" t="s">
        <v>2629</v>
      </c>
      <c r="AK289" s="56">
        <v>612.41</v>
      </c>
      <c r="AL289" s="56" t="s">
        <v>2630</v>
      </c>
      <c r="AM289" s="56" t="s">
        <v>2631</v>
      </c>
      <c r="AN289" s="56" t="s">
        <v>2632</v>
      </c>
      <c r="AO289" s="56" t="s">
        <v>2627</v>
      </c>
      <c r="AP289" s="56">
        <v>25</v>
      </c>
      <c r="AQ289" s="123">
        <v>5.5555555555555636E-3</v>
      </c>
      <c r="AR289" s="122">
        <v>-7.6388888888888618E-3</v>
      </c>
      <c r="AS289" s="56" t="s">
        <v>1048</v>
      </c>
      <c r="AT289" s="56" t="s">
        <v>1049</v>
      </c>
      <c r="AU289" s="56" t="s">
        <v>1050</v>
      </c>
      <c r="AV289" s="56">
        <v>36</v>
      </c>
      <c r="AW289" s="56" t="s">
        <v>1051</v>
      </c>
      <c r="AX289" s="56" t="s">
        <v>2198</v>
      </c>
      <c r="AY289" s="56" t="s">
        <v>1124</v>
      </c>
      <c r="AZ289" s="56" t="s">
        <v>1054</v>
      </c>
      <c r="BA289" s="56" t="s">
        <v>2199</v>
      </c>
      <c r="BB289" s="56" t="s">
        <v>2200</v>
      </c>
      <c r="BC289" s="56" t="s">
        <v>1057</v>
      </c>
      <c r="BD289" s="56" t="s">
        <v>2278</v>
      </c>
    </row>
    <row r="290" spans="1:56" x14ac:dyDescent="0.2">
      <c r="A290" s="56">
        <v>176707222</v>
      </c>
      <c r="B290" s="56" t="s">
        <v>1752</v>
      </c>
      <c r="C290" s="56" t="s">
        <v>2623</v>
      </c>
      <c r="D290" s="56" t="s">
        <v>1547</v>
      </c>
      <c r="E290" s="56" t="s">
        <v>1044</v>
      </c>
      <c r="F290" s="56">
        <v>61</v>
      </c>
      <c r="G290" s="56"/>
      <c r="H290" s="56">
        <v>16744</v>
      </c>
      <c r="I290" s="56">
        <v>6</v>
      </c>
      <c r="J290" s="56" t="s">
        <v>1045</v>
      </c>
      <c r="K290" s="56" t="s">
        <v>1064</v>
      </c>
      <c r="L290" s="121">
        <v>46269</v>
      </c>
      <c r="M290" s="122">
        <v>0.20833333333333334</v>
      </c>
      <c r="N290" s="122">
        <v>0.21319444444444444</v>
      </c>
      <c r="O290" s="56" t="s">
        <v>1047</v>
      </c>
      <c r="P290" s="121">
        <v>46269</v>
      </c>
      <c r="Q290" s="122">
        <v>0.2673611111111111</v>
      </c>
      <c r="R290" s="122">
        <v>0.26270833333333332</v>
      </c>
      <c r="S290" s="56" t="s">
        <v>1047</v>
      </c>
      <c r="T290" s="56">
        <v>1</v>
      </c>
      <c r="U290" s="56">
        <v>46</v>
      </c>
      <c r="V290" s="56">
        <v>42.9</v>
      </c>
      <c r="W290" s="56">
        <v>41.25</v>
      </c>
      <c r="X290" s="56">
        <v>45.13</v>
      </c>
      <c r="Y290" s="56">
        <v>1.34</v>
      </c>
      <c r="Z290" s="56">
        <v>2.54</v>
      </c>
      <c r="AA290" s="56" t="s">
        <v>270</v>
      </c>
      <c r="AB290" s="56">
        <v>14119956</v>
      </c>
      <c r="AC290" s="56" t="s">
        <v>270</v>
      </c>
      <c r="AD290" s="56">
        <v>14119956</v>
      </c>
      <c r="AE290" s="56" t="s">
        <v>2626</v>
      </c>
      <c r="AF290" s="56" t="s">
        <v>2627</v>
      </c>
      <c r="AG290" s="56" t="s">
        <v>2627</v>
      </c>
      <c r="AH290" s="56">
        <v>36</v>
      </c>
      <c r="AI290" s="56" t="s">
        <v>2628</v>
      </c>
      <c r="AJ290" s="56" t="s">
        <v>2629</v>
      </c>
      <c r="AK290" s="56">
        <v>530.63</v>
      </c>
      <c r="AL290" s="56" t="s">
        <v>2630</v>
      </c>
      <c r="AM290" s="56" t="s">
        <v>2631</v>
      </c>
      <c r="AN290" s="56" t="s">
        <v>2632</v>
      </c>
      <c r="AO290" s="56" t="s">
        <v>2627</v>
      </c>
      <c r="AP290" s="56" t="s">
        <v>2624</v>
      </c>
      <c r="AQ290" s="123">
        <v>4.8611111111110938E-3</v>
      </c>
      <c r="AR290" s="122">
        <v>-4.6527777777777835E-3</v>
      </c>
      <c r="AS290" s="56" t="s">
        <v>1048</v>
      </c>
      <c r="AT290" s="56" t="s">
        <v>1049</v>
      </c>
      <c r="AU290" s="56" t="s">
        <v>1050</v>
      </c>
      <c r="AV290" s="56">
        <v>36</v>
      </c>
      <c r="AW290" s="56" t="s">
        <v>1051</v>
      </c>
      <c r="AX290" s="56" t="s">
        <v>1548</v>
      </c>
      <c r="AY290" s="56" t="s">
        <v>1066</v>
      </c>
      <c r="AZ290" s="56" t="s">
        <v>1067</v>
      </c>
      <c r="BA290" s="56" t="s">
        <v>1549</v>
      </c>
      <c r="BB290" s="56" t="s">
        <v>1550</v>
      </c>
      <c r="BC290" s="56" t="s">
        <v>1057</v>
      </c>
      <c r="BD290" s="56" t="s">
        <v>1753</v>
      </c>
    </row>
    <row r="291" spans="1:56" x14ac:dyDescent="0.2">
      <c r="A291" s="56">
        <v>176726176</v>
      </c>
      <c r="B291" s="56" t="s">
        <v>1199</v>
      </c>
      <c r="C291" s="56" t="s">
        <v>2623</v>
      </c>
      <c r="D291" s="56" t="s">
        <v>1200</v>
      </c>
      <c r="E291" s="56" t="s">
        <v>1044</v>
      </c>
      <c r="F291" s="56">
        <v>89</v>
      </c>
      <c r="G291" s="56"/>
      <c r="H291" s="56">
        <v>4411</v>
      </c>
      <c r="I291" s="56">
        <v>6</v>
      </c>
      <c r="J291" s="56" t="s">
        <v>1045</v>
      </c>
      <c r="K291" s="56" t="s">
        <v>1075</v>
      </c>
      <c r="L291" s="121">
        <v>46269</v>
      </c>
      <c r="M291" s="122">
        <v>0.21180555555555555</v>
      </c>
      <c r="N291" s="122">
        <v>0.21527777777777779</v>
      </c>
      <c r="O291" s="56" t="s">
        <v>1047</v>
      </c>
      <c r="P291" s="121">
        <v>46269</v>
      </c>
      <c r="Q291" s="122">
        <v>0.2673611111111111</v>
      </c>
      <c r="R291" s="122">
        <v>0.25341435185185185</v>
      </c>
      <c r="S291" s="56" t="s">
        <v>1047</v>
      </c>
      <c r="T291" s="56">
        <v>1</v>
      </c>
      <c r="U291" s="56">
        <v>31</v>
      </c>
      <c r="V291" s="56">
        <v>28.67</v>
      </c>
      <c r="W291" s="56">
        <v>29.82</v>
      </c>
      <c r="X291" s="56">
        <v>31.38</v>
      </c>
      <c r="Y291" s="56">
        <v>1.31</v>
      </c>
      <c r="Z291" s="56">
        <v>0.25</v>
      </c>
      <c r="AA291" s="56" t="s">
        <v>482</v>
      </c>
      <c r="AB291" s="56">
        <v>14123080</v>
      </c>
      <c r="AC291" s="56" t="s">
        <v>482</v>
      </c>
      <c r="AD291" s="56">
        <v>14123080</v>
      </c>
      <c r="AE291" s="56" t="s">
        <v>2626</v>
      </c>
      <c r="AF291" s="56" t="s">
        <v>2627</v>
      </c>
      <c r="AG291" s="56" t="s">
        <v>2627</v>
      </c>
      <c r="AH291" s="56">
        <v>36</v>
      </c>
      <c r="AI291" s="56" t="s">
        <v>2628</v>
      </c>
      <c r="AJ291" s="56" t="s">
        <v>2629</v>
      </c>
      <c r="AK291" s="56">
        <v>0</v>
      </c>
      <c r="AL291" s="56" t="s">
        <v>2630</v>
      </c>
      <c r="AM291" s="56" t="s">
        <v>2631</v>
      </c>
      <c r="AN291" s="56" t="s">
        <v>2632</v>
      </c>
      <c r="AO291" s="56" t="s">
        <v>2627</v>
      </c>
      <c r="AP291" s="56" t="s">
        <v>2624</v>
      </c>
      <c r="AQ291" s="123">
        <v>3.4722222222222376E-3</v>
      </c>
      <c r="AR291" s="122">
        <v>-1.3946759259259256E-2</v>
      </c>
      <c r="AS291" s="56" t="s">
        <v>1048</v>
      </c>
      <c r="AT291" s="56" t="s">
        <v>1049</v>
      </c>
      <c r="AU291" s="56" t="s">
        <v>1050</v>
      </c>
      <c r="AV291" s="56">
        <v>36</v>
      </c>
      <c r="AW291" s="56" t="s">
        <v>1051</v>
      </c>
      <c r="AX291" s="56" t="s">
        <v>1201</v>
      </c>
      <c r="AY291" s="56" t="s">
        <v>1076</v>
      </c>
      <c r="AZ291" s="56" t="s">
        <v>1067</v>
      </c>
      <c r="BA291" s="56" t="s">
        <v>1202</v>
      </c>
      <c r="BB291" s="56" t="s">
        <v>1203</v>
      </c>
      <c r="BC291" s="56" t="s">
        <v>1057</v>
      </c>
      <c r="BD291" s="56" t="s">
        <v>1204</v>
      </c>
    </row>
    <row r="292" spans="1:56" x14ac:dyDescent="0.2">
      <c r="A292" s="56">
        <v>176729460</v>
      </c>
      <c r="B292" s="56" t="s">
        <v>2046</v>
      </c>
      <c r="C292" s="56" t="s">
        <v>2623</v>
      </c>
      <c r="D292" s="56" t="s">
        <v>2047</v>
      </c>
      <c r="E292" s="56" t="s">
        <v>1044</v>
      </c>
      <c r="F292" s="56">
        <v>12</v>
      </c>
      <c r="G292" s="56"/>
      <c r="H292" s="56">
        <v>7345</v>
      </c>
      <c r="I292" s="56">
        <v>6</v>
      </c>
      <c r="J292" s="56" t="s">
        <v>1045</v>
      </c>
      <c r="K292" s="56" t="s">
        <v>2048</v>
      </c>
      <c r="L292" s="121">
        <v>46269</v>
      </c>
      <c r="M292" s="122">
        <v>0.21527777777777779</v>
      </c>
      <c r="N292" s="122">
        <v>0.22291666666666668</v>
      </c>
      <c r="O292" s="56" t="s">
        <v>1047</v>
      </c>
      <c r="P292" s="121">
        <v>46269</v>
      </c>
      <c r="Q292" s="122">
        <v>0.23958333333333334</v>
      </c>
      <c r="R292" s="122">
        <v>0.23640046296296297</v>
      </c>
      <c r="S292" s="56" t="s">
        <v>1047</v>
      </c>
      <c r="T292" s="56">
        <v>1</v>
      </c>
      <c r="U292" s="56">
        <v>17</v>
      </c>
      <c r="V292" s="56">
        <v>14.29</v>
      </c>
      <c r="W292" s="56">
        <v>15</v>
      </c>
      <c r="X292" s="56">
        <v>24</v>
      </c>
      <c r="Y292" s="56">
        <v>9</v>
      </c>
      <c r="Z292" s="56">
        <v>0</v>
      </c>
      <c r="AA292" s="56" t="s">
        <v>180</v>
      </c>
      <c r="AB292" s="56">
        <v>14117542</v>
      </c>
      <c r="AC292" s="56" t="s">
        <v>180</v>
      </c>
      <c r="AD292" s="56">
        <v>14117542</v>
      </c>
      <c r="AE292" s="56" t="s">
        <v>2626</v>
      </c>
      <c r="AF292" s="56" t="s">
        <v>2627</v>
      </c>
      <c r="AG292" s="56" t="s">
        <v>2627</v>
      </c>
      <c r="AH292" s="56">
        <v>36</v>
      </c>
      <c r="AI292" s="56" t="s">
        <v>2628</v>
      </c>
      <c r="AJ292" s="56" t="s">
        <v>2629</v>
      </c>
      <c r="AK292" s="56" t="s">
        <v>2624</v>
      </c>
      <c r="AL292" s="56" t="s">
        <v>2630</v>
      </c>
      <c r="AM292" s="56" t="s">
        <v>2632</v>
      </c>
      <c r="AN292" s="56" t="s">
        <v>2632</v>
      </c>
      <c r="AO292" s="56" t="s">
        <v>2627</v>
      </c>
      <c r="AP292" s="56" t="s">
        <v>2624</v>
      </c>
      <c r="AQ292" s="123">
        <v>7.6388888888888895E-3</v>
      </c>
      <c r="AR292" s="122">
        <v>-3.1828703703703776E-3</v>
      </c>
      <c r="AS292" s="56" t="s">
        <v>1048</v>
      </c>
      <c r="AT292" s="56" t="s">
        <v>1049</v>
      </c>
      <c r="AU292" s="56" t="s">
        <v>1050</v>
      </c>
      <c r="AV292" s="56">
        <v>36</v>
      </c>
      <c r="AW292" s="56" t="s">
        <v>1051</v>
      </c>
      <c r="AX292" s="56" t="s">
        <v>2049</v>
      </c>
      <c r="AY292" s="56" t="s">
        <v>1124</v>
      </c>
      <c r="AZ292" s="56" t="s">
        <v>1054</v>
      </c>
      <c r="BA292" s="56" t="s">
        <v>2050</v>
      </c>
      <c r="BB292" s="56" t="e">
        <v>#N/A</v>
      </c>
      <c r="BC292" s="56" t="s">
        <v>1057</v>
      </c>
      <c r="BD292" s="56" t="s">
        <v>2051</v>
      </c>
    </row>
    <row r="293" spans="1:56" x14ac:dyDescent="0.2">
      <c r="A293" s="56">
        <v>176725636</v>
      </c>
      <c r="B293" s="56" t="s">
        <v>2092</v>
      </c>
      <c r="C293" s="56" t="s">
        <v>2623</v>
      </c>
      <c r="D293" s="56" t="s">
        <v>2093</v>
      </c>
      <c r="E293" s="56" t="s">
        <v>1044</v>
      </c>
      <c r="F293" s="56">
        <v>43</v>
      </c>
      <c r="G293" s="56"/>
      <c r="H293" s="56">
        <v>5275</v>
      </c>
      <c r="I293" s="56">
        <v>6</v>
      </c>
      <c r="J293" s="56" t="s">
        <v>1045</v>
      </c>
      <c r="K293" s="56" t="s">
        <v>1075</v>
      </c>
      <c r="L293" s="121">
        <v>46269</v>
      </c>
      <c r="M293" s="122">
        <v>0.21875</v>
      </c>
      <c r="N293" s="122">
        <v>0.22500000000000001</v>
      </c>
      <c r="O293" s="56" t="s">
        <v>1047</v>
      </c>
      <c r="P293" s="121">
        <v>46269</v>
      </c>
      <c r="Q293" s="122">
        <v>0.2673611111111111</v>
      </c>
      <c r="R293" s="122">
        <v>0.26111111111111113</v>
      </c>
      <c r="S293" s="56" t="s">
        <v>1047</v>
      </c>
      <c r="T293" s="56">
        <v>1</v>
      </c>
      <c r="U293" s="56">
        <v>40</v>
      </c>
      <c r="V293" s="56">
        <v>35.450000000000003</v>
      </c>
      <c r="W293" s="56">
        <v>35.69</v>
      </c>
      <c r="X293" s="56">
        <v>41.18</v>
      </c>
      <c r="Y293" s="56">
        <v>5.37</v>
      </c>
      <c r="Z293" s="56">
        <v>0.12</v>
      </c>
      <c r="AA293" s="56" t="s">
        <v>997</v>
      </c>
      <c r="AB293" s="56">
        <v>14123971</v>
      </c>
      <c r="AC293" s="56" t="s">
        <v>997</v>
      </c>
      <c r="AD293" s="56">
        <v>14123971</v>
      </c>
      <c r="AE293" s="56" t="s">
        <v>2626</v>
      </c>
      <c r="AF293" s="56" t="s">
        <v>2627</v>
      </c>
      <c r="AG293" s="56" t="s">
        <v>2627</v>
      </c>
      <c r="AH293" s="56">
        <v>36</v>
      </c>
      <c r="AI293" s="56" t="s">
        <v>2628</v>
      </c>
      <c r="AJ293" s="56" t="s">
        <v>2629</v>
      </c>
      <c r="AK293" s="56">
        <v>0</v>
      </c>
      <c r="AL293" s="56" t="s">
        <v>2630</v>
      </c>
      <c r="AM293" s="56" t="s">
        <v>2631</v>
      </c>
      <c r="AN293" s="56" t="s">
        <v>2632</v>
      </c>
      <c r="AO293" s="56" t="s">
        <v>2627</v>
      </c>
      <c r="AP293" s="56">
        <v>25</v>
      </c>
      <c r="AQ293" s="123">
        <v>6.2500000000000056E-3</v>
      </c>
      <c r="AR293" s="122">
        <v>-6.2499999999999778E-3</v>
      </c>
      <c r="AS293" s="56" t="s">
        <v>1048</v>
      </c>
      <c r="AT293" s="56" t="s">
        <v>1049</v>
      </c>
      <c r="AU293" s="56" t="s">
        <v>1050</v>
      </c>
      <c r="AV293" s="56">
        <v>36</v>
      </c>
      <c r="AW293" s="56" t="s">
        <v>1051</v>
      </c>
      <c r="AX293" s="56" t="s">
        <v>2094</v>
      </c>
      <c r="AY293" s="56" t="s">
        <v>1076</v>
      </c>
      <c r="AZ293" s="56" t="s">
        <v>1067</v>
      </c>
      <c r="BA293" s="56" t="s">
        <v>2095</v>
      </c>
      <c r="BB293" s="56" t="s">
        <v>2096</v>
      </c>
      <c r="BC293" s="56" t="s">
        <v>1057</v>
      </c>
      <c r="BD293" s="56" t="s">
        <v>2097</v>
      </c>
    </row>
    <row r="294" spans="1:56" x14ac:dyDescent="0.2">
      <c r="A294" s="56">
        <v>176725867</v>
      </c>
      <c r="B294" s="56" t="s">
        <v>2663</v>
      </c>
      <c r="C294" s="56" t="s">
        <v>2623</v>
      </c>
      <c r="D294" s="56" t="s">
        <v>1224</v>
      </c>
      <c r="E294" s="56" t="s">
        <v>1044</v>
      </c>
      <c r="F294" s="56">
        <v>227</v>
      </c>
      <c r="G294" s="56"/>
      <c r="H294" s="56">
        <v>13416</v>
      </c>
      <c r="I294" s="56">
        <v>6</v>
      </c>
      <c r="J294" s="56" t="s">
        <v>1045</v>
      </c>
      <c r="K294" s="56" t="s">
        <v>1079</v>
      </c>
      <c r="L294" s="121">
        <v>46269</v>
      </c>
      <c r="M294" s="122">
        <v>0.21875</v>
      </c>
      <c r="N294" s="122">
        <v>0.22361111111111112</v>
      </c>
      <c r="O294" s="56" t="s">
        <v>1047</v>
      </c>
      <c r="P294" s="121">
        <v>46269</v>
      </c>
      <c r="Q294" s="122">
        <v>0.2673611111111111</v>
      </c>
      <c r="R294" s="122">
        <v>0.25534722222222223</v>
      </c>
      <c r="S294" s="56" t="s">
        <v>1047</v>
      </c>
      <c r="T294" s="56">
        <v>1</v>
      </c>
      <c r="U294" s="56">
        <v>30</v>
      </c>
      <c r="V294" s="56">
        <v>29.86</v>
      </c>
      <c r="W294" s="56">
        <v>23.71</v>
      </c>
      <c r="X294" s="56">
        <v>30.05</v>
      </c>
      <c r="Y294" s="56">
        <v>4</v>
      </c>
      <c r="Z294" s="56">
        <v>2.34</v>
      </c>
      <c r="AA294" s="56" t="s">
        <v>234</v>
      </c>
      <c r="AB294" s="56">
        <v>14119154</v>
      </c>
      <c r="AC294" s="56" t="s">
        <v>234</v>
      </c>
      <c r="AD294" s="56">
        <v>14119154</v>
      </c>
      <c r="AE294" s="56" t="s">
        <v>2626</v>
      </c>
      <c r="AF294" s="56" t="s">
        <v>2627</v>
      </c>
      <c r="AG294" s="56" t="s">
        <v>2627</v>
      </c>
      <c r="AH294" s="56">
        <v>36</v>
      </c>
      <c r="AI294" s="56" t="s">
        <v>2628</v>
      </c>
      <c r="AJ294" s="56" t="s">
        <v>2629</v>
      </c>
      <c r="AK294" s="56">
        <v>0</v>
      </c>
      <c r="AL294" s="56" t="s">
        <v>2630</v>
      </c>
      <c r="AM294" s="56" t="s">
        <v>2631</v>
      </c>
      <c r="AN294" s="56" t="s">
        <v>2632</v>
      </c>
      <c r="AO294" s="56" t="s">
        <v>2627</v>
      </c>
      <c r="AP294" s="56" t="s">
        <v>2624</v>
      </c>
      <c r="AQ294" s="123">
        <v>4.8611111111111216E-3</v>
      </c>
      <c r="AR294" s="122">
        <v>-1.201388888888888E-2</v>
      </c>
      <c r="AS294" s="56" t="s">
        <v>1048</v>
      </c>
      <c r="AT294" s="56" t="s">
        <v>1049</v>
      </c>
      <c r="AU294" s="56" t="s">
        <v>1050</v>
      </c>
      <c r="AV294" s="56">
        <v>36</v>
      </c>
      <c r="AW294" s="56" t="s">
        <v>1051</v>
      </c>
      <c r="AX294" s="56" t="s">
        <v>2664</v>
      </c>
      <c r="AY294" s="56" t="s">
        <v>1081</v>
      </c>
      <c r="AZ294" s="56" t="s">
        <v>1067</v>
      </c>
      <c r="BA294" s="56" t="s">
        <v>2665</v>
      </c>
      <c r="BB294" s="56" t="s">
        <v>2666</v>
      </c>
      <c r="BC294" s="56" t="s">
        <v>1057</v>
      </c>
      <c r="BD294" s="56" t="s">
        <v>2667</v>
      </c>
    </row>
    <row r="295" spans="1:56" x14ac:dyDescent="0.2">
      <c r="A295" s="56">
        <v>176715397</v>
      </c>
      <c r="B295" s="56" t="s">
        <v>1511</v>
      </c>
      <c r="C295" s="56" t="s">
        <v>2623</v>
      </c>
      <c r="D295" s="56" t="s">
        <v>1512</v>
      </c>
      <c r="E295" s="56" t="s">
        <v>1044</v>
      </c>
      <c r="F295" s="56">
        <v>33</v>
      </c>
      <c r="G295" s="56"/>
      <c r="H295" s="56">
        <v>13901</v>
      </c>
      <c r="I295" s="56">
        <v>6</v>
      </c>
      <c r="J295" s="56" t="s">
        <v>1045</v>
      </c>
      <c r="K295" s="56" t="s">
        <v>1091</v>
      </c>
      <c r="L295" s="121">
        <v>46269</v>
      </c>
      <c r="M295" s="122">
        <v>0.22222222222222221</v>
      </c>
      <c r="N295" s="122">
        <v>0.23125000000000001</v>
      </c>
      <c r="O295" s="56" t="s">
        <v>1047</v>
      </c>
      <c r="P295" s="121">
        <v>46269</v>
      </c>
      <c r="Q295" s="122">
        <v>0.2673611111111111</v>
      </c>
      <c r="R295" s="122">
        <v>0.25915509259259262</v>
      </c>
      <c r="S295" s="56" t="s">
        <v>1047</v>
      </c>
      <c r="T295" s="56">
        <v>1</v>
      </c>
      <c r="U295" s="56">
        <v>26</v>
      </c>
      <c r="V295" s="56">
        <v>22.58</v>
      </c>
      <c r="W295" s="56">
        <v>21.91</v>
      </c>
      <c r="X295" s="56">
        <v>37.08</v>
      </c>
      <c r="Y295" s="56">
        <v>5.59</v>
      </c>
      <c r="Z295" s="56">
        <v>9.58</v>
      </c>
      <c r="AA295" s="56" t="s">
        <v>909</v>
      </c>
      <c r="AB295" s="56">
        <v>14123651</v>
      </c>
      <c r="AC295" s="56" t="s">
        <v>909</v>
      </c>
      <c r="AD295" s="56">
        <v>14123651</v>
      </c>
      <c r="AE295" s="56" t="s">
        <v>2626</v>
      </c>
      <c r="AF295" s="56" t="s">
        <v>2627</v>
      </c>
      <c r="AG295" s="56" t="s">
        <v>2627</v>
      </c>
      <c r="AH295" s="56">
        <v>36</v>
      </c>
      <c r="AI295" s="56" t="s">
        <v>2628</v>
      </c>
      <c r="AJ295" s="56" t="s">
        <v>2629</v>
      </c>
      <c r="AK295" s="56">
        <v>0</v>
      </c>
      <c r="AL295" s="56" t="s">
        <v>2630</v>
      </c>
      <c r="AM295" s="56" t="s">
        <v>2631</v>
      </c>
      <c r="AN295" s="56" t="s">
        <v>2632</v>
      </c>
      <c r="AO295" s="56" t="s">
        <v>2627</v>
      </c>
      <c r="AP295" s="56" t="s">
        <v>2624</v>
      </c>
      <c r="AQ295" s="123">
        <v>9.0277777777778012E-3</v>
      </c>
      <c r="AR295" s="122">
        <v>-8.2060185185184875E-3</v>
      </c>
      <c r="AS295" s="56" t="s">
        <v>1048</v>
      </c>
      <c r="AT295" s="56" t="s">
        <v>1049</v>
      </c>
      <c r="AU295" s="56" t="s">
        <v>1050</v>
      </c>
      <c r="AV295" s="56">
        <v>36</v>
      </c>
      <c r="AW295" s="56" t="s">
        <v>1051</v>
      </c>
      <c r="AX295" s="56" t="s">
        <v>1513</v>
      </c>
      <c r="AY295" s="56" t="s">
        <v>1093</v>
      </c>
      <c r="AZ295" s="56" t="s">
        <v>1067</v>
      </c>
      <c r="BA295" s="56" t="s">
        <v>1514</v>
      </c>
      <c r="BB295" s="56" t="s">
        <v>1515</v>
      </c>
      <c r="BC295" s="56" t="s">
        <v>1057</v>
      </c>
      <c r="BD295" s="56" t="s">
        <v>1516</v>
      </c>
    </row>
    <row r="296" spans="1:56" x14ac:dyDescent="0.2">
      <c r="A296" s="56">
        <v>176715678</v>
      </c>
      <c r="B296" s="56" t="s">
        <v>3302</v>
      </c>
      <c r="C296" s="56" t="s">
        <v>2623</v>
      </c>
      <c r="D296" s="56" t="s">
        <v>1200</v>
      </c>
      <c r="E296" s="56" t="s">
        <v>1044</v>
      </c>
      <c r="F296" s="56">
        <v>123</v>
      </c>
      <c r="G296" s="56"/>
      <c r="H296" s="56">
        <v>17346</v>
      </c>
      <c r="I296" s="56">
        <v>6</v>
      </c>
      <c r="J296" s="56" t="s">
        <v>1045</v>
      </c>
      <c r="K296" s="56" t="s">
        <v>1079</v>
      </c>
      <c r="L296" s="121">
        <v>46269</v>
      </c>
      <c r="M296" s="122">
        <v>0.22222222222222221</v>
      </c>
      <c r="N296" s="122">
        <v>0.22638888888888889</v>
      </c>
      <c r="O296" s="56" t="s">
        <v>1047</v>
      </c>
      <c r="P296" s="121">
        <v>46269</v>
      </c>
      <c r="Q296" s="122">
        <v>0.2673611111111111</v>
      </c>
      <c r="R296" s="122">
        <v>0.25156250000000002</v>
      </c>
      <c r="S296" s="56" t="s">
        <v>1047</v>
      </c>
      <c r="T296" s="56">
        <v>1</v>
      </c>
      <c r="U296" s="56">
        <v>18</v>
      </c>
      <c r="V296" s="56">
        <v>14.78</v>
      </c>
      <c r="W296" s="56">
        <v>14.65</v>
      </c>
      <c r="X296" s="56">
        <v>28.5</v>
      </c>
      <c r="Y296" s="56">
        <v>4.04</v>
      </c>
      <c r="Z296" s="56">
        <v>9.81</v>
      </c>
      <c r="AA296" s="56" t="s">
        <v>990</v>
      </c>
      <c r="AB296" s="56">
        <v>14123919</v>
      </c>
      <c r="AC296" s="56" t="s">
        <v>990</v>
      </c>
      <c r="AD296" s="56">
        <v>14123919</v>
      </c>
      <c r="AE296" s="56" t="s">
        <v>2626</v>
      </c>
      <c r="AF296" s="56" t="s">
        <v>2627</v>
      </c>
      <c r="AG296" s="56" t="s">
        <v>2627</v>
      </c>
      <c r="AH296" s="56">
        <v>36</v>
      </c>
      <c r="AI296" s="56" t="s">
        <v>2628</v>
      </c>
      <c r="AJ296" s="56" t="s">
        <v>2629</v>
      </c>
      <c r="AK296" s="56">
        <v>0</v>
      </c>
      <c r="AL296" s="56" t="s">
        <v>2630</v>
      </c>
      <c r="AM296" s="56" t="s">
        <v>2631</v>
      </c>
      <c r="AN296" s="56" t="s">
        <v>2632</v>
      </c>
      <c r="AO296" s="56" t="s">
        <v>2627</v>
      </c>
      <c r="AP296" s="56" t="s">
        <v>2624</v>
      </c>
      <c r="AQ296" s="123">
        <v>4.1666666666666796E-3</v>
      </c>
      <c r="AR296" s="122">
        <v>-1.5798611111111083E-2</v>
      </c>
      <c r="AS296" s="56" t="s">
        <v>1048</v>
      </c>
      <c r="AT296" s="56" t="s">
        <v>1049</v>
      </c>
      <c r="AU296" s="56" t="s">
        <v>1050</v>
      </c>
      <c r="AV296" s="56">
        <v>36</v>
      </c>
      <c r="AW296" s="56" t="s">
        <v>1051</v>
      </c>
      <c r="AX296" s="56" t="s">
        <v>2874</v>
      </c>
      <c r="AY296" s="56" t="s">
        <v>1081</v>
      </c>
      <c r="AZ296" s="56" t="s">
        <v>1067</v>
      </c>
      <c r="BA296" s="56" t="s">
        <v>2875</v>
      </c>
      <c r="BB296" s="56" t="s">
        <v>2876</v>
      </c>
      <c r="BC296" s="56" t="s">
        <v>1057</v>
      </c>
      <c r="BD296" s="56" t="s">
        <v>3303</v>
      </c>
    </row>
    <row r="297" spans="1:56" x14ac:dyDescent="0.2">
      <c r="A297" s="56">
        <v>176726180</v>
      </c>
      <c r="B297" s="56" t="s">
        <v>3304</v>
      </c>
      <c r="C297" s="56" t="s">
        <v>2623</v>
      </c>
      <c r="D297" s="56" t="s">
        <v>1217</v>
      </c>
      <c r="E297" s="56" t="s">
        <v>1044</v>
      </c>
      <c r="F297" s="56">
        <v>91</v>
      </c>
      <c r="G297" s="56" t="s">
        <v>2833</v>
      </c>
      <c r="H297" s="56">
        <v>4532</v>
      </c>
      <c r="I297" s="56">
        <v>6</v>
      </c>
      <c r="J297" s="56" t="s">
        <v>1045</v>
      </c>
      <c r="K297" s="56" t="s">
        <v>1075</v>
      </c>
      <c r="L297" s="121">
        <v>46269</v>
      </c>
      <c r="M297" s="122">
        <v>0.22569444444444445</v>
      </c>
      <c r="N297" s="122">
        <v>0.22916666666666666</v>
      </c>
      <c r="O297" s="56" t="s">
        <v>1047</v>
      </c>
      <c r="P297" s="121">
        <v>46269</v>
      </c>
      <c r="Q297" s="122">
        <v>0.2673611111111111</v>
      </c>
      <c r="R297" s="122">
        <v>0.25033564814814813</v>
      </c>
      <c r="S297" s="56" t="s">
        <v>1047</v>
      </c>
      <c r="T297" s="56">
        <v>1</v>
      </c>
      <c r="U297" s="56">
        <v>19</v>
      </c>
      <c r="V297" s="56">
        <v>18.48</v>
      </c>
      <c r="W297" s="56">
        <v>18.75</v>
      </c>
      <c r="X297" s="56">
        <v>19.600000000000001</v>
      </c>
      <c r="Y297" s="56">
        <v>0.85</v>
      </c>
      <c r="Z297" s="56">
        <v>0</v>
      </c>
      <c r="AA297" s="56" t="s">
        <v>322</v>
      </c>
      <c r="AB297" s="56">
        <v>14121158</v>
      </c>
      <c r="AC297" s="56" t="s">
        <v>322</v>
      </c>
      <c r="AD297" s="56">
        <v>14121158</v>
      </c>
      <c r="AE297" s="56" t="s">
        <v>2626</v>
      </c>
      <c r="AF297" s="56" t="s">
        <v>2627</v>
      </c>
      <c r="AG297" s="56" t="s">
        <v>2627</v>
      </c>
      <c r="AH297" s="56">
        <v>36</v>
      </c>
      <c r="AI297" s="56" t="s">
        <v>2628</v>
      </c>
      <c r="AJ297" s="56" t="s">
        <v>2629</v>
      </c>
      <c r="AK297" s="56">
        <v>0</v>
      </c>
      <c r="AL297" s="56" t="s">
        <v>2630</v>
      </c>
      <c r="AM297" s="56" t="s">
        <v>2631</v>
      </c>
      <c r="AN297" s="56" t="s">
        <v>2632</v>
      </c>
      <c r="AO297" s="56" t="s">
        <v>2627</v>
      </c>
      <c r="AP297" s="56" t="s">
        <v>2624</v>
      </c>
      <c r="AQ297" s="123">
        <v>3.4722222222222099E-3</v>
      </c>
      <c r="AR297" s="122">
        <v>-1.7025462962962978E-2</v>
      </c>
      <c r="AS297" s="56" t="s">
        <v>1048</v>
      </c>
      <c r="AT297" s="56" t="s">
        <v>1049</v>
      </c>
      <c r="AU297" s="56" t="s">
        <v>1050</v>
      </c>
      <c r="AV297" s="56">
        <v>36</v>
      </c>
      <c r="AW297" s="56" t="s">
        <v>1051</v>
      </c>
      <c r="AX297" s="56" t="s">
        <v>3305</v>
      </c>
      <c r="AY297" s="56" t="s">
        <v>1076</v>
      </c>
      <c r="AZ297" s="56" t="s">
        <v>1067</v>
      </c>
      <c r="BA297" s="56" t="s">
        <v>3306</v>
      </c>
      <c r="BB297" s="56" t="s">
        <v>3307</v>
      </c>
      <c r="BC297" s="56" t="s">
        <v>1057</v>
      </c>
      <c r="BD297" s="56" t="s">
        <v>3308</v>
      </c>
    </row>
    <row r="298" spans="1:56" x14ac:dyDescent="0.2">
      <c r="A298" s="56">
        <v>176715302</v>
      </c>
      <c r="B298" s="56" t="s">
        <v>3309</v>
      </c>
      <c r="C298" s="56" t="s">
        <v>2623</v>
      </c>
      <c r="D298" s="56" t="s">
        <v>2312</v>
      </c>
      <c r="E298" s="56" t="s">
        <v>1044</v>
      </c>
      <c r="F298" s="56">
        <v>5</v>
      </c>
      <c r="G298" s="56"/>
      <c r="H298" s="56">
        <v>5415</v>
      </c>
      <c r="I298" s="56">
        <v>6</v>
      </c>
      <c r="J298" s="56" t="s">
        <v>1045</v>
      </c>
      <c r="K298" s="56" t="s">
        <v>1125</v>
      </c>
      <c r="L298" s="121">
        <v>46269</v>
      </c>
      <c r="M298" s="122">
        <v>0.22638888888888889</v>
      </c>
      <c r="N298" s="122">
        <v>0.25555555555555554</v>
      </c>
      <c r="O298" s="56" t="s">
        <v>1047</v>
      </c>
      <c r="P298" s="121">
        <v>46269</v>
      </c>
      <c r="Q298" s="122">
        <v>0.29166666666666669</v>
      </c>
      <c r="R298" s="122">
        <v>0.28457175925925926</v>
      </c>
      <c r="S298" s="56" t="s">
        <v>1047</v>
      </c>
      <c r="T298" s="56">
        <v>1</v>
      </c>
      <c r="U298" s="56">
        <v>49</v>
      </c>
      <c r="V298" s="56">
        <v>39.67</v>
      </c>
      <c r="W298" s="56">
        <v>24.02</v>
      </c>
      <c r="X298" s="56">
        <v>37.380000000000003</v>
      </c>
      <c r="Y298" s="56">
        <v>13.36</v>
      </c>
      <c r="Z298" s="56">
        <v>0</v>
      </c>
      <c r="AA298" s="56" t="s">
        <v>393</v>
      </c>
      <c r="AB298" s="56">
        <v>14122137</v>
      </c>
      <c r="AC298" s="56" t="s">
        <v>393</v>
      </c>
      <c r="AD298" s="56">
        <v>14122137</v>
      </c>
      <c r="AE298" s="56" t="s">
        <v>2626</v>
      </c>
      <c r="AF298" s="56" t="s">
        <v>2627</v>
      </c>
      <c r="AG298" s="56" t="s">
        <v>2627</v>
      </c>
      <c r="AH298" s="56">
        <v>36</v>
      </c>
      <c r="AI298" s="56" t="s">
        <v>2628</v>
      </c>
      <c r="AJ298" s="56" t="s">
        <v>2629</v>
      </c>
      <c r="AK298" s="56">
        <v>2254</v>
      </c>
      <c r="AL298" s="56">
        <v>0</v>
      </c>
      <c r="AM298" s="56" t="s">
        <v>2694</v>
      </c>
      <c r="AN298" s="56" t="s">
        <v>2702</v>
      </c>
      <c r="AO298" s="56" t="s">
        <v>2627</v>
      </c>
      <c r="AP298" s="56" t="s">
        <v>2624</v>
      </c>
      <c r="AQ298" s="123">
        <v>2.9166666666666646E-2</v>
      </c>
      <c r="AR298" s="122">
        <v>-7.0949074074074248E-3</v>
      </c>
      <c r="AS298" s="56" t="s">
        <v>1048</v>
      </c>
      <c r="AT298" s="56" t="s">
        <v>1049</v>
      </c>
      <c r="AU298" s="56" t="s">
        <v>1050</v>
      </c>
      <c r="AV298" s="56">
        <v>36</v>
      </c>
      <c r="AW298" s="56" t="s">
        <v>1051</v>
      </c>
      <c r="AX298" s="56" t="s">
        <v>2313</v>
      </c>
      <c r="AY298" s="56" t="s">
        <v>1127</v>
      </c>
      <c r="AZ298" s="56" t="s">
        <v>1054</v>
      </c>
      <c r="BA298" s="56" t="s">
        <v>2314</v>
      </c>
      <c r="BB298" s="56" t="s">
        <v>2315</v>
      </c>
      <c r="BC298" s="56" t="s">
        <v>1057</v>
      </c>
      <c r="BD298" s="56" t="s">
        <v>3310</v>
      </c>
    </row>
    <row r="299" spans="1:56" x14ac:dyDescent="0.2">
      <c r="A299" s="56">
        <v>176718687</v>
      </c>
      <c r="B299" s="56" t="s">
        <v>2687</v>
      </c>
      <c r="C299" s="56" t="s">
        <v>2623</v>
      </c>
      <c r="D299" s="56" t="s">
        <v>2688</v>
      </c>
      <c r="E299" s="56" t="s">
        <v>1044</v>
      </c>
      <c r="F299" s="56">
        <v>11</v>
      </c>
      <c r="G299" s="56"/>
      <c r="H299" s="56">
        <v>15185</v>
      </c>
      <c r="I299" s="56">
        <v>6</v>
      </c>
      <c r="J299" s="56" t="s">
        <v>1045</v>
      </c>
      <c r="K299" s="56" t="s">
        <v>1058</v>
      </c>
      <c r="L299" s="121">
        <v>46269</v>
      </c>
      <c r="M299" s="122">
        <v>0.22638888888888889</v>
      </c>
      <c r="N299" s="122">
        <v>0.23402777777777778</v>
      </c>
      <c r="O299" s="56" t="s">
        <v>1047</v>
      </c>
      <c r="P299" s="121">
        <v>46269</v>
      </c>
      <c r="Q299" s="122">
        <v>0.25</v>
      </c>
      <c r="R299" s="122">
        <v>0.24827546296296296</v>
      </c>
      <c r="S299" s="56" t="s">
        <v>1047</v>
      </c>
      <c r="T299" s="56">
        <v>1</v>
      </c>
      <c r="U299" s="56">
        <v>14</v>
      </c>
      <c r="V299" s="56">
        <v>8.8800000000000008</v>
      </c>
      <c r="W299" s="56">
        <v>8.3699999999999992</v>
      </c>
      <c r="X299" s="56">
        <v>11.98</v>
      </c>
      <c r="Y299" s="56">
        <v>3.48</v>
      </c>
      <c r="Z299" s="56">
        <v>0.13</v>
      </c>
      <c r="AA299" s="56" t="s">
        <v>1897</v>
      </c>
      <c r="AB299" s="56">
        <v>14124144</v>
      </c>
      <c r="AC299" s="56" t="s">
        <v>1897</v>
      </c>
      <c r="AD299" s="56">
        <v>14124144</v>
      </c>
      <c r="AE299" s="56" t="s">
        <v>2626</v>
      </c>
      <c r="AF299" s="56" t="s">
        <v>2627</v>
      </c>
      <c r="AG299" s="56" t="s">
        <v>2627</v>
      </c>
      <c r="AH299" s="56">
        <v>36</v>
      </c>
      <c r="AI299" s="56" t="s">
        <v>2628</v>
      </c>
      <c r="AJ299" s="56" t="s">
        <v>2629</v>
      </c>
      <c r="AK299" s="56">
        <v>730</v>
      </c>
      <c r="AL299" s="56" t="s">
        <v>2630</v>
      </c>
      <c r="AM299" s="56" t="s">
        <v>2631</v>
      </c>
      <c r="AN299" s="56" t="s">
        <v>2632</v>
      </c>
      <c r="AO299" s="56" t="s">
        <v>2627</v>
      </c>
      <c r="AP299" s="56" t="s">
        <v>2624</v>
      </c>
      <c r="AQ299" s="123">
        <v>7.6388888888888895E-3</v>
      </c>
      <c r="AR299" s="122">
        <v>-1.7245370370370383E-3</v>
      </c>
      <c r="AS299" s="56" t="s">
        <v>1048</v>
      </c>
      <c r="AT299" s="56" t="s">
        <v>1049</v>
      </c>
      <c r="AU299" s="56" t="s">
        <v>1050</v>
      </c>
      <c r="AV299" s="56">
        <v>36</v>
      </c>
      <c r="AW299" s="56" t="s">
        <v>1051</v>
      </c>
      <c r="AX299" s="56" t="s">
        <v>2689</v>
      </c>
      <c r="AY299" s="56" t="s">
        <v>1061</v>
      </c>
      <c r="AZ299" s="56" t="s">
        <v>1062</v>
      </c>
      <c r="BA299" s="56" t="s">
        <v>2690</v>
      </c>
      <c r="BB299" s="56" t="s">
        <v>2691</v>
      </c>
      <c r="BC299" s="56" t="s">
        <v>1057</v>
      </c>
      <c r="BD299" s="56" t="s">
        <v>2692</v>
      </c>
    </row>
    <row r="300" spans="1:56" x14ac:dyDescent="0.2">
      <c r="A300" s="56">
        <v>176706638</v>
      </c>
      <c r="B300" s="56" t="s">
        <v>1631</v>
      </c>
      <c r="C300" s="56" t="s">
        <v>2623</v>
      </c>
      <c r="D300" s="56" t="s">
        <v>1632</v>
      </c>
      <c r="E300" s="56" t="s">
        <v>1044</v>
      </c>
      <c r="F300" s="56">
        <v>9</v>
      </c>
      <c r="G300" s="56"/>
      <c r="H300" s="56">
        <v>6900</v>
      </c>
      <c r="I300" s="56">
        <v>6</v>
      </c>
      <c r="J300" s="56" t="s">
        <v>1045</v>
      </c>
      <c r="K300" s="56" t="s">
        <v>1123</v>
      </c>
      <c r="L300" s="121">
        <v>46269</v>
      </c>
      <c r="M300" s="122">
        <v>0.22916666666666666</v>
      </c>
      <c r="N300" s="122">
        <v>0.23541666666666666</v>
      </c>
      <c r="O300" s="56" t="s">
        <v>1047</v>
      </c>
      <c r="P300" s="121">
        <v>46269</v>
      </c>
      <c r="Q300" s="122">
        <v>0.27083333333333331</v>
      </c>
      <c r="R300" s="122">
        <v>0.2582638888888889</v>
      </c>
      <c r="S300" s="56" t="s">
        <v>1047</v>
      </c>
      <c r="T300" s="56">
        <v>1</v>
      </c>
      <c r="U300" s="56">
        <v>22</v>
      </c>
      <c r="V300" s="56">
        <v>12.15</v>
      </c>
      <c r="W300" s="56">
        <v>13.69</v>
      </c>
      <c r="X300" s="56">
        <v>14.44</v>
      </c>
      <c r="Y300" s="56">
        <v>0.75</v>
      </c>
      <c r="Z300" s="56">
        <v>0</v>
      </c>
      <c r="AA300" s="56" t="s">
        <v>201</v>
      </c>
      <c r="AB300" s="56">
        <v>14118440</v>
      </c>
      <c r="AC300" s="56" t="s">
        <v>201</v>
      </c>
      <c r="AD300" s="56">
        <v>14118440</v>
      </c>
      <c r="AE300" s="56" t="s">
        <v>2626</v>
      </c>
      <c r="AF300" s="56" t="s">
        <v>2627</v>
      </c>
      <c r="AG300" s="56" t="s">
        <v>2627</v>
      </c>
      <c r="AH300" s="56">
        <v>36</v>
      </c>
      <c r="AI300" s="56" t="s">
        <v>2628</v>
      </c>
      <c r="AJ300" s="56" t="s">
        <v>2629</v>
      </c>
      <c r="AK300" s="56">
        <v>544.9</v>
      </c>
      <c r="AL300" s="56" t="s">
        <v>2630</v>
      </c>
      <c r="AM300" s="56" t="s">
        <v>2631</v>
      </c>
      <c r="AN300" s="56" t="s">
        <v>2632</v>
      </c>
      <c r="AO300" s="56" t="s">
        <v>2627</v>
      </c>
      <c r="AP300" s="56" t="s">
        <v>2624</v>
      </c>
      <c r="AQ300" s="123">
        <v>6.2500000000000056E-3</v>
      </c>
      <c r="AR300" s="122">
        <v>-1.2569444444444411E-2</v>
      </c>
      <c r="AS300" s="56" t="s">
        <v>1048</v>
      </c>
      <c r="AT300" s="56" t="s">
        <v>1049</v>
      </c>
      <c r="AU300" s="56" t="s">
        <v>1050</v>
      </c>
      <c r="AV300" s="56">
        <v>36</v>
      </c>
      <c r="AW300" s="56" t="s">
        <v>1051</v>
      </c>
      <c r="AX300" s="56" t="s">
        <v>1633</v>
      </c>
      <c r="AY300" s="56" t="s">
        <v>1124</v>
      </c>
      <c r="AZ300" s="56" t="s">
        <v>1054</v>
      </c>
      <c r="BA300" s="56" t="s">
        <v>1634</v>
      </c>
      <c r="BB300" s="56" t="s">
        <v>1635</v>
      </c>
      <c r="BC300" s="56" t="s">
        <v>1057</v>
      </c>
      <c r="BD300" s="56" t="s">
        <v>1636</v>
      </c>
    </row>
    <row r="301" spans="1:56" x14ac:dyDescent="0.2">
      <c r="A301" s="56">
        <v>176715709</v>
      </c>
      <c r="B301" s="56" t="s">
        <v>2319</v>
      </c>
      <c r="C301" s="56" t="s">
        <v>2623</v>
      </c>
      <c r="D301" s="56" t="s">
        <v>2320</v>
      </c>
      <c r="E301" s="56" t="s">
        <v>1044</v>
      </c>
      <c r="F301" s="56">
        <v>102</v>
      </c>
      <c r="G301" s="56"/>
      <c r="H301" s="56">
        <v>14687</v>
      </c>
      <c r="I301" s="56">
        <v>6</v>
      </c>
      <c r="J301" s="56" t="s">
        <v>1045</v>
      </c>
      <c r="K301" s="56" t="s">
        <v>1296</v>
      </c>
      <c r="L301" s="121">
        <v>46269</v>
      </c>
      <c r="M301" s="122">
        <v>0.22916666666666666</v>
      </c>
      <c r="N301" s="122">
        <v>0.2326388888888889</v>
      </c>
      <c r="O301" s="56" t="s">
        <v>1047</v>
      </c>
      <c r="P301" s="121">
        <v>46269</v>
      </c>
      <c r="Q301" s="122">
        <v>0.2673611111111111</v>
      </c>
      <c r="R301" s="122">
        <v>0.25896990740740738</v>
      </c>
      <c r="S301" s="56" t="s">
        <v>1047</v>
      </c>
      <c r="T301" s="56">
        <v>1</v>
      </c>
      <c r="U301" s="56">
        <v>13</v>
      </c>
      <c r="V301" s="56">
        <v>12.95</v>
      </c>
      <c r="W301" s="56">
        <v>13.11</v>
      </c>
      <c r="X301" s="56">
        <v>28.76</v>
      </c>
      <c r="Y301" s="56">
        <v>10.48</v>
      </c>
      <c r="Z301" s="56">
        <v>5.17</v>
      </c>
      <c r="AA301" s="56" t="s">
        <v>1877</v>
      </c>
      <c r="AB301" s="56">
        <v>14124240</v>
      </c>
      <c r="AC301" s="56" t="s">
        <v>1877</v>
      </c>
      <c r="AD301" s="56">
        <v>14124240</v>
      </c>
      <c r="AE301" s="56" t="s">
        <v>2626</v>
      </c>
      <c r="AF301" s="56" t="s">
        <v>2627</v>
      </c>
      <c r="AG301" s="56" t="s">
        <v>2627</v>
      </c>
      <c r="AH301" s="56">
        <v>36</v>
      </c>
      <c r="AI301" s="56" t="s">
        <v>2628</v>
      </c>
      <c r="AJ301" s="56" t="s">
        <v>2629</v>
      </c>
      <c r="AK301" s="56">
        <v>0</v>
      </c>
      <c r="AL301" s="56" t="s">
        <v>2630</v>
      </c>
      <c r="AM301" s="56" t="s">
        <v>2631</v>
      </c>
      <c r="AN301" s="56" t="s">
        <v>2632</v>
      </c>
      <c r="AO301" s="56" t="s">
        <v>2627</v>
      </c>
      <c r="AP301" s="56">
        <v>29</v>
      </c>
      <c r="AQ301" s="123">
        <v>3.4722222222222376E-3</v>
      </c>
      <c r="AR301" s="122">
        <v>-8.3912037037037202E-3</v>
      </c>
      <c r="AS301" s="56" t="s">
        <v>1048</v>
      </c>
      <c r="AT301" s="56" t="s">
        <v>1049</v>
      </c>
      <c r="AU301" s="56" t="s">
        <v>1050</v>
      </c>
      <c r="AV301" s="56">
        <v>36</v>
      </c>
      <c r="AW301" s="56" t="s">
        <v>1051</v>
      </c>
      <c r="AX301" s="56" t="s">
        <v>2321</v>
      </c>
      <c r="AY301" s="56" t="s">
        <v>1297</v>
      </c>
      <c r="AZ301" s="56" t="s">
        <v>1067</v>
      </c>
      <c r="BA301" s="56" t="s">
        <v>2322</v>
      </c>
      <c r="BB301" s="56" t="s">
        <v>2323</v>
      </c>
      <c r="BC301" s="56" t="s">
        <v>1057</v>
      </c>
      <c r="BD301" s="56" t="s">
        <v>2324</v>
      </c>
    </row>
    <row r="302" spans="1:56" x14ac:dyDescent="0.2">
      <c r="A302" s="56">
        <v>176720825</v>
      </c>
      <c r="B302" s="56" t="s">
        <v>2057</v>
      </c>
      <c r="C302" s="56" t="s">
        <v>2623</v>
      </c>
      <c r="D302" s="56" t="s">
        <v>1326</v>
      </c>
      <c r="E302" s="56" t="s">
        <v>1044</v>
      </c>
      <c r="F302" s="56">
        <v>50</v>
      </c>
      <c r="G302" s="56" t="s">
        <v>2693</v>
      </c>
      <c r="H302" s="56">
        <v>12898</v>
      </c>
      <c r="I302" s="56">
        <v>6</v>
      </c>
      <c r="J302" s="56" t="s">
        <v>1045</v>
      </c>
      <c r="K302" s="56" t="s">
        <v>1116</v>
      </c>
      <c r="L302" s="121">
        <v>46269</v>
      </c>
      <c r="M302" s="122">
        <v>0.22916666666666666</v>
      </c>
      <c r="N302" s="122">
        <v>0.24166666666666667</v>
      </c>
      <c r="O302" s="56" t="s">
        <v>1047</v>
      </c>
      <c r="P302" s="121">
        <v>46269</v>
      </c>
      <c r="Q302" s="122">
        <v>0.28125</v>
      </c>
      <c r="R302" s="122">
        <v>0.28635416666666669</v>
      </c>
      <c r="S302" s="56" t="s">
        <v>1047</v>
      </c>
      <c r="T302" s="56">
        <v>1</v>
      </c>
      <c r="U302" s="56">
        <v>25</v>
      </c>
      <c r="V302" s="56">
        <v>26.33</v>
      </c>
      <c r="W302" s="56">
        <v>25.85</v>
      </c>
      <c r="X302" s="56">
        <v>35.93</v>
      </c>
      <c r="Y302" s="56">
        <v>9.93</v>
      </c>
      <c r="Z302" s="56">
        <v>0.15</v>
      </c>
      <c r="AA302" s="56"/>
      <c r="AB302" s="56"/>
      <c r="AC302" s="56" t="s">
        <v>1187</v>
      </c>
      <c r="AD302" s="56"/>
      <c r="AE302" s="56" t="s">
        <v>2626</v>
      </c>
      <c r="AF302" s="56" t="s">
        <v>2627</v>
      </c>
      <c r="AG302" s="56" t="s">
        <v>2627</v>
      </c>
      <c r="AH302" s="56">
        <v>36</v>
      </c>
      <c r="AI302" s="56" t="s">
        <v>2628</v>
      </c>
      <c r="AJ302" s="56" t="s">
        <v>2640</v>
      </c>
      <c r="AK302" s="56">
        <v>0</v>
      </c>
      <c r="AL302" s="56" t="s">
        <v>2630</v>
      </c>
      <c r="AM302" s="56" t="s">
        <v>2631</v>
      </c>
      <c r="AN302" s="56" t="s">
        <v>2632</v>
      </c>
      <c r="AO302" s="56" t="s">
        <v>2627</v>
      </c>
      <c r="AP302" s="56" t="s">
        <v>2624</v>
      </c>
      <c r="AQ302" s="123">
        <v>1.2500000000000011E-2</v>
      </c>
      <c r="AR302" s="122">
        <v>5.1041666666666874E-3</v>
      </c>
      <c r="AS302" s="56" t="s">
        <v>1048</v>
      </c>
      <c r="AT302" s="56" t="s">
        <v>1059</v>
      </c>
      <c r="AU302" s="56" t="s">
        <v>1060</v>
      </c>
      <c r="AV302" s="56">
        <v>36</v>
      </c>
      <c r="AW302" s="56" t="s">
        <v>1051</v>
      </c>
      <c r="AX302" s="56" t="s">
        <v>1683</v>
      </c>
      <c r="AY302" s="56" t="s">
        <v>1128</v>
      </c>
      <c r="AZ302" s="56" t="s">
        <v>1054</v>
      </c>
      <c r="BA302" s="56" t="s">
        <v>1684</v>
      </c>
      <c r="BB302" s="56" t="s">
        <v>1685</v>
      </c>
      <c r="BC302" s="56" t="s">
        <v>1057</v>
      </c>
      <c r="BD302" s="56" t="s">
        <v>2058</v>
      </c>
    </row>
    <row r="303" spans="1:56" x14ac:dyDescent="0.2">
      <c r="A303" s="56">
        <v>176724967</v>
      </c>
      <c r="B303" s="56" t="s">
        <v>1114</v>
      </c>
      <c r="C303" s="56" t="s">
        <v>2623</v>
      </c>
      <c r="D303" s="56" t="s">
        <v>1115</v>
      </c>
      <c r="E303" s="56" t="s">
        <v>1044</v>
      </c>
      <c r="F303" s="56">
        <v>98</v>
      </c>
      <c r="G303" s="56" t="s">
        <v>2670</v>
      </c>
      <c r="H303" s="56">
        <v>14692</v>
      </c>
      <c r="I303" s="56">
        <v>6</v>
      </c>
      <c r="J303" s="56" t="s">
        <v>1045</v>
      </c>
      <c r="K303" s="56" t="s">
        <v>1116</v>
      </c>
      <c r="L303" s="121">
        <v>46269</v>
      </c>
      <c r="M303" s="122">
        <v>0.22916666666666666</v>
      </c>
      <c r="N303" s="122">
        <v>0.2388888888888889</v>
      </c>
      <c r="O303" s="56" t="s">
        <v>1047</v>
      </c>
      <c r="P303" s="121">
        <v>46269</v>
      </c>
      <c r="Q303" s="122">
        <v>0.28125</v>
      </c>
      <c r="R303" s="122">
        <v>0.27083333333333331</v>
      </c>
      <c r="S303" s="56" t="s">
        <v>1047</v>
      </c>
      <c r="T303" s="56">
        <v>1</v>
      </c>
      <c r="U303" s="56">
        <v>31</v>
      </c>
      <c r="V303" s="56">
        <v>26.89</v>
      </c>
      <c r="W303" s="56">
        <v>26.63</v>
      </c>
      <c r="X303" s="56">
        <v>38.380000000000003</v>
      </c>
      <c r="Y303" s="56">
        <v>8.2799999999999994</v>
      </c>
      <c r="Z303" s="56">
        <v>3.47</v>
      </c>
      <c r="AA303" s="56" t="s">
        <v>958</v>
      </c>
      <c r="AB303" s="56">
        <v>14123725</v>
      </c>
      <c r="AC303" s="56" t="s">
        <v>958</v>
      </c>
      <c r="AD303" s="56">
        <v>14123725</v>
      </c>
      <c r="AE303" s="56" t="s">
        <v>2626</v>
      </c>
      <c r="AF303" s="56" t="s">
        <v>2627</v>
      </c>
      <c r="AG303" s="56" t="s">
        <v>2627</v>
      </c>
      <c r="AH303" s="56">
        <v>36</v>
      </c>
      <c r="AI303" s="56" t="s">
        <v>2628</v>
      </c>
      <c r="AJ303" s="56" t="s">
        <v>2629</v>
      </c>
      <c r="AK303" s="56">
        <v>0</v>
      </c>
      <c r="AL303" s="56" t="s">
        <v>2630</v>
      </c>
      <c r="AM303" s="56" t="s">
        <v>2631</v>
      </c>
      <c r="AN303" s="56" t="s">
        <v>2632</v>
      </c>
      <c r="AO303" s="56" t="s">
        <v>2627</v>
      </c>
      <c r="AP303" s="56">
        <v>37</v>
      </c>
      <c r="AQ303" s="123">
        <v>9.7222222222222432E-3</v>
      </c>
      <c r="AR303" s="122">
        <v>-1.0416666666666685E-2</v>
      </c>
      <c r="AS303" s="56" t="s">
        <v>1048</v>
      </c>
      <c r="AT303" s="56" t="s">
        <v>1049</v>
      </c>
      <c r="AU303" s="56" t="s">
        <v>1050</v>
      </c>
      <c r="AV303" s="56">
        <v>36</v>
      </c>
      <c r="AW303" s="56" t="s">
        <v>1051</v>
      </c>
      <c r="AX303" s="56" t="s">
        <v>1117</v>
      </c>
      <c r="AY303" s="56" t="s">
        <v>1118</v>
      </c>
      <c r="AZ303" s="56" t="s">
        <v>1054</v>
      </c>
      <c r="BA303" s="56" t="s">
        <v>1119</v>
      </c>
      <c r="BB303" s="56" t="s">
        <v>1120</v>
      </c>
      <c r="BC303" s="56" t="s">
        <v>1057</v>
      </c>
      <c r="BD303" s="56" t="s">
        <v>1121</v>
      </c>
    </row>
    <row r="304" spans="1:56" x14ac:dyDescent="0.2">
      <c r="A304" s="56">
        <v>176722965</v>
      </c>
      <c r="B304" s="56" t="s">
        <v>1640</v>
      </c>
      <c r="C304" s="56" t="s">
        <v>2623</v>
      </c>
      <c r="D304" s="56" t="s">
        <v>1605</v>
      </c>
      <c r="E304" s="56" t="s">
        <v>1044</v>
      </c>
      <c r="F304" s="56">
        <v>73</v>
      </c>
      <c r="G304" s="56" t="s">
        <v>2693</v>
      </c>
      <c r="H304" s="56">
        <v>13847</v>
      </c>
      <c r="I304" s="56">
        <v>6</v>
      </c>
      <c r="J304" s="56" t="s">
        <v>1045</v>
      </c>
      <c r="K304" s="56" t="s">
        <v>1116</v>
      </c>
      <c r="L304" s="121">
        <v>46269</v>
      </c>
      <c r="M304" s="122">
        <v>0.2326388888888889</v>
      </c>
      <c r="N304" s="122">
        <v>0.23749999999999999</v>
      </c>
      <c r="O304" s="56" t="s">
        <v>1047</v>
      </c>
      <c r="P304" s="121">
        <v>46269</v>
      </c>
      <c r="Q304" s="122">
        <v>0.28125</v>
      </c>
      <c r="R304" s="122">
        <v>0.2722222222222222</v>
      </c>
      <c r="S304" s="56" t="s">
        <v>1047</v>
      </c>
      <c r="T304" s="56">
        <v>1</v>
      </c>
      <c r="U304" s="56">
        <v>29</v>
      </c>
      <c r="V304" s="56">
        <v>23.03</v>
      </c>
      <c r="W304" s="56">
        <v>28.37</v>
      </c>
      <c r="X304" s="56">
        <v>37.369999999999997</v>
      </c>
      <c r="Y304" s="56">
        <v>5.66</v>
      </c>
      <c r="Z304" s="56">
        <v>3.34</v>
      </c>
      <c r="AA304" s="56" t="s">
        <v>41</v>
      </c>
      <c r="AB304" s="56">
        <v>14104599</v>
      </c>
      <c r="AC304" s="56" t="s">
        <v>41</v>
      </c>
      <c r="AD304" s="56">
        <v>14104599</v>
      </c>
      <c r="AE304" s="56" t="s">
        <v>2626</v>
      </c>
      <c r="AF304" s="56" t="s">
        <v>2627</v>
      </c>
      <c r="AG304" s="56" t="s">
        <v>2627</v>
      </c>
      <c r="AH304" s="56">
        <v>36</v>
      </c>
      <c r="AI304" s="56" t="s">
        <v>2628</v>
      </c>
      <c r="AJ304" s="56" t="s">
        <v>2629</v>
      </c>
      <c r="AK304" s="56">
        <v>0</v>
      </c>
      <c r="AL304" s="56" t="s">
        <v>2630</v>
      </c>
      <c r="AM304" s="56" t="s">
        <v>2631</v>
      </c>
      <c r="AN304" s="56" t="s">
        <v>2632</v>
      </c>
      <c r="AO304" s="56" t="s">
        <v>2627</v>
      </c>
      <c r="AP304" s="56" t="s">
        <v>2624</v>
      </c>
      <c r="AQ304" s="123">
        <v>4.8611111111110938E-3</v>
      </c>
      <c r="AR304" s="122">
        <v>-9.0277777777778012E-3</v>
      </c>
      <c r="AS304" s="56" t="s">
        <v>1048</v>
      </c>
      <c r="AT304" s="56" t="s">
        <v>1049</v>
      </c>
      <c r="AU304" s="56" t="s">
        <v>1050</v>
      </c>
      <c r="AV304" s="56">
        <v>36</v>
      </c>
      <c r="AW304" s="56" t="s">
        <v>1051</v>
      </c>
      <c r="AX304" s="56" t="s">
        <v>1606</v>
      </c>
      <c r="AY304" s="56" t="s">
        <v>1118</v>
      </c>
      <c r="AZ304" s="56" t="s">
        <v>1054</v>
      </c>
      <c r="BA304" s="56" t="s">
        <v>1607</v>
      </c>
      <c r="BB304" s="56" t="s">
        <v>1608</v>
      </c>
      <c r="BC304" s="56" t="s">
        <v>1057</v>
      </c>
      <c r="BD304" s="56" t="s">
        <v>1641</v>
      </c>
    </row>
    <row r="305" spans="1:56" x14ac:dyDescent="0.2">
      <c r="A305" s="56">
        <v>176728378</v>
      </c>
      <c r="B305" s="56" t="s">
        <v>2331</v>
      </c>
      <c r="C305" s="56" t="s">
        <v>2623</v>
      </c>
      <c r="D305" s="56" t="s">
        <v>2181</v>
      </c>
      <c r="E305" s="56" t="s">
        <v>1044</v>
      </c>
      <c r="F305" s="56">
        <v>254</v>
      </c>
      <c r="G305" s="56" t="s">
        <v>2693</v>
      </c>
      <c r="H305" s="56">
        <v>13850</v>
      </c>
      <c r="I305" s="56">
        <v>6</v>
      </c>
      <c r="J305" s="56" t="s">
        <v>1045</v>
      </c>
      <c r="K305" s="56" t="s">
        <v>1116</v>
      </c>
      <c r="L305" s="121">
        <v>46269</v>
      </c>
      <c r="M305" s="122">
        <v>0.23541666666666666</v>
      </c>
      <c r="N305" s="122">
        <v>0.25624999999999998</v>
      </c>
      <c r="O305" s="56" t="s">
        <v>1047</v>
      </c>
      <c r="P305" s="121">
        <v>46269</v>
      </c>
      <c r="Q305" s="122">
        <v>0.28125</v>
      </c>
      <c r="R305" s="122">
        <v>0.29166666666666669</v>
      </c>
      <c r="S305" s="56" t="s">
        <v>1047</v>
      </c>
      <c r="T305" s="56">
        <v>1</v>
      </c>
      <c r="U305" s="56">
        <v>47</v>
      </c>
      <c r="V305" s="56">
        <v>42.95</v>
      </c>
      <c r="W305" s="56">
        <v>41.43</v>
      </c>
      <c r="X305" s="56">
        <v>67.77</v>
      </c>
      <c r="Y305" s="56">
        <v>23.93</v>
      </c>
      <c r="Z305" s="56">
        <v>2.41</v>
      </c>
      <c r="AA305" s="56"/>
      <c r="AB305" s="56"/>
      <c r="AC305" s="56" t="s">
        <v>1187</v>
      </c>
      <c r="AD305" s="56"/>
      <c r="AE305" s="56" t="s">
        <v>2626</v>
      </c>
      <c r="AF305" s="56" t="s">
        <v>2627</v>
      </c>
      <c r="AG305" s="56" t="s">
        <v>2627</v>
      </c>
      <c r="AH305" s="56">
        <v>36</v>
      </c>
      <c r="AI305" s="56" t="s">
        <v>2628</v>
      </c>
      <c r="AJ305" s="56" t="s">
        <v>2640</v>
      </c>
      <c r="AK305" s="56">
        <v>0</v>
      </c>
      <c r="AL305" s="56" t="s">
        <v>2630</v>
      </c>
      <c r="AM305" s="56" t="s">
        <v>2631</v>
      </c>
      <c r="AN305" s="56" t="s">
        <v>2632</v>
      </c>
      <c r="AO305" s="56" t="s">
        <v>2627</v>
      </c>
      <c r="AP305" s="56" t="s">
        <v>2624</v>
      </c>
      <c r="AQ305" s="123">
        <v>2.0833333333333315E-2</v>
      </c>
      <c r="AR305" s="122">
        <v>1.0416666666666685E-2</v>
      </c>
      <c r="AS305" s="56" t="s">
        <v>1048</v>
      </c>
      <c r="AT305" s="56" t="s">
        <v>1059</v>
      </c>
      <c r="AU305" s="56" t="s">
        <v>1060</v>
      </c>
      <c r="AV305" s="56">
        <v>36</v>
      </c>
      <c r="AW305" s="56" t="s">
        <v>1051</v>
      </c>
      <c r="AX305" s="56" t="s">
        <v>2182</v>
      </c>
      <c r="AY305" s="56" t="s">
        <v>1128</v>
      </c>
      <c r="AZ305" s="56" t="s">
        <v>1054</v>
      </c>
      <c r="BA305" s="56" t="s">
        <v>2183</v>
      </c>
      <c r="BB305" s="56" t="s">
        <v>2184</v>
      </c>
      <c r="BC305" s="56" t="s">
        <v>1057</v>
      </c>
      <c r="BD305" s="56" t="s">
        <v>2332</v>
      </c>
    </row>
    <row r="306" spans="1:56" x14ac:dyDescent="0.2">
      <c r="A306" s="56">
        <v>176726244</v>
      </c>
      <c r="B306" s="56" t="s">
        <v>1230</v>
      </c>
      <c r="C306" s="56" t="s">
        <v>2623</v>
      </c>
      <c r="D306" s="56" t="s">
        <v>1231</v>
      </c>
      <c r="E306" s="56" t="s">
        <v>1044</v>
      </c>
      <c r="F306" s="56">
        <v>139</v>
      </c>
      <c r="G306" s="56" t="s">
        <v>2693</v>
      </c>
      <c r="H306" s="56">
        <v>10359</v>
      </c>
      <c r="I306" s="56">
        <v>6</v>
      </c>
      <c r="J306" s="56" t="s">
        <v>1045</v>
      </c>
      <c r="K306" s="56" t="s">
        <v>1116</v>
      </c>
      <c r="L306" s="121">
        <v>46269</v>
      </c>
      <c r="M306" s="122">
        <v>0.2361111111111111</v>
      </c>
      <c r="N306" s="122">
        <v>0.24166666666666667</v>
      </c>
      <c r="O306" s="56" t="s">
        <v>1047</v>
      </c>
      <c r="P306" s="121">
        <v>46269</v>
      </c>
      <c r="Q306" s="122">
        <v>0.28125</v>
      </c>
      <c r="R306" s="122">
        <v>0.2722222222222222</v>
      </c>
      <c r="S306" s="56" t="s">
        <v>1047</v>
      </c>
      <c r="T306" s="56">
        <v>1</v>
      </c>
      <c r="U306" s="56">
        <v>23</v>
      </c>
      <c r="V306" s="56">
        <v>23.7</v>
      </c>
      <c r="W306" s="56">
        <v>26.35</v>
      </c>
      <c r="X306" s="56">
        <v>31.63</v>
      </c>
      <c r="Y306" s="56">
        <v>1.81</v>
      </c>
      <c r="Z306" s="56">
        <v>3.47</v>
      </c>
      <c r="AA306" s="56" t="s">
        <v>1232</v>
      </c>
      <c r="AB306" s="56">
        <v>14112026</v>
      </c>
      <c r="AC306" s="56" t="s">
        <v>1232</v>
      </c>
      <c r="AD306" s="56">
        <v>14112026</v>
      </c>
      <c r="AE306" s="56" t="s">
        <v>2626</v>
      </c>
      <c r="AF306" s="56" t="s">
        <v>2627</v>
      </c>
      <c r="AG306" s="56" t="s">
        <v>2627</v>
      </c>
      <c r="AH306" s="56">
        <v>36</v>
      </c>
      <c r="AI306" s="56" t="s">
        <v>2628</v>
      </c>
      <c r="AJ306" s="56" t="s">
        <v>2629</v>
      </c>
      <c r="AK306" s="56">
        <v>0</v>
      </c>
      <c r="AL306" s="56" t="s">
        <v>2630</v>
      </c>
      <c r="AM306" s="56" t="s">
        <v>2631</v>
      </c>
      <c r="AN306" s="56" t="s">
        <v>2632</v>
      </c>
      <c r="AO306" s="56" t="s">
        <v>2627</v>
      </c>
      <c r="AP306" s="56">
        <v>25</v>
      </c>
      <c r="AQ306" s="123">
        <v>5.5555555555555636E-3</v>
      </c>
      <c r="AR306" s="122">
        <v>-9.0277777777778012E-3</v>
      </c>
      <c r="AS306" s="56" t="s">
        <v>1048</v>
      </c>
      <c r="AT306" s="56" t="s">
        <v>1049</v>
      </c>
      <c r="AU306" s="56" t="s">
        <v>1050</v>
      </c>
      <c r="AV306" s="56">
        <v>36</v>
      </c>
      <c r="AW306" s="56" t="s">
        <v>1051</v>
      </c>
      <c r="AX306" s="56" t="s">
        <v>1233</v>
      </c>
      <c r="AY306" s="56" t="s">
        <v>1128</v>
      </c>
      <c r="AZ306" s="56" t="s">
        <v>1054</v>
      </c>
      <c r="BA306" s="56" t="s">
        <v>1234</v>
      </c>
      <c r="BB306" s="56" t="s">
        <v>1235</v>
      </c>
      <c r="BC306" s="56" t="s">
        <v>1057</v>
      </c>
      <c r="BD306" s="56" t="s">
        <v>1236</v>
      </c>
    </row>
    <row r="307" spans="1:56" x14ac:dyDescent="0.2">
      <c r="A307" s="56">
        <v>176715788</v>
      </c>
      <c r="B307" s="56" t="s">
        <v>1435</v>
      </c>
      <c r="C307" s="56" t="s">
        <v>2623</v>
      </c>
      <c r="D307" s="56" t="s">
        <v>1436</v>
      </c>
      <c r="E307" s="56" t="s">
        <v>1044</v>
      </c>
      <c r="F307" s="56">
        <v>4</v>
      </c>
      <c r="G307" s="56"/>
      <c r="H307" s="56">
        <v>13295</v>
      </c>
      <c r="I307" s="56">
        <v>8</v>
      </c>
      <c r="J307" s="56" t="s">
        <v>1045</v>
      </c>
      <c r="K307" s="56" t="s">
        <v>1428</v>
      </c>
      <c r="L307" s="121">
        <v>46269</v>
      </c>
      <c r="M307" s="122">
        <v>0.24305555555555555</v>
      </c>
      <c r="N307" s="122">
        <v>0.26527777777777778</v>
      </c>
      <c r="O307" s="56" t="s">
        <v>1047</v>
      </c>
      <c r="P307" s="121">
        <v>46269</v>
      </c>
      <c r="Q307" s="122">
        <v>0.33333333333333331</v>
      </c>
      <c r="R307" s="56"/>
      <c r="S307" s="56" t="s">
        <v>1148</v>
      </c>
      <c r="T307" s="56">
        <v>0</v>
      </c>
      <c r="U307" s="56">
        <v>17</v>
      </c>
      <c r="V307" s="56">
        <v>6.51</v>
      </c>
      <c r="W307" s="56">
        <v>-17.87</v>
      </c>
      <c r="X307" s="56">
        <v>49.69</v>
      </c>
      <c r="Y307" s="56">
        <v>17.87</v>
      </c>
      <c r="Z307" s="56">
        <v>49.69</v>
      </c>
      <c r="AA307" s="56" t="s">
        <v>445</v>
      </c>
      <c r="AB307" s="56">
        <v>14122708</v>
      </c>
      <c r="AC307" s="56" t="s">
        <v>445</v>
      </c>
      <c r="AD307" s="56">
        <v>14122708</v>
      </c>
      <c r="AE307" s="56" t="s">
        <v>2626</v>
      </c>
      <c r="AF307" s="56" t="s">
        <v>2627</v>
      </c>
      <c r="AG307" s="56" t="s">
        <v>2627</v>
      </c>
      <c r="AH307" s="56">
        <v>36</v>
      </c>
      <c r="AI307" s="56" t="s">
        <v>2706</v>
      </c>
      <c r="AJ307" s="56" t="s">
        <v>2640</v>
      </c>
      <c r="AK307" s="56" t="s">
        <v>2624</v>
      </c>
      <c r="AL307" s="56">
        <v>0</v>
      </c>
      <c r="AM307" s="56" t="s">
        <v>2694</v>
      </c>
      <c r="AN307" s="56" t="s">
        <v>2632</v>
      </c>
      <c r="AO307" s="56" t="s">
        <v>2627</v>
      </c>
      <c r="AP307" s="56" t="s">
        <v>2624</v>
      </c>
      <c r="AQ307" s="123">
        <v>2.2222222222222227E-2</v>
      </c>
      <c r="AR307" s="122">
        <v>-0.33333333333333331</v>
      </c>
      <c r="AS307" s="56" t="s">
        <v>1048</v>
      </c>
      <c r="AT307" s="56" t="s">
        <v>1049</v>
      </c>
      <c r="AU307" s="56" t="s">
        <v>1050</v>
      </c>
      <c r="AV307" s="56">
        <v>36</v>
      </c>
      <c r="AW307" s="56" t="s">
        <v>1051</v>
      </c>
      <c r="AX307" s="56" t="s">
        <v>1437</v>
      </c>
      <c r="AY307" s="56" t="s">
        <v>1159</v>
      </c>
      <c r="AZ307" s="56" t="s">
        <v>1062</v>
      </c>
      <c r="BA307" s="56" t="s">
        <v>1438</v>
      </c>
      <c r="BB307" s="56" t="s">
        <v>1439</v>
      </c>
      <c r="BC307" s="56" t="s">
        <v>1057</v>
      </c>
      <c r="BD307" s="56" t="s">
        <v>1705</v>
      </c>
    </row>
    <row r="308" spans="1:56" x14ac:dyDescent="0.2">
      <c r="A308" s="56">
        <v>176725760</v>
      </c>
      <c r="B308" s="56" t="s">
        <v>3178</v>
      </c>
      <c r="C308" s="56" t="s">
        <v>2623</v>
      </c>
      <c r="D308" s="56" t="s">
        <v>2281</v>
      </c>
      <c r="E308" s="56" t="s">
        <v>1044</v>
      </c>
      <c r="F308" s="56">
        <v>112</v>
      </c>
      <c r="G308" s="56" t="s">
        <v>2693</v>
      </c>
      <c r="H308" s="56">
        <v>13374</v>
      </c>
      <c r="I308" s="56">
        <v>6</v>
      </c>
      <c r="J308" s="56" t="s">
        <v>1045</v>
      </c>
      <c r="K308" s="56" t="s">
        <v>1116</v>
      </c>
      <c r="L308" s="121">
        <v>46269</v>
      </c>
      <c r="M308" s="122">
        <v>0.25</v>
      </c>
      <c r="N308" s="122">
        <v>0.26041666666666669</v>
      </c>
      <c r="O308" s="56" t="s">
        <v>1047</v>
      </c>
      <c r="P308" s="121">
        <v>46269</v>
      </c>
      <c r="Q308" s="122">
        <v>0.28125</v>
      </c>
      <c r="R308" s="122">
        <v>0.28402777777777777</v>
      </c>
      <c r="S308" s="56" t="s">
        <v>1047</v>
      </c>
      <c r="T308" s="56">
        <v>1</v>
      </c>
      <c r="U308" s="56">
        <v>17</v>
      </c>
      <c r="V308" s="56">
        <v>11.49</v>
      </c>
      <c r="W308" s="56">
        <v>13.06</v>
      </c>
      <c r="X308" s="56">
        <v>23.84</v>
      </c>
      <c r="Y308" s="56">
        <v>6.47</v>
      </c>
      <c r="Z308" s="56">
        <v>4.3099999999999996</v>
      </c>
      <c r="AA308" s="56" t="s">
        <v>946</v>
      </c>
      <c r="AB308" s="56">
        <v>14123704</v>
      </c>
      <c r="AC308" s="56" t="s">
        <v>946</v>
      </c>
      <c r="AD308" s="56">
        <v>14123704</v>
      </c>
      <c r="AE308" s="56" t="s">
        <v>2626</v>
      </c>
      <c r="AF308" s="56" t="s">
        <v>2627</v>
      </c>
      <c r="AG308" s="56" t="s">
        <v>2627</v>
      </c>
      <c r="AH308" s="56">
        <v>36</v>
      </c>
      <c r="AI308" s="56" t="s">
        <v>2628</v>
      </c>
      <c r="AJ308" s="56" t="s">
        <v>2640</v>
      </c>
      <c r="AK308" s="56">
        <v>0</v>
      </c>
      <c r="AL308" s="56" t="s">
        <v>2630</v>
      </c>
      <c r="AM308" s="56" t="s">
        <v>2631</v>
      </c>
      <c r="AN308" s="56" t="s">
        <v>2632</v>
      </c>
      <c r="AO308" s="56" t="s">
        <v>2627</v>
      </c>
      <c r="AP308" s="56" t="s">
        <v>2624</v>
      </c>
      <c r="AQ308" s="123">
        <v>1.0416666666666685E-2</v>
      </c>
      <c r="AR308" s="122">
        <v>2.7777777777777679E-3</v>
      </c>
      <c r="AS308" s="56" t="s">
        <v>1048</v>
      </c>
      <c r="AT308" s="56" t="s">
        <v>1049</v>
      </c>
      <c r="AU308" s="56" t="s">
        <v>1050</v>
      </c>
      <c r="AV308" s="56">
        <v>36</v>
      </c>
      <c r="AW308" s="56" t="s">
        <v>1051</v>
      </c>
      <c r="AX308" s="56" t="s">
        <v>2825</v>
      </c>
      <c r="AY308" s="56" t="s">
        <v>1128</v>
      </c>
      <c r="AZ308" s="56" t="s">
        <v>1054</v>
      </c>
      <c r="BA308" s="56" t="s">
        <v>2826</v>
      </c>
      <c r="BB308" s="56" t="s">
        <v>2827</v>
      </c>
      <c r="BC308" s="56" t="s">
        <v>1057</v>
      </c>
      <c r="BD308" s="56" t="s">
        <v>3179</v>
      </c>
    </row>
    <row r="309" spans="1:56" x14ac:dyDescent="0.2">
      <c r="A309" s="56">
        <v>176728392</v>
      </c>
      <c r="B309" s="56" t="s">
        <v>3311</v>
      </c>
      <c r="C309" s="56" t="s">
        <v>2623</v>
      </c>
      <c r="D309" s="56" t="s">
        <v>3312</v>
      </c>
      <c r="E309" s="56" t="s">
        <v>1044</v>
      </c>
      <c r="F309" s="56">
        <v>258</v>
      </c>
      <c r="G309" s="56" t="s">
        <v>2693</v>
      </c>
      <c r="H309" s="56">
        <v>5442</v>
      </c>
      <c r="I309" s="56">
        <v>7</v>
      </c>
      <c r="J309" s="56" t="s">
        <v>1045</v>
      </c>
      <c r="K309" s="56" t="s">
        <v>1116</v>
      </c>
      <c r="L309" s="121">
        <v>46269</v>
      </c>
      <c r="M309" s="122">
        <v>0.25138888888888888</v>
      </c>
      <c r="N309" s="122">
        <v>0.29097222222222224</v>
      </c>
      <c r="O309" s="56" t="s">
        <v>1047</v>
      </c>
      <c r="P309" s="121">
        <v>46269</v>
      </c>
      <c r="Q309" s="122">
        <v>0.28125</v>
      </c>
      <c r="R309" s="122">
        <v>0.32861111111111113</v>
      </c>
      <c r="S309" s="56" t="s">
        <v>1047</v>
      </c>
      <c r="T309" s="56">
        <v>0</v>
      </c>
      <c r="U309" s="56">
        <v>15</v>
      </c>
      <c r="V309" s="56">
        <v>9.93</v>
      </c>
      <c r="W309" s="56">
        <v>9.31</v>
      </c>
      <c r="X309" s="56">
        <v>34.75</v>
      </c>
      <c r="Y309" s="56">
        <v>8.1199999999999992</v>
      </c>
      <c r="Z309" s="56">
        <v>17.32</v>
      </c>
      <c r="AA309" s="56" t="s">
        <v>419</v>
      </c>
      <c r="AB309" s="56">
        <v>14122394</v>
      </c>
      <c r="AC309" s="56" t="s">
        <v>419</v>
      </c>
      <c r="AD309" s="56">
        <v>14122394</v>
      </c>
      <c r="AE309" s="56" t="s">
        <v>2626</v>
      </c>
      <c r="AF309" s="56" t="s">
        <v>2627</v>
      </c>
      <c r="AG309" s="56" t="s">
        <v>2627</v>
      </c>
      <c r="AH309" s="56">
        <v>36</v>
      </c>
      <c r="AI309" s="56" t="s">
        <v>2628</v>
      </c>
      <c r="AJ309" s="56" t="s">
        <v>2640</v>
      </c>
      <c r="AK309" s="56">
        <v>0</v>
      </c>
      <c r="AL309" s="56" t="s">
        <v>2630</v>
      </c>
      <c r="AM309" s="56" t="s">
        <v>2631</v>
      </c>
      <c r="AN309" s="56" t="s">
        <v>2632</v>
      </c>
      <c r="AO309" s="56" t="s">
        <v>2627</v>
      </c>
      <c r="AP309" s="56" t="s">
        <v>2624</v>
      </c>
      <c r="AQ309" s="123">
        <v>3.9583333333333359E-2</v>
      </c>
      <c r="AR309" s="122">
        <v>4.7361111111111132E-2</v>
      </c>
      <c r="AS309" s="56" t="s">
        <v>1048</v>
      </c>
      <c r="AT309" s="56" t="s">
        <v>1059</v>
      </c>
      <c r="AU309" s="56" t="s">
        <v>1060</v>
      </c>
      <c r="AV309" s="56">
        <v>36</v>
      </c>
      <c r="AW309" s="56" t="s">
        <v>1051</v>
      </c>
      <c r="AX309" s="56" t="s">
        <v>3313</v>
      </c>
      <c r="AY309" s="56" t="s">
        <v>1128</v>
      </c>
      <c r="AZ309" s="56" t="s">
        <v>1054</v>
      </c>
      <c r="BA309" s="56" t="s">
        <v>3314</v>
      </c>
      <c r="BB309" s="56" t="s">
        <v>3315</v>
      </c>
      <c r="BC309" s="56" t="s">
        <v>1057</v>
      </c>
      <c r="BD309" s="56" t="s">
        <v>3316</v>
      </c>
    </row>
    <row r="310" spans="1:56" x14ac:dyDescent="0.2">
      <c r="A310" s="56">
        <v>176722229</v>
      </c>
      <c r="B310" s="56" t="s">
        <v>3317</v>
      </c>
      <c r="C310" s="56" t="s">
        <v>2623</v>
      </c>
      <c r="D310" s="56" t="s">
        <v>3318</v>
      </c>
      <c r="E310" s="56" t="s">
        <v>1044</v>
      </c>
      <c r="F310" s="56">
        <v>96</v>
      </c>
      <c r="G310" s="56" t="s">
        <v>2714</v>
      </c>
      <c r="H310" s="56">
        <v>5035</v>
      </c>
      <c r="I310" s="56">
        <v>6</v>
      </c>
      <c r="J310" s="56" t="s">
        <v>1045</v>
      </c>
      <c r="K310" s="56" t="s">
        <v>1374</v>
      </c>
      <c r="L310" s="121">
        <v>46269</v>
      </c>
      <c r="M310" s="122">
        <v>0.27083333333333331</v>
      </c>
      <c r="N310" s="122">
        <v>0.27569444444444446</v>
      </c>
      <c r="O310" s="56" t="s">
        <v>1047</v>
      </c>
      <c r="P310" s="121">
        <v>46269</v>
      </c>
      <c r="Q310" s="122">
        <v>0.34722222222222221</v>
      </c>
      <c r="R310" s="122">
        <v>0.33124999999999999</v>
      </c>
      <c r="S310" s="56" t="s">
        <v>1047</v>
      </c>
      <c r="T310" s="56">
        <v>1</v>
      </c>
      <c r="U310" s="56">
        <v>67</v>
      </c>
      <c r="V310" s="56">
        <v>65.010000000000005</v>
      </c>
      <c r="W310" s="56">
        <v>62.53</v>
      </c>
      <c r="X310" s="56">
        <v>82.56</v>
      </c>
      <c r="Y310" s="56">
        <v>7.24</v>
      </c>
      <c r="Z310" s="56">
        <v>12.79</v>
      </c>
      <c r="AA310" s="56" t="s">
        <v>1460</v>
      </c>
      <c r="AB310" s="56">
        <v>14122035</v>
      </c>
      <c r="AC310" s="56" t="s">
        <v>1460</v>
      </c>
      <c r="AD310" s="56">
        <v>14122035</v>
      </c>
      <c r="AE310" s="56" t="s">
        <v>2626</v>
      </c>
      <c r="AF310" s="56" t="s">
        <v>2627</v>
      </c>
      <c r="AG310" s="56" t="s">
        <v>2627</v>
      </c>
      <c r="AH310" s="56">
        <v>36</v>
      </c>
      <c r="AI310" s="56" t="s">
        <v>2628</v>
      </c>
      <c r="AJ310" s="56" t="s">
        <v>2629</v>
      </c>
      <c r="AK310" s="56">
        <v>0</v>
      </c>
      <c r="AL310" s="56" t="s">
        <v>2630</v>
      </c>
      <c r="AM310" s="56" t="s">
        <v>2631</v>
      </c>
      <c r="AN310" s="56" t="s">
        <v>2632</v>
      </c>
      <c r="AO310" s="56" t="s">
        <v>2627</v>
      </c>
      <c r="AP310" s="56">
        <v>20</v>
      </c>
      <c r="AQ310" s="123">
        <v>4.8611111111111494E-3</v>
      </c>
      <c r="AR310" s="122">
        <v>-1.5972222222222221E-2</v>
      </c>
      <c r="AS310" s="56" t="s">
        <v>1048</v>
      </c>
      <c r="AT310" s="56" t="s">
        <v>1049</v>
      </c>
      <c r="AU310" s="56" t="s">
        <v>1050</v>
      </c>
      <c r="AV310" s="56">
        <v>36</v>
      </c>
      <c r="AW310" s="56" t="s">
        <v>1051</v>
      </c>
      <c r="AX310" s="56" t="s">
        <v>3319</v>
      </c>
      <c r="AY310" s="56" t="s">
        <v>1375</v>
      </c>
      <c r="AZ310" s="56" t="s">
        <v>1067</v>
      </c>
      <c r="BA310" s="56" t="s">
        <v>3320</v>
      </c>
      <c r="BB310" s="56" t="s">
        <v>3321</v>
      </c>
      <c r="BC310" s="56" t="s">
        <v>1057</v>
      </c>
      <c r="BD310" s="56" t="s">
        <v>3322</v>
      </c>
    </row>
    <row r="311" spans="1:56" x14ac:dyDescent="0.2">
      <c r="A311" s="56">
        <v>176715327</v>
      </c>
      <c r="B311" s="56" t="s">
        <v>1367</v>
      </c>
      <c r="C311" s="56" t="s">
        <v>2623</v>
      </c>
      <c r="D311" s="56" t="s">
        <v>1368</v>
      </c>
      <c r="E311" s="56" t="s">
        <v>1044</v>
      </c>
      <c r="F311" s="56">
        <v>1</v>
      </c>
      <c r="G311" s="56" t="s">
        <v>2713</v>
      </c>
      <c r="H311" s="56">
        <v>17355</v>
      </c>
      <c r="I311" s="56">
        <v>6</v>
      </c>
      <c r="J311" s="56" t="s">
        <v>1045</v>
      </c>
      <c r="K311" s="56" t="s">
        <v>1091</v>
      </c>
      <c r="L311" s="121">
        <v>46269</v>
      </c>
      <c r="M311" s="122">
        <v>0.27430555555555558</v>
      </c>
      <c r="N311" s="122">
        <v>0.29236111111111113</v>
      </c>
      <c r="O311" s="56" t="s">
        <v>1047</v>
      </c>
      <c r="P311" s="121">
        <v>46269</v>
      </c>
      <c r="Q311" s="122">
        <v>0.33333333333333331</v>
      </c>
      <c r="R311" s="122">
        <v>0.34805555555555556</v>
      </c>
      <c r="S311" s="56" t="s">
        <v>1047</v>
      </c>
      <c r="T311" s="56">
        <v>1</v>
      </c>
      <c r="U311" s="56">
        <v>28</v>
      </c>
      <c r="V311" s="56">
        <v>24.78</v>
      </c>
      <c r="W311" s="56">
        <v>25.08</v>
      </c>
      <c r="X311" s="56">
        <v>60.2</v>
      </c>
      <c r="Y311" s="56">
        <v>21.5</v>
      </c>
      <c r="Z311" s="56">
        <v>13.62</v>
      </c>
      <c r="AA311" s="56" t="s">
        <v>1448</v>
      </c>
      <c r="AB311" s="56">
        <v>14115917</v>
      </c>
      <c r="AC311" s="56" t="s">
        <v>1448</v>
      </c>
      <c r="AD311" s="56">
        <v>14115917</v>
      </c>
      <c r="AE311" s="56" t="s">
        <v>2626</v>
      </c>
      <c r="AF311" s="56" t="s">
        <v>2627</v>
      </c>
      <c r="AG311" s="56" t="s">
        <v>2627</v>
      </c>
      <c r="AH311" s="56">
        <v>36</v>
      </c>
      <c r="AI311" s="56" t="s">
        <v>2628</v>
      </c>
      <c r="AJ311" s="56" t="s">
        <v>2640</v>
      </c>
      <c r="AK311" s="56">
        <v>0</v>
      </c>
      <c r="AL311" s="56" t="s">
        <v>2630</v>
      </c>
      <c r="AM311" s="56" t="s">
        <v>2631</v>
      </c>
      <c r="AN311" s="56" t="s">
        <v>2632</v>
      </c>
      <c r="AO311" s="56" t="s">
        <v>2627</v>
      </c>
      <c r="AP311" s="56" t="s">
        <v>2624</v>
      </c>
      <c r="AQ311" s="123">
        <v>1.8055555555555547E-2</v>
      </c>
      <c r="AR311" s="122">
        <v>1.4722222222222248E-2</v>
      </c>
      <c r="AS311" s="56" t="s">
        <v>1048</v>
      </c>
      <c r="AT311" s="56" t="s">
        <v>1059</v>
      </c>
      <c r="AU311" s="56" t="s">
        <v>1060</v>
      </c>
      <c r="AV311" s="56">
        <v>36</v>
      </c>
      <c r="AW311" s="56" t="s">
        <v>1051</v>
      </c>
      <c r="AX311" s="56" t="s">
        <v>1370</v>
      </c>
      <c r="AY311" s="56" t="s">
        <v>1093</v>
      </c>
      <c r="AZ311" s="56" t="s">
        <v>1067</v>
      </c>
      <c r="BA311" s="56" t="s">
        <v>1371</v>
      </c>
      <c r="BB311" s="56" t="s">
        <v>1372</v>
      </c>
      <c r="BC311" s="56" t="s">
        <v>1057</v>
      </c>
      <c r="BD311" s="56" t="s">
        <v>1373</v>
      </c>
    </row>
    <row r="312" spans="1:56" x14ac:dyDescent="0.2">
      <c r="A312" s="56">
        <v>176722238</v>
      </c>
      <c r="B312" s="56" t="s">
        <v>2721</v>
      </c>
      <c r="C312" s="56" t="s">
        <v>2623</v>
      </c>
      <c r="D312" s="56" t="s">
        <v>2722</v>
      </c>
      <c r="E312" s="56" t="s">
        <v>1044</v>
      </c>
      <c r="F312" s="56">
        <v>105</v>
      </c>
      <c r="G312" s="56" t="s">
        <v>2714</v>
      </c>
      <c r="H312" s="56">
        <v>6255</v>
      </c>
      <c r="I312" s="56">
        <v>6</v>
      </c>
      <c r="J312" s="56" t="s">
        <v>1045</v>
      </c>
      <c r="K312" s="56" t="s">
        <v>1374</v>
      </c>
      <c r="L312" s="121">
        <v>46269</v>
      </c>
      <c r="M312" s="122">
        <v>0.27777777777777779</v>
      </c>
      <c r="N312" s="122">
        <v>0.28611111111111109</v>
      </c>
      <c r="O312" s="56" t="s">
        <v>1047</v>
      </c>
      <c r="P312" s="121">
        <v>46269</v>
      </c>
      <c r="Q312" s="122">
        <v>0.34722222222222221</v>
      </c>
      <c r="R312" s="122">
        <v>0.33333333333333331</v>
      </c>
      <c r="S312" s="56" t="s">
        <v>1047</v>
      </c>
      <c r="T312" s="56">
        <v>1</v>
      </c>
      <c r="U312" s="56">
        <v>47</v>
      </c>
      <c r="V312" s="56">
        <v>24.7</v>
      </c>
      <c r="W312" s="56">
        <v>34.159999999999997</v>
      </c>
      <c r="X312" s="56">
        <v>58.97</v>
      </c>
      <c r="Y312" s="56">
        <v>21.62</v>
      </c>
      <c r="Z312" s="56">
        <v>3.19</v>
      </c>
      <c r="AA312" s="56" t="s">
        <v>543</v>
      </c>
      <c r="AB312" s="56">
        <v>14123541</v>
      </c>
      <c r="AC312" s="56" t="s">
        <v>543</v>
      </c>
      <c r="AD312" s="56">
        <v>14123541</v>
      </c>
      <c r="AE312" s="56" t="s">
        <v>2626</v>
      </c>
      <c r="AF312" s="56" t="s">
        <v>2627</v>
      </c>
      <c r="AG312" s="56" t="s">
        <v>2627</v>
      </c>
      <c r="AH312" s="56">
        <v>36</v>
      </c>
      <c r="AI312" s="56" t="s">
        <v>2628</v>
      </c>
      <c r="AJ312" s="56" t="s">
        <v>2629</v>
      </c>
      <c r="AK312" s="56">
        <v>0</v>
      </c>
      <c r="AL312" s="56" t="s">
        <v>2630</v>
      </c>
      <c r="AM312" s="56" t="s">
        <v>2631</v>
      </c>
      <c r="AN312" s="56" t="s">
        <v>2632</v>
      </c>
      <c r="AO312" s="56" t="s">
        <v>2627</v>
      </c>
      <c r="AP312" s="56">
        <v>38</v>
      </c>
      <c r="AQ312" s="123">
        <v>8.3333333333333037E-3</v>
      </c>
      <c r="AR312" s="122">
        <v>-1.3888888888888895E-2</v>
      </c>
      <c r="AS312" s="56" t="s">
        <v>1048</v>
      </c>
      <c r="AT312" s="56" t="s">
        <v>1049</v>
      </c>
      <c r="AU312" s="56" t="s">
        <v>1050</v>
      </c>
      <c r="AV312" s="56">
        <v>36</v>
      </c>
      <c r="AW312" s="56" t="s">
        <v>1051</v>
      </c>
      <c r="AX312" s="56" t="s">
        <v>2723</v>
      </c>
      <c r="AY312" s="56" t="s">
        <v>1375</v>
      </c>
      <c r="AZ312" s="56" t="s">
        <v>1067</v>
      </c>
      <c r="BA312" s="56" t="s">
        <v>2724</v>
      </c>
      <c r="BB312" s="56" t="s">
        <v>2725</v>
      </c>
      <c r="BC312" s="56" t="s">
        <v>1057</v>
      </c>
      <c r="BD312" s="56" t="s">
        <v>2726</v>
      </c>
    </row>
    <row r="313" spans="1:56" x14ac:dyDescent="0.2">
      <c r="A313" s="56">
        <v>176722250</v>
      </c>
      <c r="B313" s="56" t="s">
        <v>1376</v>
      </c>
      <c r="C313" s="56" t="s">
        <v>2623</v>
      </c>
      <c r="D313" s="56" t="s">
        <v>1122</v>
      </c>
      <c r="E313" s="56" t="s">
        <v>1044</v>
      </c>
      <c r="F313" s="56">
        <v>117</v>
      </c>
      <c r="G313" s="56" t="s">
        <v>2714</v>
      </c>
      <c r="H313" s="56">
        <v>5531</v>
      </c>
      <c r="I313" s="56">
        <v>6</v>
      </c>
      <c r="J313" s="56" t="s">
        <v>1045</v>
      </c>
      <c r="K313" s="56" t="s">
        <v>1374</v>
      </c>
      <c r="L313" s="121">
        <v>46269</v>
      </c>
      <c r="M313" s="122">
        <v>0.27777777777777779</v>
      </c>
      <c r="N313" s="122">
        <v>0.28402777777777777</v>
      </c>
      <c r="O313" s="56" t="s">
        <v>1047</v>
      </c>
      <c r="P313" s="121">
        <v>46269</v>
      </c>
      <c r="Q313" s="122">
        <v>0.34722222222222221</v>
      </c>
      <c r="R313" s="122">
        <v>0.33424768518518516</v>
      </c>
      <c r="S313" s="56" t="s">
        <v>1047</v>
      </c>
      <c r="T313" s="56">
        <v>1</v>
      </c>
      <c r="U313" s="56">
        <v>42</v>
      </c>
      <c r="V313" s="56">
        <v>27.92</v>
      </c>
      <c r="W313" s="56">
        <v>29.07</v>
      </c>
      <c r="X313" s="56">
        <v>40.869999999999997</v>
      </c>
      <c r="Y313" s="56">
        <v>10.68</v>
      </c>
      <c r="Z313" s="56">
        <v>1.1200000000000001</v>
      </c>
      <c r="AA313" s="56" t="s">
        <v>434</v>
      </c>
      <c r="AB313" s="56">
        <v>14122546</v>
      </c>
      <c r="AC313" s="56" t="s">
        <v>434</v>
      </c>
      <c r="AD313" s="56">
        <v>14122546</v>
      </c>
      <c r="AE313" s="56" t="s">
        <v>2626</v>
      </c>
      <c r="AF313" s="56" t="s">
        <v>2627</v>
      </c>
      <c r="AG313" s="56" t="s">
        <v>2627</v>
      </c>
      <c r="AH313" s="56">
        <v>36</v>
      </c>
      <c r="AI313" s="56" t="s">
        <v>2628</v>
      </c>
      <c r="AJ313" s="56" t="s">
        <v>2629</v>
      </c>
      <c r="AK313" s="56">
        <v>0</v>
      </c>
      <c r="AL313" s="56" t="s">
        <v>2630</v>
      </c>
      <c r="AM313" s="56" t="s">
        <v>2631</v>
      </c>
      <c r="AN313" s="56" t="s">
        <v>2632</v>
      </c>
      <c r="AO313" s="56" t="s">
        <v>2627</v>
      </c>
      <c r="AP313" s="56" t="s">
        <v>2624</v>
      </c>
      <c r="AQ313" s="123">
        <v>6.2499999999999778E-3</v>
      </c>
      <c r="AR313" s="122">
        <v>-1.2974537037037048E-2</v>
      </c>
      <c r="AS313" s="56" t="s">
        <v>1048</v>
      </c>
      <c r="AT313" s="56" t="s">
        <v>1049</v>
      </c>
      <c r="AU313" s="56" t="s">
        <v>1050</v>
      </c>
      <c r="AV313" s="56">
        <v>36</v>
      </c>
      <c r="AW313" s="56" t="s">
        <v>1051</v>
      </c>
      <c r="AX313" s="56" t="s">
        <v>1377</v>
      </c>
      <c r="AY313" s="56" t="s">
        <v>1375</v>
      </c>
      <c r="AZ313" s="56" t="s">
        <v>1067</v>
      </c>
      <c r="BA313" s="56" t="s">
        <v>1378</v>
      </c>
      <c r="BB313" s="56" t="s">
        <v>1379</v>
      </c>
      <c r="BC313" s="56" t="s">
        <v>1057</v>
      </c>
      <c r="BD313" s="56" t="s">
        <v>1380</v>
      </c>
    </row>
    <row r="314" spans="1:56" x14ac:dyDescent="0.2">
      <c r="A314" s="56">
        <v>176722249</v>
      </c>
      <c r="B314" s="56" t="s">
        <v>1563</v>
      </c>
      <c r="C314" s="56" t="s">
        <v>2623</v>
      </c>
      <c r="D314" s="56" t="s">
        <v>1509</v>
      </c>
      <c r="E314" s="56" t="s">
        <v>1044</v>
      </c>
      <c r="F314" s="56">
        <v>116</v>
      </c>
      <c r="G314" s="56" t="s">
        <v>2727</v>
      </c>
      <c r="H314" s="56">
        <v>16768</v>
      </c>
      <c r="I314" s="56">
        <v>6</v>
      </c>
      <c r="J314" s="56" t="s">
        <v>1045</v>
      </c>
      <c r="K314" s="56" t="s">
        <v>1374</v>
      </c>
      <c r="L314" s="121">
        <v>46269</v>
      </c>
      <c r="M314" s="122">
        <v>0.28125</v>
      </c>
      <c r="N314" s="122">
        <v>0.28472222222222221</v>
      </c>
      <c r="O314" s="56" t="s">
        <v>1047</v>
      </c>
      <c r="P314" s="121">
        <v>46269</v>
      </c>
      <c r="Q314" s="122">
        <v>0.34722222222222221</v>
      </c>
      <c r="R314" s="122">
        <v>0.34031250000000002</v>
      </c>
      <c r="S314" s="56" t="s">
        <v>1047</v>
      </c>
      <c r="T314" s="56">
        <v>1</v>
      </c>
      <c r="U314" s="56">
        <v>43</v>
      </c>
      <c r="V314" s="56">
        <v>41.14</v>
      </c>
      <c r="W314" s="56">
        <v>41.19</v>
      </c>
      <c r="X314" s="56">
        <v>70.44</v>
      </c>
      <c r="Y314" s="56">
        <v>17.38</v>
      </c>
      <c r="Z314" s="56">
        <v>11.87</v>
      </c>
      <c r="AA314" s="56" t="s">
        <v>15</v>
      </c>
      <c r="AB314" s="56">
        <v>14100729</v>
      </c>
      <c r="AC314" s="56" t="s">
        <v>15</v>
      </c>
      <c r="AD314" s="56">
        <v>14100729</v>
      </c>
      <c r="AE314" s="56" t="s">
        <v>2626</v>
      </c>
      <c r="AF314" s="56" t="s">
        <v>2627</v>
      </c>
      <c r="AG314" s="56" t="s">
        <v>2627</v>
      </c>
      <c r="AH314" s="56">
        <v>36</v>
      </c>
      <c r="AI314" s="56" t="s">
        <v>2628</v>
      </c>
      <c r="AJ314" s="56" t="s">
        <v>2629</v>
      </c>
      <c r="AK314" s="56">
        <v>0</v>
      </c>
      <c r="AL314" s="56" t="s">
        <v>2630</v>
      </c>
      <c r="AM314" s="56" t="s">
        <v>2631</v>
      </c>
      <c r="AN314" s="56" t="s">
        <v>2632</v>
      </c>
      <c r="AO314" s="56" t="s">
        <v>2627</v>
      </c>
      <c r="AP314" s="56">
        <v>32</v>
      </c>
      <c r="AQ314" s="123">
        <v>3.4722222222222099E-3</v>
      </c>
      <c r="AR314" s="122">
        <v>-6.9097222222221921E-3</v>
      </c>
      <c r="AS314" s="56" t="s">
        <v>1048</v>
      </c>
      <c r="AT314" s="56" t="s">
        <v>1049</v>
      </c>
      <c r="AU314" s="56" t="s">
        <v>1050</v>
      </c>
      <c r="AV314" s="56">
        <v>36</v>
      </c>
      <c r="AW314" s="56" t="s">
        <v>1051</v>
      </c>
      <c r="AX314" s="56" t="s">
        <v>1564</v>
      </c>
      <c r="AY314" s="56" t="s">
        <v>1375</v>
      </c>
      <c r="AZ314" s="56" t="s">
        <v>1067</v>
      </c>
      <c r="BA314" s="56" t="s">
        <v>1565</v>
      </c>
      <c r="BB314" s="56" t="s">
        <v>1566</v>
      </c>
      <c r="BC314" s="56" t="s">
        <v>1057</v>
      </c>
      <c r="BD314" s="56" t="s">
        <v>1567</v>
      </c>
    </row>
    <row r="315" spans="1:56" x14ac:dyDescent="0.2">
      <c r="A315" s="56">
        <v>176722246</v>
      </c>
      <c r="B315" s="56" t="s">
        <v>1381</v>
      </c>
      <c r="C315" s="56" t="s">
        <v>2623</v>
      </c>
      <c r="D315" s="56" t="s">
        <v>1382</v>
      </c>
      <c r="E315" s="56" t="s">
        <v>1044</v>
      </c>
      <c r="F315" s="56">
        <v>113</v>
      </c>
      <c r="G315" s="56" t="s">
        <v>2727</v>
      </c>
      <c r="H315" s="56">
        <v>16766</v>
      </c>
      <c r="I315" s="56">
        <v>6</v>
      </c>
      <c r="J315" s="56" t="s">
        <v>1045</v>
      </c>
      <c r="K315" s="56" t="s">
        <v>1374</v>
      </c>
      <c r="L315" s="121">
        <v>46269</v>
      </c>
      <c r="M315" s="122">
        <v>0.28333333333333333</v>
      </c>
      <c r="N315" s="122">
        <v>0.31319444444444444</v>
      </c>
      <c r="O315" s="56" t="s">
        <v>1047</v>
      </c>
      <c r="P315" s="121">
        <v>46269</v>
      </c>
      <c r="Q315" s="122">
        <v>0.34722222222222221</v>
      </c>
      <c r="R315" s="122">
        <v>0.35499999999999998</v>
      </c>
      <c r="S315" s="56" t="s">
        <v>1047</v>
      </c>
      <c r="T315" s="56">
        <v>1</v>
      </c>
      <c r="U315" s="56">
        <v>30</v>
      </c>
      <c r="V315" s="56">
        <v>24.76</v>
      </c>
      <c r="W315" s="56">
        <v>24.59</v>
      </c>
      <c r="X315" s="56">
        <v>41</v>
      </c>
      <c r="Y315" s="56">
        <v>7.98</v>
      </c>
      <c r="Z315" s="56">
        <v>8.43</v>
      </c>
      <c r="AA315" s="56" t="s">
        <v>263</v>
      </c>
      <c r="AB315" s="56">
        <v>14119825</v>
      </c>
      <c r="AC315" s="56" t="s">
        <v>263</v>
      </c>
      <c r="AD315" s="56">
        <v>14119825</v>
      </c>
      <c r="AE315" s="56" t="s">
        <v>2626</v>
      </c>
      <c r="AF315" s="56" t="s">
        <v>2627</v>
      </c>
      <c r="AG315" s="56" t="s">
        <v>2627</v>
      </c>
      <c r="AH315" s="56">
        <v>36</v>
      </c>
      <c r="AI315" s="56" t="s">
        <v>2628</v>
      </c>
      <c r="AJ315" s="56" t="s">
        <v>2640</v>
      </c>
      <c r="AK315" s="56">
        <v>0</v>
      </c>
      <c r="AL315" s="56" t="s">
        <v>2630</v>
      </c>
      <c r="AM315" s="56" t="s">
        <v>2631</v>
      </c>
      <c r="AN315" s="56" t="s">
        <v>2632</v>
      </c>
      <c r="AO315" s="56" t="s">
        <v>2627</v>
      </c>
      <c r="AP315" s="56" t="s">
        <v>2624</v>
      </c>
      <c r="AQ315" s="123">
        <v>2.9861111111111116E-2</v>
      </c>
      <c r="AR315" s="122">
        <v>7.7777777777777724E-3</v>
      </c>
      <c r="AS315" s="56" t="s">
        <v>1048</v>
      </c>
      <c r="AT315" s="56" t="s">
        <v>1059</v>
      </c>
      <c r="AU315" s="56" t="s">
        <v>1060</v>
      </c>
      <c r="AV315" s="56">
        <v>36</v>
      </c>
      <c r="AW315" s="56" t="s">
        <v>1051</v>
      </c>
      <c r="AX315" s="56" t="s">
        <v>1383</v>
      </c>
      <c r="AY315" s="56" t="s">
        <v>1375</v>
      </c>
      <c r="AZ315" s="56" t="s">
        <v>1067</v>
      </c>
      <c r="BA315" s="56" t="s">
        <v>1384</v>
      </c>
      <c r="BB315" s="56" t="s">
        <v>1385</v>
      </c>
      <c r="BC315" s="56" t="s">
        <v>1057</v>
      </c>
      <c r="BD315" s="56" t="s">
        <v>1386</v>
      </c>
    </row>
    <row r="316" spans="1:56" x14ac:dyDescent="0.2">
      <c r="A316" s="56">
        <v>176721645</v>
      </c>
      <c r="B316" s="56" t="s">
        <v>2728</v>
      </c>
      <c r="C316" s="56" t="s">
        <v>2623</v>
      </c>
      <c r="D316" s="56" t="s">
        <v>1456</v>
      </c>
      <c r="E316" s="56" t="s">
        <v>1044</v>
      </c>
      <c r="F316" s="56">
        <v>22</v>
      </c>
      <c r="G316" s="56"/>
      <c r="H316" s="56">
        <v>13446</v>
      </c>
      <c r="I316" s="56">
        <v>6</v>
      </c>
      <c r="J316" s="56" t="s">
        <v>1045</v>
      </c>
      <c r="K316" s="56" t="s">
        <v>1457</v>
      </c>
      <c r="L316" s="121">
        <v>46269</v>
      </c>
      <c r="M316" s="122">
        <v>0.28472222222222221</v>
      </c>
      <c r="N316" s="122">
        <v>0.29722222222222222</v>
      </c>
      <c r="O316" s="56" t="s">
        <v>1047</v>
      </c>
      <c r="P316" s="121">
        <v>46269</v>
      </c>
      <c r="Q316" s="122">
        <v>0.3263888888888889</v>
      </c>
      <c r="R316" s="122">
        <v>0.28745370370370371</v>
      </c>
      <c r="S316" s="56" t="s">
        <v>1047</v>
      </c>
      <c r="T316" s="56">
        <v>1</v>
      </c>
      <c r="U316" s="56">
        <v>35</v>
      </c>
      <c r="V316" s="56">
        <v>26.3</v>
      </c>
      <c r="W316" s="56">
        <v>26.98</v>
      </c>
      <c r="X316" s="56">
        <v>76.86</v>
      </c>
      <c r="Y316" s="56">
        <v>27.31</v>
      </c>
      <c r="Z316" s="56">
        <v>22.57</v>
      </c>
      <c r="AA316" s="56" t="s">
        <v>3124</v>
      </c>
      <c r="AB316" s="56">
        <v>14108552</v>
      </c>
      <c r="AC316" s="56" t="s">
        <v>3124</v>
      </c>
      <c r="AD316" s="56">
        <v>14108552</v>
      </c>
      <c r="AE316" s="56" t="s">
        <v>2626</v>
      </c>
      <c r="AF316" s="56" t="s">
        <v>2627</v>
      </c>
      <c r="AG316" s="56" t="s">
        <v>2627</v>
      </c>
      <c r="AH316" s="56">
        <v>36</v>
      </c>
      <c r="AI316" s="56" t="s">
        <v>2628</v>
      </c>
      <c r="AJ316" s="56" t="s">
        <v>2629</v>
      </c>
      <c r="AK316" s="56">
        <v>0</v>
      </c>
      <c r="AL316" s="56" t="s">
        <v>2630</v>
      </c>
      <c r="AM316" s="56" t="s">
        <v>2631</v>
      </c>
      <c r="AN316" s="56" t="s">
        <v>2632</v>
      </c>
      <c r="AO316" s="56" t="s">
        <v>2627</v>
      </c>
      <c r="AP316" s="56" t="s">
        <v>2624</v>
      </c>
      <c r="AQ316" s="123">
        <v>1.2500000000000011E-2</v>
      </c>
      <c r="AR316" s="122">
        <v>-3.8935185185185184E-2</v>
      </c>
      <c r="AS316" s="56" t="s">
        <v>1048</v>
      </c>
      <c r="AT316" s="56" t="s">
        <v>1049</v>
      </c>
      <c r="AU316" s="56" t="s">
        <v>1050</v>
      </c>
      <c r="AV316" s="56">
        <v>36</v>
      </c>
      <c r="AW316" s="56" t="s">
        <v>1051</v>
      </c>
      <c r="AX316" s="56" t="s">
        <v>1458</v>
      </c>
      <c r="AY316" s="56" t="s">
        <v>1259</v>
      </c>
      <c r="AZ316" s="56" t="s">
        <v>1062</v>
      </c>
      <c r="BA316" s="56" t="s">
        <v>1459</v>
      </c>
      <c r="BB316" s="56" t="s">
        <v>2729</v>
      </c>
      <c r="BC316" s="56" t="s">
        <v>1057</v>
      </c>
      <c r="BD316" s="56" t="s">
        <v>2730</v>
      </c>
    </row>
    <row r="317" spans="1:56" x14ac:dyDescent="0.2">
      <c r="A317" s="56">
        <v>176722209</v>
      </c>
      <c r="B317" s="56" t="s">
        <v>1387</v>
      </c>
      <c r="C317" s="56" t="s">
        <v>2623</v>
      </c>
      <c r="D317" s="56" t="s">
        <v>1388</v>
      </c>
      <c r="E317" s="56" t="s">
        <v>1044</v>
      </c>
      <c r="F317" s="56">
        <v>76</v>
      </c>
      <c r="G317" s="56" t="s">
        <v>2714</v>
      </c>
      <c r="H317" s="56">
        <v>13408</v>
      </c>
      <c r="I317" s="56">
        <v>6</v>
      </c>
      <c r="J317" s="56" t="s">
        <v>1045</v>
      </c>
      <c r="K317" s="56" t="s">
        <v>1374</v>
      </c>
      <c r="L317" s="121">
        <v>46269</v>
      </c>
      <c r="M317" s="122">
        <v>0.28472222222222221</v>
      </c>
      <c r="N317" s="122">
        <v>0.29722222222222222</v>
      </c>
      <c r="O317" s="56" t="s">
        <v>1047</v>
      </c>
      <c r="P317" s="121">
        <v>46269</v>
      </c>
      <c r="Q317" s="122">
        <v>0.34722222222222221</v>
      </c>
      <c r="R317" s="122">
        <v>0.34468749999999998</v>
      </c>
      <c r="S317" s="56" t="s">
        <v>1047</v>
      </c>
      <c r="T317" s="56">
        <v>1</v>
      </c>
      <c r="U317" s="56">
        <v>35</v>
      </c>
      <c r="V317" s="56">
        <v>33.729999999999997</v>
      </c>
      <c r="W317" s="56">
        <v>33.79</v>
      </c>
      <c r="X317" s="56">
        <v>49.75</v>
      </c>
      <c r="Y317" s="56">
        <v>13.15</v>
      </c>
      <c r="Z317" s="56">
        <v>2.81</v>
      </c>
      <c r="AA317" s="56" t="s">
        <v>545</v>
      </c>
      <c r="AB317" s="56">
        <v>14123559</v>
      </c>
      <c r="AC317" s="56" t="s">
        <v>545</v>
      </c>
      <c r="AD317" s="56">
        <v>14123559</v>
      </c>
      <c r="AE317" s="56" t="s">
        <v>2626</v>
      </c>
      <c r="AF317" s="56" t="s">
        <v>2627</v>
      </c>
      <c r="AG317" s="56" t="s">
        <v>2627</v>
      </c>
      <c r="AH317" s="56">
        <v>36</v>
      </c>
      <c r="AI317" s="56" t="s">
        <v>2628</v>
      </c>
      <c r="AJ317" s="56" t="s">
        <v>2629</v>
      </c>
      <c r="AK317" s="56">
        <v>0</v>
      </c>
      <c r="AL317" s="56" t="s">
        <v>2630</v>
      </c>
      <c r="AM317" s="56" t="s">
        <v>2631</v>
      </c>
      <c r="AN317" s="56" t="s">
        <v>2632</v>
      </c>
      <c r="AO317" s="56" t="s">
        <v>2627</v>
      </c>
      <c r="AP317" s="56" t="s">
        <v>2624</v>
      </c>
      <c r="AQ317" s="123">
        <v>1.2500000000000011E-2</v>
      </c>
      <c r="AR317" s="122">
        <v>-2.5347222222222299E-3</v>
      </c>
      <c r="AS317" s="56" t="s">
        <v>1048</v>
      </c>
      <c r="AT317" s="56" t="s">
        <v>1049</v>
      </c>
      <c r="AU317" s="56" t="s">
        <v>1050</v>
      </c>
      <c r="AV317" s="56">
        <v>36</v>
      </c>
      <c r="AW317" s="56" t="s">
        <v>1051</v>
      </c>
      <c r="AX317" s="56" t="s">
        <v>1389</v>
      </c>
      <c r="AY317" s="56" t="s">
        <v>1375</v>
      </c>
      <c r="AZ317" s="56" t="s">
        <v>1067</v>
      </c>
      <c r="BA317" s="56" t="s">
        <v>1390</v>
      </c>
      <c r="BB317" s="56" t="s">
        <v>1391</v>
      </c>
      <c r="BC317" s="56" t="s">
        <v>1057</v>
      </c>
      <c r="BD317" s="56" t="s">
        <v>1392</v>
      </c>
    </row>
    <row r="318" spans="1:56" x14ac:dyDescent="0.2">
      <c r="A318" s="56">
        <v>176722233</v>
      </c>
      <c r="B318" s="56" t="s">
        <v>3323</v>
      </c>
      <c r="C318" s="56" t="s">
        <v>2623</v>
      </c>
      <c r="D318" s="56" t="s">
        <v>3324</v>
      </c>
      <c r="E318" s="56" t="s">
        <v>1044</v>
      </c>
      <c r="F318" s="56">
        <v>100</v>
      </c>
      <c r="G318" s="56" t="s">
        <v>2727</v>
      </c>
      <c r="H318" s="56">
        <v>17346</v>
      </c>
      <c r="I318" s="56">
        <v>6</v>
      </c>
      <c r="J318" s="56" t="s">
        <v>1045</v>
      </c>
      <c r="K318" s="56" t="s">
        <v>1374</v>
      </c>
      <c r="L318" s="121">
        <v>46269</v>
      </c>
      <c r="M318" s="122">
        <v>0.28472222222222221</v>
      </c>
      <c r="N318" s="122">
        <v>0.30486111111111114</v>
      </c>
      <c r="O318" s="56" t="s">
        <v>1047</v>
      </c>
      <c r="P318" s="121">
        <v>46269</v>
      </c>
      <c r="Q318" s="122">
        <v>0.34722222222222221</v>
      </c>
      <c r="R318" s="122">
        <v>0.3385185185185185</v>
      </c>
      <c r="S318" s="56" t="s">
        <v>1047</v>
      </c>
      <c r="T318" s="56">
        <v>1</v>
      </c>
      <c r="U318" s="56">
        <v>24</v>
      </c>
      <c r="V318" s="56">
        <v>20.07</v>
      </c>
      <c r="W318" s="56">
        <v>20.65</v>
      </c>
      <c r="X318" s="56">
        <v>48.05</v>
      </c>
      <c r="Y318" s="56">
        <v>9.7200000000000006</v>
      </c>
      <c r="Z318" s="56">
        <v>17.68</v>
      </c>
      <c r="AA318" s="56" t="s">
        <v>990</v>
      </c>
      <c r="AB318" s="56">
        <v>14123919</v>
      </c>
      <c r="AC318" s="56" t="s">
        <v>990</v>
      </c>
      <c r="AD318" s="56">
        <v>14123919</v>
      </c>
      <c r="AE318" s="56" t="s">
        <v>2626</v>
      </c>
      <c r="AF318" s="56" t="s">
        <v>2627</v>
      </c>
      <c r="AG318" s="56" t="s">
        <v>2627</v>
      </c>
      <c r="AH318" s="56">
        <v>36</v>
      </c>
      <c r="AI318" s="56" t="s">
        <v>2628</v>
      </c>
      <c r="AJ318" s="56" t="s">
        <v>2629</v>
      </c>
      <c r="AK318" s="56">
        <v>0</v>
      </c>
      <c r="AL318" s="56" t="s">
        <v>2630</v>
      </c>
      <c r="AM318" s="56" t="s">
        <v>2631</v>
      </c>
      <c r="AN318" s="56" t="s">
        <v>2632</v>
      </c>
      <c r="AO318" s="56" t="s">
        <v>2627</v>
      </c>
      <c r="AP318" s="56" t="s">
        <v>2624</v>
      </c>
      <c r="AQ318" s="123">
        <v>2.0138888888888928E-2</v>
      </c>
      <c r="AR318" s="122">
        <v>-8.7037037037037135E-3</v>
      </c>
      <c r="AS318" s="56" t="s">
        <v>1048</v>
      </c>
      <c r="AT318" s="56" t="s">
        <v>1049</v>
      </c>
      <c r="AU318" s="56" t="s">
        <v>1050</v>
      </c>
      <c r="AV318" s="56">
        <v>36</v>
      </c>
      <c r="AW318" s="56" t="s">
        <v>1051</v>
      </c>
      <c r="AX318" s="56" t="s">
        <v>3325</v>
      </c>
      <c r="AY318" s="56" t="s">
        <v>1375</v>
      </c>
      <c r="AZ318" s="56" t="s">
        <v>1067</v>
      </c>
      <c r="BA318" s="56" t="s">
        <v>3326</v>
      </c>
      <c r="BB318" s="56" t="s">
        <v>3327</v>
      </c>
      <c r="BC318" s="56" t="s">
        <v>1057</v>
      </c>
      <c r="BD318" s="56" t="s">
        <v>3328</v>
      </c>
    </row>
    <row r="319" spans="1:56" x14ac:dyDescent="0.2">
      <c r="A319" s="56">
        <v>176722239</v>
      </c>
      <c r="B319" s="56" t="s">
        <v>1691</v>
      </c>
      <c r="C319" s="56" t="s">
        <v>2623</v>
      </c>
      <c r="D319" s="56" t="s">
        <v>1692</v>
      </c>
      <c r="E319" s="56" t="s">
        <v>1044</v>
      </c>
      <c r="F319" s="56">
        <v>106</v>
      </c>
      <c r="G319" s="56" t="s">
        <v>2727</v>
      </c>
      <c r="H319" s="56">
        <v>5530</v>
      </c>
      <c r="I319" s="56">
        <v>6</v>
      </c>
      <c r="J319" s="56" t="s">
        <v>1045</v>
      </c>
      <c r="K319" s="56" t="s">
        <v>1374</v>
      </c>
      <c r="L319" s="121">
        <v>46269</v>
      </c>
      <c r="M319" s="122">
        <v>0.28472222222222221</v>
      </c>
      <c r="N319" s="122">
        <v>0.29166666666666669</v>
      </c>
      <c r="O319" s="56" t="s">
        <v>1047</v>
      </c>
      <c r="P319" s="121">
        <v>46269</v>
      </c>
      <c r="Q319" s="122">
        <v>0.34722222222222221</v>
      </c>
      <c r="R319" s="122">
        <v>0.33344907407407409</v>
      </c>
      <c r="S319" s="56" t="s">
        <v>1047</v>
      </c>
      <c r="T319" s="56">
        <v>1</v>
      </c>
      <c r="U319" s="56">
        <v>28</v>
      </c>
      <c r="V319" s="56">
        <v>-13806.24</v>
      </c>
      <c r="W319" s="56">
        <v>20.45</v>
      </c>
      <c r="X319" s="56">
        <v>38.340000000000003</v>
      </c>
      <c r="Y319" s="56">
        <v>12.69</v>
      </c>
      <c r="Z319" s="56">
        <v>5.2</v>
      </c>
      <c r="AA319" s="56" t="s">
        <v>309</v>
      </c>
      <c r="AB319" s="56">
        <v>14120925</v>
      </c>
      <c r="AC319" s="56" t="s">
        <v>309</v>
      </c>
      <c r="AD319" s="56">
        <v>14120925</v>
      </c>
      <c r="AE319" s="56" t="s">
        <v>2626</v>
      </c>
      <c r="AF319" s="56" t="s">
        <v>2627</v>
      </c>
      <c r="AG319" s="56" t="s">
        <v>2627</v>
      </c>
      <c r="AH319" s="56">
        <v>36</v>
      </c>
      <c r="AI319" s="56" t="s">
        <v>2628</v>
      </c>
      <c r="AJ319" s="56" t="s">
        <v>2629</v>
      </c>
      <c r="AK319" s="56">
        <v>0</v>
      </c>
      <c r="AL319" s="56" t="s">
        <v>2630</v>
      </c>
      <c r="AM319" s="56" t="s">
        <v>2631</v>
      </c>
      <c r="AN319" s="56" t="s">
        <v>2632</v>
      </c>
      <c r="AO319" s="56" t="s">
        <v>2627</v>
      </c>
      <c r="AP319" s="56" t="s">
        <v>2624</v>
      </c>
      <c r="AQ319" s="123">
        <v>6.9444444444444753E-3</v>
      </c>
      <c r="AR319" s="122">
        <v>-1.3773148148148118E-2</v>
      </c>
      <c r="AS319" s="56" t="s">
        <v>1048</v>
      </c>
      <c r="AT319" s="56" t="s">
        <v>1049</v>
      </c>
      <c r="AU319" s="56" t="s">
        <v>1050</v>
      </c>
      <c r="AV319" s="56">
        <v>36</v>
      </c>
      <c r="AW319" s="56" t="s">
        <v>1051</v>
      </c>
      <c r="AX319" s="56" t="s">
        <v>1693</v>
      </c>
      <c r="AY319" s="56" t="s">
        <v>1375</v>
      </c>
      <c r="AZ319" s="56" t="s">
        <v>1067</v>
      </c>
      <c r="BA319" s="56" t="s">
        <v>1694</v>
      </c>
      <c r="BB319" s="56" t="s">
        <v>1695</v>
      </c>
      <c r="BC319" s="56" t="s">
        <v>1057</v>
      </c>
      <c r="BD319" s="56" t="s">
        <v>1696</v>
      </c>
    </row>
    <row r="320" spans="1:56" x14ac:dyDescent="0.2">
      <c r="A320" s="56">
        <v>176722258</v>
      </c>
      <c r="B320" s="56" t="s">
        <v>1393</v>
      </c>
      <c r="C320" s="56" t="s">
        <v>2623</v>
      </c>
      <c r="D320" s="56" t="s">
        <v>1308</v>
      </c>
      <c r="E320" s="56" t="s">
        <v>1044</v>
      </c>
      <c r="F320" s="56">
        <v>126</v>
      </c>
      <c r="G320" s="56" t="s">
        <v>3329</v>
      </c>
      <c r="H320" s="56">
        <v>17362</v>
      </c>
      <c r="I320" s="56">
        <v>6</v>
      </c>
      <c r="J320" s="56" t="s">
        <v>1045</v>
      </c>
      <c r="K320" s="56" t="s">
        <v>1374</v>
      </c>
      <c r="L320" s="121">
        <v>46269</v>
      </c>
      <c r="M320" s="122">
        <v>0.28472222222222221</v>
      </c>
      <c r="N320" s="122">
        <v>0.3034722222222222</v>
      </c>
      <c r="O320" s="56" t="s">
        <v>1047</v>
      </c>
      <c r="P320" s="121">
        <v>46269</v>
      </c>
      <c r="Q320" s="122">
        <v>0.34722222222222221</v>
      </c>
      <c r="R320" s="122">
        <v>0.35405092592592591</v>
      </c>
      <c r="S320" s="56" t="s">
        <v>1047</v>
      </c>
      <c r="T320" s="56">
        <v>1</v>
      </c>
      <c r="U320" s="56">
        <v>32</v>
      </c>
      <c r="V320" s="56">
        <v>28.32</v>
      </c>
      <c r="W320" s="56">
        <v>25.84</v>
      </c>
      <c r="X320" s="56">
        <v>31.86</v>
      </c>
      <c r="Y320" s="56">
        <v>1.47</v>
      </c>
      <c r="Z320" s="56">
        <v>4.55</v>
      </c>
      <c r="AA320" s="56" t="s">
        <v>310</v>
      </c>
      <c r="AB320" s="56">
        <v>14121013</v>
      </c>
      <c r="AC320" s="56" t="s">
        <v>310</v>
      </c>
      <c r="AD320" s="56">
        <v>14121013</v>
      </c>
      <c r="AE320" s="56" t="s">
        <v>2626</v>
      </c>
      <c r="AF320" s="56" t="s">
        <v>2627</v>
      </c>
      <c r="AG320" s="56" t="s">
        <v>2627</v>
      </c>
      <c r="AH320" s="56">
        <v>36</v>
      </c>
      <c r="AI320" s="56" t="s">
        <v>2628</v>
      </c>
      <c r="AJ320" s="56" t="s">
        <v>2640</v>
      </c>
      <c r="AK320" s="56">
        <v>0</v>
      </c>
      <c r="AL320" s="56" t="s">
        <v>2630</v>
      </c>
      <c r="AM320" s="56" t="s">
        <v>2631</v>
      </c>
      <c r="AN320" s="56" t="s">
        <v>2632</v>
      </c>
      <c r="AO320" s="56" t="s">
        <v>2627</v>
      </c>
      <c r="AP320" s="56" t="s">
        <v>2624</v>
      </c>
      <c r="AQ320" s="123">
        <v>1.8749999999999989E-2</v>
      </c>
      <c r="AR320" s="122">
        <v>6.8287037037036979E-3</v>
      </c>
      <c r="AS320" s="56" t="s">
        <v>1048</v>
      </c>
      <c r="AT320" s="56" t="s">
        <v>1059</v>
      </c>
      <c r="AU320" s="56" t="s">
        <v>1060</v>
      </c>
      <c r="AV320" s="56">
        <v>36</v>
      </c>
      <c r="AW320" s="56" t="s">
        <v>1051</v>
      </c>
      <c r="AX320" s="56" t="s">
        <v>1394</v>
      </c>
      <c r="AY320" s="56" t="s">
        <v>1375</v>
      </c>
      <c r="AZ320" s="56" t="s">
        <v>1067</v>
      </c>
      <c r="BA320" s="56" t="s">
        <v>1395</v>
      </c>
      <c r="BB320" s="56" t="s">
        <v>1396</v>
      </c>
      <c r="BC320" s="56" t="s">
        <v>1057</v>
      </c>
      <c r="BD320" s="56" t="s">
        <v>1397</v>
      </c>
    </row>
    <row r="321" spans="1:56" x14ac:dyDescent="0.2">
      <c r="A321" s="56">
        <v>176722307</v>
      </c>
      <c r="B321" s="56" t="s">
        <v>1781</v>
      </c>
      <c r="C321" s="56" t="s">
        <v>2623</v>
      </c>
      <c r="D321" s="56" t="s">
        <v>1782</v>
      </c>
      <c r="E321" s="56" t="s">
        <v>1044</v>
      </c>
      <c r="F321" s="56">
        <v>140</v>
      </c>
      <c r="G321" s="56" t="s">
        <v>2714</v>
      </c>
      <c r="H321" s="56">
        <v>16735</v>
      </c>
      <c r="I321" s="56">
        <v>6</v>
      </c>
      <c r="J321" s="56" t="s">
        <v>1045</v>
      </c>
      <c r="K321" s="56" t="s">
        <v>1374</v>
      </c>
      <c r="L321" s="121">
        <v>46269</v>
      </c>
      <c r="M321" s="122">
        <v>0.28472222222222221</v>
      </c>
      <c r="N321" s="122">
        <v>0.28819444444444442</v>
      </c>
      <c r="O321" s="56" t="s">
        <v>1047</v>
      </c>
      <c r="P321" s="121">
        <v>46269</v>
      </c>
      <c r="Q321" s="122">
        <v>0.34722222222222221</v>
      </c>
      <c r="R321" s="122">
        <v>0.34326388888888887</v>
      </c>
      <c r="S321" s="56" t="s">
        <v>1047</v>
      </c>
      <c r="T321" s="56">
        <v>1</v>
      </c>
      <c r="U321" s="56">
        <v>32</v>
      </c>
      <c r="V321" s="56">
        <v>29.79</v>
      </c>
      <c r="W321" s="56">
        <v>29.12</v>
      </c>
      <c r="X321" s="56">
        <v>42.92</v>
      </c>
      <c r="Y321" s="56">
        <v>9.08</v>
      </c>
      <c r="Z321" s="56">
        <v>4.72</v>
      </c>
      <c r="AA321" s="56" t="s">
        <v>961</v>
      </c>
      <c r="AB321" s="56">
        <v>14123770</v>
      </c>
      <c r="AC321" s="56" t="s">
        <v>961</v>
      </c>
      <c r="AD321" s="56">
        <v>14123770</v>
      </c>
      <c r="AE321" s="56" t="s">
        <v>2626</v>
      </c>
      <c r="AF321" s="56" t="s">
        <v>2627</v>
      </c>
      <c r="AG321" s="56" t="s">
        <v>2627</v>
      </c>
      <c r="AH321" s="56">
        <v>36</v>
      </c>
      <c r="AI321" s="56" t="s">
        <v>2628</v>
      </c>
      <c r="AJ321" s="56" t="s">
        <v>2629</v>
      </c>
      <c r="AK321" s="56">
        <v>0</v>
      </c>
      <c r="AL321" s="56" t="s">
        <v>2630</v>
      </c>
      <c r="AM321" s="56" t="s">
        <v>2631</v>
      </c>
      <c r="AN321" s="56" t="s">
        <v>2632</v>
      </c>
      <c r="AO321" s="56" t="s">
        <v>2627</v>
      </c>
      <c r="AP321" s="56">
        <v>34</v>
      </c>
      <c r="AQ321" s="123">
        <v>3.4722222222222099E-3</v>
      </c>
      <c r="AR321" s="122">
        <v>-3.9583333333333415E-3</v>
      </c>
      <c r="AS321" s="56" t="s">
        <v>1048</v>
      </c>
      <c r="AT321" s="56" t="s">
        <v>1049</v>
      </c>
      <c r="AU321" s="56" t="s">
        <v>1050</v>
      </c>
      <c r="AV321" s="56">
        <v>36</v>
      </c>
      <c r="AW321" s="56" t="s">
        <v>1051</v>
      </c>
      <c r="AX321" s="56" t="s">
        <v>1783</v>
      </c>
      <c r="AY321" s="56" t="s">
        <v>1375</v>
      </c>
      <c r="AZ321" s="56" t="s">
        <v>1067</v>
      </c>
      <c r="BA321" s="56" t="s">
        <v>1784</v>
      </c>
      <c r="BB321" s="56" t="s">
        <v>1785</v>
      </c>
      <c r="BC321" s="56" t="s">
        <v>1057</v>
      </c>
      <c r="BD321" s="56" t="s">
        <v>1786</v>
      </c>
    </row>
    <row r="322" spans="1:56" x14ac:dyDescent="0.2">
      <c r="A322" s="56">
        <v>176722254</v>
      </c>
      <c r="B322" s="56" t="s">
        <v>3330</v>
      </c>
      <c r="C322" s="56" t="s">
        <v>2623</v>
      </c>
      <c r="D322" s="56" t="s">
        <v>3331</v>
      </c>
      <c r="E322" s="56" t="s">
        <v>1044</v>
      </c>
      <c r="F322" s="56">
        <v>121</v>
      </c>
      <c r="G322" s="56" t="s">
        <v>3329</v>
      </c>
      <c r="H322" s="56">
        <v>16004</v>
      </c>
      <c r="I322" s="56">
        <v>6</v>
      </c>
      <c r="J322" s="56" t="s">
        <v>1045</v>
      </c>
      <c r="K322" s="56" t="s">
        <v>1374</v>
      </c>
      <c r="L322" s="121">
        <v>46269</v>
      </c>
      <c r="M322" s="122">
        <v>0.28819444444444442</v>
      </c>
      <c r="N322" s="122">
        <v>0.29722222222222222</v>
      </c>
      <c r="O322" s="56" t="s">
        <v>1047</v>
      </c>
      <c r="P322" s="121">
        <v>46269</v>
      </c>
      <c r="Q322" s="122">
        <v>0.34722222222222221</v>
      </c>
      <c r="R322" s="122">
        <v>0.34349537037037037</v>
      </c>
      <c r="S322" s="56" t="s">
        <v>1047</v>
      </c>
      <c r="T322" s="56">
        <v>1</v>
      </c>
      <c r="U322" s="56">
        <v>29</v>
      </c>
      <c r="V322" s="56">
        <v>30.9</v>
      </c>
      <c r="W322" s="56">
        <v>34.15</v>
      </c>
      <c r="X322" s="56">
        <v>59.37</v>
      </c>
      <c r="Y322" s="56">
        <v>11.04</v>
      </c>
      <c r="Z322" s="56">
        <v>14.18</v>
      </c>
      <c r="AA322" s="56" t="s">
        <v>541</v>
      </c>
      <c r="AB322" s="56">
        <v>14123530</v>
      </c>
      <c r="AC322" s="56" t="s">
        <v>541</v>
      </c>
      <c r="AD322" s="56">
        <v>14123530</v>
      </c>
      <c r="AE322" s="56" t="s">
        <v>2626</v>
      </c>
      <c r="AF322" s="56" t="s">
        <v>2627</v>
      </c>
      <c r="AG322" s="56" t="s">
        <v>2627</v>
      </c>
      <c r="AH322" s="56">
        <v>36</v>
      </c>
      <c r="AI322" s="56" t="s">
        <v>2628</v>
      </c>
      <c r="AJ322" s="56" t="s">
        <v>2629</v>
      </c>
      <c r="AK322" s="56">
        <v>0</v>
      </c>
      <c r="AL322" s="56" t="s">
        <v>2630</v>
      </c>
      <c r="AM322" s="56" t="s">
        <v>2631</v>
      </c>
      <c r="AN322" s="56" t="s">
        <v>2632</v>
      </c>
      <c r="AO322" s="56" t="s">
        <v>2627</v>
      </c>
      <c r="AP322" s="56">
        <v>34</v>
      </c>
      <c r="AQ322" s="123">
        <v>9.0277777777778012E-3</v>
      </c>
      <c r="AR322" s="122">
        <v>-3.7268518518518423E-3</v>
      </c>
      <c r="AS322" s="56" t="s">
        <v>1048</v>
      </c>
      <c r="AT322" s="56" t="s">
        <v>1049</v>
      </c>
      <c r="AU322" s="56" t="s">
        <v>1050</v>
      </c>
      <c r="AV322" s="56">
        <v>36</v>
      </c>
      <c r="AW322" s="56" t="s">
        <v>1051</v>
      </c>
      <c r="AX322" s="56" t="s">
        <v>3332</v>
      </c>
      <c r="AY322" s="56" t="s">
        <v>1375</v>
      </c>
      <c r="AZ322" s="56" t="s">
        <v>1067</v>
      </c>
      <c r="BA322" s="56" t="s">
        <v>3333</v>
      </c>
      <c r="BB322" s="56" t="s">
        <v>3334</v>
      </c>
      <c r="BC322" s="56" t="s">
        <v>1057</v>
      </c>
      <c r="BD322" s="56" t="s">
        <v>3335</v>
      </c>
    </row>
    <row r="323" spans="1:56" x14ac:dyDescent="0.2">
      <c r="A323" s="56">
        <v>176718247</v>
      </c>
      <c r="B323" s="56" t="s">
        <v>3336</v>
      </c>
      <c r="C323" s="56" t="s">
        <v>2623</v>
      </c>
      <c r="D323" s="56" t="s">
        <v>3337</v>
      </c>
      <c r="E323" s="56" t="s">
        <v>1044</v>
      </c>
      <c r="F323" s="56">
        <v>10</v>
      </c>
      <c r="G323" s="56"/>
      <c r="H323" s="56">
        <v>17487</v>
      </c>
      <c r="I323" s="56">
        <v>6</v>
      </c>
      <c r="J323" s="56" t="s">
        <v>1045</v>
      </c>
      <c r="K323" s="56" t="s">
        <v>3338</v>
      </c>
      <c r="L323" s="121">
        <v>46269</v>
      </c>
      <c r="M323" s="122">
        <v>0.2951388888888889</v>
      </c>
      <c r="N323" s="122">
        <v>0.29930555555555555</v>
      </c>
      <c r="O323" s="56" t="s">
        <v>1047</v>
      </c>
      <c r="P323" s="121">
        <v>46269</v>
      </c>
      <c r="Q323" s="122">
        <v>0.3263888888888889</v>
      </c>
      <c r="R323" s="122">
        <v>0.3125</v>
      </c>
      <c r="S323" s="56" t="s">
        <v>1047</v>
      </c>
      <c r="T323" s="56">
        <v>1</v>
      </c>
      <c r="U323" s="56">
        <v>13</v>
      </c>
      <c r="V323" s="56">
        <v>5.57</v>
      </c>
      <c r="W323" s="56">
        <v>5.57</v>
      </c>
      <c r="X323" s="56">
        <v>22.21</v>
      </c>
      <c r="Y323" s="56">
        <v>10.95</v>
      </c>
      <c r="Z323" s="56">
        <v>5.69</v>
      </c>
      <c r="AA323" s="56" t="s">
        <v>439</v>
      </c>
      <c r="AB323" s="56">
        <v>14122681</v>
      </c>
      <c r="AC323" s="56" t="s">
        <v>439</v>
      </c>
      <c r="AD323" s="56">
        <v>14122681</v>
      </c>
      <c r="AE323" s="56" t="s">
        <v>2626</v>
      </c>
      <c r="AF323" s="56" t="s">
        <v>2627</v>
      </c>
      <c r="AG323" s="56" t="s">
        <v>2627</v>
      </c>
      <c r="AH323" s="56">
        <v>36</v>
      </c>
      <c r="AI323" s="56" t="s">
        <v>2628</v>
      </c>
      <c r="AJ323" s="56" t="s">
        <v>2629</v>
      </c>
      <c r="AK323" s="56">
        <v>0</v>
      </c>
      <c r="AL323" s="56" t="s">
        <v>2630</v>
      </c>
      <c r="AM323" s="56" t="s">
        <v>2631</v>
      </c>
      <c r="AN323" s="56" t="s">
        <v>2632</v>
      </c>
      <c r="AO323" s="56" t="s">
        <v>2627</v>
      </c>
      <c r="AP323" s="56" t="s">
        <v>2624</v>
      </c>
      <c r="AQ323" s="123">
        <v>4.1666666666666519E-3</v>
      </c>
      <c r="AR323" s="122">
        <v>-1.3888888888888895E-2</v>
      </c>
      <c r="AS323" s="56" t="s">
        <v>1048</v>
      </c>
      <c r="AT323" s="56" t="s">
        <v>1049</v>
      </c>
      <c r="AU323" s="56" t="s">
        <v>1050</v>
      </c>
      <c r="AV323" s="56">
        <v>36</v>
      </c>
      <c r="AW323" s="56" t="s">
        <v>1051</v>
      </c>
      <c r="AX323" s="56" t="s">
        <v>3339</v>
      </c>
      <c r="AY323" s="56" t="s">
        <v>1259</v>
      </c>
      <c r="AZ323" s="56" t="s">
        <v>1062</v>
      </c>
      <c r="BA323" s="56" t="s">
        <v>3340</v>
      </c>
      <c r="BB323" s="56" t="s">
        <v>3341</v>
      </c>
      <c r="BC323" s="56" t="s">
        <v>1057</v>
      </c>
      <c r="BD323" s="56" t="s">
        <v>3342</v>
      </c>
    </row>
    <row r="324" spans="1:56" x14ac:dyDescent="0.2">
      <c r="A324" s="56">
        <v>176726974</v>
      </c>
      <c r="B324" s="56" t="s">
        <v>2743</v>
      </c>
      <c r="C324" s="56" t="s">
        <v>2623</v>
      </c>
      <c r="D324" s="56" t="s">
        <v>2744</v>
      </c>
      <c r="E324" s="56" t="s">
        <v>1044</v>
      </c>
      <c r="F324" s="56">
        <v>203</v>
      </c>
      <c r="G324" s="56" t="s">
        <v>2670</v>
      </c>
      <c r="H324" s="56">
        <v>10360</v>
      </c>
      <c r="I324" s="56">
        <v>6</v>
      </c>
      <c r="J324" s="56" t="s">
        <v>1045</v>
      </c>
      <c r="K324" s="56" t="s">
        <v>1116</v>
      </c>
      <c r="L324" s="121">
        <v>46269</v>
      </c>
      <c r="M324" s="122">
        <v>0.3</v>
      </c>
      <c r="N324" s="122">
        <v>0.30902777777777779</v>
      </c>
      <c r="O324" s="56" t="s">
        <v>1047</v>
      </c>
      <c r="P324" s="121">
        <v>46269</v>
      </c>
      <c r="Q324" s="122">
        <v>0.34722222222222221</v>
      </c>
      <c r="R324" s="122">
        <v>0.33263888888888887</v>
      </c>
      <c r="S324" s="56" t="s">
        <v>1047</v>
      </c>
      <c r="T324" s="56">
        <v>1</v>
      </c>
      <c r="U324" s="56">
        <v>24</v>
      </c>
      <c r="V324" s="56">
        <v>19.04</v>
      </c>
      <c r="W324" s="56">
        <v>18.809999999999999</v>
      </c>
      <c r="X324" s="56">
        <v>37.5</v>
      </c>
      <c r="Y324" s="56">
        <v>5.0599999999999996</v>
      </c>
      <c r="Z324" s="56">
        <v>13.63</v>
      </c>
      <c r="AA324" s="56" t="s">
        <v>554</v>
      </c>
      <c r="AB324" s="56">
        <v>14123591</v>
      </c>
      <c r="AC324" s="56" t="s">
        <v>554</v>
      </c>
      <c r="AD324" s="56">
        <v>14123591</v>
      </c>
      <c r="AE324" s="56" t="s">
        <v>2626</v>
      </c>
      <c r="AF324" s="56" t="s">
        <v>2627</v>
      </c>
      <c r="AG324" s="56" t="s">
        <v>2627</v>
      </c>
      <c r="AH324" s="56">
        <v>36</v>
      </c>
      <c r="AI324" s="56" t="s">
        <v>2628</v>
      </c>
      <c r="AJ324" s="56" t="s">
        <v>2629</v>
      </c>
      <c r="AK324" s="56">
        <v>0</v>
      </c>
      <c r="AL324" s="56" t="s">
        <v>2630</v>
      </c>
      <c r="AM324" s="56" t="s">
        <v>2631</v>
      </c>
      <c r="AN324" s="56" t="s">
        <v>2632</v>
      </c>
      <c r="AO324" s="56" t="s">
        <v>2627</v>
      </c>
      <c r="AP324" s="56" t="s">
        <v>2624</v>
      </c>
      <c r="AQ324" s="123">
        <v>9.0277777777778012E-3</v>
      </c>
      <c r="AR324" s="122">
        <v>-1.4583333333333337E-2</v>
      </c>
      <c r="AS324" s="56" t="s">
        <v>1048</v>
      </c>
      <c r="AT324" s="56" t="s">
        <v>1049</v>
      </c>
      <c r="AU324" s="56" t="s">
        <v>1050</v>
      </c>
      <c r="AV324" s="56">
        <v>36</v>
      </c>
      <c r="AW324" s="56" t="s">
        <v>1051</v>
      </c>
      <c r="AX324" s="56" t="s">
        <v>2745</v>
      </c>
      <c r="AY324" s="56" t="s">
        <v>1118</v>
      </c>
      <c r="AZ324" s="56" t="s">
        <v>1054</v>
      </c>
      <c r="BA324" s="56" t="s">
        <v>2746</v>
      </c>
      <c r="BB324" s="56" t="s">
        <v>2747</v>
      </c>
      <c r="BC324" s="56" t="s">
        <v>1057</v>
      </c>
      <c r="BD324" s="56" t="s">
        <v>2748</v>
      </c>
    </row>
    <row r="325" spans="1:56" x14ac:dyDescent="0.2">
      <c r="A325" s="56">
        <v>176715309</v>
      </c>
      <c r="B325" s="56" t="s">
        <v>2290</v>
      </c>
      <c r="C325" s="56" t="s">
        <v>2623</v>
      </c>
      <c r="D325" s="56" t="s">
        <v>1472</v>
      </c>
      <c r="E325" s="56" t="s">
        <v>1044</v>
      </c>
      <c r="F325" s="56">
        <v>9</v>
      </c>
      <c r="G325" s="56"/>
      <c r="H325" s="56">
        <v>7005</v>
      </c>
      <c r="I325" s="56">
        <v>6</v>
      </c>
      <c r="J325" s="56" t="s">
        <v>1045</v>
      </c>
      <c r="K325" s="56" t="s">
        <v>1125</v>
      </c>
      <c r="L325" s="121">
        <v>46269</v>
      </c>
      <c r="M325" s="122">
        <v>0.32291666666666669</v>
      </c>
      <c r="N325" s="122">
        <v>0.33333333333333331</v>
      </c>
      <c r="O325" s="56" t="s">
        <v>1047</v>
      </c>
      <c r="P325" s="121">
        <v>46269</v>
      </c>
      <c r="Q325" s="122">
        <v>0.375</v>
      </c>
      <c r="R325" s="122">
        <v>0.36990740740740741</v>
      </c>
      <c r="S325" s="56" t="s">
        <v>1047</v>
      </c>
      <c r="T325" s="56">
        <v>1</v>
      </c>
      <c r="U325" s="56">
        <v>27</v>
      </c>
      <c r="V325" s="56">
        <v>-4042.43</v>
      </c>
      <c r="W325" s="56">
        <v>23.61</v>
      </c>
      <c r="X325" s="56">
        <v>42.82</v>
      </c>
      <c r="Y325" s="56">
        <v>6.71</v>
      </c>
      <c r="Z325" s="56">
        <v>12.5</v>
      </c>
      <c r="AA325" s="56" t="s">
        <v>52</v>
      </c>
      <c r="AB325" s="56">
        <v>14106438</v>
      </c>
      <c r="AC325" s="56" t="s">
        <v>52</v>
      </c>
      <c r="AD325" s="56">
        <v>14106438</v>
      </c>
      <c r="AE325" s="56" t="s">
        <v>2626</v>
      </c>
      <c r="AF325" s="56" t="s">
        <v>2627</v>
      </c>
      <c r="AG325" s="56" t="s">
        <v>2627</v>
      </c>
      <c r="AH325" s="56">
        <v>36</v>
      </c>
      <c r="AI325" s="56" t="s">
        <v>2628</v>
      </c>
      <c r="AJ325" s="56" t="s">
        <v>2629</v>
      </c>
      <c r="AK325" s="56">
        <v>1242</v>
      </c>
      <c r="AL325" s="56">
        <v>0</v>
      </c>
      <c r="AM325" s="56" t="s">
        <v>2694</v>
      </c>
      <c r="AN325" s="56" t="s">
        <v>2702</v>
      </c>
      <c r="AO325" s="56" t="s">
        <v>2627</v>
      </c>
      <c r="AP325" s="56" t="s">
        <v>2624</v>
      </c>
      <c r="AQ325" s="123">
        <v>1.041666666666663E-2</v>
      </c>
      <c r="AR325" s="122">
        <v>-5.092592592592593E-3</v>
      </c>
      <c r="AS325" s="56" t="s">
        <v>1048</v>
      </c>
      <c r="AT325" s="56" t="s">
        <v>1049</v>
      </c>
      <c r="AU325" s="56" t="s">
        <v>1050</v>
      </c>
      <c r="AV325" s="56">
        <v>36</v>
      </c>
      <c r="AW325" s="56" t="s">
        <v>1051</v>
      </c>
      <c r="AX325" s="56" t="s">
        <v>2703</v>
      </c>
      <c r="AY325" s="56" t="s">
        <v>1127</v>
      </c>
      <c r="AZ325" s="56" t="s">
        <v>1054</v>
      </c>
      <c r="BA325" s="56" t="s">
        <v>2704</v>
      </c>
      <c r="BB325" s="56" t="s">
        <v>2291</v>
      </c>
      <c r="BC325" s="56" t="s">
        <v>1057</v>
      </c>
      <c r="BD325" s="56" t="s">
        <v>3343</v>
      </c>
    </row>
    <row r="326" spans="1:56" x14ac:dyDescent="0.2">
      <c r="A326" s="56">
        <v>176716703</v>
      </c>
      <c r="B326" s="56" t="s">
        <v>2113</v>
      </c>
      <c r="C326" s="56" t="s">
        <v>2623</v>
      </c>
      <c r="D326" s="56" t="s">
        <v>1291</v>
      </c>
      <c r="E326" s="56" t="s">
        <v>1044</v>
      </c>
      <c r="F326" s="56">
        <v>17</v>
      </c>
      <c r="G326" s="56"/>
      <c r="H326" s="56">
        <v>6163</v>
      </c>
      <c r="I326" s="56">
        <v>6</v>
      </c>
      <c r="J326" s="56" t="s">
        <v>1045</v>
      </c>
      <c r="K326" s="56" t="s">
        <v>1125</v>
      </c>
      <c r="L326" s="121">
        <v>46269</v>
      </c>
      <c r="M326" s="122">
        <v>0.3298611111111111</v>
      </c>
      <c r="N326" s="122">
        <v>0.33611111111111114</v>
      </c>
      <c r="O326" s="56" t="s">
        <v>1047</v>
      </c>
      <c r="P326" s="121">
        <v>46269</v>
      </c>
      <c r="Q326" s="122">
        <v>0.375</v>
      </c>
      <c r="R326" s="122">
        <v>0.37236111111111109</v>
      </c>
      <c r="S326" s="56" t="s">
        <v>1047</v>
      </c>
      <c r="T326" s="56">
        <v>1</v>
      </c>
      <c r="U326" s="56">
        <v>25</v>
      </c>
      <c r="V326" s="56">
        <v>18.97</v>
      </c>
      <c r="W326" s="56">
        <v>18.989999999999998</v>
      </c>
      <c r="X326" s="56">
        <v>25.73</v>
      </c>
      <c r="Y326" s="56">
        <v>0.55000000000000004</v>
      </c>
      <c r="Z326" s="56">
        <v>6.19</v>
      </c>
      <c r="AA326" s="56" t="s">
        <v>1620</v>
      </c>
      <c r="AB326" s="56">
        <v>14124105</v>
      </c>
      <c r="AC326" s="56" t="s">
        <v>1620</v>
      </c>
      <c r="AD326" s="56">
        <v>14124105</v>
      </c>
      <c r="AE326" s="56" t="s">
        <v>2626</v>
      </c>
      <c r="AF326" s="56" t="s">
        <v>2627</v>
      </c>
      <c r="AG326" s="56" t="s">
        <v>2627</v>
      </c>
      <c r="AH326" s="56">
        <v>36</v>
      </c>
      <c r="AI326" s="56" t="s">
        <v>2628</v>
      </c>
      <c r="AJ326" s="56" t="s">
        <v>2629</v>
      </c>
      <c r="AK326" s="56">
        <v>1150</v>
      </c>
      <c r="AL326" s="56">
        <v>0</v>
      </c>
      <c r="AM326" s="56" t="s">
        <v>2694</v>
      </c>
      <c r="AN326" s="56" t="s">
        <v>2702</v>
      </c>
      <c r="AO326" s="56" t="s">
        <v>2627</v>
      </c>
      <c r="AP326" s="56" t="s">
        <v>2624</v>
      </c>
      <c r="AQ326" s="123">
        <v>6.2500000000000333E-3</v>
      </c>
      <c r="AR326" s="122">
        <v>-2.6388888888889128E-3</v>
      </c>
      <c r="AS326" s="56" t="s">
        <v>1048</v>
      </c>
      <c r="AT326" s="56" t="s">
        <v>1049</v>
      </c>
      <c r="AU326" s="56" t="s">
        <v>1050</v>
      </c>
      <c r="AV326" s="56">
        <v>36</v>
      </c>
      <c r="AW326" s="56" t="s">
        <v>1051</v>
      </c>
      <c r="AX326" s="56" t="s">
        <v>3344</v>
      </c>
      <c r="AY326" s="56" t="e">
        <v>#N/A</v>
      </c>
      <c r="AZ326" s="56" t="e">
        <v>#N/A</v>
      </c>
      <c r="BA326" s="56" t="s">
        <v>3345</v>
      </c>
      <c r="BB326" s="56" t="s">
        <v>2114</v>
      </c>
      <c r="BC326" s="56" t="s">
        <v>1133</v>
      </c>
      <c r="BD326" s="56" t="s">
        <v>3346</v>
      </c>
    </row>
    <row r="327" spans="1:56" x14ac:dyDescent="0.2">
      <c r="A327" s="56">
        <v>176712005</v>
      </c>
      <c r="B327" s="56" t="s">
        <v>3017</v>
      </c>
      <c r="C327" s="56" t="s">
        <v>2623</v>
      </c>
      <c r="D327" s="56" t="s">
        <v>2082</v>
      </c>
      <c r="E327" s="56" t="s">
        <v>1044</v>
      </c>
      <c r="F327" s="56">
        <v>40</v>
      </c>
      <c r="G327" s="56"/>
      <c r="H327" s="56">
        <v>5364</v>
      </c>
      <c r="I327" s="56">
        <v>6</v>
      </c>
      <c r="J327" s="56" t="s">
        <v>1045</v>
      </c>
      <c r="K327" s="56" t="s">
        <v>1123</v>
      </c>
      <c r="L327" s="121">
        <v>46269</v>
      </c>
      <c r="M327" s="122">
        <v>0.51875000000000004</v>
      </c>
      <c r="N327" s="122">
        <v>0.52222222222222225</v>
      </c>
      <c r="O327" s="56" t="s">
        <v>1047</v>
      </c>
      <c r="P327" s="121">
        <v>46269</v>
      </c>
      <c r="Q327" s="122">
        <v>0.60416666666666663</v>
      </c>
      <c r="R327" s="122">
        <v>0.59364583333333332</v>
      </c>
      <c r="S327" s="56" t="s">
        <v>1047</v>
      </c>
      <c r="T327" s="56">
        <v>1</v>
      </c>
      <c r="U327" s="56">
        <v>39</v>
      </c>
      <c r="V327" s="56">
        <v>32.549999999999997</v>
      </c>
      <c r="W327" s="56">
        <v>33.03</v>
      </c>
      <c r="X327" s="56">
        <v>44.76</v>
      </c>
      <c r="Y327" s="56">
        <v>11.65</v>
      </c>
      <c r="Z327" s="56">
        <v>0.08</v>
      </c>
      <c r="AA327" s="56" t="s">
        <v>451</v>
      </c>
      <c r="AB327" s="56">
        <v>14122809</v>
      </c>
      <c r="AC327" s="56" t="s">
        <v>451</v>
      </c>
      <c r="AD327" s="56">
        <v>14122809</v>
      </c>
      <c r="AE327" s="56" t="s">
        <v>2626</v>
      </c>
      <c r="AF327" s="56" t="s">
        <v>2627</v>
      </c>
      <c r="AG327" s="56" t="s">
        <v>2627</v>
      </c>
      <c r="AH327" s="56">
        <v>36</v>
      </c>
      <c r="AI327" s="56" t="s">
        <v>2628</v>
      </c>
      <c r="AJ327" s="56" t="s">
        <v>2629</v>
      </c>
      <c r="AK327" s="56">
        <v>714.73</v>
      </c>
      <c r="AL327" s="56" t="s">
        <v>2630</v>
      </c>
      <c r="AM327" s="56" t="s">
        <v>2631</v>
      </c>
      <c r="AN327" s="56" t="s">
        <v>2632</v>
      </c>
      <c r="AO327" s="56" t="s">
        <v>2627</v>
      </c>
      <c r="AP327" s="56" t="s">
        <v>2624</v>
      </c>
      <c r="AQ327" s="123">
        <v>3.4722222222222099E-3</v>
      </c>
      <c r="AR327" s="122">
        <v>-1.0520833333333313E-2</v>
      </c>
      <c r="AS327" s="56" t="s">
        <v>1048</v>
      </c>
      <c r="AT327" s="56" t="s">
        <v>1049</v>
      </c>
      <c r="AU327" s="56" t="s">
        <v>1050</v>
      </c>
      <c r="AV327" s="56">
        <v>36</v>
      </c>
      <c r="AW327" s="56" t="s">
        <v>1051</v>
      </c>
      <c r="AX327" s="56" t="s">
        <v>2083</v>
      </c>
      <c r="AY327" s="56" t="s">
        <v>1124</v>
      </c>
      <c r="AZ327" s="56" t="s">
        <v>1054</v>
      </c>
      <c r="BA327" s="56" t="s">
        <v>2084</v>
      </c>
      <c r="BB327" s="56" t="s">
        <v>2085</v>
      </c>
      <c r="BC327" s="56" t="s">
        <v>1133</v>
      </c>
      <c r="BD327" s="56" t="s">
        <v>3018</v>
      </c>
    </row>
    <row r="328" spans="1:56" x14ac:dyDescent="0.2">
      <c r="A328" s="56">
        <v>176717409</v>
      </c>
      <c r="B328" s="56" t="s">
        <v>1404</v>
      </c>
      <c r="C328" s="56" t="s">
        <v>2623</v>
      </c>
      <c r="D328" s="56" t="s">
        <v>1405</v>
      </c>
      <c r="E328" s="56" t="s">
        <v>1044</v>
      </c>
      <c r="F328" s="56">
        <v>33</v>
      </c>
      <c r="G328" s="56"/>
      <c r="H328" s="56">
        <v>13859</v>
      </c>
      <c r="I328" s="56">
        <v>8</v>
      </c>
      <c r="J328" s="56" t="s">
        <v>1045</v>
      </c>
      <c r="K328" s="56" t="s">
        <v>1406</v>
      </c>
      <c r="L328" s="121">
        <v>46269</v>
      </c>
      <c r="M328" s="122">
        <v>0.52083333333333337</v>
      </c>
      <c r="N328" s="122">
        <v>0.52638888888888891</v>
      </c>
      <c r="O328" s="56" t="s">
        <v>1047</v>
      </c>
      <c r="P328" s="121">
        <v>46269</v>
      </c>
      <c r="Q328" s="122">
        <v>0.57291666666666663</v>
      </c>
      <c r="R328" s="122">
        <v>0.5710763888888889</v>
      </c>
      <c r="S328" s="56" t="s">
        <v>1047</v>
      </c>
      <c r="T328" s="56">
        <v>0</v>
      </c>
      <c r="U328" s="56">
        <v>32</v>
      </c>
      <c r="V328" s="56">
        <v>27.71</v>
      </c>
      <c r="W328" s="56">
        <v>26.18</v>
      </c>
      <c r="X328" s="56">
        <v>41.89</v>
      </c>
      <c r="Y328" s="56">
        <v>13.39</v>
      </c>
      <c r="Z328" s="56">
        <v>2.3199999999999998</v>
      </c>
      <c r="AA328" s="56" t="s">
        <v>409</v>
      </c>
      <c r="AB328" s="56">
        <v>14122293</v>
      </c>
      <c r="AC328" s="56" t="s">
        <v>409</v>
      </c>
      <c r="AD328" s="56">
        <v>14122293</v>
      </c>
      <c r="AE328" s="56" t="s">
        <v>2626</v>
      </c>
      <c r="AF328" s="56" t="s">
        <v>2627</v>
      </c>
      <c r="AG328" s="56" t="s">
        <v>2627</v>
      </c>
      <c r="AH328" s="56">
        <v>36</v>
      </c>
      <c r="AI328" s="56" t="s">
        <v>2628</v>
      </c>
      <c r="AJ328" s="56" t="s">
        <v>2629</v>
      </c>
      <c r="AK328" s="56">
        <v>0</v>
      </c>
      <c r="AL328" s="56" t="s">
        <v>2630</v>
      </c>
      <c r="AM328" s="56" t="s">
        <v>2631</v>
      </c>
      <c r="AN328" s="56" t="s">
        <v>2632</v>
      </c>
      <c r="AO328" s="56" t="s">
        <v>2627</v>
      </c>
      <c r="AP328" s="56" t="s">
        <v>2624</v>
      </c>
      <c r="AQ328" s="123">
        <v>5.5555555555555358E-3</v>
      </c>
      <c r="AR328" s="122">
        <v>-1.8402777777777324E-3</v>
      </c>
      <c r="AS328" s="56" t="s">
        <v>1048</v>
      </c>
      <c r="AT328" s="56" t="s">
        <v>1049</v>
      </c>
      <c r="AU328" s="56" t="s">
        <v>1050</v>
      </c>
      <c r="AV328" s="56">
        <v>36</v>
      </c>
      <c r="AW328" s="56" t="s">
        <v>1051</v>
      </c>
      <c r="AX328" s="56" t="s">
        <v>1407</v>
      </c>
      <c r="AY328" s="56" t="s">
        <v>1259</v>
      </c>
      <c r="AZ328" s="56" t="s">
        <v>1062</v>
      </c>
      <c r="BA328" s="56" t="s">
        <v>1408</v>
      </c>
      <c r="BB328" s="56" t="s">
        <v>1409</v>
      </c>
      <c r="BC328" s="56" t="s">
        <v>1133</v>
      </c>
      <c r="BD328" s="56" t="s">
        <v>1410</v>
      </c>
    </row>
    <row r="329" spans="1:56" x14ac:dyDescent="0.2">
      <c r="A329" s="56">
        <v>176715623</v>
      </c>
      <c r="B329" s="56" t="s">
        <v>2763</v>
      </c>
      <c r="C329" s="56" t="s">
        <v>2623</v>
      </c>
      <c r="D329" s="56" t="s">
        <v>1186</v>
      </c>
      <c r="E329" s="56" t="s">
        <v>1044</v>
      </c>
      <c r="F329" s="56">
        <v>101</v>
      </c>
      <c r="G329" s="56"/>
      <c r="H329" s="56">
        <v>10747</v>
      </c>
      <c r="I329" s="56">
        <v>6</v>
      </c>
      <c r="J329" s="56" t="s">
        <v>1045</v>
      </c>
      <c r="K329" s="56" t="s">
        <v>1079</v>
      </c>
      <c r="L329" s="121">
        <v>46269</v>
      </c>
      <c r="M329" s="122">
        <v>0.52777777777777779</v>
      </c>
      <c r="N329" s="122">
        <v>0.53125</v>
      </c>
      <c r="O329" s="56" t="s">
        <v>1047</v>
      </c>
      <c r="P329" s="121">
        <v>46269</v>
      </c>
      <c r="Q329" s="122">
        <v>0.60069444444444442</v>
      </c>
      <c r="R329" s="122">
        <v>0.57504629629629633</v>
      </c>
      <c r="S329" s="56" t="s">
        <v>1047</v>
      </c>
      <c r="T329" s="56">
        <v>1</v>
      </c>
      <c r="U329" s="56">
        <v>43</v>
      </c>
      <c r="V329" s="56">
        <v>37</v>
      </c>
      <c r="W329" s="56">
        <v>39.01</v>
      </c>
      <c r="X329" s="56">
        <v>41.95</v>
      </c>
      <c r="Y329" s="56">
        <v>2.57</v>
      </c>
      <c r="Z329" s="56">
        <v>0.37</v>
      </c>
      <c r="AA329" s="56" t="s">
        <v>527</v>
      </c>
      <c r="AB329" s="56">
        <v>14123488</v>
      </c>
      <c r="AC329" s="56" t="s">
        <v>527</v>
      </c>
      <c r="AD329" s="56">
        <v>14123488</v>
      </c>
      <c r="AE329" s="56" t="s">
        <v>2626</v>
      </c>
      <c r="AF329" s="56" t="s">
        <v>2627</v>
      </c>
      <c r="AG329" s="56" t="s">
        <v>2627</v>
      </c>
      <c r="AH329" s="56">
        <v>36</v>
      </c>
      <c r="AI329" s="56" t="s">
        <v>2628</v>
      </c>
      <c r="AJ329" s="56" t="s">
        <v>2629</v>
      </c>
      <c r="AK329" s="56">
        <v>0</v>
      </c>
      <c r="AL329" s="56" t="s">
        <v>2630</v>
      </c>
      <c r="AM329" s="56" t="s">
        <v>2631</v>
      </c>
      <c r="AN329" s="56" t="s">
        <v>2632</v>
      </c>
      <c r="AO329" s="56" t="s">
        <v>2627</v>
      </c>
      <c r="AP329" s="56">
        <v>14</v>
      </c>
      <c r="AQ329" s="123">
        <v>3.4722222222222099E-3</v>
      </c>
      <c r="AR329" s="122">
        <v>-2.5648148148148087E-2</v>
      </c>
      <c r="AS329" s="56" t="s">
        <v>1048</v>
      </c>
      <c r="AT329" s="56" t="s">
        <v>1049</v>
      </c>
      <c r="AU329" s="56" t="s">
        <v>1050</v>
      </c>
      <c r="AV329" s="56">
        <v>36</v>
      </c>
      <c r="AW329" s="56" t="s">
        <v>1051</v>
      </c>
      <c r="AX329" s="56" t="s">
        <v>1188</v>
      </c>
      <c r="AY329" s="56" t="s">
        <v>1081</v>
      </c>
      <c r="AZ329" s="56" t="s">
        <v>1067</v>
      </c>
      <c r="BA329" s="56" t="s">
        <v>1189</v>
      </c>
      <c r="BB329" s="56" t="s">
        <v>1190</v>
      </c>
      <c r="BC329" s="56" t="s">
        <v>1133</v>
      </c>
      <c r="BD329" s="56" t="s">
        <v>2764</v>
      </c>
    </row>
    <row r="330" spans="1:56" x14ac:dyDescent="0.2">
      <c r="A330" s="56">
        <v>176716052</v>
      </c>
      <c r="B330" s="56" t="s">
        <v>3347</v>
      </c>
      <c r="C330" s="56" t="s">
        <v>2623</v>
      </c>
      <c r="D330" s="56" t="s">
        <v>1350</v>
      </c>
      <c r="E330" s="56" t="s">
        <v>1044</v>
      </c>
      <c r="F330" s="56">
        <v>13</v>
      </c>
      <c r="G330" s="56"/>
      <c r="H330" s="56">
        <v>10743</v>
      </c>
      <c r="I330" s="56">
        <v>6</v>
      </c>
      <c r="J330" s="56" t="s">
        <v>1045</v>
      </c>
      <c r="K330" s="56" t="s">
        <v>1192</v>
      </c>
      <c r="L330" s="121">
        <v>46269</v>
      </c>
      <c r="M330" s="122">
        <v>0.52777777777777779</v>
      </c>
      <c r="N330" s="122">
        <v>0.53125</v>
      </c>
      <c r="O330" s="56" t="s">
        <v>1047</v>
      </c>
      <c r="P330" s="121">
        <v>46269</v>
      </c>
      <c r="Q330" s="122">
        <v>0.60416666666666663</v>
      </c>
      <c r="R330" s="122">
        <v>0.62031250000000004</v>
      </c>
      <c r="S330" s="56" t="s">
        <v>1047</v>
      </c>
      <c r="T330" s="56">
        <v>1</v>
      </c>
      <c r="U330" s="56">
        <v>45</v>
      </c>
      <c r="V330" s="56">
        <v>41.3</v>
      </c>
      <c r="W330" s="56">
        <v>40.92</v>
      </c>
      <c r="X330" s="56">
        <v>43.88</v>
      </c>
      <c r="Y330" s="56">
        <v>2.7</v>
      </c>
      <c r="Z330" s="56">
        <v>0.26</v>
      </c>
      <c r="AA330" s="56" t="s">
        <v>2520</v>
      </c>
      <c r="AB330" s="56">
        <v>14123918</v>
      </c>
      <c r="AC330" s="56" t="s">
        <v>2520</v>
      </c>
      <c r="AD330" s="56">
        <v>14123918</v>
      </c>
      <c r="AE330" s="56" t="s">
        <v>2626</v>
      </c>
      <c r="AF330" s="56" t="s">
        <v>2627</v>
      </c>
      <c r="AG330" s="56" t="s">
        <v>2627</v>
      </c>
      <c r="AH330" s="56">
        <v>36</v>
      </c>
      <c r="AI330" s="56" t="s">
        <v>2628</v>
      </c>
      <c r="AJ330" s="56" t="s">
        <v>2640</v>
      </c>
      <c r="AK330" s="56">
        <v>616.02</v>
      </c>
      <c r="AL330" s="56" t="s">
        <v>2630</v>
      </c>
      <c r="AM330" s="56" t="s">
        <v>2631</v>
      </c>
      <c r="AN330" s="56" t="s">
        <v>2632</v>
      </c>
      <c r="AO330" s="56" t="s">
        <v>2627</v>
      </c>
      <c r="AP330" s="56" t="s">
        <v>2624</v>
      </c>
      <c r="AQ330" s="123">
        <v>3.4722222222222099E-3</v>
      </c>
      <c r="AR330" s="122">
        <v>1.6145833333333415E-2</v>
      </c>
      <c r="AS330" s="56" t="s">
        <v>1048</v>
      </c>
      <c r="AT330" s="56" t="s">
        <v>1059</v>
      </c>
      <c r="AU330" s="56" t="s">
        <v>1060</v>
      </c>
      <c r="AV330" s="56">
        <v>36</v>
      </c>
      <c r="AW330" s="56" t="s">
        <v>1051</v>
      </c>
      <c r="AX330" s="56" t="s">
        <v>1351</v>
      </c>
      <c r="AY330" s="56" t="s">
        <v>1124</v>
      </c>
      <c r="AZ330" s="56" t="s">
        <v>1054</v>
      </c>
      <c r="BA330" s="56" t="s">
        <v>1352</v>
      </c>
      <c r="BB330" s="56" t="s">
        <v>1353</v>
      </c>
      <c r="BC330" s="56" t="s">
        <v>1133</v>
      </c>
      <c r="BD330" s="56" t="s">
        <v>3348</v>
      </c>
    </row>
    <row r="331" spans="1:56" x14ac:dyDescent="0.2">
      <c r="A331" s="56">
        <v>176717028</v>
      </c>
      <c r="B331" s="56" t="s">
        <v>3349</v>
      </c>
      <c r="C331" s="56" t="s">
        <v>2623</v>
      </c>
      <c r="D331" s="56" t="s">
        <v>1166</v>
      </c>
      <c r="E331" s="56" t="s">
        <v>1044</v>
      </c>
      <c r="F331" s="56">
        <v>13</v>
      </c>
      <c r="G331" s="56"/>
      <c r="H331" s="56">
        <v>13842</v>
      </c>
      <c r="I331" s="56">
        <v>6</v>
      </c>
      <c r="J331" s="56" t="s">
        <v>1045</v>
      </c>
      <c r="K331" s="56" t="s">
        <v>1209</v>
      </c>
      <c r="L331" s="121">
        <v>46269</v>
      </c>
      <c r="M331" s="122">
        <v>0.52777777777777779</v>
      </c>
      <c r="N331" s="122">
        <v>0.53263888888888888</v>
      </c>
      <c r="O331" s="56" t="s">
        <v>1047</v>
      </c>
      <c r="P331" s="121">
        <v>46269</v>
      </c>
      <c r="Q331" s="122">
        <v>0.59375</v>
      </c>
      <c r="R331" s="122">
        <v>0.59466435185185185</v>
      </c>
      <c r="S331" s="56" t="s">
        <v>1047</v>
      </c>
      <c r="T331" s="56">
        <v>1</v>
      </c>
      <c r="U331" s="56">
        <v>40</v>
      </c>
      <c r="V331" s="56">
        <v>36.97</v>
      </c>
      <c r="W331" s="56">
        <v>36.840000000000003</v>
      </c>
      <c r="X331" s="56">
        <v>50.29</v>
      </c>
      <c r="Y331" s="56">
        <v>13.37</v>
      </c>
      <c r="Z331" s="56">
        <v>0.08</v>
      </c>
      <c r="AA331" s="56" t="s">
        <v>257</v>
      </c>
      <c r="AB331" s="56">
        <v>14119701</v>
      </c>
      <c r="AC331" s="56" t="s">
        <v>257</v>
      </c>
      <c r="AD331" s="56">
        <v>14119701</v>
      </c>
      <c r="AE331" s="56" t="s">
        <v>2626</v>
      </c>
      <c r="AF331" s="56" t="s">
        <v>2627</v>
      </c>
      <c r="AG331" s="56" t="s">
        <v>2627</v>
      </c>
      <c r="AH331" s="56">
        <v>36</v>
      </c>
      <c r="AI331" s="56" t="s">
        <v>2628</v>
      </c>
      <c r="AJ331" s="56" t="s">
        <v>2640</v>
      </c>
      <c r="AK331" s="56">
        <v>738</v>
      </c>
      <c r="AL331" s="56" t="s">
        <v>2630</v>
      </c>
      <c r="AM331" s="56" t="s">
        <v>2631</v>
      </c>
      <c r="AN331" s="56" t="s">
        <v>2632</v>
      </c>
      <c r="AO331" s="56" t="s">
        <v>2627</v>
      </c>
      <c r="AP331" s="56" t="s">
        <v>2624</v>
      </c>
      <c r="AQ331" s="123">
        <v>4.8611111111110938E-3</v>
      </c>
      <c r="AR331" s="122">
        <v>9.1435185185184675E-4</v>
      </c>
      <c r="AS331" s="56" t="s">
        <v>1048</v>
      </c>
      <c r="AT331" s="56" t="s">
        <v>1049</v>
      </c>
      <c r="AU331" s="56" t="s">
        <v>1050</v>
      </c>
      <c r="AV331" s="56">
        <v>36</v>
      </c>
      <c r="AW331" s="56" t="s">
        <v>1051</v>
      </c>
      <c r="AX331" s="56" t="s">
        <v>3350</v>
      </c>
      <c r="AY331" s="56" t="s">
        <v>1061</v>
      </c>
      <c r="AZ331" s="56" t="s">
        <v>1062</v>
      </c>
      <c r="BA331" s="56" t="s">
        <v>3351</v>
      </c>
      <c r="BB331" s="56" t="s">
        <v>3352</v>
      </c>
      <c r="BC331" s="56" t="s">
        <v>1133</v>
      </c>
      <c r="BD331" s="56" t="s">
        <v>3353</v>
      </c>
    </row>
    <row r="332" spans="1:56" x14ac:dyDescent="0.2">
      <c r="A332" s="56">
        <v>176722831</v>
      </c>
      <c r="B332" s="56" t="s">
        <v>2122</v>
      </c>
      <c r="C332" s="56" t="s">
        <v>2623</v>
      </c>
      <c r="D332" s="56" t="s">
        <v>2123</v>
      </c>
      <c r="E332" s="56" t="s">
        <v>1044</v>
      </c>
      <c r="F332" s="56">
        <v>57</v>
      </c>
      <c r="G332" s="56"/>
      <c r="H332" s="56">
        <v>6352</v>
      </c>
      <c r="I332" s="56">
        <v>6</v>
      </c>
      <c r="J332" s="56" t="s">
        <v>1045</v>
      </c>
      <c r="K332" s="56" t="s">
        <v>1091</v>
      </c>
      <c r="L332" s="121">
        <v>46269</v>
      </c>
      <c r="M332" s="122">
        <v>0.52777777777777779</v>
      </c>
      <c r="N332" s="122">
        <v>0.53263888888888888</v>
      </c>
      <c r="O332" s="56" t="s">
        <v>1047</v>
      </c>
      <c r="P332" s="121">
        <v>46269</v>
      </c>
      <c r="Q332" s="122">
        <v>0.60069444444444442</v>
      </c>
      <c r="R332" s="122">
        <v>0.58438657407407413</v>
      </c>
      <c r="S332" s="56" t="s">
        <v>1047</v>
      </c>
      <c r="T332" s="56">
        <v>1</v>
      </c>
      <c r="U332" s="56">
        <v>26</v>
      </c>
      <c r="V332" s="56">
        <v>22.74</v>
      </c>
      <c r="W332" s="56">
        <v>22.62</v>
      </c>
      <c r="X332" s="56">
        <v>29.25</v>
      </c>
      <c r="Y332" s="56">
        <v>4.9400000000000004</v>
      </c>
      <c r="Z332" s="56">
        <v>1.69</v>
      </c>
      <c r="AA332" s="56" t="s">
        <v>1617</v>
      </c>
      <c r="AB332" s="56">
        <v>14124091</v>
      </c>
      <c r="AC332" s="56" t="s">
        <v>1617</v>
      </c>
      <c r="AD332" s="56">
        <v>14124091</v>
      </c>
      <c r="AE332" s="56" t="s">
        <v>2626</v>
      </c>
      <c r="AF332" s="56" t="s">
        <v>2627</v>
      </c>
      <c r="AG332" s="56" t="s">
        <v>2627</v>
      </c>
      <c r="AH332" s="56">
        <v>36</v>
      </c>
      <c r="AI332" s="56" t="s">
        <v>2628</v>
      </c>
      <c r="AJ332" s="56" t="s">
        <v>2629</v>
      </c>
      <c r="AK332" s="56">
        <v>0</v>
      </c>
      <c r="AL332" s="56" t="s">
        <v>2630</v>
      </c>
      <c r="AM332" s="56" t="s">
        <v>2631</v>
      </c>
      <c r="AN332" s="56" t="s">
        <v>2632</v>
      </c>
      <c r="AO332" s="56" t="s">
        <v>2627</v>
      </c>
      <c r="AP332" s="56" t="s">
        <v>2624</v>
      </c>
      <c r="AQ332" s="123">
        <v>4.8611111111110938E-3</v>
      </c>
      <c r="AR332" s="122">
        <v>-1.6307870370370292E-2</v>
      </c>
      <c r="AS332" s="56" t="s">
        <v>1048</v>
      </c>
      <c r="AT332" s="56" t="s">
        <v>1049</v>
      </c>
      <c r="AU332" s="56" t="s">
        <v>1050</v>
      </c>
      <c r="AV332" s="56">
        <v>36</v>
      </c>
      <c r="AW332" s="56" t="s">
        <v>1051</v>
      </c>
      <c r="AX332" s="56" t="s">
        <v>2124</v>
      </c>
      <c r="AY332" s="56" t="s">
        <v>1093</v>
      </c>
      <c r="AZ332" s="56" t="s">
        <v>1067</v>
      </c>
      <c r="BA332" s="56" t="s">
        <v>2125</v>
      </c>
      <c r="BB332" s="56" t="s">
        <v>2126</v>
      </c>
      <c r="BC332" s="56" t="s">
        <v>1133</v>
      </c>
      <c r="BD332" s="56" t="s">
        <v>2127</v>
      </c>
    </row>
    <row r="333" spans="1:56" x14ac:dyDescent="0.2">
      <c r="A333" s="56">
        <v>176727401</v>
      </c>
      <c r="B333" s="56" t="s">
        <v>3191</v>
      </c>
      <c r="C333" s="56" t="s">
        <v>2623</v>
      </c>
      <c r="D333" s="56" t="s">
        <v>3192</v>
      </c>
      <c r="E333" s="56" t="s">
        <v>1044</v>
      </c>
      <c r="F333" s="56">
        <v>231</v>
      </c>
      <c r="G333" s="56"/>
      <c r="H333" s="56">
        <v>5432</v>
      </c>
      <c r="I333" s="56">
        <v>6</v>
      </c>
      <c r="J333" s="56" t="s">
        <v>1045</v>
      </c>
      <c r="K333" s="56" t="s">
        <v>1296</v>
      </c>
      <c r="L333" s="121">
        <v>46269</v>
      </c>
      <c r="M333" s="122">
        <v>0.53125</v>
      </c>
      <c r="N333" s="122">
        <v>0.53611111111111109</v>
      </c>
      <c r="O333" s="56" t="s">
        <v>1047</v>
      </c>
      <c r="P333" s="121">
        <v>46269</v>
      </c>
      <c r="Q333" s="122">
        <v>0.60069444444444442</v>
      </c>
      <c r="R333" s="122">
        <v>0.61101851851851852</v>
      </c>
      <c r="S333" s="56" t="s">
        <v>1047</v>
      </c>
      <c r="T333" s="56">
        <v>1</v>
      </c>
      <c r="U333" s="56">
        <v>63</v>
      </c>
      <c r="V333" s="56">
        <v>65.59</v>
      </c>
      <c r="W333" s="56">
        <v>65.92</v>
      </c>
      <c r="X333" s="56">
        <v>78.03</v>
      </c>
      <c r="Y333" s="56">
        <v>5.84</v>
      </c>
      <c r="Z333" s="56">
        <v>6.27</v>
      </c>
      <c r="AA333" s="56" t="s">
        <v>244</v>
      </c>
      <c r="AB333" s="56">
        <v>14112197</v>
      </c>
      <c r="AC333" s="56" t="s">
        <v>244</v>
      </c>
      <c r="AD333" s="56">
        <v>14112197</v>
      </c>
      <c r="AE333" s="56" t="s">
        <v>2626</v>
      </c>
      <c r="AF333" s="56" t="s">
        <v>2627</v>
      </c>
      <c r="AG333" s="56" t="s">
        <v>2627</v>
      </c>
      <c r="AH333" s="56">
        <v>36</v>
      </c>
      <c r="AI333" s="56" t="s">
        <v>2628</v>
      </c>
      <c r="AJ333" s="56" t="s">
        <v>2640</v>
      </c>
      <c r="AK333" s="56">
        <v>0</v>
      </c>
      <c r="AL333" s="56" t="s">
        <v>2630</v>
      </c>
      <c r="AM333" s="56" t="s">
        <v>2631</v>
      </c>
      <c r="AN333" s="56" t="s">
        <v>2632</v>
      </c>
      <c r="AO333" s="56" t="s">
        <v>2627</v>
      </c>
      <c r="AP333" s="56" t="s">
        <v>2624</v>
      </c>
      <c r="AQ333" s="123">
        <v>4.8611111111110938E-3</v>
      </c>
      <c r="AR333" s="122">
        <v>1.0324074074074097E-2</v>
      </c>
      <c r="AS333" s="56" t="s">
        <v>1048</v>
      </c>
      <c r="AT333" s="56" t="s">
        <v>1059</v>
      </c>
      <c r="AU333" s="56" t="s">
        <v>1060</v>
      </c>
      <c r="AV333" s="56">
        <v>36</v>
      </c>
      <c r="AW333" s="56" t="s">
        <v>1051</v>
      </c>
      <c r="AX333" s="56" t="s">
        <v>3193</v>
      </c>
      <c r="AY333" s="56" t="s">
        <v>1297</v>
      </c>
      <c r="AZ333" s="56" t="s">
        <v>1067</v>
      </c>
      <c r="BA333" s="56" t="s">
        <v>3194</v>
      </c>
      <c r="BB333" s="56" t="s">
        <v>3195</v>
      </c>
      <c r="BC333" s="56" t="s">
        <v>1133</v>
      </c>
      <c r="BD333" s="56" t="s">
        <v>3196</v>
      </c>
    </row>
    <row r="334" spans="1:56" x14ac:dyDescent="0.2">
      <c r="A334" s="56">
        <v>176715647</v>
      </c>
      <c r="B334" s="56" t="s">
        <v>3354</v>
      </c>
      <c r="C334" s="56" t="s">
        <v>2623</v>
      </c>
      <c r="D334" s="56" t="s">
        <v>1194</v>
      </c>
      <c r="E334" s="56" t="s">
        <v>1044</v>
      </c>
      <c r="F334" s="56">
        <v>112</v>
      </c>
      <c r="G334" s="56"/>
      <c r="H334" s="56">
        <v>15996</v>
      </c>
      <c r="I334" s="56">
        <v>6</v>
      </c>
      <c r="J334" s="56" t="s">
        <v>1045</v>
      </c>
      <c r="K334" s="56" t="s">
        <v>1079</v>
      </c>
      <c r="L334" s="121">
        <v>46269</v>
      </c>
      <c r="M334" s="122">
        <v>0.53472222222222221</v>
      </c>
      <c r="N334" s="122">
        <v>0.53888888888888886</v>
      </c>
      <c r="O334" s="56" t="s">
        <v>1047</v>
      </c>
      <c r="P334" s="121">
        <v>46269</v>
      </c>
      <c r="Q334" s="122">
        <v>0.60069444444444442</v>
      </c>
      <c r="R334" s="122">
        <v>0.59204861111111107</v>
      </c>
      <c r="S334" s="56" t="s">
        <v>1047</v>
      </c>
      <c r="T334" s="56">
        <v>1</v>
      </c>
      <c r="U334" s="56">
        <v>28</v>
      </c>
      <c r="V334" s="56">
        <v>24.49</v>
      </c>
      <c r="W334" s="56">
        <v>22.03</v>
      </c>
      <c r="X334" s="56">
        <v>30.18</v>
      </c>
      <c r="Y334" s="56">
        <v>2.93</v>
      </c>
      <c r="Z334" s="56">
        <v>5.22</v>
      </c>
      <c r="AA334" s="56" t="s">
        <v>354</v>
      </c>
      <c r="AB334" s="56">
        <v>14100902</v>
      </c>
      <c r="AC334" s="56" t="s">
        <v>354</v>
      </c>
      <c r="AD334" s="56">
        <v>14100902</v>
      </c>
      <c r="AE334" s="56" t="s">
        <v>2626</v>
      </c>
      <c r="AF334" s="56" t="s">
        <v>2627</v>
      </c>
      <c r="AG334" s="56" t="s">
        <v>2627</v>
      </c>
      <c r="AH334" s="56">
        <v>36</v>
      </c>
      <c r="AI334" s="56" t="s">
        <v>2628</v>
      </c>
      <c r="AJ334" s="56" t="s">
        <v>2629</v>
      </c>
      <c r="AK334" s="56">
        <v>0</v>
      </c>
      <c r="AL334" s="56" t="s">
        <v>2630</v>
      </c>
      <c r="AM334" s="56" t="s">
        <v>2631</v>
      </c>
      <c r="AN334" s="56" t="s">
        <v>2632</v>
      </c>
      <c r="AO334" s="56" t="s">
        <v>2627</v>
      </c>
      <c r="AP334" s="56" t="s">
        <v>2624</v>
      </c>
      <c r="AQ334" s="123">
        <v>4.1666666666666519E-3</v>
      </c>
      <c r="AR334" s="122">
        <v>-8.6458333333333526E-3</v>
      </c>
      <c r="AS334" s="56" t="s">
        <v>1048</v>
      </c>
      <c r="AT334" s="56" t="s">
        <v>1049</v>
      </c>
      <c r="AU334" s="56" t="s">
        <v>1050</v>
      </c>
      <c r="AV334" s="56">
        <v>36</v>
      </c>
      <c r="AW334" s="56" t="s">
        <v>1051</v>
      </c>
      <c r="AX334" s="56" t="s">
        <v>1195</v>
      </c>
      <c r="AY334" s="56" t="s">
        <v>1081</v>
      </c>
      <c r="AZ334" s="56" t="s">
        <v>1067</v>
      </c>
      <c r="BA334" s="56" t="s">
        <v>1196</v>
      </c>
      <c r="BB334" s="56" t="s">
        <v>1197</v>
      </c>
      <c r="BC334" s="56" t="s">
        <v>1133</v>
      </c>
      <c r="BD334" s="56" t="s">
        <v>3355</v>
      </c>
    </row>
    <row r="335" spans="1:56" x14ac:dyDescent="0.2">
      <c r="A335" s="56">
        <v>176721860</v>
      </c>
      <c r="B335" s="56" t="s">
        <v>2770</v>
      </c>
      <c r="C335" s="56" t="s">
        <v>2623</v>
      </c>
      <c r="D335" s="56" t="s">
        <v>2771</v>
      </c>
      <c r="E335" s="56" t="s">
        <v>1044</v>
      </c>
      <c r="F335" s="56">
        <v>142</v>
      </c>
      <c r="G335" s="56"/>
      <c r="H335" s="56">
        <v>15993</v>
      </c>
      <c r="I335" s="56">
        <v>6</v>
      </c>
      <c r="J335" s="56" t="s">
        <v>1045</v>
      </c>
      <c r="K335" s="56" t="s">
        <v>1079</v>
      </c>
      <c r="L335" s="121">
        <v>46269</v>
      </c>
      <c r="M335" s="122">
        <v>0.53472222222222221</v>
      </c>
      <c r="N335" s="122">
        <v>0.53888888888888886</v>
      </c>
      <c r="O335" s="56" t="s">
        <v>1047</v>
      </c>
      <c r="P335" s="121">
        <v>46269</v>
      </c>
      <c r="Q335" s="122">
        <v>0.60069444444444442</v>
      </c>
      <c r="R335" s="122">
        <v>0.57916666666666672</v>
      </c>
      <c r="S335" s="56" t="s">
        <v>1047</v>
      </c>
      <c r="T335" s="56">
        <v>1</v>
      </c>
      <c r="U335" s="56">
        <v>38</v>
      </c>
      <c r="V335" s="56">
        <v>31.25</v>
      </c>
      <c r="W335" s="56">
        <v>28.51</v>
      </c>
      <c r="X335" s="56">
        <v>34.69</v>
      </c>
      <c r="Y335" s="56">
        <v>0.38</v>
      </c>
      <c r="Z335" s="56">
        <v>5.8</v>
      </c>
      <c r="AA335" s="56" t="s">
        <v>992</v>
      </c>
      <c r="AB335" s="56">
        <v>14123925</v>
      </c>
      <c r="AC335" s="56" t="s">
        <v>992</v>
      </c>
      <c r="AD335" s="56">
        <v>14123925</v>
      </c>
      <c r="AE335" s="56" t="s">
        <v>2626</v>
      </c>
      <c r="AF335" s="56" t="s">
        <v>2627</v>
      </c>
      <c r="AG335" s="56" t="s">
        <v>2627</v>
      </c>
      <c r="AH335" s="56">
        <v>36</v>
      </c>
      <c r="AI335" s="56" t="s">
        <v>2628</v>
      </c>
      <c r="AJ335" s="56" t="s">
        <v>2629</v>
      </c>
      <c r="AK335" s="56">
        <v>0</v>
      </c>
      <c r="AL335" s="56" t="s">
        <v>2630</v>
      </c>
      <c r="AM335" s="56" t="s">
        <v>2631</v>
      </c>
      <c r="AN335" s="56" t="s">
        <v>2632</v>
      </c>
      <c r="AO335" s="56" t="s">
        <v>2627</v>
      </c>
      <c r="AP335" s="56" t="s">
        <v>2624</v>
      </c>
      <c r="AQ335" s="123">
        <v>4.1666666666666519E-3</v>
      </c>
      <c r="AR335" s="122">
        <v>-2.1527777777777701E-2</v>
      </c>
      <c r="AS335" s="56" t="s">
        <v>1048</v>
      </c>
      <c r="AT335" s="56" t="s">
        <v>1049</v>
      </c>
      <c r="AU335" s="56" t="s">
        <v>1050</v>
      </c>
      <c r="AV335" s="56">
        <v>36</v>
      </c>
      <c r="AW335" s="56" t="s">
        <v>1051</v>
      </c>
      <c r="AX335" s="56" t="s">
        <v>2772</v>
      </c>
      <c r="AY335" s="56" t="s">
        <v>1081</v>
      </c>
      <c r="AZ335" s="56" t="s">
        <v>1067</v>
      </c>
      <c r="BA335" s="56" t="s">
        <v>2773</v>
      </c>
      <c r="BB335" s="56" t="s">
        <v>2774</v>
      </c>
      <c r="BC335" s="56" t="s">
        <v>1133</v>
      </c>
      <c r="BD335" s="56" t="s">
        <v>2775</v>
      </c>
    </row>
    <row r="336" spans="1:56" x14ac:dyDescent="0.2">
      <c r="A336" s="56">
        <v>176715641</v>
      </c>
      <c r="B336" s="56" t="s">
        <v>1282</v>
      </c>
      <c r="C336" s="56" t="s">
        <v>2623</v>
      </c>
      <c r="D336" s="56" t="s">
        <v>1283</v>
      </c>
      <c r="E336" s="56" t="s">
        <v>1044</v>
      </c>
      <c r="F336" s="56">
        <v>109</v>
      </c>
      <c r="G336" s="56"/>
      <c r="H336" s="56">
        <v>5672</v>
      </c>
      <c r="I336" s="56">
        <v>8</v>
      </c>
      <c r="J336" s="56" t="s">
        <v>1045</v>
      </c>
      <c r="K336" s="56" t="s">
        <v>1079</v>
      </c>
      <c r="L336" s="121">
        <v>46269</v>
      </c>
      <c r="M336" s="122">
        <v>0.53819444444444442</v>
      </c>
      <c r="N336" s="122">
        <v>0.54861111111111116</v>
      </c>
      <c r="O336" s="56" t="s">
        <v>1047</v>
      </c>
      <c r="P336" s="121">
        <v>46269</v>
      </c>
      <c r="Q336" s="122">
        <v>0.60069444444444442</v>
      </c>
      <c r="R336" s="122">
        <v>0.58826388888888892</v>
      </c>
      <c r="S336" s="56" t="s">
        <v>1047</v>
      </c>
      <c r="T336" s="56">
        <v>0</v>
      </c>
      <c r="U336" s="56">
        <v>42</v>
      </c>
      <c r="V336" s="56">
        <v>25.4</v>
      </c>
      <c r="W336" s="56">
        <v>27.27</v>
      </c>
      <c r="X336" s="56">
        <v>32.89</v>
      </c>
      <c r="Y336" s="56">
        <v>5.32</v>
      </c>
      <c r="Z336" s="56">
        <v>0.3</v>
      </c>
      <c r="AA336" s="56" t="s">
        <v>1003</v>
      </c>
      <c r="AB336" s="56">
        <v>14124002</v>
      </c>
      <c r="AC336" s="56" t="s">
        <v>1003</v>
      </c>
      <c r="AD336" s="56">
        <v>14124002</v>
      </c>
      <c r="AE336" s="56" t="s">
        <v>2626</v>
      </c>
      <c r="AF336" s="56" t="s">
        <v>2627</v>
      </c>
      <c r="AG336" s="56" t="s">
        <v>2627</v>
      </c>
      <c r="AH336" s="56">
        <v>36</v>
      </c>
      <c r="AI336" s="56" t="s">
        <v>2628</v>
      </c>
      <c r="AJ336" s="56" t="s">
        <v>2629</v>
      </c>
      <c r="AK336" s="56">
        <v>0</v>
      </c>
      <c r="AL336" s="56" t="s">
        <v>2630</v>
      </c>
      <c r="AM336" s="56" t="s">
        <v>2631</v>
      </c>
      <c r="AN336" s="56" t="s">
        <v>2632</v>
      </c>
      <c r="AO336" s="56" t="s">
        <v>2627</v>
      </c>
      <c r="AP336" s="56">
        <v>49</v>
      </c>
      <c r="AQ336" s="123">
        <v>1.0416666666666741E-2</v>
      </c>
      <c r="AR336" s="122">
        <v>-1.24305555555555E-2</v>
      </c>
      <c r="AS336" s="56" t="s">
        <v>1048</v>
      </c>
      <c r="AT336" s="56" t="s">
        <v>1049</v>
      </c>
      <c r="AU336" s="56" t="s">
        <v>1050</v>
      </c>
      <c r="AV336" s="56">
        <v>36</v>
      </c>
      <c r="AW336" s="56" t="s">
        <v>1051</v>
      </c>
      <c r="AX336" s="56" t="s">
        <v>1284</v>
      </c>
      <c r="AY336" s="56" t="s">
        <v>1081</v>
      </c>
      <c r="AZ336" s="56" t="s">
        <v>1067</v>
      </c>
      <c r="BA336" s="56" t="s">
        <v>1285</v>
      </c>
      <c r="BB336" s="56" t="s">
        <v>1286</v>
      </c>
      <c r="BC336" s="56" t="s">
        <v>1133</v>
      </c>
      <c r="BD336" s="56" t="s">
        <v>1287</v>
      </c>
    </row>
    <row r="337" spans="1:56" x14ac:dyDescent="0.2">
      <c r="A337" s="56">
        <v>176718676</v>
      </c>
      <c r="B337" s="56" t="s">
        <v>2776</v>
      </c>
      <c r="C337" s="56" t="s">
        <v>2623</v>
      </c>
      <c r="D337" s="56" t="s">
        <v>1173</v>
      </c>
      <c r="E337" s="56" t="s">
        <v>1044</v>
      </c>
      <c r="F337" s="56">
        <v>7</v>
      </c>
      <c r="G337" s="56"/>
      <c r="H337" s="56">
        <v>13848</v>
      </c>
      <c r="I337" s="56">
        <v>6</v>
      </c>
      <c r="J337" s="56" t="s">
        <v>1045</v>
      </c>
      <c r="K337" s="56" t="s">
        <v>1058</v>
      </c>
      <c r="L337" s="121">
        <v>46269</v>
      </c>
      <c r="M337" s="122">
        <v>0.53819444444444442</v>
      </c>
      <c r="N337" s="122">
        <v>0.54236111111111107</v>
      </c>
      <c r="O337" s="56" t="s">
        <v>1047</v>
      </c>
      <c r="P337" s="121">
        <v>46269</v>
      </c>
      <c r="Q337" s="122">
        <v>0.60416666666666663</v>
      </c>
      <c r="R337" s="122">
        <v>0.59932870370370372</v>
      </c>
      <c r="S337" s="56" t="s">
        <v>1047</v>
      </c>
      <c r="T337" s="56">
        <v>1</v>
      </c>
      <c r="U337" s="56">
        <v>34</v>
      </c>
      <c r="V337" s="56">
        <v>28.3</v>
      </c>
      <c r="W337" s="56">
        <v>25.96</v>
      </c>
      <c r="X337" s="56">
        <v>35.85</v>
      </c>
      <c r="Y337" s="56">
        <v>6.42</v>
      </c>
      <c r="Z337" s="56">
        <v>3.47</v>
      </c>
      <c r="AA337" s="56" t="s">
        <v>1174</v>
      </c>
      <c r="AB337" s="56">
        <v>14113198</v>
      </c>
      <c r="AC337" s="56" t="s">
        <v>1174</v>
      </c>
      <c r="AD337" s="56">
        <v>14113198</v>
      </c>
      <c r="AE337" s="56" t="s">
        <v>2626</v>
      </c>
      <c r="AF337" s="56" t="s">
        <v>2627</v>
      </c>
      <c r="AG337" s="56" t="s">
        <v>2627</v>
      </c>
      <c r="AH337" s="56">
        <v>36</v>
      </c>
      <c r="AI337" s="56" t="s">
        <v>2628</v>
      </c>
      <c r="AJ337" s="56" t="s">
        <v>2629</v>
      </c>
      <c r="AK337" s="56">
        <v>842</v>
      </c>
      <c r="AL337" s="56" t="s">
        <v>2630</v>
      </c>
      <c r="AM337" s="56" t="s">
        <v>2631</v>
      </c>
      <c r="AN337" s="56" t="s">
        <v>2632</v>
      </c>
      <c r="AO337" s="56" t="s">
        <v>2627</v>
      </c>
      <c r="AP337" s="56" t="s">
        <v>2624</v>
      </c>
      <c r="AQ337" s="123">
        <v>4.1666666666666519E-3</v>
      </c>
      <c r="AR337" s="122">
        <v>-4.8379629629629051E-3</v>
      </c>
      <c r="AS337" s="56" t="s">
        <v>1048</v>
      </c>
      <c r="AT337" s="56" t="s">
        <v>1049</v>
      </c>
      <c r="AU337" s="56" t="s">
        <v>1050</v>
      </c>
      <c r="AV337" s="56">
        <v>36</v>
      </c>
      <c r="AW337" s="56" t="s">
        <v>1051</v>
      </c>
      <c r="AX337" s="56" t="s">
        <v>1175</v>
      </c>
      <c r="AY337" s="56" t="s">
        <v>1061</v>
      </c>
      <c r="AZ337" s="56" t="s">
        <v>1062</v>
      </c>
      <c r="BA337" s="56" t="s">
        <v>1176</v>
      </c>
      <c r="BB337" s="56" t="s">
        <v>1177</v>
      </c>
      <c r="BC337" s="56" t="s">
        <v>1133</v>
      </c>
      <c r="BD337" s="56" t="s">
        <v>2777</v>
      </c>
    </row>
    <row r="338" spans="1:56" x14ac:dyDescent="0.2">
      <c r="A338" s="56">
        <v>176725105</v>
      </c>
      <c r="B338" s="56" t="s">
        <v>1290</v>
      </c>
      <c r="C338" s="56" t="s">
        <v>2623</v>
      </c>
      <c r="D338" s="56" t="s">
        <v>1291</v>
      </c>
      <c r="E338" s="56" t="s">
        <v>1044</v>
      </c>
      <c r="F338" s="56">
        <v>81</v>
      </c>
      <c r="G338" s="56"/>
      <c r="H338" s="56">
        <v>13944</v>
      </c>
      <c r="I338" s="56">
        <v>6</v>
      </c>
      <c r="J338" s="56" t="s">
        <v>1045</v>
      </c>
      <c r="K338" s="56" t="s">
        <v>1091</v>
      </c>
      <c r="L338" s="121">
        <v>46269</v>
      </c>
      <c r="M338" s="122">
        <v>0.53819444444444442</v>
      </c>
      <c r="N338" s="122">
        <v>0.57361111111111107</v>
      </c>
      <c r="O338" s="56" t="s">
        <v>1047</v>
      </c>
      <c r="P338" s="121">
        <v>46269</v>
      </c>
      <c r="Q338" s="122">
        <v>0.60069444444444442</v>
      </c>
      <c r="R338" s="122">
        <v>0.60108796296296296</v>
      </c>
      <c r="S338" s="56" t="s">
        <v>1047</v>
      </c>
      <c r="T338" s="56">
        <v>1</v>
      </c>
      <c r="U338" s="56">
        <v>22</v>
      </c>
      <c r="V338" s="56">
        <v>16.989999999999998</v>
      </c>
      <c r="W338" s="56">
        <v>8.19</v>
      </c>
      <c r="X338" s="56">
        <v>13.94</v>
      </c>
      <c r="Y338" s="56">
        <v>6.55</v>
      </c>
      <c r="Z338" s="56">
        <v>-0.8</v>
      </c>
      <c r="AA338" s="56" t="s">
        <v>495</v>
      </c>
      <c r="AB338" s="56">
        <v>14123238</v>
      </c>
      <c r="AC338" s="56" t="s">
        <v>495</v>
      </c>
      <c r="AD338" s="56">
        <v>14123238</v>
      </c>
      <c r="AE338" s="56" t="s">
        <v>2626</v>
      </c>
      <c r="AF338" s="56" t="s">
        <v>2627</v>
      </c>
      <c r="AG338" s="56" t="s">
        <v>2627</v>
      </c>
      <c r="AH338" s="56">
        <v>36</v>
      </c>
      <c r="AI338" s="56" t="s">
        <v>2628</v>
      </c>
      <c r="AJ338" s="56" t="s">
        <v>2629</v>
      </c>
      <c r="AK338" s="56">
        <v>0</v>
      </c>
      <c r="AL338" s="56" t="s">
        <v>2630</v>
      </c>
      <c r="AM338" s="56" t="s">
        <v>2631</v>
      </c>
      <c r="AN338" s="56" t="s">
        <v>2632</v>
      </c>
      <c r="AO338" s="56" t="s">
        <v>2627</v>
      </c>
      <c r="AP338" s="56" t="s">
        <v>2624</v>
      </c>
      <c r="AQ338" s="123">
        <v>3.5416666666666652E-2</v>
      </c>
      <c r="AR338" s="122">
        <v>3.9351851851854303E-4</v>
      </c>
      <c r="AS338" s="56" t="s">
        <v>1048</v>
      </c>
      <c r="AT338" s="56" t="s">
        <v>1049</v>
      </c>
      <c r="AU338" s="56" t="s">
        <v>1050</v>
      </c>
      <c r="AV338" s="56">
        <v>36</v>
      </c>
      <c r="AW338" s="56" t="s">
        <v>1051</v>
      </c>
      <c r="AX338" s="56" t="s">
        <v>1292</v>
      </c>
      <c r="AY338" s="56" t="s">
        <v>1093</v>
      </c>
      <c r="AZ338" s="56" t="s">
        <v>1067</v>
      </c>
      <c r="BA338" s="56" t="s">
        <v>1293</v>
      </c>
      <c r="BB338" s="56" t="s">
        <v>1294</v>
      </c>
      <c r="BC338" s="56" t="s">
        <v>1133</v>
      </c>
      <c r="BD338" s="56" t="s">
        <v>1295</v>
      </c>
    </row>
    <row r="339" spans="1:56" x14ac:dyDescent="0.2">
      <c r="A339" s="56">
        <v>176725140</v>
      </c>
      <c r="B339" s="56" t="s">
        <v>2174</v>
      </c>
      <c r="C339" s="56" t="s">
        <v>2623</v>
      </c>
      <c r="D339" s="56" t="s">
        <v>2175</v>
      </c>
      <c r="E339" s="56" t="s">
        <v>1044</v>
      </c>
      <c r="F339" s="56">
        <v>84</v>
      </c>
      <c r="G339" s="56"/>
      <c r="H339" s="56">
        <v>16785</v>
      </c>
      <c r="I339" s="56">
        <v>6</v>
      </c>
      <c r="J339" s="56" t="s">
        <v>1045</v>
      </c>
      <c r="K339" s="56" t="s">
        <v>1091</v>
      </c>
      <c r="L339" s="121">
        <v>46269</v>
      </c>
      <c r="M339" s="122">
        <v>0.53819444444444442</v>
      </c>
      <c r="N339" s="122">
        <v>0.54236111111111107</v>
      </c>
      <c r="O339" s="56" t="s">
        <v>1047</v>
      </c>
      <c r="P339" s="121">
        <v>46269</v>
      </c>
      <c r="Q339" s="122">
        <v>0.60069444444444442</v>
      </c>
      <c r="R339" s="122">
        <v>0.60478009259259258</v>
      </c>
      <c r="S339" s="56" t="s">
        <v>1047</v>
      </c>
      <c r="T339" s="56">
        <v>1</v>
      </c>
      <c r="U339" s="56">
        <v>23</v>
      </c>
      <c r="V339" s="56">
        <v>21.12</v>
      </c>
      <c r="W339" s="56">
        <v>22.3</v>
      </c>
      <c r="X339" s="56">
        <v>35.76</v>
      </c>
      <c r="Y339" s="56">
        <v>7.08</v>
      </c>
      <c r="Z339" s="56">
        <v>6.38</v>
      </c>
      <c r="AA339" s="56" t="s">
        <v>1099</v>
      </c>
      <c r="AB339" s="56">
        <v>14116431</v>
      </c>
      <c r="AC339" s="56" t="s">
        <v>1099</v>
      </c>
      <c r="AD339" s="56">
        <v>14116431</v>
      </c>
      <c r="AE339" s="56" t="s">
        <v>2626</v>
      </c>
      <c r="AF339" s="56" t="s">
        <v>2627</v>
      </c>
      <c r="AG339" s="56" t="s">
        <v>2627</v>
      </c>
      <c r="AH339" s="56">
        <v>36</v>
      </c>
      <c r="AI339" s="56" t="s">
        <v>2628</v>
      </c>
      <c r="AJ339" s="56" t="s">
        <v>2640</v>
      </c>
      <c r="AK339" s="56">
        <v>0</v>
      </c>
      <c r="AL339" s="56" t="s">
        <v>2630</v>
      </c>
      <c r="AM339" s="56" t="s">
        <v>2631</v>
      </c>
      <c r="AN339" s="56" t="s">
        <v>2632</v>
      </c>
      <c r="AO339" s="56" t="s">
        <v>2627</v>
      </c>
      <c r="AP339" s="56" t="s">
        <v>2624</v>
      </c>
      <c r="AQ339" s="123">
        <v>4.1666666666666519E-3</v>
      </c>
      <c r="AR339" s="122">
        <v>4.0856481481481577E-3</v>
      </c>
      <c r="AS339" s="56" t="s">
        <v>1048</v>
      </c>
      <c r="AT339" s="56" t="s">
        <v>1059</v>
      </c>
      <c r="AU339" s="56" t="s">
        <v>1060</v>
      </c>
      <c r="AV339" s="56">
        <v>36</v>
      </c>
      <c r="AW339" s="56" t="s">
        <v>1051</v>
      </c>
      <c r="AX339" s="56" t="s">
        <v>2176</v>
      </c>
      <c r="AY339" s="56" t="s">
        <v>1093</v>
      </c>
      <c r="AZ339" s="56" t="s">
        <v>1067</v>
      </c>
      <c r="BA339" s="56" t="s">
        <v>2177</v>
      </c>
      <c r="BB339" s="56" t="s">
        <v>2178</v>
      </c>
      <c r="BC339" s="56" t="s">
        <v>1133</v>
      </c>
      <c r="BD339" s="56" t="s">
        <v>2179</v>
      </c>
    </row>
    <row r="340" spans="1:56" x14ac:dyDescent="0.2">
      <c r="A340" s="56">
        <v>176715385</v>
      </c>
      <c r="B340" s="56" t="s">
        <v>3201</v>
      </c>
      <c r="C340" s="56" t="s">
        <v>2623</v>
      </c>
      <c r="D340" s="56" t="s">
        <v>1090</v>
      </c>
      <c r="E340" s="56" t="s">
        <v>1044</v>
      </c>
      <c r="F340" s="56">
        <v>28</v>
      </c>
      <c r="G340" s="56"/>
      <c r="H340" s="56">
        <v>16733</v>
      </c>
      <c r="I340" s="56">
        <v>8</v>
      </c>
      <c r="J340" s="56" t="s">
        <v>1045</v>
      </c>
      <c r="K340" s="56" t="s">
        <v>1091</v>
      </c>
      <c r="L340" s="121">
        <v>46269</v>
      </c>
      <c r="M340" s="122">
        <v>0.5395833333333333</v>
      </c>
      <c r="N340" s="122">
        <v>0.54652777777777772</v>
      </c>
      <c r="O340" s="56" t="s">
        <v>1047</v>
      </c>
      <c r="P340" s="121">
        <v>46269</v>
      </c>
      <c r="Q340" s="122">
        <v>0.60069444444444442</v>
      </c>
      <c r="R340" s="122">
        <v>0.58805555555555555</v>
      </c>
      <c r="S340" s="56" t="s">
        <v>1047</v>
      </c>
      <c r="T340" s="56">
        <v>0</v>
      </c>
      <c r="U340" s="56">
        <v>28</v>
      </c>
      <c r="V340" s="56">
        <v>23.51</v>
      </c>
      <c r="W340" s="56">
        <v>23.35</v>
      </c>
      <c r="X340" s="56">
        <v>31.58</v>
      </c>
      <c r="Y340" s="56">
        <v>7.64</v>
      </c>
      <c r="Z340" s="56">
        <v>0.59</v>
      </c>
      <c r="AA340" s="56" t="s">
        <v>35</v>
      </c>
      <c r="AB340" s="56">
        <v>14103106</v>
      </c>
      <c r="AC340" s="56" t="s">
        <v>35</v>
      </c>
      <c r="AD340" s="56">
        <v>14103106</v>
      </c>
      <c r="AE340" s="56" t="s">
        <v>2626</v>
      </c>
      <c r="AF340" s="56" t="s">
        <v>2627</v>
      </c>
      <c r="AG340" s="56" t="s">
        <v>2627</v>
      </c>
      <c r="AH340" s="56">
        <v>36</v>
      </c>
      <c r="AI340" s="56" t="s">
        <v>2628</v>
      </c>
      <c r="AJ340" s="56" t="s">
        <v>2629</v>
      </c>
      <c r="AK340" s="56">
        <v>0</v>
      </c>
      <c r="AL340" s="56" t="s">
        <v>2630</v>
      </c>
      <c r="AM340" s="56" t="s">
        <v>2631</v>
      </c>
      <c r="AN340" s="56" t="s">
        <v>2632</v>
      </c>
      <c r="AO340" s="56" t="s">
        <v>2627</v>
      </c>
      <c r="AP340" s="56" t="s">
        <v>2624</v>
      </c>
      <c r="AQ340" s="123">
        <v>6.9444444444444198E-3</v>
      </c>
      <c r="AR340" s="122">
        <v>-1.2638888888888866E-2</v>
      </c>
      <c r="AS340" s="56" t="s">
        <v>1048</v>
      </c>
      <c r="AT340" s="56" t="s">
        <v>1049</v>
      </c>
      <c r="AU340" s="56" t="s">
        <v>1050</v>
      </c>
      <c r="AV340" s="56">
        <v>36</v>
      </c>
      <c r="AW340" s="56" t="s">
        <v>1051</v>
      </c>
      <c r="AX340" s="56" t="s">
        <v>1092</v>
      </c>
      <c r="AY340" s="56" t="s">
        <v>1093</v>
      </c>
      <c r="AZ340" s="56" t="s">
        <v>1067</v>
      </c>
      <c r="BA340" s="56" t="s">
        <v>1094</v>
      </c>
      <c r="BB340" s="56" t="s">
        <v>1095</v>
      </c>
      <c r="BC340" s="56" t="s">
        <v>1133</v>
      </c>
      <c r="BD340" s="56" t="s">
        <v>3202</v>
      </c>
    </row>
    <row r="341" spans="1:56" x14ac:dyDescent="0.2">
      <c r="A341" s="56">
        <v>176715366</v>
      </c>
      <c r="B341" s="56" t="s">
        <v>1530</v>
      </c>
      <c r="C341" s="56" t="s">
        <v>2623</v>
      </c>
      <c r="D341" s="56" t="s">
        <v>1518</v>
      </c>
      <c r="E341" s="56" t="s">
        <v>1044</v>
      </c>
      <c r="F341" s="56">
        <v>21</v>
      </c>
      <c r="G341" s="56"/>
      <c r="H341" s="56">
        <v>6256</v>
      </c>
      <c r="I341" s="56">
        <v>6</v>
      </c>
      <c r="J341" s="56" t="s">
        <v>1045</v>
      </c>
      <c r="K341" s="56" t="s">
        <v>1091</v>
      </c>
      <c r="L341" s="121">
        <v>46269</v>
      </c>
      <c r="M341" s="122">
        <v>0.54166666666666663</v>
      </c>
      <c r="N341" s="122">
        <v>0.54513888888888884</v>
      </c>
      <c r="O341" s="56" t="s">
        <v>1047</v>
      </c>
      <c r="P341" s="121">
        <v>46269</v>
      </c>
      <c r="Q341" s="122">
        <v>0.60069444444444442</v>
      </c>
      <c r="R341" s="122">
        <v>0.58684027777777781</v>
      </c>
      <c r="S341" s="56" t="s">
        <v>1047</v>
      </c>
      <c r="T341" s="56">
        <v>1</v>
      </c>
      <c r="U341" s="56">
        <v>22</v>
      </c>
      <c r="V341" s="56">
        <v>15</v>
      </c>
      <c r="W341" s="56">
        <v>15.67</v>
      </c>
      <c r="X341" s="56">
        <v>20.59</v>
      </c>
      <c r="Y341" s="56">
        <v>4.49</v>
      </c>
      <c r="Z341" s="56">
        <v>0.43</v>
      </c>
      <c r="AA341" s="56" t="s">
        <v>1618</v>
      </c>
      <c r="AB341" s="56">
        <v>14124104</v>
      </c>
      <c r="AC341" s="56" t="s">
        <v>1618</v>
      </c>
      <c r="AD341" s="56">
        <v>14124104</v>
      </c>
      <c r="AE341" s="56" t="s">
        <v>2626</v>
      </c>
      <c r="AF341" s="56" t="s">
        <v>2627</v>
      </c>
      <c r="AG341" s="56" t="s">
        <v>2627</v>
      </c>
      <c r="AH341" s="56">
        <v>36</v>
      </c>
      <c r="AI341" s="56" t="s">
        <v>2628</v>
      </c>
      <c r="AJ341" s="56" t="s">
        <v>2629</v>
      </c>
      <c r="AK341" s="56">
        <v>0</v>
      </c>
      <c r="AL341" s="56" t="s">
        <v>2630</v>
      </c>
      <c r="AM341" s="56" t="s">
        <v>2631</v>
      </c>
      <c r="AN341" s="56" t="s">
        <v>2632</v>
      </c>
      <c r="AO341" s="56" t="s">
        <v>2627</v>
      </c>
      <c r="AP341" s="56">
        <v>30</v>
      </c>
      <c r="AQ341" s="123">
        <v>3.4722222222222099E-3</v>
      </c>
      <c r="AR341" s="122">
        <v>-1.3854166666666612E-2</v>
      </c>
      <c r="AS341" s="56" t="s">
        <v>1048</v>
      </c>
      <c r="AT341" s="56" t="s">
        <v>1049</v>
      </c>
      <c r="AU341" s="56" t="s">
        <v>1050</v>
      </c>
      <c r="AV341" s="56">
        <v>36</v>
      </c>
      <c r="AW341" s="56" t="s">
        <v>1051</v>
      </c>
      <c r="AX341" s="56" t="s">
        <v>1519</v>
      </c>
      <c r="AY341" s="56" t="s">
        <v>1093</v>
      </c>
      <c r="AZ341" s="56" t="s">
        <v>1067</v>
      </c>
      <c r="BA341" s="56" t="s">
        <v>1520</v>
      </c>
      <c r="BB341" s="56" t="s">
        <v>1521</v>
      </c>
      <c r="BC341" s="56" t="s">
        <v>1133</v>
      </c>
      <c r="BD341" s="56" t="s">
        <v>1531</v>
      </c>
    </row>
    <row r="342" spans="1:56" x14ac:dyDescent="0.2">
      <c r="A342" s="56">
        <v>176725868</v>
      </c>
      <c r="B342" s="56" t="s">
        <v>2778</v>
      </c>
      <c r="C342" s="56" t="s">
        <v>2623</v>
      </c>
      <c r="D342" s="56" t="s">
        <v>1224</v>
      </c>
      <c r="E342" s="56" t="s">
        <v>1044</v>
      </c>
      <c r="F342" s="56">
        <v>227</v>
      </c>
      <c r="G342" s="56"/>
      <c r="H342" s="56">
        <v>13416</v>
      </c>
      <c r="I342" s="56">
        <v>6</v>
      </c>
      <c r="J342" s="56" t="s">
        <v>1045</v>
      </c>
      <c r="K342" s="56" t="s">
        <v>1079</v>
      </c>
      <c r="L342" s="121">
        <v>46269</v>
      </c>
      <c r="M342" s="122">
        <v>0.54166666666666663</v>
      </c>
      <c r="N342" s="122">
        <v>0.54513888888888884</v>
      </c>
      <c r="O342" s="56" t="s">
        <v>1047</v>
      </c>
      <c r="P342" s="121">
        <v>46269</v>
      </c>
      <c r="Q342" s="122">
        <v>0.60069444444444442</v>
      </c>
      <c r="R342" s="122">
        <v>0.57952546296296292</v>
      </c>
      <c r="S342" s="56" t="s">
        <v>1047</v>
      </c>
      <c r="T342" s="56">
        <v>1</v>
      </c>
      <c r="U342" s="56">
        <v>30</v>
      </c>
      <c r="V342" s="56">
        <v>29.86</v>
      </c>
      <c r="W342" s="56">
        <v>25.68</v>
      </c>
      <c r="X342" s="56">
        <v>32.04</v>
      </c>
      <c r="Y342" s="56">
        <v>3.72</v>
      </c>
      <c r="Z342" s="56">
        <v>2.64</v>
      </c>
      <c r="AA342" s="56" t="s">
        <v>234</v>
      </c>
      <c r="AB342" s="56">
        <v>14119154</v>
      </c>
      <c r="AC342" s="56" t="s">
        <v>234</v>
      </c>
      <c r="AD342" s="56">
        <v>14119154</v>
      </c>
      <c r="AE342" s="56" t="s">
        <v>2626</v>
      </c>
      <c r="AF342" s="56" t="s">
        <v>2627</v>
      </c>
      <c r="AG342" s="56" t="s">
        <v>2627</v>
      </c>
      <c r="AH342" s="56">
        <v>36</v>
      </c>
      <c r="AI342" s="56" t="s">
        <v>2628</v>
      </c>
      <c r="AJ342" s="56" t="s">
        <v>2629</v>
      </c>
      <c r="AK342" s="56">
        <v>0</v>
      </c>
      <c r="AL342" s="56" t="s">
        <v>2630</v>
      </c>
      <c r="AM342" s="56" t="s">
        <v>2631</v>
      </c>
      <c r="AN342" s="56" t="s">
        <v>2632</v>
      </c>
      <c r="AO342" s="56" t="s">
        <v>2627</v>
      </c>
      <c r="AP342" s="56" t="s">
        <v>2624</v>
      </c>
      <c r="AQ342" s="123">
        <v>3.4722222222222099E-3</v>
      </c>
      <c r="AR342" s="122">
        <v>-2.1168981481481497E-2</v>
      </c>
      <c r="AS342" s="56" t="s">
        <v>1048</v>
      </c>
      <c r="AT342" s="56" t="s">
        <v>1049</v>
      </c>
      <c r="AU342" s="56" t="s">
        <v>1050</v>
      </c>
      <c r="AV342" s="56">
        <v>36</v>
      </c>
      <c r="AW342" s="56" t="s">
        <v>1051</v>
      </c>
      <c r="AX342" s="56" t="s">
        <v>2664</v>
      </c>
      <c r="AY342" s="56" t="s">
        <v>1081</v>
      </c>
      <c r="AZ342" s="56" t="s">
        <v>1067</v>
      </c>
      <c r="BA342" s="56" t="s">
        <v>2665</v>
      </c>
      <c r="BB342" s="56" t="s">
        <v>2666</v>
      </c>
      <c r="BC342" s="56" t="s">
        <v>1133</v>
      </c>
      <c r="BD342" s="56" t="s">
        <v>2779</v>
      </c>
    </row>
    <row r="343" spans="1:56" x14ac:dyDescent="0.2">
      <c r="A343" s="56">
        <v>176715563</v>
      </c>
      <c r="B343" s="56" t="s">
        <v>2786</v>
      </c>
      <c r="C343" s="56" t="s">
        <v>2623</v>
      </c>
      <c r="D343" s="56" t="s">
        <v>1532</v>
      </c>
      <c r="E343" s="56" t="s">
        <v>1044</v>
      </c>
      <c r="F343" s="56">
        <v>80</v>
      </c>
      <c r="G343" s="56"/>
      <c r="H343" s="56">
        <v>13375</v>
      </c>
      <c r="I343" s="56">
        <v>6</v>
      </c>
      <c r="J343" s="56" t="s">
        <v>1045</v>
      </c>
      <c r="K343" s="56" t="s">
        <v>1079</v>
      </c>
      <c r="L343" s="121">
        <v>46269</v>
      </c>
      <c r="M343" s="122">
        <v>0.54513888888888884</v>
      </c>
      <c r="N343" s="122">
        <v>0.54861111111111116</v>
      </c>
      <c r="O343" s="56" t="s">
        <v>1047</v>
      </c>
      <c r="P343" s="121">
        <v>46269</v>
      </c>
      <c r="Q343" s="122">
        <v>0.60069444444444442</v>
      </c>
      <c r="R343" s="122">
        <v>0.60571759259259261</v>
      </c>
      <c r="S343" s="56" t="s">
        <v>1047</v>
      </c>
      <c r="T343" s="56">
        <v>1</v>
      </c>
      <c r="U343" s="56">
        <v>36</v>
      </c>
      <c r="V343" s="56">
        <v>21.25</v>
      </c>
      <c r="W343" s="56">
        <v>32.03</v>
      </c>
      <c r="X343" s="56">
        <v>42.43</v>
      </c>
      <c r="Y343" s="56">
        <v>7.9</v>
      </c>
      <c r="Z343" s="56">
        <v>2.5</v>
      </c>
      <c r="AA343" s="56" t="s">
        <v>237</v>
      </c>
      <c r="AB343" s="56">
        <v>14117509</v>
      </c>
      <c r="AC343" s="56" t="s">
        <v>237</v>
      </c>
      <c r="AD343" s="56">
        <v>14117509</v>
      </c>
      <c r="AE343" s="56" t="s">
        <v>2626</v>
      </c>
      <c r="AF343" s="56" t="s">
        <v>2627</v>
      </c>
      <c r="AG343" s="56" t="s">
        <v>2627</v>
      </c>
      <c r="AH343" s="56">
        <v>36</v>
      </c>
      <c r="AI343" s="56" t="s">
        <v>2628</v>
      </c>
      <c r="AJ343" s="56" t="s">
        <v>2640</v>
      </c>
      <c r="AK343" s="56">
        <v>0</v>
      </c>
      <c r="AL343" s="56" t="s">
        <v>2630</v>
      </c>
      <c r="AM343" s="56" t="s">
        <v>2631</v>
      </c>
      <c r="AN343" s="56" t="s">
        <v>2632</v>
      </c>
      <c r="AO343" s="56" t="s">
        <v>2627</v>
      </c>
      <c r="AP343" s="56" t="s">
        <v>2624</v>
      </c>
      <c r="AQ343" s="123">
        <v>3.4722222222223209E-3</v>
      </c>
      <c r="AR343" s="122">
        <v>5.0231481481481932E-3</v>
      </c>
      <c r="AS343" s="56" t="s">
        <v>1048</v>
      </c>
      <c r="AT343" s="56" t="s">
        <v>1059</v>
      </c>
      <c r="AU343" s="56" t="s">
        <v>1060</v>
      </c>
      <c r="AV343" s="56">
        <v>36</v>
      </c>
      <c r="AW343" s="56" t="s">
        <v>1051</v>
      </c>
      <c r="AX343" s="56" t="s">
        <v>1533</v>
      </c>
      <c r="AY343" s="56" t="s">
        <v>1081</v>
      </c>
      <c r="AZ343" s="56" t="s">
        <v>1067</v>
      </c>
      <c r="BA343" s="56" t="s">
        <v>1534</v>
      </c>
      <c r="BB343" s="56" t="s">
        <v>1535</v>
      </c>
      <c r="BC343" s="56" t="s">
        <v>1133</v>
      </c>
      <c r="BD343" s="56" t="s">
        <v>2787</v>
      </c>
    </row>
    <row r="344" spans="1:56" x14ac:dyDescent="0.2">
      <c r="A344" s="56">
        <v>176723641</v>
      </c>
      <c r="B344" s="56" t="s">
        <v>3356</v>
      </c>
      <c r="C344" s="56" t="s">
        <v>2623</v>
      </c>
      <c r="D344" s="56" t="s">
        <v>2223</v>
      </c>
      <c r="E344" s="56" t="s">
        <v>1044</v>
      </c>
      <c r="F344" s="56">
        <v>90</v>
      </c>
      <c r="G344" s="56" t="s">
        <v>2670</v>
      </c>
      <c r="H344" s="56">
        <v>6159</v>
      </c>
      <c r="I344" s="56">
        <v>6</v>
      </c>
      <c r="J344" s="56" t="s">
        <v>1045</v>
      </c>
      <c r="K344" s="56" t="s">
        <v>1116</v>
      </c>
      <c r="L344" s="121">
        <v>46269</v>
      </c>
      <c r="M344" s="122">
        <v>0.55208333333333337</v>
      </c>
      <c r="N344" s="122">
        <v>0.55555555555555558</v>
      </c>
      <c r="O344" s="56" t="s">
        <v>1047</v>
      </c>
      <c r="P344" s="121">
        <v>46269</v>
      </c>
      <c r="Q344" s="122">
        <v>0.61458333333333337</v>
      </c>
      <c r="R344" s="122">
        <v>0.6118055555555556</v>
      </c>
      <c r="S344" s="56" t="s">
        <v>1047</v>
      </c>
      <c r="T344" s="56">
        <v>1</v>
      </c>
      <c r="U344" s="56">
        <v>31</v>
      </c>
      <c r="V344" s="56">
        <v>24.27</v>
      </c>
      <c r="W344" s="56">
        <v>25.07</v>
      </c>
      <c r="X344" s="56">
        <v>35.78</v>
      </c>
      <c r="Y344" s="56">
        <v>7.23</v>
      </c>
      <c r="Z344" s="56">
        <v>3.48</v>
      </c>
      <c r="AA344" s="56"/>
      <c r="AB344" s="56"/>
      <c r="AC344" s="56" t="s">
        <v>1187</v>
      </c>
      <c r="AD344" s="56"/>
      <c r="AE344" s="56" t="s">
        <v>2626</v>
      </c>
      <c r="AF344" s="56" t="s">
        <v>2627</v>
      </c>
      <c r="AG344" s="56" t="s">
        <v>2627</v>
      </c>
      <c r="AH344" s="56">
        <v>36</v>
      </c>
      <c r="AI344" s="56" t="s">
        <v>2628</v>
      </c>
      <c r="AJ344" s="56" t="s">
        <v>2629</v>
      </c>
      <c r="AK344" s="56">
        <v>0</v>
      </c>
      <c r="AL344" s="56" t="s">
        <v>2630</v>
      </c>
      <c r="AM344" s="56" t="s">
        <v>2631</v>
      </c>
      <c r="AN344" s="56" t="s">
        <v>2632</v>
      </c>
      <c r="AO344" s="56" t="s">
        <v>2627</v>
      </c>
      <c r="AP344" s="56" t="s">
        <v>2624</v>
      </c>
      <c r="AQ344" s="123">
        <v>3.4722222222222099E-3</v>
      </c>
      <c r="AR344" s="122">
        <v>-2.7777777777777679E-3</v>
      </c>
      <c r="AS344" s="56" t="s">
        <v>1048</v>
      </c>
      <c r="AT344" s="56" t="s">
        <v>1049</v>
      </c>
      <c r="AU344" s="56" t="s">
        <v>1050</v>
      </c>
      <c r="AV344" s="56">
        <v>36</v>
      </c>
      <c r="AW344" s="56" t="s">
        <v>1051</v>
      </c>
      <c r="AX344" s="56" t="s">
        <v>2224</v>
      </c>
      <c r="AY344" s="56" t="s">
        <v>1118</v>
      </c>
      <c r="AZ344" s="56" t="s">
        <v>1054</v>
      </c>
      <c r="BA344" s="56" t="s">
        <v>2225</v>
      </c>
      <c r="BB344" s="56" t="s">
        <v>2226</v>
      </c>
      <c r="BC344" s="56" t="s">
        <v>1133</v>
      </c>
      <c r="BD344" s="56" t="s">
        <v>3357</v>
      </c>
    </row>
    <row r="345" spans="1:56" x14ac:dyDescent="0.2">
      <c r="A345" s="56">
        <v>176724968</v>
      </c>
      <c r="B345" s="56" t="s">
        <v>1309</v>
      </c>
      <c r="C345" s="56" t="s">
        <v>2623</v>
      </c>
      <c r="D345" s="56" t="s">
        <v>1115</v>
      </c>
      <c r="E345" s="56" t="s">
        <v>1044</v>
      </c>
      <c r="F345" s="56">
        <v>98</v>
      </c>
      <c r="G345" s="56" t="s">
        <v>2670</v>
      </c>
      <c r="H345" s="56">
        <v>14692</v>
      </c>
      <c r="I345" s="56">
        <v>6</v>
      </c>
      <c r="J345" s="56" t="s">
        <v>1045</v>
      </c>
      <c r="K345" s="56" t="s">
        <v>1116</v>
      </c>
      <c r="L345" s="121">
        <v>46269</v>
      </c>
      <c r="M345" s="122">
        <v>0.55208333333333337</v>
      </c>
      <c r="N345" s="122">
        <v>0.5625</v>
      </c>
      <c r="O345" s="56" t="s">
        <v>1047</v>
      </c>
      <c r="P345" s="121">
        <v>46269</v>
      </c>
      <c r="Q345" s="122">
        <v>0.61458333333333337</v>
      </c>
      <c r="R345" s="122">
        <v>0.61319444444444449</v>
      </c>
      <c r="S345" s="56" t="s">
        <v>1047</v>
      </c>
      <c r="T345" s="56">
        <v>1</v>
      </c>
      <c r="U345" s="56">
        <v>31</v>
      </c>
      <c r="V345" s="56">
        <v>26.89</v>
      </c>
      <c r="W345" s="56">
        <v>24.54</v>
      </c>
      <c r="X345" s="56">
        <v>38.44</v>
      </c>
      <c r="Y345" s="56">
        <v>10.44</v>
      </c>
      <c r="Z345" s="56">
        <v>3.46</v>
      </c>
      <c r="AA345" s="56" t="s">
        <v>958</v>
      </c>
      <c r="AB345" s="56">
        <v>14123725</v>
      </c>
      <c r="AC345" s="56" t="s">
        <v>958</v>
      </c>
      <c r="AD345" s="56">
        <v>14123725</v>
      </c>
      <c r="AE345" s="56" t="s">
        <v>2626</v>
      </c>
      <c r="AF345" s="56" t="s">
        <v>2627</v>
      </c>
      <c r="AG345" s="56" t="s">
        <v>2627</v>
      </c>
      <c r="AH345" s="56">
        <v>36</v>
      </c>
      <c r="AI345" s="56" t="s">
        <v>2628</v>
      </c>
      <c r="AJ345" s="56" t="s">
        <v>2629</v>
      </c>
      <c r="AK345" s="56">
        <v>0</v>
      </c>
      <c r="AL345" s="56" t="s">
        <v>2630</v>
      </c>
      <c r="AM345" s="56" t="s">
        <v>2631</v>
      </c>
      <c r="AN345" s="56" t="s">
        <v>2632</v>
      </c>
      <c r="AO345" s="56" t="s">
        <v>2627</v>
      </c>
      <c r="AP345" s="56">
        <v>34</v>
      </c>
      <c r="AQ345" s="123">
        <v>1.041666666666663E-2</v>
      </c>
      <c r="AR345" s="122">
        <v>-1.388888888888884E-3</v>
      </c>
      <c r="AS345" s="56" t="s">
        <v>1048</v>
      </c>
      <c r="AT345" s="56" t="s">
        <v>1049</v>
      </c>
      <c r="AU345" s="56" t="s">
        <v>1050</v>
      </c>
      <c r="AV345" s="56">
        <v>36</v>
      </c>
      <c r="AW345" s="56" t="s">
        <v>1051</v>
      </c>
      <c r="AX345" s="56" t="s">
        <v>1117</v>
      </c>
      <c r="AY345" s="56" t="s">
        <v>1118</v>
      </c>
      <c r="AZ345" s="56" t="s">
        <v>1054</v>
      </c>
      <c r="BA345" s="56" t="s">
        <v>1119</v>
      </c>
      <c r="BB345" s="56" t="s">
        <v>1120</v>
      </c>
      <c r="BC345" s="56" t="s">
        <v>1133</v>
      </c>
      <c r="BD345" s="56" t="s">
        <v>1310</v>
      </c>
    </row>
    <row r="346" spans="1:56" x14ac:dyDescent="0.2">
      <c r="A346" s="56">
        <v>176715679</v>
      </c>
      <c r="B346" s="56" t="s">
        <v>3358</v>
      </c>
      <c r="C346" s="56" t="s">
        <v>2623</v>
      </c>
      <c r="D346" s="56" t="s">
        <v>1200</v>
      </c>
      <c r="E346" s="56" t="s">
        <v>1044</v>
      </c>
      <c r="F346" s="56">
        <v>123</v>
      </c>
      <c r="G346" s="56"/>
      <c r="H346" s="56">
        <v>17346</v>
      </c>
      <c r="I346" s="56">
        <v>6</v>
      </c>
      <c r="J346" s="56" t="s">
        <v>1045</v>
      </c>
      <c r="K346" s="56" t="s">
        <v>1079</v>
      </c>
      <c r="L346" s="121">
        <v>46269</v>
      </c>
      <c r="M346" s="122">
        <v>0.55555555555555558</v>
      </c>
      <c r="N346" s="122">
        <v>0.55902777777777779</v>
      </c>
      <c r="O346" s="56" t="s">
        <v>1047</v>
      </c>
      <c r="P346" s="121">
        <v>46269</v>
      </c>
      <c r="Q346" s="122">
        <v>0.60069444444444442</v>
      </c>
      <c r="R346" s="122">
        <v>0.5854166666666667</v>
      </c>
      <c r="S346" s="56" t="s">
        <v>1047</v>
      </c>
      <c r="T346" s="56">
        <v>1</v>
      </c>
      <c r="U346" s="56">
        <v>18</v>
      </c>
      <c r="V346" s="56">
        <v>14.78</v>
      </c>
      <c r="W346" s="56">
        <v>11.24</v>
      </c>
      <c r="X346" s="56">
        <v>21.04</v>
      </c>
      <c r="Y346" s="56">
        <v>6.66</v>
      </c>
      <c r="Z346" s="56">
        <v>3.14</v>
      </c>
      <c r="AA346" s="56" t="s">
        <v>990</v>
      </c>
      <c r="AB346" s="56">
        <v>14123919</v>
      </c>
      <c r="AC346" s="56" t="s">
        <v>990</v>
      </c>
      <c r="AD346" s="56">
        <v>14123919</v>
      </c>
      <c r="AE346" s="56" t="s">
        <v>2626</v>
      </c>
      <c r="AF346" s="56" t="s">
        <v>2627</v>
      </c>
      <c r="AG346" s="56" t="s">
        <v>2627</v>
      </c>
      <c r="AH346" s="56">
        <v>36</v>
      </c>
      <c r="AI346" s="56" t="s">
        <v>2628</v>
      </c>
      <c r="AJ346" s="56" t="s">
        <v>2629</v>
      </c>
      <c r="AK346" s="56">
        <v>0</v>
      </c>
      <c r="AL346" s="56" t="s">
        <v>2630</v>
      </c>
      <c r="AM346" s="56" t="s">
        <v>2631</v>
      </c>
      <c r="AN346" s="56" t="s">
        <v>2632</v>
      </c>
      <c r="AO346" s="56" t="s">
        <v>2627</v>
      </c>
      <c r="AP346" s="56" t="s">
        <v>2624</v>
      </c>
      <c r="AQ346" s="123">
        <v>3.4722222222222099E-3</v>
      </c>
      <c r="AR346" s="122">
        <v>-1.5277777777777724E-2</v>
      </c>
      <c r="AS346" s="56" t="s">
        <v>1048</v>
      </c>
      <c r="AT346" s="56" t="s">
        <v>1049</v>
      </c>
      <c r="AU346" s="56" t="s">
        <v>1050</v>
      </c>
      <c r="AV346" s="56">
        <v>36</v>
      </c>
      <c r="AW346" s="56" t="s">
        <v>1051</v>
      </c>
      <c r="AX346" s="56" t="s">
        <v>2874</v>
      </c>
      <c r="AY346" s="56" t="s">
        <v>1081</v>
      </c>
      <c r="AZ346" s="56" t="s">
        <v>1067</v>
      </c>
      <c r="BA346" s="56" t="s">
        <v>2875</v>
      </c>
      <c r="BB346" s="56" t="s">
        <v>2876</v>
      </c>
      <c r="BC346" s="56" t="s">
        <v>1133</v>
      </c>
      <c r="BD346" s="56" t="s">
        <v>3359</v>
      </c>
    </row>
    <row r="347" spans="1:56" x14ac:dyDescent="0.2">
      <c r="A347" s="56">
        <v>176724134</v>
      </c>
      <c r="B347" s="56" t="s">
        <v>2790</v>
      </c>
      <c r="C347" s="56" t="s">
        <v>2623</v>
      </c>
      <c r="D347" s="56" t="s">
        <v>2676</v>
      </c>
      <c r="E347" s="56" t="s">
        <v>1044</v>
      </c>
      <c r="F347" s="56">
        <v>221</v>
      </c>
      <c r="G347" s="56"/>
      <c r="H347" s="56">
        <v>5423</v>
      </c>
      <c r="I347" s="56">
        <v>6</v>
      </c>
      <c r="J347" s="56" t="s">
        <v>1045</v>
      </c>
      <c r="K347" s="56" t="s">
        <v>1296</v>
      </c>
      <c r="L347" s="121">
        <v>46269</v>
      </c>
      <c r="M347" s="122">
        <v>0.55555555555555558</v>
      </c>
      <c r="N347" s="122">
        <v>0.56041666666666667</v>
      </c>
      <c r="O347" s="56" t="s">
        <v>1047</v>
      </c>
      <c r="P347" s="121">
        <v>46269</v>
      </c>
      <c r="Q347" s="122">
        <v>0.60069444444444442</v>
      </c>
      <c r="R347" s="122">
        <v>0.59166666666666667</v>
      </c>
      <c r="S347" s="56" t="s">
        <v>1047</v>
      </c>
      <c r="T347" s="56">
        <v>1</v>
      </c>
      <c r="U347" s="56">
        <v>12</v>
      </c>
      <c r="V347" s="56">
        <v>17.559999999999999</v>
      </c>
      <c r="W347" s="56">
        <v>13.22</v>
      </c>
      <c r="X347" s="56">
        <v>28.63</v>
      </c>
      <c r="Y347" s="56">
        <v>12.28</v>
      </c>
      <c r="Z347" s="56">
        <v>3.13</v>
      </c>
      <c r="AA347" s="56" t="s">
        <v>993</v>
      </c>
      <c r="AB347" s="56">
        <v>14123926</v>
      </c>
      <c r="AC347" s="56" t="s">
        <v>993</v>
      </c>
      <c r="AD347" s="56">
        <v>14123926</v>
      </c>
      <c r="AE347" s="56" t="s">
        <v>2626</v>
      </c>
      <c r="AF347" s="56" t="s">
        <v>2627</v>
      </c>
      <c r="AG347" s="56" t="s">
        <v>2627</v>
      </c>
      <c r="AH347" s="56">
        <v>36</v>
      </c>
      <c r="AI347" s="56" t="s">
        <v>2628</v>
      </c>
      <c r="AJ347" s="56" t="s">
        <v>2629</v>
      </c>
      <c r="AK347" s="56">
        <v>0</v>
      </c>
      <c r="AL347" s="56" t="s">
        <v>2630</v>
      </c>
      <c r="AM347" s="56" t="s">
        <v>2631</v>
      </c>
      <c r="AN347" s="56" t="s">
        <v>2632</v>
      </c>
      <c r="AO347" s="56" t="s">
        <v>2627</v>
      </c>
      <c r="AP347" s="56">
        <v>49</v>
      </c>
      <c r="AQ347" s="123">
        <v>4.8611111111110938E-3</v>
      </c>
      <c r="AR347" s="122">
        <v>-9.0277777777777457E-3</v>
      </c>
      <c r="AS347" s="56" t="s">
        <v>1048</v>
      </c>
      <c r="AT347" s="56" t="s">
        <v>1049</v>
      </c>
      <c r="AU347" s="56" t="s">
        <v>1050</v>
      </c>
      <c r="AV347" s="56">
        <v>36</v>
      </c>
      <c r="AW347" s="56" t="s">
        <v>1051</v>
      </c>
      <c r="AX347" s="56" t="s">
        <v>2677</v>
      </c>
      <c r="AY347" s="56" t="s">
        <v>1297</v>
      </c>
      <c r="AZ347" s="56" t="s">
        <v>1067</v>
      </c>
      <c r="BA347" s="56" t="s">
        <v>2678</v>
      </c>
      <c r="BB347" s="56" t="s">
        <v>2679</v>
      </c>
      <c r="BC347" s="56" t="s">
        <v>1133</v>
      </c>
      <c r="BD347" s="56" t="s">
        <v>2791</v>
      </c>
    </row>
    <row r="348" spans="1:56" x14ac:dyDescent="0.2">
      <c r="A348" s="56">
        <v>176726305</v>
      </c>
      <c r="B348" s="56" t="s">
        <v>3360</v>
      </c>
      <c r="C348" s="56" t="s">
        <v>2623</v>
      </c>
      <c r="D348" s="56" t="s">
        <v>2218</v>
      </c>
      <c r="E348" s="56" t="s">
        <v>1044</v>
      </c>
      <c r="F348" s="56">
        <v>159</v>
      </c>
      <c r="G348" s="56" t="s">
        <v>2670</v>
      </c>
      <c r="H348" s="56">
        <v>4447</v>
      </c>
      <c r="I348" s="56">
        <v>6</v>
      </c>
      <c r="J348" s="56" t="s">
        <v>1045</v>
      </c>
      <c r="K348" s="56" t="s">
        <v>1116</v>
      </c>
      <c r="L348" s="121">
        <v>46269</v>
      </c>
      <c r="M348" s="122">
        <v>0.56388888888888888</v>
      </c>
      <c r="N348" s="122">
        <v>0.57361111111111107</v>
      </c>
      <c r="O348" s="56" t="s">
        <v>1047</v>
      </c>
      <c r="P348" s="121">
        <v>46269</v>
      </c>
      <c r="Q348" s="122">
        <v>0.61458333333333337</v>
      </c>
      <c r="R348" s="122">
        <v>0.60972222222222228</v>
      </c>
      <c r="S348" s="56" t="s">
        <v>1047</v>
      </c>
      <c r="T348" s="56">
        <v>1</v>
      </c>
      <c r="U348" s="56">
        <v>19</v>
      </c>
      <c r="V348" s="56">
        <v>15.3</v>
      </c>
      <c r="W348" s="56">
        <v>15.44</v>
      </c>
      <c r="X348" s="56">
        <v>23.34</v>
      </c>
      <c r="Y348" s="56">
        <v>5.57</v>
      </c>
      <c r="Z348" s="56">
        <v>2.33</v>
      </c>
      <c r="AA348" s="56" t="s">
        <v>1624</v>
      </c>
      <c r="AB348" s="56">
        <v>14124113</v>
      </c>
      <c r="AC348" s="56" t="s">
        <v>1624</v>
      </c>
      <c r="AD348" s="56">
        <v>14124113</v>
      </c>
      <c r="AE348" s="56" t="s">
        <v>2626</v>
      </c>
      <c r="AF348" s="56" t="s">
        <v>2627</v>
      </c>
      <c r="AG348" s="56" t="s">
        <v>2627</v>
      </c>
      <c r="AH348" s="56">
        <v>36</v>
      </c>
      <c r="AI348" s="56" t="s">
        <v>2628</v>
      </c>
      <c r="AJ348" s="56" t="s">
        <v>2629</v>
      </c>
      <c r="AK348" s="56">
        <v>0</v>
      </c>
      <c r="AL348" s="56" t="s">
        <v>2630</v>
      </c>
      <c r="AM348" s="56" t="s">
        <v>2631</v>
      </c>
      <c r="AN348" s="56" t="s">
        <v>2632</v>
      </c>
      <c r="AO348" s="56" t="s">
        <v>2627</v>
      </c>
      <c r="AP348" s="56">
        <v>33</v>
      </c>
      <c r="AQ348" s="123">
        <v>9.7222222222221877E-3</v>
      </c>
      <c r="AR348" s="122">
        <v>-4.8611111111110938E-3</v>
      </c>
      <c r="AS348" s="56" t="s">
        <v>1048</v>
      </c>
      <c r="AT348" s="56" t="s">
        <v>1049</v>
      </c>
      <c r="AU348" s="56" t="s">
        <v>1050</v>
      </c>
      <c r="AV348" s="56">
        <v>36</v>
      </c>
      <c r="AW348" s="56" t="s">
        <v>1051</v>
      </c>
      <c r="AX348" s="56" t="s">
        <v>3361</v>
      </c>
      <c r="AY348" s="56" t="s">
        <v>1118</v>
      </c>
      <c r="AZ348" s="56" t="s">
        <v>1054</v>
      </c>
      <c r="BA348" s="56" t="s">
        <v>3362</v>
      </c>
      <c r="BB348" s="56" t="s">
        <v>3363</v>
      </c>
      <c r="BC348" s="56" t="s">
        <v>1133</v>
      </c>
      <c r="BD348" s="56" t="s">
        <v>3364</v>
      </c>
    </row>
    <row r="349" spans="1:56" x14ac:dyDescent="0.2">
      <c r="A349" s="56">
        <v>176726631</v>
      </c>
      <c r="B349" s="56" t="s">
        <v>1667</v>
      </c>
      <c r="C349" s="56" t="s">
        <v>2623</v>
      </c>
      <c r="D349" s="56" t="s">
        <v>1668</v>
      </c>
      <c r="E349" s="56" t="s">
        <v>1044</v>
      </c>
      <c r="F349" s="56">
        <v>177</v>
      </c>
      <c r="G349" s="56" t="s">
        <v>2693</v>
      </c>
      <c r="H349" s="56">
        <v>13500</v>
      </c>
      <c r="I349" s="56">
        <v>6</v>
      </c>
      <c r="J349" s="56" t="s">
        <v>1045</v>
      </c>
      <c r="K349" s="56" t="s">
        <v>1116</v>
      </c>
      <c r="L349" s="121">
        <v>46269</v>
      </c>
      <c r="M349" s="122">
        <v>0.56388888888888888</v>
      </c>
      <c r="N349" s="122">
        <v>0.57013888888888886</v>
      </c>
      <c r="O349" s="56" t="s">
        <v>1047</v>
      </c>
      <c r="P349" s="121">
        <v>46269</v>
      </c>
      <c r="Q349" s="122">
        <v>0.61458333333333337</v>
      </c>
      <c r="R349" s="122">
        <v>0.61996527777777777</v>
      </c>
      <c r="S349" s="56" t="s">
        <v>1047</v>
      </c>
      <c r="T349" s="56">
        <v>1</v>
      </c>
      <c r="U349" s="56">
        <v>22</v>
      </c>
      <c r="V349" s="56">
        <v>3643.76</v>
      </c>
      <c r="W349" s="56">
        <v>22.32</v>
      </c>
      <c r="X349" s="56">
        <v>24.56</v>
      </c>
      <c r="Y349" s="56">
        <v>0.93</v>
      </c>
      <c r="Z349" s="56">
        <v>1.31</v>
      </c>
      <c r="AA349" s="56" t="s">
        <v>549</v>
      </c>
      <c r="AB349" s="56">
        <v>14123570</v>
      </c>
      <c r="AC349" s="56" t="s">
        <v>549</v>
      </c>
      <c r="AD349" s="56">
        <v>14123570</v>
      </c>
      <c r="AE349" s="56" t="s">
        <v>2626</v>
      </c>
      <c r="AF349" s="56" t="s">
        <v>2627</v>
      </c>
      <c r="AG349" s="56" t="s">
        <v>2627</v>
      </c>
      <c r="AH349" s="56">
        <v>36</v>
      </c>
      <c r="AI349" s="56" t="s">
        <v>2628</v>
      </c>
      <c r="AJ349" s="56" t="s">
        <v>2640</v>
      </c>
      <c r="AK349" s="56">
        <v>0</v>
      </c>
      <c r="AL349" s="56" t="s">
        <v>2630</v>
      </c>
      <c r="AM349" s="56" t="s">
        <v>2631</v>
      </c>
      <c r="AN349" s="56" t="s">
        <v>2632</v>
      </c>
      <c r="AO349" s="56" t="s">
        <v>2627</v>
      </c>
      <c r="AP349" s="56" t="s">
        <v>2624</v>
      </c>
      <c r="AQ349" s="123">
        <v>6.2499999999999778E-3</v>
      </c>
      <c r="AR349" s="122">
        <v>5.3819444444443976E-3</v>
      </c>
      <c r="AS349" s="56" t="s">
        <v>1048</v>
      </c>
      <c r="AT349" s="56" t="s">
        <v>1059</v>
      </c>
      <c r="AU349" s="56" t="s">
        <v>1060</v>
      </c>
      <c r="AV349" s="56">
        <v>36</v>
      </c>
      <c r="AW349" s="56" t="s">
        <v>1051</v>
      </c>
      <c r="AX349" s="56" t="s">
        <v>1669</v>
      </c>
      <c r="AY349" s="56" t="s">
        <v>1128</v>
      </c>
      <c r="AZ349" s="56" t="s">
        <v>1054</v>
      </c>
      <c r="BA349" s="56" t="s">
        <v>1670</v>
      </c>
      <c r="BB349" s="56" t="s">
        <v>1671</v>
      </c>
      <c r="BC349" s="56" t="s">
        <v>1133</v>
      </c>
      <c r="BD349" s="56" t="s">
        <v>1672</v>
      </c>
    </row>
    <row r="350" spans="1:56" x14ac:dyDescent="0.2">
      <c r="A350" s="56">
        <v>176720394</v>
      </c>
      <c r="B350" s="56" t="s">
        <v>3365</v>
      </c>
      <c r="C350" s="56" t="s">
        <v>2623</v>
      </c>
      <c r="D350" s="56" t="s">
        <v>1650</v>
      </c>
      <c r="E350" s="56" t="s">
        <v>1044</v>
      </c>
      <c r="F350" s="56">
        <v>44</v>
      </c>
      <c r="G350" s="56" t="s">
        <v>2670</v>
      </c>
      <c r="H350" s="56">
        <v>4985</v>
      </c>
      <c r="I350" s="56">
        <v>8</v>
      </c>
      <c r="J350" s="56" t="s">
        <v>1045</v>
      </c>
      <c r="K350" s="56" t="s">
        <v>1116</v>
      </c>
      <c r="L350" s="121">
        <v>46269</v>
      </c>
      <c r="M350" s="122">
        <v>0.56597222222222221</v>
      </c>
      <c r="N350" s="122">
        <v>0.62708333333333333</v>
      </c>
      <c r="O350" s="56" t="s">
        <v>1047</v>
      </c>
      <c r="P350" s="121">
        <v>46269</v>
      </c>
      <c r="Q350" s="122">
        <v>0.61458333333333337</v>
      </c>
      <c r="R350" s="122">
        <v>0.65625</v>
      </c>
      <c r="S350" s="56" t="s">
        <v>1047</v>
      </c>
      <c r="T350" s="56">
        <v>0</v>
      </c>
      <c r="U350" s="56">
        <v>27</v>
      </c>
      <c r="V350" s="56">
        <v>22.22</v>
      </c>
      <c r="W350" s="56">
        <v>23.83</v>
      </c>
      <c r="X350" s="56">
        <v>42.45</v>
      </c>
      <c r="Y350" s="56">
        <v>9.5500000000000007</v>
      </c>
      <c r="Z350" s="56">
        <v>9.07</v>
      </c>
      <c r="AA350" s="56"/>
      <c r="AB350" s="56"/>
      <c r="AC350" s="56" t="s">
        <v>1187</v>
      </c>
      <c r="AD350" s="56"/>
      <c r="AE350" s="56" t="s">
        <v>2626</v>
      </c>
      <c r="AF350" s="56" t="s">
        <v>2627</v>
      </c>
      <c r="AG350" s="56" t="s">
        <v>2627</v>
      </c>
      <c r="AH350" s="56">
        <v>36</v>
      </c>
      <c r="AI350" s="56" t="s">
        <v>2628</v>
      </c>
      <c r="AJ350" s="56" t="s">
        <v>2640</v>
      </c>
      <c r="AK350" s="56">
        <v>0</v>
      </c>
      <c r="AL350" s="56" t="s">
        <v>2630</v>
      </c>
      <c r="AM350" s="56" t="s">
        <v>2631</v>
      </c>
      <c r="AN350" s="56" t="s">
        <v>2632</v>
      </c>
      <c r="AO350" s="56" t="s">
        <v>2627</v>
      </c>
      <c r="AP350" s="56" t="s">
        <v>2624</v>
      </c>
      <c r="AQ350" s="123">
        <v>6.1111111111111116E-2</v>
      </c>
      <c r="AR350" s="122">
        <v>4.166666666666663E-2</v>
      </c>
      <c r="AS350" s="56" t="s">
        <v>1048</v>
      </c>
      <c r="AT350" s="56" t="s">
        <v>1059</v>
      </c>
      <c r="AU350" s="56" t="s">
        <v>1060</v>
      </c>
      <c r="AV350" s="56">
        <v>36</v>
      </c>
      <c r="AW350" s="56" t="s">
        <v>1051</v>
      </c>
      <c r="AX350" s="56" t="s">
        <v>1651</v>
      </c>
      <c r="AY350" s="56" t="s">
        <v>1118</v>
      </c>
      <c r="AZ350" s="56" t="s">
        <v>1054</v>
      </c>
      <c r="BA350" s="56" t="s">
        <v>1652</v>
      </c>
      <c r="BB350" s="56" t="s">
        <v>1653</v>
      </c>
      <c r="BC350" s="56" t="s">
        <v>1133</v>
      </c>
      <c r="BD350" s="56" t="s">
        <v>3366</v>
      </c>
    </row>
    <row r="351" spans="1:56" x14ac:dyDescent="0.2">
      <c r="A351" s="56">
        <v>176728379</v>
      </c>
      <c r="B351" s="56" t="s">
        <v>2180</v>
      </c>
      <c r="C351" s="56" t="s">
        <v>2623</v>
      </c>
      <c r="D351" s="56" t="s">
        <v>2181</v>
      </c>
      <c r="E351" s="56" t="s">
        <v>1044</v>
      </c>
      <c r="F351" s="56">
        <v>254</v>
      </c>
      <c r="G351" s="56" t="s">
        <v>2693</v>
      </c>
      <c r="H351" s="56">
        <v>14680</v>
      </c>
      <c r="I351" s="56">
        <v>6</v>
      </c>
      <c r="J351" s="56" t="s">
        <v>1045</v>
      </c>
      <c r="K351" s="56" t="s">
        <v>1116</v>
      </c>
      <c r="L351" s="121">
        <v>46269</v>
      </c>
      <c r="M351" s="122">
        <v>0.56874999999999998</v>
      </c>
      <c r="N351" s="122">
        <v>0.57777777777777772</v>
      </c>
      <c r="O351" s="56" t="s">
        <v>1047</v>
      </c>
      <c r="P351" s="121">
        <v>46269</v>
      </c>
      <c r="Q351" s="122">
        <v>0.61458333333333337</v>
      </c>
      <c r="R351" s="122">
        <v>0.63055555555555554</v>
      </c>
      <c r="S351" s="56" t="s">
        <v>1047</v>
      </c>
      <c r="T351" s="56">
        <v>1</v>
      </c>
      <c r="U351" s="56">
        <v>47</v>
      </c>
      <c r="V351" s="56">
        <v>42.95</v>
      </c>
      <c r="W351" s="56">
        <v>48.73</v>
      </c>
      <c r="X351" s="56">
        <v>72.59</v>
      </c>
      <c r="Y351" s="56">
        <v>16.25</v>
      </c>
      <c r="Z351" s="56">
        <v>7.61</v>
      </c>
      <c r="AA351" s="56" t="s">
        <v>280</v>
      </c>
      <c r="AB351" s="56">
        <v>14120196</v>
      </c>
      <c r="AC351" s="56" t="s">
        <v>280</v>
      </c>
      <c r="AD351" s="56">
        <v>14120196</v>
      </c>
      <c r="AE351" s="56" t="s">
        <v>2626</v>
      </c>
      <c r="AF351" s="56" t="s">
        <v>2627</v>
      </c>
      <c r="AG351" s="56" t="s">
        <v>2627</v>
      </c>
      <c r="AH351" s="56">
        <v>36</v>
      </c>
      <c r="AI351" s="56" t="s">
        <v>2628</v>
      </c>
      <c r="AJ351" s="56" t="s">
        <v>2640</v>
      </c>
      <c r="AK351" s="56">
        <v>0</v>
      </c>
      <c r="AL351" s="56" t="s">
        <v>2630</v>
      </c>
      <c r="AM351" s="56" t="s">
        <v>2631</v>
      </c>
      <c r="AN351" s="56" t="s">
        <v>2632</v>
      </c>
      <c r="AO351" s="56" t="s">
        <v>2627</v>
      </c>
      <c r="AP351" s="56">
        <v>19</v>
      </c>
      <c r="AQ351" s="123">
        <v>9.0277777777777457E-3</v>
      </c>
      <c r="AR351" s="122">
        <v>1.5972222222222165E-2</v>
      </c>
      <c r="AS351" s="56" t="s">
        <v>1048</v>
      </c>
      <c r="AT351" s="56" t="s">
        <v>1059</v>
      </c>
      <c r="AU351" s="56" t="s">
        <v>1060</v>
      </c>
      <c r="AV351" s="56">
        <v>36</v>
      </c>
      <c r="AW351" s="56" t="s">
        <v>1051</v>
      </c>
      <c r="AX351" s="56" t="s">
        <v>2182</v>
      </c>
      <c r="AY351" s="56" t="s">
        <v>1128</v>
      </c>
      <c r="AZ351" s="56" t="s">
        <v>1054</v>
      </c>
      <c r="BA351" s="56" t="s">
        <v>2183</v>
      </c>
      <c r="BB351" s="56" t="s">
        <v>2184</v>
      </c>
      <c r="BC351" s="56" t="s">
        <v>1133</v>
      </c>
      <c r="BD351" s="56" t="s">
        <v>2185</v>
      </c>
    </row>
    <row r="352" spans="1:56" x14ac:dyDescent="0.2">
      <c r="A352" s="56">
        <v>176718688</v>
      </c>
      <c r="B352" s="56" t="s">
        <v>2816</v>
      </c>
      <c r="C352" s="56" t="s">
        <v>2623</v>
      </c>
      <c r="D352" s="56" t="s">
        <v>2688</v>
      </c>
      <c r="E352" s="56" t="s">
        <v>1044</v>
      </c>
      <c r="F352" s="56">
        <v>11</v>
      </c>
      <c r="G352" s="56"/>
      <c r="H352" s="56">
        <v>15185</v>
      </c>
      <c r="I352" s="56">
        <v>6</v>
      </c>
      <c r="J352" s="56" t="s">
        <v>1045</v>
      </c>
      <c r="K352" s="56" t="s">
        <v>1058</v>
      </c>
      <c r="L352" s="121">
        <v>46269</v>
      </c>
      <c r="M352" s="122">
        <v>0.57361111111111107</v>
      </c>
      <c r="N352" s="122">
        <v>0.5805555555555556</v>
      </c>
      <c r="O352" s="56" t="s">
        <v>1047</v>
      </c>
      <c r="P352" s="121">
        <v>46269</v>
      </c>
      <c r="Q352" s="122">
        <v>0.60416666666666663</v>
      </c>
      <c r="R352" s="122">
        <v>0.59496527777777775</v>
      </c>
      <c r="S352" s="56" t="s">
        <v>1047</v>
      </c>
      <c r="T352" s="56">
        <v>1</v>
      </c>
      <c r="U352" s="56">
        <v>14</v>
      </c>
      <c r="V352" s="56">
        <v>8.8800000000000008</v>
      </c>
      <c r="W352" s="56">
        <v>8.43</v>
      </c>
      <c r="X352" s="56">
        <v>11.28</v>
      </c>
      <c r="Y352" s="56">
        <v>2.75</v>
      </c>
      <c r="Z352" s="56">
        <v>0.1</v>
      </c>
      <c r="AA352" s="56" t="s">
        <v>1897</v>
      </c>
      <c r="AB352" s="56">
        <v>14124144</v>
      </c>
      <c r="AC352" s="56" t="s">
        <v>1897</v>
      </c>
      <c r="AD352" s="56">
        <v>14124144</v>
      </c>
      <c r="AE352" s="56" t="s">
        <v>2626</v>
      </c>
      <c r="AF352" s="56" t="s">
        <v>2627</v>
      </c>
      <c r="AG352" s="56" t="s">
        <v>2627</v>
      </c>
      <c r="AH352" s="56">
        <v>36</v>
      </c>
      <c r="AI352" s="56" t="s">
        <v>2628</v>
      </c>
      <c r="AJ352" s="56" t="s">
        <v>2629</v>
      </c>
      <c r="AK352" s="56">
        <v>730</v>
      </c>
      <c r="AL352" s="56" t="s">
        <v>2630</v>
      </c>
      <c r="AM352" s="56" t="s">
        <v>2631</v>
      </c>
      <c r="AN352" s="56" t="s">
        <v>2632</v>
      </c>
      <c r="AO352" s="56" t="s">
        <v>2627</v>
      </c>
      <c r="AP352" s="56" t="s">
        <v>2624</v>
      </c>
      <c r="AQ352" s="123">
        <v>6.9444444444445308E-3</v>
      </c>
      <c r="AR352" s="122">
        <v>-9.201388888888884E-3</v>
      </c>
      <c r="AS352" s="56" t="s">
        <v>1048</v>
      </c>
      <c r="AT352" s="56" t="s">
        <v>1049</v>
      </c>
      <c r="AU352" s="56" t="s">
        <v>1050</v>
      </c>
      <c r="AV352" s="56">
        <v>36</v>
      </c>
      <c r="AW352" s="56" t="s">
        <v>1051</v>
      </c>
      <c r="AX352" s="56" t="s">
        <v>2689</v>
      </c>
      <c r="AY352" s="56" t="s">
        <v>1061</v>
      </c>
      <c r="AZ352" s="56" t="s">
        <v>1062</v>
      </c>
      <c r="BA352" s="56" t="s">
        <v>2690</v>
      </c>
      <c r="BB352" s="56" t="s">
        <v>2691</v>
      </c>
      <c r="BC352" s="56" t="s">
        <v>1133</v>
      </c>
      <c r="BD352" s="56" t="s">
        <v>2817</v>
      </c>
    </row>
    <row r="353" spans="1:56" x14ac:dyDescent="0.2">
      <c r="A353" s="56">
        <v>176722082</v>
      </c>
      <c r="B353" s="56" t="s">
        <v>3367</v>
      </c>
      <c r="C353" s="56" t="s">
        <v>2623</v>
      </c>
      <c r="D353" s="56" t="s">
        <v>3368</v>
      </c>
      <c r="E353" s="56" t="s">
        <v>1044</v>
      </c>
      <c r="F353" s="56">
        <v>15</v>
      </c>
      <c r="G353" s="56"/>
      <c r="H353" s="56">
        <v>13255</v>
      </c>
      <c r="I353" s="56">
        <v>6</v>
      </c>
      <c r="J353" s="56" t="s">
        <v>1045</v>
      </c>
      <c r="K353" s="56" t="s">
        <v>1112</v>
      </c>
      <c r="L353" s="121">
        <v>46269</v>
      </c>
      <c r="M353" s="122">
        <v>0.57638888888888884</v>
      </c>
      <c r="N353" s="122">
        <v>0.58333333333333337</v>
      </c>
      <c r="O353" s="56" t="s">
        <v>1047</v>
      </c>
      <c r="P353" s="121">
        <v>46269</v>
      </c>
      <c r="Q353" s="122">
        <v>0.59375</v>
      </c>
      <c r="R353" s="122">
        <v>0.59994212962962967</v>
      </c>
      <c r="S353" s="56" t="s">
        <v>1047</v>
      </c>
      <c r="T353" s="56">
        <v>1</v>
      </c>
      <c r="U353" s="56">
        <v>11</v>
      </c>
      <c r="V353" s="56">
        <v>6.81</v>
      </c>
      <c r="W353" s="56">
        <v>7.67</v>
      </c>
      <c r="X353" s="56">
        <v>21.33</v>
      </c>
      <c r="Y353" s="56">
        <v>12.23</v>
      </c>
      <c r="Z353" s="56">
        <v>1.43</v>
      </c>
      <c r="AA353" s="56" t="s">
        <v>220</v>
      </c>
      <c r="AB353" s="56">
        <v>14118887</v>
      </c>
      <c r="AC353" s="56" t="s">
        <v>220</v>
      </c>
      <c r="AD353" s="56">
        <v>14118887</v>
      </c>
      <c r="AE353" s="56" t="s">
        <v>2626</v>
      </c>
      <c r="AF353" s="56" t="s">
        <v>2627</v>
      </c>
      <c r="AG353" s="56" t="s">
        <v>2627</v>
      </c>
      <c r="AH353" s="56">
        <v>36</v>
      </c>
      <c r="AI353" s="56" t="s">
        <v>2628</v>
      </c>
      <c r="AJ353" s="56" t="s">
        <v>2640</v>
      </c>
      <c r="AK353" s="56">
        <v>0</v>
      </c>
      <c r="AL353" s="56" t="s">
        <v>2630</v>
      </c>
      <c r="AM353" s="56" t="s">
        <v>2631</v>
      </c>
      <c r="AN353" s="56" t="s">
        <v>2632</v>
      </c>
      <c r="AO353" s="56" t="s">
        <v>2627</v>
      </c>
      <c r="AP353" s="56" t="s">
        <v>2624</v>
      </c>
      <c r="AQ353" s="123">
        <v>6.9444444444445308E-3</v>
      </c>
      <c r="AR353" s="122">
        <v>6.1921296296296724E-3</v>
      </c>
      <c r="AS353" s="56" t="s">
        <v>1048</v>
      </c>
      <c r="AT353" s="56" t="s">
        <v>1059</v>
      </c>
      <c r="AU353" s="56" t="s">
        <v>1060</v>
      </c>
      <c r="AV353" s="56">
        <v>36</v>
      </c>
      <c r="AW353" s="56" t="s">
        <v>1051</v>
      </c>
      <c r="AX353" s="56" t="s">
        <v>3369</v>
      </c>
      <c r="AY353" s="56" t="s">
        <v>1113</v>
      </c>
      <c r="AZ353" s="56" t="s">
        <v>1062</v>
      </c>
      <c r="BA353" s="56" t="s">
        <v>3370</v>
      </c>
      <c r="BB353" s="56" t="s">
        <v>3371</v>
      </c>
      <c r="BC353" s="56" t="s">
        <v>1133</v>
      </c>
      <c r="BD353" s="56" t="s">
        <v>3372</v>
      </c>
    </row>
    <row r="354" spans="1:56" x14ac:dyDescent="0.2">
      <c r="A354" s="56">
        <v>176725761</v>
      </c>
      <c r="B354" s="56" t="s">
        <v>2824</v>
      </c>
      <c r="C354" s="56" t="s">
        <v>2623</v>
      </c>
      <c r="D354" s="56" t="s">
        <v>2281</v>
      </c>
      <c r="E354" s="56" t="s">
        <v>1044</v>
      </c>
      <c r="F354" s="56">
        <v>112</v>
      </c>
      <c r="G354" s="56" t="s">
        <v>2693</v>
      </c>
      <c r="H354" s="56">
        <v>13374</v>
      </c>
      <c r="I354" s="56">
        <v>6</v>
      </c>
      <c r="J354" s="56" t="s">
        <v>1045</v>
      </c>
      <c r="K354" s="56" t="s">
        <v>1116</v>
      </c>
      <c r="L354" s="121">
        <v>46269</v>
      </c>
      <c r="M354" s="122">
        <v>0.57986111111111116</v>
      </c>
      <c r="N354" s="122">
        <v>0.58680555555555558</v>
      </c>
      <c r="O354" s="56" t="s">
        <v>1047</v>
      </c>
      <c r="P354" s="121">
        <v>46269</v>
      </c>
      <c r="Q354" s="122">
        <v>0.61458333333333337</v>
      </c>
      <c r="R354" s="122">
        <v>0.60428240740740746</v>
      </c>
      <c r="S354" s="56" t="s">
        <v>1047</v>
      </c>
      <c r="T354" s="56">
        <v>1</v>
      </c>
      <c r="U354" s="56">
        <v>17</v>
      </c>
      <c r="V354" s="56">
        <v>11.49</v>
      </c>
      <c r="W354" s="56">
        <v>10.9</v>
      </c>
      <c r="X354" s="56">
        <v>16.649999999999999</v>
      </c>
      <c r="Y354" s="56">
        <v>2.25</v>
      </c>
      <c r="Z354" s="56">
        <v>3.5</v>
      </c>
      <c r="AA354" s="56" t="s">
        <v>247</v>
      </c>
      <c r="AB354" s="56">
        <v>14119437</v>
      </c>
      <c r="AC354" s="56" t="s">
        <v>247</v>
      </c>
      <c r="AD354" s="56">
        <v>14119437</v>
      </c>
      <c r="AE354" s="56" t="s">
        <v>2626</v>
      </c>
      <c r="AF354" s="56" t="s">
        <v>2627</v>
      </c>
      <c r="AG354" s="56" t="s">
        <v>2627</v>
      </c>
      <c r="AH354" s="56">
        <v>36</v>
      </c>
      <c r="AI354" s="56" t="s">
        <v>2628</v>
      </c>
      <c r="AJ354" s="56" t="s">
        <v>2629</v>
      </c>
      <c r="AK354" s="56">
        <v>0</v>
      </c>
      <c r="AL354" s="56" t="s">
        <v>2630</v>
      </c>
      <c r="AM354" s="56" t="s">
        <v>2631</v>
      </c>
      <c r="AN354" s="56" t="s">
        <v>2632</v>
      </c>
      <c r="AO354" s="56" t="s">
        <v>2627</v>
      </c>
      <c r="AP354" s="56" t="s">
        <v>2624</v>
      </c>
      <c r="AQ354" s="123">
        <v>6.9444444444444198E-3</v>
      </c>
      <c r="AR354" s="122">
        <v>-1.0300925925925908E-2</v>
      </c>
      <c r="AS354" s="56" t="s">
        <v>1048</v>
      </c>
      <c r="AT354" s="56" t="s">
        <v>1049</v>
      </c>
      <c r="AU354" s="56" t="s">
        <v>1050</v>
      </c>
      <c r="AV354" s="56">
        <v>36</v>
      </c>
      <c r="AW354" s="56" t="s">
        <v>1051</v>
      </c>
      <c r="AX354" s="56" t="s">
        <v>2825</v>
      </c>
      <c r="AY354" s="56" t="s">
        <v>1128</v>
      </c>
      <c r="AZ354" s="56" t="s">
        <v>1054</v>
      </c>
      <c r="BA354" s="56" t="s">
        <v>2826</v>
      </c>
      <c r="BB354" s="56" t="s">
        <v>2827</v>
      </c>
      <c r="BC354" s="56" t="s">
        <v>1133</v>
      </c>
      <c r="BD354" s="56" t="s">
        <v>2828</v>
      </c>
    </row>
    <row r="355" spans="1:56" x14ac:dyDescent="0.2">
      <c r="A355" s="56">
        <v>176727655</v>
      </c>
      <c r="B355" s="56" t="s">
        <v>3373</v>
      </c>
      <c r="C355" s="56" t="s">
        <v>2623</v>
      </c>
      <c r="D355" s="56" t="s">
        <v>3374</v>
      </c>
      <c r="E355" s="56" t="s">
        <v>1044</v>
      </c>
      <c r="F355" s="56">
        <v>238</v>
      </c>
      <c r="G355" s="56" t="s">
        <v>2693</v>
      </c>
      <c r="H355" s="56">
        <v>5523</v>
      </c>
      <c r="I355" s="56">
        <v>6</v>
      </c>
      <c r="J355" s="56" t="s">
        <v>1045</v>
      </c>
      <c r="K355" s="56" t="s">
        <v>1116</v>
      </c>
      <c r="L355" s="121">
        <v>46269</v>
      </c>
      <c r="M355" s="122">
        <v>0.58333333333333337</v>
      </c>
      <c r="N355" s="122">
        <v>0.59305555555555556</v>
      </c>
      <c r="O355" s="56" t="s">
        <v>1047</v>
      </c>
      <c r="P355" s="121">
        <v>46269</v>
      </c>
      <c r="Q355" s="122">
        <v>0.61458333333333337</v>
      </c>
      <c r="R355" s="122">
        <v>0.60689814814814813</v>
      </c>
      <c r="S355" s="56" t="s">
        <v>1047</v>
      </c>
      <c r="T355" s="56">
        <v>1</v>
      </c>
      <c r="U355" s="56">
        <v>9</v>
      </c>
      <c r="V355" s="56">
        <v>5.46</v>
      </c>
      <c r="W355" s="56">
        <v>5.35</v>
      </c>
      <c r="X355" s="56">
        <v>16.5</v>
      </c>
      <c r="Y355" s="56">
        <v>8</v>
      </c>
      <c r="Z355" s="56">
        <v>3.15</v>
      </c>
      <c r="AA355" s="56" t="s">
        <v>479</v>
      </c>
      <c r="AB355" s="56">
        <v>14123063</v>
      </c>
      <c r="AC355" s="56" t="s">
        <v>479</v>
      </c>
      <c r="AD355" s="56">
        <v>14123063</v>
      </c>
      <c r="AE355" s="56" t="s">
        <v>2626</v>
      </c>
      <c r="AF355" s="56" t="s">
        <v>2627</v>
      </c>
      <c r="AG355" s="56" t="s">
        <v>2627</v>
      </c>
      <c r="AH355" s="56">
        <v>36</v>
      </c>
      <c r="AI355" s="56" t="s">
        <v>2628</v>
      </c>
      <c r="AJ355" s="56" t="s">
        <v>2629</v>
      </c>
      <c r="AK355" s="56">
        <v>0</v>
      </c>
      <c r="AL355" s="56" t="s">
        <v>2630</v>
      </c>
      <c r="AM355" s="56" t="s">
        <v>2631</v>
      </c>
      <c r="AN355" s="56" t="s">
        <v>2632</v>
      </c>
      <c r="AO355" s="56" t="s">
        <v>2627</v>
      </c>
      <c r="AP355" s="56" t="s">
        <v>2624</v>
      </c>
      <c r="AQ355" s="123">
        <v>9.7222222222221877E-3</v>
      </c>
      <c r="AR355" s="122">
        <v>-7.6851851851852393E-3</v>
      </c>
      <c r="AS355" s="56" t="s">
        <v>1048</v>
      </c>
      <c r="AT355" s="56" t="s">
        <v>1049</v>
      </c>
      <c r="AU355" s="56" t="s">
        <v>1050</v>
      </c>
      <c r="AV355" s="56">
        <v>36</v>
      </c>
      <c r="AW355" s="56" t="s">
        <v>1051</v>
      </c>
      <c r="AX355" s="56" t="s">
        <v>3375</v>
      </c>
      <c r="AY355" s="56" t="s">
        <v>1128</v>
      </c>
      <c r="AZ355" s="56" t="s">
        <v>1054</v>
      </c>
      <c r="BA355" s="56" t="s">
        <v>3376</v>
      </c>
      <c r="BB355" s="56" t="s">
        <v>3377</v>
      </c>
      <c r="BC355" s="56" t="s">
        <v>1133</v>
      </c>
      <c r="BD355" s="56" t="s">
        <v>3378</v>
      </c>
    </row>
    <row r="356" spans="1:56" x14ac:dyDescent="0.2">
      <c r="A356" s="56">
        <v>176717876</v>
      </c>
      <c r="B356" s="56" t="s">
        <v>3379</v>
      </c>
      <c r="C356" s="56" t="s">
        <v>2623</v>
      </c>
      <c r="D356" s="56" t="s">
        <v>3380</v>
      </c>
      <c r="E356" s="56" t="s">
        <v>1044</v>
      </c>
      <c r="F356" s="56">
        <v>9</v>
      </c>
      <c r="G356" s="56"/>
      <c r="H356" s="56">
        <v>6867</v>
      </c>
      <c r="I356" s="56">
        <v>6</v>
      </c>
      <c r="J356" s="56" t="s">
        <v>1045</v>
      </c>
      <c r="K356" s="56" t="s">
        <v>1162</v>
      </c>
      <c r="L356" s="121">
        <v>46269</v>
      </c>
      <c r="M356" s="122">
        <v>0.61458333333333337</v>
      </c>
      <c r="N356" s="122">
        <v>0.61875000000000002</v>
      </c>
      <c r="O356" s="56" t="s">
        <v>1047</v>
      </c>
      <c r="P356" s="121">
        <v>46269</v>
      </c>
      <c r="Q356" s="122">
        <v>0.65972222222222221</v>
      </c>
      <c r="R356" s="122">
        <v>0.65835648148148151</v>
      </c>
      <c r="S356" s="56" t="s">
        <v>1047</v>
      </c>
      <c r="T356" s="56">
        <v>1</v>
      </c>
      <c r="U356" s="56">
        <v>29</v>
      </c>
      <c r="V356" s="56">
        <v>22.68</v>
      </c>
      <c r="W356" s="56">
        <v>21.66</v>
      </c>
      <c r="X356" s="56">
        <v>41</v>
      </c>
      <c r="Y356" s="56">
        <v>18.75</v>
      </c>
      <c r="Z356" s="56">
        <v>0.59</v>
      </c>
      <c r="AA356" s="56" t="s">
        <v>386</v>
      </c>
      <c r="AB356" s="56">
        <v>14122094</v>
      </c>
      <c r="AC356" s="56" t="s">
        <v>386</v>
      </c>
      <c r="AD356" s="56">
        <v>14122094</v>
      </c>
      <c r="AE356" s="56" t="s">
        <v>2626</v>
      </c>
      <c r="AF356" s="56" t="s">
        <v>2627</v>
      </c>
      <c r="AG356" s="56" t="s">
        <v>2627</v>
      </c>
      <c r="AH356" s="56">
        <v>36</v>
      </c>
      <c r="AI356" s="56" t="s">
        <v>2628</v>
      </c>
      <c r="AJ356" s="56" t="s">
        <v>2629</v>
      </c>
      <c r="AK356" s="56">
        <v>0</v>
      </c>
      <c r="AL356" s="56" t="s">
        <v>2630</v>
      </c>
      <c r="AM356" s="56" t="s">
        <v>2631</v>
      </c>
      <c r="AN356" s="56" t="s">
        <v>2632</v>
      </c>
      <c r="AO356" s="56" t="s">
        <v>2627</v>
      </c>
      <c r="AP356" s="56" t="s">
        <v>2624</v>
      </c>
      <c r="AQ356" s="123">
        <v>4.1666666666666519E-3</v>
      </c>
      <c r="AR356" s="122">
        <v>-1.3657407407406952E-3</v>
      </c>
      <c r="AS356" s="56" t="s">
        <v>1048</v>
      </c>
      <c r="AT356" s="56" t="s">
        <v>1049</v>
      </c>
      <c r="AU356" s="56" t="s">
        <v>1050</v>
      </c>
      <c r="AV356" s="56">
        <v>36</v>
      </c>
      <c r="AW356" s="56" t="s">
        <v>1051</v>
      </c>
      <c r="AX356" s="56" t="s">
        <v>3381</v>
      </c>
      <c r="AY356" s="56" t="s">
        <v>1164</v>
      </c>
      <c r="AZ356" s="56" t="s">
        <v>1062</v>
      </c>
      <c r="BA356" s="56" t="s">
        <v>3382</v>
      </c>
      <c r="BB356" s="56" t="s">
        <v>3383</v>
      </c>
      <c r="BC356" s="56" t="s">
        <v>1133</v>
      </c>
      <c r="BD356" s="56" t="s">
        <v>3384</v>
      </c>
    </row>
    <row r="357" spans="1:56" x14ac:dyDescent="0.2">
      <c r="A357" s="56">
        <v>176717886</v>
      </c>
      <c r="B357" s="56" t="s">
        <v>3385</v>
      </c>
      <c r="C357" s="56" t="s">
        <v>2623</v>
      </c>
      <c r="D357" s="56" t="s">
        <v>3386</v>
      </c>
      <c r="E357" s="56" t="s">
        <v>1044</v>
      </c>
      <c r="F357" s="56">
        <v>14</v>
      </c>
      <c r="G357" s="56"/>
      <c r="H357" s="56">
        <v>5426</v>
      </c>
      <c r="I357" s="56">
        <v>6</v>
      </c>
      <c r="J357" s="56" t="s">
        <v>1045</v>
      </c>
      <c r="K357" s="56" t="s">
        <v>1162</v>
      </c>
      <c r="L357" s="121">
        <v>46269</v>
      </c>
      <c r="M357" s="122">
        <v>0.61458333333333337</v>
      </c>
      <c r="N357" s="122">
        <v>0.62013888888888891</v>
      </c>
      <c r="O357" s="56" t="s">
        <v>1047</v>
      </c>
      <c r="P357" s="121">
        <v>46269</v>
      </c>
      <c r="Q357" s="122">
        <v>0.65972222222222221</v>
      </c>
      <c r="R357" s="122">
        <v>0.66057870370370375</v>
      </c>
      <c r="S357" s="56" t="s">
        <v>1047</v>
      </c>
      <c r="T357" s="56">
        <v>1</v>
      </c>
      <c r="U357" s="56">
        <v>23</v>
      </c>
      <c r="V357" s="56">
        <v>20.239999999999998</v>
      </c>
      <c r="W357" s="56">
        <v>21.44</v>
      </c>
      <c r="X357" s="56">
        <v>36.44</v>
      </c>
      <c r="Y357" s="56">
        <v>14.81</v>
      </c>
      <c r="Z357" s="56">
        <v>0.19</v>
      </c>
      <c r="AA357" s="56" t="s">
        <v>152</v>
      </c>
      <c r="AB357" s="56">
        <v>14116000</v>
      </c>
      <c r="AC357" s="56" t="s">
        <v>152</v>
      </c>
      <c r="AD357" s="56">
        <v>14116000</v>
      </c>
      <c r="AE357" s="56" t="s">
        <v>2626</v>
      </c>
      <c r="AF357" s="56" t="s">
        <v>2627</v>
      </c>
      <c r="AG357" s="56" t="s">
        <v>2627</v>
      </c>
      <c r="AH357" s="56">
        <v>36</v>
      </c>
      <c r="AI357" s="56" t="s">
        <v>2628</v>
      </c>
      <c r="AJ357" s="56" t="s">
        <v>2640</v>
      </c>
      <c r="AK357" s="56">
        <v>0</v>
      </c>
      <c r="AL357" s="56" t="s">
        <v>2630</v>
      </c>
      <c r="AM357" s="56" t="s">
        <v>2631</v>
      </c>
      <c r="AN357" s="56" t="s">
        <v>2632</v>
      </c>
      <c r="AO357" s="56" t="s">
        <v>2627</v>
      </c>
      <c r="AP357" s="56" t="s">
        <v>2624</v>
      </c>
      <c r="AQ357" s="123">
        <v>5.5555555555555358E-3</v>
      </c>
      <c r="AR357" s="122">
        <v>8.5648148148154135E-4</v>
      </c>
      <c r="AS357" s="56" t="s">
        <v>1048</v>
      </c>
      <c r="AT357" s="56" t="s">
        <v>1049</v>
      </c>
      <c r="AU357" s="56" t="s">
        <v>1050</v>
      </c>
      <c r="AV357" s="56">
        <v>36</v>
      </c>
      <c r="AW357" s="56" t="s">
        <v>1051</v>
      </c>
      <c r="AX357" s="56" t="s">
        <v>3387</v>
      </c>
      <c r="AY357" s="56" t="s">
        <v>1164</v>
      </c>
      <c r="AZ357" s="56" t="s">
        <v>1062</v>
      </c>
      <c r="BA357" s="56" t="s">
        <v>3388</v>
      </c>
      <c r="BB357" s="56" t="s">
        <v>3389</v>
      </c>
      <c r="BC357" s="56" t="s">
        <v>1133</v>
      </c>
      <c r="BD357" s="56" t="s">
        <v>3390</v>
      </c>
    </row>
    <row r="358" spans="1:56" x14ac:dyDescent="0.2">
      <c r="A358" s="56">
        <v>176725705</v>
      </c>
      <c r="B358" s="56" t="s">
        <v>1540</v>
      </c>
      <c r="C358" s="56" t="s">
        <v>2623</v>
      </c>
      <c r="D358" s="56" t="s">
        <v>1444</v>
      </c>
      <c r="E358" s="56" t="s">
        <v>1044</v>
      </c>
      <c r="F358" s="56">
        <v>77</v>
      </c>
      <c r="G358" s="56" t="s">
        <v>2833</v>
      </c>
      <c r="H358" s="56">
        <v>4446</v>
      </c>
      <c r="I358" s="56">
        <v>6</v>
      </c>
      <c r="J358" s="56" t="s">
        <v>1045</v>
      </c>
      <c r="K358" s="56" t="s">
        <v>1075</v>
      </c>
      <c r="L358" s="121">
        <v>46269</v>
      </c>
      <c r="M358" s="122">
        <v>0.70138888888888884</v>
      </c>
      <c r="N358" s="122">
        <v>0.70694444444444449</v>
      </c>
      <c r="O358" s="56" t="s">
        <v>1047</v>
      </c>
      <c r="P358" s="121">
        <v>46269</v>
      </c>
      <c r="Q358" s="122">
        <v>0.76736111111111116</v>
      </c>
      <c r="R358" s="122">
        <v>0.77621527777777777</v>
      </c>
      <c r="S358" s="56" t="s">
        <v>1047</v>
      </c>
      <c r="T358" s="56">
        <v>1</v>
      </c>
      <c r="U358" s="56">
        <v>38</v>
      </c>
      <c r="V358" s="56">
        <v>35.520000000000003</v>
      </c>
      <c r="W358" s="56">
        <v>35.4</v>
      </c>
      <c r="X358" s="56">
        <v>38.36</v>
      </c>
      <c r="Y358" s="56">
        <v>2.57</v>
      </c>
      <c r="Z358" s="56">
        <v>0.39</v>
      </c>
      <c r="AA358" s="56" t="s">
        <v>522</v>
      </c>
      <c r="AB358" s="56">
        <v>14123460</v>
      </c>
      <c r="AC358" s="56" t="s">
        <v>522</v>
      </c>
      <c r="AD358" s="56">
        <v>14123460</v>
      </c>
      <c r="AE358" s="56" t="s">
        <v>2626</v>
      </c>
      <c r="AF358" s="56" t="s">
        <v>2627</v>
      </c>
      <c r="AG358" s="56" t="s">
        <v>2627</v>
      </c>
      <c r="AH358" s="56">
        <v>36</v>
      </c>
      <c r="AI358" s="56" t="s">
        <v>2628</v>
      </c>
      <c r="AJ358" s="56" t="s">
        <v>2640</v>
      </c>
      <c r="AK358" s="56">
        <v>0</v>
      </c>
      <c r="AL358" s="56" t="s">
        <v>2630</v>
      </c>
      <c r="AM358" s="56" t="s">
        <v>2631</v>
      </c>
      <c r="AN358" s="56" t="s">
        <v>2632</v>
      </c>
      <c r="AO358" s="56" t="s">
        <v>2627</v>
      </c>
      <c r="AP358" s="56" t="s">
        <v>2624</v>
      </c>
      <c r="AQ358" s="123">
        <v>5.5555555555556468E-3</v>
      </c>
      <c r="AR358" s="122">
        <v>8.8541666666666075E-3</v>
      </c>
      <c r="AS358" s="56" t="s">
        <v>1048</v>
      </c>
      <c r="AT358" s="56" t="s">
        <v>1059</v>
      </c>
      <c r="AU358" s="56" t="s">
        <v>1060</v>
      </c>
      <c r="AV358" s="56">
        <v>36</v>
      </c>
      <c r="AW358" s="56" t="s">
        <v>1051</v>
      </c>
      <c r="AX358" s="56" t="s">
        <v>1445</v>
      </c>
      <c r="AY358" s="56" t="s">
        <v>1076</v>
      </c>
      <c r="AZ358" s="56" t="s">
        <v>1067</v>
      </c>
      <c r="BA358" s="56" t="s">
        <v>1446</v>
      </c>
      <c r="BB358" s="56" t="s">
        <v>1447</v>
      </c>
      <c r="BC358" s="56" t="s">
        <v>1133</v>
      </c>
      <c r="BD358" s="56" t="s">
        <v>1541</v>
      </c>
    </row>
    <row r="359" spans="1:56" x14ac:dyDescent="0.2">
      <c r="A359" s="56">
        <v>176721141</v>
      </c>
      <c r="B359" s="56" t="s">
        <v>3391</v>
      </c>
      <c r="C359" s="56" t="s">
        <v>2623</v>
      </c>
      <c r="D359" s="56" t="s">
        <v>3392</v>
      </c>
      <c r="E359" s="56" t="s">
        <v>1044</v>
      </c>
      <c r="F359" s="56">
        <v>18</v>
      </c>
      <c r="G359" s="56"/>
      <c r="H359" s="56">
        <v>12767</v>
      </c>
      <c r="I359" s="56">
        <v>6</v>
      </c>
      <c r="J359" s="56" t="s">
        <v>1045</v>
      </c>
      <c r="K359" s="56" t="s">
        <v>1181</v>
      </c>
      <c r="L359" s="121">
        <v>46269</v>
      </c>
      <c r="M359" s="122">
        <v>0.70833333333333337</v>
      </c>
      <c r="N359" s="122">
        <v>0.71805555555555556</v>
      </c>
      <c r="O359" s="56" t="s">
        <v>1047</v>
      </c>
      <c r="P359" s="121">
        <v>46269</v>
      </c>
      <c r="Q359" s="122">
        <v>0.74305555555555558</v>
      </c>
      <c r="R359" s="122">
        <v>0.74605324074074075</v>
      </c>
      <c r="S359" s="56" t="s">
        <v>1047</v>
      </c>
      <c r="T359" s="56">
        <v>1</v>
      </c>
      <c r="U359" s="56">
        <v>14</v>
      </c>
      <c r="V359" s="56">
        <v>13.01</v>
      </c>
      <c r="W359" s="56">
        <v>13.39</v>
      </c>
      <c r="X359" s="56">
        <v>29.39</v>
      </c>
      <c r="Y359" s="56">
        <v>4</v>
      </c>
      <c r="Z359" s="56">
        <v>12</v>
      </c>
      <c r="AA359" s="56" t="s">
        <v>2003</v>
      </c>
      <c r="AB359" s="56">
        <v>14124146</v>
      </c>
      <c r="AC359" s="56" t="s">
        <v>2003</v>
      </c>
      <c r="AD359" s="56">
        <v>14124146</v>
      </c>
      <c r="AE359" s="56" t="s">
        <v>2626</v>
      </c>
      <c r="AF359" s="56" t="s">
        <v>2627</v>
      </c>
      <c r="AG359" s="56" t="s">
        <v>2627</v>
      </c>
      <c r="AH359" s="56">
        <v>36</v>
      </c>
      <c r="AI359" s="56" t="s">
        <v>2628</v>
      </c>
      <c r="AJ359" s="56" t="s">
        <v>2640</v>
      </c>
      <c r="AK359" s="56">
        <v>0</v>
      </c>
      <c r="AL359" s="56" t="s">
        <v>2630</v>
      </c>
      <c r="AM359" s="56" t="s">
        <v>2631</v>
      </c>
      <c r="AN359" s="56" t="s">
        <v>2632</v>
      </c>
      <c r="AO359" s="56" t="s">
        <v>2627</v>
      </c>
      <c r="AP359" s="56">
        <v>2</v>
      </c>
      <c r="AQ359" s="123">
        <v>9.7222222222221877E-3</v>
      </c>
      <c r="AR359" s="122">
        <v>2.9976851851851727E-3</v>
      </c>
      <c r="AS359" s="56" t="s">
        <v>1048</v>
      </c>
      <c r="AT359" s="56" t="s">
        <v>1049</v>
      </c>
      <c r="AU359" s="56" t="s">
        <v>1050</v>
      </c>
      <c r="AV359" s="56">
        <v>36</v>
      </c>
      <c r="AW359" s="56" t="s">
        <v>1051</v>
      </c>
      <c r="AX359" s="56" t="s">
        <v>3393</v>
      </c>
      <c r="AY359" s="56" t="s">
        <v>1140</v>
      </c>
      <c r="AZ359" s="56" t="s">
        <v>1062</v>
      </c>
      <c r="BA359" s="56" t="s">
        <v>3394</v>
      </c>
      <c r="BB359" s="56" t="s">
        <v>3395</v>
      </c>
      <c r="BC359" s="56" t="s">
        <v>1057</v>
      </c>
      <c r="BD359" s="56" t="s">
        <v>3396</v>
      </c>
    </row>
    <row r="360" spans="1:56" x14ac:dyDescent="0.2">
      <c r="A360" s="56">
        <v>176707587</v>
      </c>
      <c r="B360" s="56" t="s">
        <v>1588</v>
      </c>
      <c r="C360" s="56" t="s">
        <v>2623</v>
      </c>
      <c r="D360" s="56" t="s">
        <v>1589</v>
      </c>
      <c r="E360" s="56" t="s">
        <v>1044</v>
      </c>
      <c r="F360" s="56">
        <v>2</v>
      </c>
      <c r="G360" s="56"/>
      <c r="H360" s="56">
        <v>5351</v>
      </c>
      <c r="I360" s="56">
        <v>7</v>
      </c>
      <c r="J360" s="56" t="s">
        <v>1045</v>
      </c>
      <c r="K360" s="56" t="s">
        <v>1181</v>
      </c>
      <c r="L360" s="121">
        <v>46269</v>
      </c>
      <c r="M360" s="122">
        <v>0.81944444444444442</v>
      </c>
      <c r="N360" s="122">
        <v>0.86388888888888893</v>
      </c>
      <c r="O360" s="56" t="s">
        <v>1047</v>
      </c>
      <c r="P360" s="121">
        <v>46269</v>
      </c>
      <c r="Q360" s="122">
        <v>0.88888888888888884</v>
      </c>
      <c r="R360" s="56"/>
      <c r="S360" s="56" t="s">
        <v>1148</v>
      </c>
      <c r="T360" s="56">
        <v>0</v>
      </c>
      <c r="U360" s="56">
        <v>32</v>
      </c>
      <c r="V360" s="56">
        <v>28.11</v>
      </c>
      <c r="W360" s="56">
        <v>1.39</v>
      </c>
      <c r="X360" s="56">
        <v>12.1</v>
      </c>
      <c r="Y360" s="56">
        <v>10.71</v>
      </c>
      <c r="Z360" s="56">
        <v>0</v>
      </c>
      <c r="AA360" s="56" t="s">
        <v>32</v>
      </c>
      <c r="AB360" s="56">
        <v>14102730</v>
      </c>
      <c r="AC360" s="56" t="s">
        <v>32</v>
      </c>
      <c r="AD360" s="56">
        <v>14102730</v>
      </c>
      <c r="AE360" s="56" t="s">
        <v>2626</v>
      </c>
      <c r="AF360" s="56" t="s">
        <v>2627</v>
      </c>
      <c r="AG360" s="56" t="s">
        <v>2627</v>
      </c>
      <c r="AH360" s="56">
        <v>36</v>
      </c>
      <c r="AI360" s="56" t="s">
        <v>2706</v>
      </c>
      <c r="AJ360" s="56" t="s">
        <v>2640</v>
      </c>
      <c r="AK360" s="56">
        <v>447.41</v>
      </c>
      <c r="AL360" s="56" t="s">
        <v>2630</v>
      </c>
      <c r="AM360" s="56" t="s">
        <v>2631</v>
      </c>
      <c r="AN360" s="56" t="s">
        <v>2632</v>
      </c>
      <c r="AO360" s="56" t="s">
        <v>2627</v>
      </c>
      <c r="AP360" s="56" t="s">
        <v>2624</v>
      </c>
      <c r="AQ360" s="123">
        <v>4.4444444444444509E-2</v>
      </c>
      <c r="AR360" s="122">
        <v>-0.88888888888888884</v>
      </c>
      <c r="AS360" s="56" t="s">
        <v>1048</v>
      </c>
      <c r="AT360" s="56" t="s">
        <v>1049</v>
      </c>
      <c r="AU360" s="56" t="s">
        <v>1050</v>
      </c>
      <c r="AV360" s="56">
        <v>36</v>
      </c>
      <c r="AW360" s="56" t="s">
        <v>1051</v>
      </c>
      <c r="AX360" s="56" t="s">
        <v>1590</v>
      </c>
      <c r="AY360" s="56" t="s">
        <v>1140</v>
      </c>
      <c r="AZ360" s="56" t="s">
        <v>1062</v>
      </c>
      <c r="BA360" s="56" t="s">
        <v>1591</v>
      </c>
      <c r="BB360" s="56" t="s">
        <v>1592</v>
      </c>
      <c r="BC360" s="56" t="s">
        <v>1057</v>
      </c>
      <c r="BD360" s="56" t="s">
        <v>1593</v>
      </c>
    </row>
    <row r="361" spans="1:56" x14ac:dyDescent="0.2">
      <c r="A361" s="56">
        <v>176714972</v>
      </c>
      <c r="B361" s="56" t="s">
        <v>3257</v>
      </c>
      <c r="C361" s="56" t="s">
        <v>2623</v>
      </c>
      <c r="D361" s="56" t="s">
        <v>1178</v>
      </c>
      <c r="E361" s="56" t="s">
        <v>1044</v>
      </c>
      <c r="F361" s="56">
        <v>2</v>
      </c>
      <c r="G361" s="56"/>
      <c r="H361" s="56">
        <v>12767</v>
      </c>
      <c r="I361" s="56">
        <v>6</v>
      </c>
      <c r="J361" s="56" t="s">
        <v>1045</v>
      </c>
      <c r="K361" s="56" t="s">
        <v>1167</v>
      </c>
      <c r="L361" s="121">
        <v>46269</v>
      </c>
      <c r="M361" s="122">
        <v>0.83472222222222225</v>
      </c>
      <c r="N361" s="122">
        <v>0.83888888888888891</v>
      </c>
      <c r="O361" s="56" t="s">
        <v>1047</v>
      </c>
      <c r="P361" s="121">
        <v>46269</v>
      </c>
      <c r="Q361" s="122">
        <v>0.88541666666666663</v>
      </c>
      <c r="R361" s="122">
        <v>0.8930555555555556</v>
      </c>
      <c r="S361" s="56" t="s">
        <v>1047</v>
      </c>
      <c r="T361" s="56">
        <v>1</v>
      </c>
      <c r="U361" s="56">
        <v>21</v>
      </c>
      <c r="V361" s="56">
        <v>21.32</v>
      </c>
      <c r="W361" s="56">
        <v>21.3</v>
      </c>
      <c r="X361" s="56">
        <v>40.4</v>
      </c>
      <c r="Y361" s="56">
        <v>10.9</v>
      </c>
      <c r="Z361" s="56">
        <v>8.1999999999999993</v>
      </c>
      <c r="AA361" s="56"/>
      <c r="AB361" s="56"/>
      <c r="AC361" s="56"/>
      <c r="AD361" s="56"/>
      <c r="AE361" s="56" t="s">
        <v>2626</v>
      </c>
      <c r="AF361" s="56" t="s">
        <v>2627</v>
      </c>
      <c r="AG361" s="56" t="s">
        <v>2627</v>
      </c>
      <c r="AH361" s="56">
        <v>36</v>
      </c>
      <c r="AI361" s="56" t="s">
        <v>2628</v>
      </c>
      <c r="AJ361" s="56" t="s">
        <v>2640</v>
      </c>
      <c r="AK361" s="56" t="s">
        <v>2624</v>
      </c>
      <c r="AL361" s="56" t="s">
        <v>2630</v>
      </c>
      <c r="AM361" s="56" t="s">
        <v>3258</v>
      </c>
      <c r="AN361" s="56" t="s">
        <v>2632</v>
      </c>
      <c r="AO361" s="56" t="s">
        <v>2627</v>
      </c>
      <c r="AP361" s="56">
        <v>2</v>
      </c>
      <c r="AQ361" s="123">
        <v>4.1666666666666519E-3</v>
      </c>
      <c r="AR361" s="122">
        <v>7.6388888888889728E-3</v>
      </c>
      <c r="AS361" s="56" t="s">
        <v>1048</v>
      </c>
      <c r="AT361" s="56" t="s">
        <v>1059</v>
      </c>
      <c r="AU361" s="56" t="s">
        <v>1060</v>
      </c>
      <c r="AV361" s="56">
        <v>36</v>
      </c>
      <c r="AW361" s="56" t="s">
        <v>1051</v>
      </c>
      <c r="AX361" s="56" t="s">
        <v>2171</v>
      </c>
      <c r="AY361" s="56" t="s">
        <v>1140</v>
      </c>
      <c r="AZ361" s="56" t="s">
        <v>1062</v>
      </c>
      <c r="BA361" s="56" t="s">
        <v>2172</v>
      </c>
      <c r="BB361" s="56" t="s">
        <v>2173</v>
      </c>
      <c r="BC361" s="56" t="s">
        <v>1157</v>
      </c>
      <c r="BD361" s="56" t="s">
        <v>3259</v>
      </c>
    </row>
    <row r="362" spans="1:56" x14ac:dyDescent="0.2">
      <c r="A362" s="56">
        <v>176707584</v>
      </c>
      <c r="B362" s="56" t="s">
        <v>1327</v>
      </c>
      <c r="C362" s="56" t="s">
        <v>2623</v>
      </c>
      <c r="D362" s="56" t="s">
        <v>1180</v>
      </c>
      <c r="E362" s="56" t="s">
        <v>1044</v>
      </c>
      <c r="F362" s="56">
        <v>1</v>
      </c>
      <c r="G362" s="56"/>
      <c r="H362" s="56">
        <v>6384</v>
      </c>
      <c r="I362" s="56">
        <v>6</v>
      </c>
      <c r="J362" s="56" t="s">
        <v>1045</v>
      </c>
      <c r="K362" s="56" t="s">
        <v>1181</v>
      </c>
      <c r="L362" s="121">
        <v>46269</v>
      </c>
      <c r="M362" s="122">
        <v>0.83680555555555558</v>
      </c>
      <c r="N362" s="122">
        <v>0.87569444444444444</v>
      </c>
      <c r="O362" s="56" t="s">
        <v>1047</v>
      </c>
      <c r="P362" s="121">
        <v>46269</v>
      </c>
      <c r="Q362" s="122">
        <v>0.88888888888888884</v>
      </c>
      <c r="R362" s="122">
        <v>0.91554398148148153</v>
      </c>
      <c r="S362" s="56" t="s">
        <v>1047</v>
      </c>
      <c r="T362" s="56">
        <v>1</v>
      </c>
      <c r="U362" s="56">
        <v>26</v>
      </c>
      <c r="V362" s="56">
        <v>21.1</v>
      </c>
      <c r="W362" s="56">
        <v>21.78</v>
      </c>
      <c r="X362" s="56">
        <v>38.07</v>
      </c>
      <c r="Y362" s="56">
        <v>8.3000000000000007</v>
      </c>
      <c r="Z362" s="56">
        <v>7.99</v>
      </c>
      <c r="AA362" s="56" t="s">
        <v>459</v>
      </c>
      <c r="AB362" s="56">
        <v>14122871</v>
      </c>
      <c r="AC362" s="56" t="s">
        <v>459</v>
      </c>
      <c r="AD362" s="56">
        <v>14122871</v>
      </c>
      <c r="AE362" s="56" t="s">
        <v>2626</v>
      </c>
      <c r="AF362" s="56" t="s">
        <v>2627</v>
      </c>
      <c r="AG362" s="56" t="s">
        <v>2627</v>
      </c>
      <c r="AH362" s="56">
        <v>36</v>
      </c>
      <c r="AI362" s="56" t="s">
        <v>2628</v>
      </c>
      <c r="AJ362" s="56" t="s">
        <v>2640</v>
      </c>
      <c r="AK362" s="56">
        <v>522.74</v>
      </c>
      <c r="AL362" s="56" t="s">
        <v>2630</v>
      </c>
      <c r="AM362" s="56" t="s">
        <v>2631</v>
      </c>
      <c r="AN362" s="56" t="s">
        <v>2632</v>
      </c>
      <c r="AO362" s="56" t="s">
        <v>2627</v>
      </c>
      <c r="AP362" s="56" t="s">
        <v>2624</v>
      </c>
      <c r="AQ362" s="123">
        <v>3.8888888888888862E-2</v>
      </c>
      <c r="AR362" s="122">
        <v>2.6655092592592688E-2</v>
      </c>
      <c r="AS362" s="56" t="s">
        <v>1048</v>
      </c>
      <c r="AT362" s="56" t="s">
        <v>1059</v>
      </c>
      <c r="AU362" s="56" t="s">
        <v>1060</v>
      </c>
      <c r="AV362" s="56">
        <v>36</v>
      </c>
      <c r="AW362" s="56" t="s">
        <v>1051</v>
      </c>
      <c r="AX362" s="56" t="s">
        <v>1182</v>
      </c>
      <c r="AY362" s="56" t="s">
        <v>1140</v>
      </c>
      <c r="AZ362" s="56" t="s">
        <v>1062</v>
      </c>
      <c r="BA362" s="56" t="s">
        <v>1183</v>
      </c>
      <c r="BB362" s="56" t="s">
        <v>1184</v>
      </c>
      <c r="BC362" s="56" t="s">
        <v>1157</v>
      </c>
      <c r="BD362" s="56" t="s">
        <v>1328</v>
      </c>
    </row>
    <row r="363" spans="1:56" x14ac:dyDescent="0.2">
      <c r="A363" s="56">
        <v>176726644</v>
      </c>
      <c r="B363" s="56" t="s">
        <v>2316</v>
      </c>
      <c r="C363" s="56" t="s">
        <v>2623</v>
      </c>
      <c r="D363" s="56" t="s">
        <v>1542</v>
      </c>
      <c r="E363" s="56" t="s">
        <v>1044</v>
      </c>
      <c r="F363" s="56">
        <v>181</v>
      </c>
      <c r="G363" s="56" t="s">
        <v>2670</v>
      </c>
      <c r="H363" s="56">
        <v>15335</v>
      </c>
      <c r="I363" s="56">
        <v>6</v>
      </c>
      <c r="J363" s="56" t="s">
        <v>1045</v>
      </c>
      <c r="K363" s="56" t="s">
        <v>1116</v>
      </c>
      <c r="L363" s="121">
        <v>46269</v>
      </c>
      <c r="M363" s="122">
        <v>0.87013888888888891</v>
      </c>
      <c r="N363" s="122">
        <v>0.87708333333333333</v>
      </c>
      <c r="O363" s="56" t="s">
        <v>1047</v>
      </c>
      <c r="P363" s="121">
        <v>46269</v>
      </c>
      <c r="Q363" s="122">
        <v>0.92708333333333337</v>
      </c>
      <c r="R363" s="122">
        <v>0.91859953703703701</v>
      </c>
      <c r="S363" s="56" t="s">
        <v>1047</v>
      </c>
      <c r="T363" s="56">
        <v>1</v>
      </c>
      <c r="U363" s="56">
        <v>29</v>
      </c>
      <c r="V363" s="56">
        <v>25.18</v>
      </c>
      <c r="W363" s="56">
        <v>26.23</v>
      </c>
      <c r="X363" s="56">
        <v>33.25</v>
      </c>
      <c r="Y363" s="56">
        <v>4.01</v>
      </c>
      <c r="Z363" s="56">
        <v>3.01</v>
      </c>
      <c r="AA363" s="56" t="s">
        <v>501</v>
      </c>
      <c r="AB363" s="56">
        <v>14123273</v>
      </c>
      <c r="AC363" s="56" t="s">
        <v>501</v>
      </c>
      <c r="AD363" s="56">
        <v>14123273</v>
      </c>
      <c r="AE363" s="56" t="s">
        <v>2626</v>
      </c>
      <c r="AF363" s="56" t="s">
        <v>2627</v>
      </c>
      <c r="AG363" s="56" t="s">
        <v>2627</v>
      </c>
      <c r="AH363" s="56">
        <v>36</v>
      </c>
      <c r="AI363" s="56" t="s">
        <v>2628</v>
      </c>
      <c r="AJ363" s="56" t="s">
        <v>2629</v>
      </c>
      <c r="AK363" s="56">
        <v>0</v>
      </c>
      <c r="AL363" s="56" t="s">
        <v>2630</v>
      </c>
      <c r="AM363" s="56" t="s">
        <v>2631</v>
      </c>
      <c r="AN363" s="56" t="s">
        <v>2632</v>
      </c>
      <c r="AO363" s="56" t="s">
        <v>2627</v>
      </c>
      <c r="AP363" s="56" t="s">
        <v>2624</v>
      </c>
      <c r="AQ363" s="123">
        <v>6.9444444444444198E-3</v>
      </c>
      <c r="AR363" s="122">
        <v>-8.4837962962963642E-3</v>
      </c>
      <c r="AS363" s="56" t="s">
        <v>1048</v>
      </c>
      <c r="AT363" s="56" t="s">
        <v>1049</v>
      </c>
      <c r="AU363" s="56" t="s">
        <v>1050</v>
      </c>
      <c r="AV363" s="56">
        <v>36</v>
      </c>
      <c r="AW363" s="56" t="s">
        <v>1051</v>
      </c>
      <c r="AX363" s="56" t="s">
        <v>1543</v>
      </c>
      <c r="AY363" s="56" t="s">
        <v>1118</v>
      </c>
      <c r="AZ363" s="56" t="s">
        <v>1054</v>
      </c>
      <c r="BA363" s="56" t="s">
        <v>1544</v>
      </c>
      <c r="BB363" s="56" t="s">
        <v>1545</v>
      </c>
      <c r="BC363" s="56" t="s">
        <v>1157</v>
      </c>
      <c r="BD363" s="56" t="s">
        <v>2317</v>
      </c>
    </row>
    <row r="364" spans="1:56" x14ac:dyDescent="0.2">
      <c r="A364" s="56">
        <v>176715386</v>
      </c>
      <c r="B364" s="56" t="s">
        <v>1160</v>
      </c>
      <c r="C364" s="56" t="s">
        <v>2623</v>
      </c>
      <c r="D364" s="56" t="s">
        <v>1090</v>
      </c>
      <c r="E364" s="56" t="s">
        <v>1044</v>
      </c>
      <c r="F364" s="56">
        <v>28</v>
      </c>
      <c r="G364" s="56"/>
      <c r="H364" s="56">
        <v>16733</v>
      </c>
      <c r="I364" s="56">
        <v>6</v>
      </c>
      <c r="J364" s="56" t="s">
        <v>1045</v>
      </c>
      <c r="K364" s="56" t="s">
        <v>1091</v>
      </c>
      <c r="L364" s="121">
        <v>46269</v>
      </c>
      <c r="M364" s="122">
        <v>0.87152777777777779</v>
      </c>
      <c r="N364" s="122">
        <v>0.87569444444444444</v>
      </c>
      <c r="O364" s="56" t="s">
        <v>1047</v>
      </c>
      <c r="P364" s="121">
        <v>46269</v>
      </c>
      <c r="Q364" s="122">
        <v>0.93402777777777779</v>
      </c>
      <c r="R364" s="122">
        <v>0.91979166666666667</v>
      </c>
      <c r="S364" s="56" t="s">
        <v>1047</v>
      </c>
      <c r="T364" s="56">
        <v>1</v>
      </c>
      <c r="U364" s="56">
        <v>28</v>
      </c>
      <c r="V364" s="56">
        <v>23.51</v>
      </c>
      <c r="W364" s="56">
        <v>23.62</v>
      </c>
      <c r="X364" s="56">
        <v>31.64</v>
      </c>
      <c r="Y364" s="56">
        <v>7.04</v>
      </c>
      <c r="Z364" s="56">
        <v>0.98</v>
      </c>
      <c r="AA364" s="56" t="s">
        <v>35</v>
      </c>
      <c r="AB364" s="56">
        <v>14103106</v>
      </c>
      <c r="AC364" s="56" t="s">
        <v>35</v>
      </c>
      <c r="AD364" s="56">
        <v>14103106</v>
      </c>
      <c r="AE364" s="56" t="s">
        <v>2626</v>
      </c>
      <c r="AF364" s="56" t="s">
        <v>2627</v>
      </c>
      <c r="AG364" s="56" t="s">
        <v>2627</v>
      </c>
      <c r="AH364" s="56">
        <v>36</v>
      </c>
      <c r="AI364" s="56" t="s">
        <v>2628</v>
      </c>
      <c r="AJ364" s="56" t="s">
        <v>2629</v>
      </c>
      <c r="AK364" s="56">
        <v>0</v>
      </c>
      <c r="AL364" s="56" t="s">
        <v>2630</v>
      </c>
      <c r="AM364" s="56" t="s">
        <v>2631</v>
      </c>
      <c r="AN364" s="56" t="s">
        <v>2632</v>
      </c>
      <c r="AO364" s="56" t="s">
        <v>2627</v>
      </c>
      <c r="AP364" s="56" t="s">
        <v>2624</v>
      </c>
      <c r="AQ364" s="123">
        <v>4.1666666666666519E-3</v>
      </c>
      <c r="AR364" s="122">
        <v>-1.4236111111111116E-2</v>
      </c>
      <c r="AS364" s="56" t="s">
        <v>1048</v>
      </c>
      <c r="AT364" s="56" t="s">
        <v>1049</v>
      </c>
      <c r="AU364" s="56" t="s">
        <v>1050</v>
      </c>
      <c r="AV364" s="56">
        <v>36</v>
      </c>
      <c r="AW364" s="56" t="s">
        <v>1051</v>
      </c>
      <c r="AX364" s="56" t="s">
        <v>1092</v>
      </c>
      <c r="AY364" s="56" t="s">
        <v>1093</v>
      </c>
      <c r="AZ364" s="56" t="s">
        <v>1067</v>
      </c>
      <c r="BA364" s="56" t="s">
        <v>1094</v>
      </c>
      <c r="BB364" s="56" t="s">
        <v>1095</v>
      </c>
      <c r="BC364" s="56" t="s">
        <v>1157</v>
      </c>
      <c r="BD364" s="56" t="s">
        <v>1161</v>
      </c>
    </row>
    <row r="365" spans="1:56" x14ac:dyDescent="0.2">
      <c r="A365" s="56">
        <v>176725750</v>
      </c>
      <c r="B365" s="56" t="s">
        <v>3397</v>
      </c>
      <c r="C365" s="56" t="s">
        <v>2623</v>
      </c>
      <c r="D365" s="56" t="s">
        <v>1547</v>
      </c>
      <c r="E365" s="56" t="s">
        <v>1044</v>
      </c>
      <c r="F365" s="56">
        <v>108</v>
      </c>
      <c r="G365" s="56" t="s">
        <v>2670</v>
      </c>
      <c r="H365" s="56">
        <v>14671</v>
      </c>
      <c r="I365" s="56">
        <v>6</v>
      </c>
      <c r="J365" s="56" t="s">
        <v>1045</v>
      </c>
      <c r="K365" s="56" t="s">
        <v>1116</v>
      </c>
      <c r="L365" s="121">
        <v>46269</v>
      </c>
      <c r="M365" s="122">
        <v>0.87152777777777779</v>
      </c>
      <c r="N365" s="122">
        <v>0.875</v>
      </c>
      <c r="O365" s="56" t="s">
        <v>1047</v>
      </c>
      <c r="P365" s="121">
        <v>46269</v>
      </c>
      <c r="Q365" s="122">
        <v>0.92708333333333337</v>
      </c>
      <c r="R365" s="122">
        <v>0.91527777777777775</v>
      </c>
      <c r="S365" s="56" t="s">
        <v>1047</v>
      </c>
      <c r="T365" s="56">
        <v>1</v>
      </c>
      <c r="U365" s="56">
        <v>25</v>
      </c>
      <c r="V365" s="56">
        <v>19.68</v>
      </c>
      <c r="W365" s="56">
        <v>19.829999999999998</v>
      </c>
      <c r="X365" s="56">
        <v>24.15</v>
      </c>
      <c r="Y365" s="56">
        <v>1.03</v>
      </c>
      <c r="Z365" s="56">
        <v>3.29</v>
      </c>
      <c r="AA365" s="56" t="s">
        <v>281</v>
      </c>
      <c r="AB365" s="56">
        <v>14112730</v>
      </c>
      <c r="AC365" s="56" t="s">
        <v>281</v>
      </c>
      <c r="AD365" s="56">
        <v>14112730</v>
      </c>
      <c r="AE365" s="56" t="s">
        <v>2626</v>
      </c>
      <c r="AF365" s="56" t="s">
        <v>2627</v>
      </c>
      <c r="AG365" s="56" t="s">
        <v>2627</v>
      </c>
      <c r="AH365" s="56">
        <v>36</v>
      </c>
      <c r="AI365" s="56" t="s">
        <v>2628</v>
      </c>
      <c r="AJ365" s="56" t="s">
        <v>2629</v>
      </c>
      <c r="AK365" s="56">
        <v>0</v>
      </c>
      <c r="AL365" s="56" t="s">
        <v>2630</v>
      </c>
      <c r="AM365" s="56" t="s">
        <v>2631</v>
      </c>
      <c r="AN365" s="56" t="s">
        <v>2632</v>
      </c>
      <c r="AO365" s="56" t="s">
        <v>2627</v>
      </c>
      <c r="AP365" s="56">
        <v>8</v>
      </c>
      <c r="AQ365" s="123">
        <v>3.4722222222222099E-3</v>
      </c>
      <c r="AR365" s="122">
        <v>-1.1805555555555625E-2</v>
      </c>
      <c r="AS365" s="56" t="s">
        <v>1048</v>
      </c>
      <c r="AT365" s="56" t="s">
        <v>1049</v>
      </c>
      <c r="AU365" s="56" t="s">
        <v>1050</v>
      </c>
      <c r="AV365" s="56">
        <v>36</v>
      </c>
      <c r="AW365" s="56" t="s">
        <v>1051</v>
      </c>
      <c r="AX365" s="56" t="s">
        <v>2985</v>
      </c>
      <c r="AY365" s="56" t="s">
        <v>1118</v>
      </c>
      <c r="AZ365" s="56" t="s">
        <v>1054</v>
      </c>
      <c r="BA365" s="56" t="s">
        <v>2986</v>
      </c>
      <c r="BB365" s="56" t="s">
        <v>2987</v>
      </c>
      <c r="BC365" s="56" t="s">
        <v>1157</v>
      </c>
      <c r="BD365" s="56" t="s">
        <v>3398</v>
      </c>
    </row>
    <row r="366" spans="1:56" x14ac:dyDescent="0.2">
      <c r="A366" s="56">
        <v>176707224</v>
      </c>
      <c r="B366" s="56" t="s">
        <v>1546</v>
      </c>
      <c r="C366" s="56" t="s">
        <v>2623</v>
      </c>
      <c r="D366" s="56" t="s">
        <v>1547</v>
      </c>
      <c r="E366" s="56" t="s">
        <v>1044</v>
      </c>
      <c r="F366" s="56">
        <v>61</v>
      </c>
      <c r="G366" s="56"/>
      <c r="H366" s="56">
        <v>16744</v>
      </c>
      <c r="I366" s="56">
        <v>6</v>
      </c>
      <c r="J366" s="56" t="s">
        <v>1045</v>
      </c>
      <c r="K366" s="56" t="s">
        <v>1064</v>
      </c>
      <c r="L366" s="121">
        <v>46269</v>
      </c>
      <c r="M366" s="122">
        <v>0.875</v>
      </c>
      <c r="N366" s="122">
        <v>0.8833333333333333</v>
      </c>
      <c r="O366" s="56" t="s">
        <v>1047</v>
      </c>
      <c r="P366" s="121">
        <v>46269</v>
      </c>
      <c r="Q366" s="122">
        <v>0.93402777777777779</v>
      </c>
      <c r="R366" s="122">
        <v>0.92439814814814814</v>
      </c>
      <c r="S366" s="56" t="s">
        <v>1047</v>
      </c>
      <c r="T366" s="56">
        <v>1</v>
      </c>
      <c r="U366" s="56">
        <v>46</v>
      </c>
      <c r="V366" s="56">
        <v>42.9</v>
      </c>
      <c r="W366" s="56">
        <v>40.43</v>
      </c>
      <c r="X366" s="56">
        <v>46.82</v>
      </c>
      <c r="Y366" s="56">
        <v>1.3</v>
      </c>
      <c r="Z366" s="56">
        <v>5.09</v>
      </c>
      <c r="AA366" s="56" t="s">
        <v>270</v>
      </c>
      <c r="AB366" s="56">
        <v>14119956</v>
      </c>
      <c r="AC366" s="56" t="s">
        <v>270</v>
      </c>
      <c r="AD366" s="56">
        <v>14119956</v>
      </c>
      <c r="AE366" s="56" t="s">
        <v>2626</v>
      </c>
      <c r="AF366" s="56" t="s">
        <v>2627</v>
      </c>
      <c r="AG366" s="56" t="s">
        <v>2627</v>
      </c>
      <c r="AH366" s="56">
        <v>36</v>
      </c>
      <c r="AI366" s="56" t="s">
        <v>2628</v>
      </c>
      <c r="AJ366" s="56" t="s">
        <v>2629</v>
      </c>
      <c r="AK366" s="56">
        <v>530.63</v>
      </c>
      <c r="AL366" s="56" t="s">
        <v>2630</v>
      </c>
      <c r="AM366" s="56" t="s">
        <v>2631</v>
      </c>
      <c r="AN366" s="56" t="s">
        <v>2632</v>
      </c>
      <c r="AO366" s="56" t="s">
        <v>2627</v>
      </c>
      <c r="AP366" s="56" t="s">
        <v>2624</v>
      </c>
      <c r="AQ366" s="123">
        <v>8.3333333333333037E-3</v>
      </c>
      <c r="AR366" s="122">
        <v>-9.6296296296296546E-3</v>
      </c>
      <c r="AS366" s="56" t="s">
        <v>1048</v>
      </c>
      <c r="AT366" s="56" t="s">
        <v>1049</v>
      </c>
      <c r="AU366" s="56" t="s">
        <v>1050</v>
      </c>
      <c r="AV366" s="56">
        <v>36</v>
      </c>
      <c r="AW366" s="56" t="s">
        <v>1051</v>
      </c>
      <c r="AX366" s="56" t="s">
        <v>1548</v>
      </c>
      <c r="AY366" s="56" t="s">
        <v>1066</v>
      </c>
      <c r="AZ366" s="56" t="s">
        <v>1067</v>
      </c>
      <c r="BA366" s="56" t="s">
        <v>1549</v>
      </c>
      <c r="BB366" s="56" t="s">
        <v>1550</v>
      </c>
      <c r="BC366" s="56" t="s">
        <v>1157</v>
      </c>
      <c r="BD366" s="56" t="s">
        <v>1551</v>
      </c>
    </row>
    <row r="367" spans="1:56" x14ac:dyDescent="0.2">
      <c r="A367" s="56">
        <v>176715389</v>
      </c>
      <c r="B367" s="56" t="s">
        <v>3399</v>
      </c>
      <c r="C367" s="56" t="s">
        <v>2623</v>
      </c>
      <c r="D367" s="56" t="s">
        <v>1224</v>
      </c>
      <c r="E367" s="56" t="s">
        <v>1044</v>
      </c>
      <c r="F367" s="56">
        <v>29</v>
      </c>
      <c r="G367" s="56"/>
      <c r="H367" s="56">
        <v>13858</v>
      </c>
      <c r="I367" s="56">
        <v>6</v>
      </c>
      <c r="J367" s="56" t="s">
        <v>1045</v>
      </c>
      <c r="K367" s="56" t="s">
        <v>1091</v>
      </c>
      <c r="L367" s="121">
        <v>46269</v>
      </c>
      <c r="M367" s="122">
        <v>0.875</v>
      </c>
      <c r="N367" s="122">
        <v>0.87847222222222221</v>
      </c>
      <c r="O367" s="56" t="s">
        <v>1047</v>
      </c>
      <c r="P367" s="121">
        <v>46269</v>
      </c>
      <c r="Q367" s="122">
        <v>0.93402777777777779</v>
      </c>
      <c r="R367" s="122">
        <v>0.91847222222222225</v>
      </c>
      <c r="S367" s="56" t="s">
        <v>1047</v>
      </c>
      <c r="T367" s="56">
        <v>1</v>
      </c>
      <c r="U367" s="56">
        <v>37</v>
      </c>
      <c r="V367" s="56">
        <v>31.65</v>
      </c>
      <c r="W367" s="56">
        <v>32.06</v>
      </c>
      <c r="X367" s="56">
        <v>33.270000000000003</v>
      </c>
      <c r="Y367" s="56">
        <v>0.7</v>
      </c>
      <c r="Z367" s="56">
        <v>0.51</v>
      </c>
      <c r="AA367" s="56" t="s">
        <v>231</v>
      </c>
      <c r="AB367" s="56">
        <v>14119057</v>
      </c>
      <c r="AC367" s="56" t="s">
        <v>231</v>
      </c>
      <c r="AD367" s="56">
        <v>14119057</v>
      </c>
      <c r="AE367" s="56" t="s">
        <v>2626</v>
      </c>
      <c r="AF367" s="56" t="s">
        <v>2627</v>
      </c>
      <c r="AG367" s="56" t="s">
        <v>2627</v>
      </c>
      <c r="AH367" s="56">
        <v>36</v>
      </c>
      <c r="AI367" s="56" t="s">
        <v>2628</v>
      </c>
      <c r="AJ367" s="56" t="s">
        <v>2629</v>
      </c>
      <c r="AK367" s="56">
        <v>0</v>
      </c>
      <c r="AL367" s="56" t="s">
        <v>2630</v>
      </c>
      <c r="AM367" s="56" t="s">
        <v>2631</v>
      </c>
      <c r="AN367" s="56" t="s">
        <v>2632</v>
      </c>
      <c r="AO367" s="56" t="s">
        <v>2627</v>
      </c>
      <c r="AP367" s="56" t="s">
        <v>2624</v>
      </c>
      <c r="AQ367" s="123">
        <v>3.4722222222222099E-3</v>
      </c>
      <c r="AR367" s="122">
        <v>-1.5555555555555545E-2</v>
      </c>
      <c r="AS367" s="56" t="s">
        <v>1048</v>
      </c>
      <c r="AT367" s="56" t="s">
        <v>1049</v>
      </c>
      <c r="AU367" s="56" t="s">
        <v>1050</v>
      </c>
      <c r="AV367" s="56">
        <v>36</v>
      </c>
      <c r="AW367" s="56" t="s">
        <v>1051</v>
      </c>
      <c r="AX367" s="56" t="s">
        <v>1260</v>
      </c>
      <c r="AY367" s="56" t="s">
        <v>1093</v>
      </c>
      <c r="AZ367" s="56" t="s">
        <v>1067</v>
      </c>
      <c r="BA367" s="56" t="s">
        <v>1261</v>
      </c>
      <c r="BB367" s="56" t="s">
        <v>1262</v>
      </c>
      <c r="BC367" s="56" t="s">
        <v>1157</v>
      </c>
      <c r="BD367" s="56" t="s">
        <v>3400</v>
      </c>
    </row>
    <row r="368" spans="1:56" x14ac:dyDescent="0.2">
      <c r="A368" s="56">
        <v>176722985</v>
      </c>
      <c r="B368" s="56" t="s">
        <v>3401</v>
      </c>
      <c r="C368" s="56" t="s">
        <v>2623</v>
      </c>
      <c r="D368" s="56" t="s">
        <v>2979</v>
      </c>
      <c r="E368" s="56" t="s">
        <v>1044</v>
      </c>
      <c r="F368" s="56">
        <v>79</v>
      </c>
      <c r="G368" s="56" t="s">
        <v>2670</v>
      </c>
      <c r="H368" s="56">
        <v>6271</v>
      </c>
      <c r="I368" s="56">
        <v>6</v>
      </c>
      <c r="J368" s="56" t="s">
        <v>1045</v>
      </c>
      <c r="K368" s="56" t="s">
        <v>1116</v>
      </c>
      <c r="L368" s="121">
        <v>46269</v>
      </c>
      <c r="M368" s="122">
        <v>0.875</v>
      </c>
      <c r="N368" s="122">
        <v>0.87916666666666665</v>
      </c>
      <c r="O368" s="56" t="s">
        <v>1047</v>
      </c>
      <c r="P368" s="121">
        <v>46269</v>
      </c>
      <c r="Q368" s="122">
        <v>0.92708333333333337</v>
      </c>
      <c r="R368" s="122">
        <v>0.91883101851851856</v>
      </c>
      <c r="S368" s="56" t="s">
        <v>1047</v>
      </c>
      <c r="T368" s="56">
        <v>1</v>
      </c>
      <c r="U368" s="56">
        <v>24</v>
      </c>
      <c r="V368" s="56">
        <v>17.61</v>
      </c>
      <c r="W368" s="56">
        <v>19</v>
      </c>
      <c r="X368" s="56">
        <v>33.57</v>
      </c>
      <c r="Y368" s="56">
        <v>12.25</v>
      </c>
      <c r="Z368" s="56">
        <v>2.3199999999999998</v>
      </c>
      <c r="AA368" s="56" t="s">
        <v>210</v>
      </c>
      <c r="AB368" s="56">
        <v>14118660</v>
      </c>
      <c r="AC368" s="56" t="s">
        <v>210</v>
      </c>
      <c r="AD368" s="56">
        <v>14118660</v>
      </c>
      <c r="AE368" s="56" t="s">
        <v>2626</v>
      </c>
      <c r="AF368" s="56" t="s">
        <v>2627</v>
      </c>
      <c r="AG368" s="56" t="s">
        <v>2627</v>
      </c>
      <c r="AH368" s="56">
        <v>36</v>
      </c>
      <c r="AI368" s="56" t="s">
        <v>2628</v>
      </c>
      <c r="AJ368" s="56" t="s">
        <v>2629</v>
      </c>
      <c r="AK368" s="56">
        <v>0</v>
      </c>
      <c r="AL368" s="56" t="s">
        <v>2630</v>
      </c>
      <c r="AM368" s="56" t="s">
        <v>2631</v>
      </c>
      <c r="AN368" s="56" t="s">
        <v>2632</v>
      </c>
      <c r="AO368" s="56" t="s">
        <v>2627</v>
      </c>
      <c r="AP368" s="56" t="s">
        <v>2624</v>
      </c>
      <c r="AQ368" s="123">
        <v>4.1666666666666519E-3</v>
      </c>
      <c r="AR368" s="122">
        <v>-8.2523148148148096E-3</v>
      </c>
      <c r="AS368" s="56" t="s">
        <v>1048</v>
      </c>
      <c r="AT368" s="56" t="s">
        <v>1049</v>
      </c>
      <c r="AU368" s="56" t="s">
        <v>1050</v>
      </c>
      <c r="AV368" s="56">
        <v>36</v>
      </c>
      <c r="AW368" s="56" t="s">
        <v>1051</v>
      </c>
      <c r="AX368" s="56" t="s">
        <v>2980</v>
      </c>
      <c r="AY368" s="56" t="s">
        <v>1118</v>
      </c>
      <c r="AZ368" s="56" t="s">
        <v>1054</v>
      </c>
      <c r="BA368" s="56" t="s">
        <v>2981</v>
      </c>
      <c r="BB368" s="56" t="s">
        <v>2982</v>
      </c>
      <c r="BC368" s="56" t="s">
        <v>1157</v>
      </c>
      <c r="BD368" s="56" t="s">
        <v>3402</v>
      </c>
    </row>
    <row r="369" spans="1:56" x14ac:dyDescent="0.2">
      <c r="A369" s="56">
        <v>176726620</v>
      </c>
      <c r="B369" s="56" t="s">
        <v>1596</v>
      </c>
      <c r="C369" s="56" t="s">
        <v>2623</v>
      </c>
      <c r="D369" s="56" t="s">
        <v>1226</v>
      </c>
      <c r="E369" s="56" t="s">
        <v>1044</v>
      </c>
      <c r="F369" s="56">
        <v>173</v>
      </c>
      <c r="G369" s="56" t="s">
        <v>2670</v>
      </c>
      <c r="H369" s="56">
        <v>10360</v>
      </c>
      <c r="I369" s="56">
        <v>6</v>
      </c>
      <c r="J369" s="56" t="s">
        <v>1045</v>
      </c>
      <c r="K369" s="56" t="s">
        <v>1116</v>
      </c>
      <c r="L369" s="121">
        <v>46269</v>
      </c>
      <c r="M369" s="122">
        <v>0.87638888888888888</v>
      </c>
      <c r="N369" s="122">
        <v>0.90347222222222223</v>
      </c>
      <c r="O369" s="56" t="s">
        <v>1047</v>
      </c>
      <c r="P369" s="121">
        <v>46269</v>
      </c>
      <c r="Q369" s="122">
        <v>0.92708333333333337</v>
      </c>
      <c r="R369" s="122">
        <v>0.94377314814814817</v>
      </c>
      <c r="S369" s="56" t="s">
        <v>1047</v>
      </c>
      <c r="T369" s="56">
        <v>1</v>
      </c>
      <c r="U369" s="56">
        <v>21</v>
      </c>
      <c r="V369" s="56">
        <v>17.07</v>
      </c>
      <c r="W369" s="56">
        <v>17.22</v>
      </c>
      <c r="X369" s="56">
        <v>24.06</v>
      </c>
      <c r="Y369" s="56">
        <v>3.97</v>
      </c>
      <c r="Z369" s="56">
        <v>2.87</v>
      </c>
      <c r="AA369" s="56" t="s">
        <v>554</v>
      </c>
      <c r="AB369" s="56">
        <v>14123591</v>
      </c>
      <c r="AC369" s="56" t="s">
        <v>554</v>
      </c>
      <c r="AD369" s="56">
        <v>14123591</v>
      </c>
      <c r="AE369" s="56" t="s">
        <v>2626</v>
      </c>
      <c r="AF369" s="56" t="s">
        <v>2627</v>
      </c>
      <c r="AG369" s="56" t="s">
        <v>2627</v>
      </c>
      <c r="AH369" s="56">
        <v>36</v>
      </c>
      <c r="AI369" s="56" t="s">
        <v>2628</v>
      </c>
      <c r="AJ369" s="56" t="s">
        <v>2640</v>
      </c>
      <c r="AK369" s="56">
        <v>0</v>
      </c>
      <c r="AL369" s="56" t="s">
        <v>2630</v>
      </c>
      <c r="AM369" s="56" t="s">
        <v>2631</v>
      </c>
      <c r="AN369" s="56" t="s">
        <v>2632</v>
      </c>
      <c r="AO369" s="56" t="s">
        <v>2627</v>
      </c>
      <c r="AP369" s="56" t="s">
        <v>2624</v>
      </c>
      <c r="AQ369" s="123">
        <v>2.7083333333333348E-2</v>
      </c>
      <c r="AR369" s="122">
        <v>1.6689814814814796E-2</v>
      </c>
      <c r="AS369" s="56" t="s">
        <v>1048</v>
      </c>
      <c r="AT369" s="56" t="s">
        <v>1059</v>
      </c>
      <c r="AU369" s="56" t="s">
        <v>1060</v>
      </c>
      <c r="AV369" s="56">
        <v>36</v>
      </c>
      <c r="AW369" s="56" t="s">
        <v>1051</v>
      </c>
      <c r="AX369" s="56" t="s">
        <v>1227</v>
      </c>
      <c r="AY369" s="56" t="s">
        <v>1118</v>
      </c>
      <c r="AZ369" s="56" t="s">
        <v>1054</v>
      </c>
      <c r="BA369" s="56" t="s">
        <v>1228</v>
      </c>
      <c r="BB369" s="56" t="s">
        <v>1229</v>
      </c>
      <c r="BC369" s="56" t="s">
        <v>1157</v>
      </c>
      <c r="BD369" s="56" t="s">
        <v>1597</v>
      </c>
    </row>
    <row r="370" spans="1:56" x14ac:dyDescent="0.2">
      <c r="A370" s="56">
        <v>176721185</v>
      </c>
      <c r="B370" s="56" t="s">
        <v>3403</v>
      </c>
      <c r="C370" s="56" t="s">
        <v>2623</v>
      </c>
      <c r="D370" s="56" t="s">
        <v>1463</v>
      </c>
      <c r="E370" s="56" t="s">
        <v>1044</v>
      </c>
      <c r="F370" s="56">
        <v>67</v>
      </c>
      <c r="G370" s="56" t="s">
        <v>2693</v>
      </c>
      <c r="H370" s="56">
        <v>13410</v>
      </c>
      <c r="I370" s="56">
        <v>6</v>
      </c>
      <c r="J370" s="56" t="s">
        <v>1045</v>
      </c>
      <c r="K370" s="56" t="s">
        <v>1116</v>
      </c>
      <c r="L370" s="121">
        <v>46269</v>
      </c>
      <c r="M370" s="122">
        <v>0.87777777777777777</v>
      </c>
      <c r="N370" s="122">
        <v>0.88124999999999998</v>
      </c>
      <c r="O370" s="56" t="s">
        <v>1047</v>
      </c>
      <c r="P370" s="121">
        <v>46269</v>
      </c>
      <c r="Q370" s="122">
        <v>0.92708333333333337</v>
      </c>
      <c r="R370" s="122">
        <v>0.92361111111111116</v>
      </c>
      <c r="S370" s="56" t="s">
        <v>1047</v>
      </c>
      <c r="T370" s="56">
        <v>1</v>
      </c>
      <c r="U370" s="56">
        <v>28</v>
      </c>
      <c r="V370" s="56">
        <v>25.79</v>
      </c>
      <c r="W370" s="56">
        <v>26.22</v>
      </c>
      <c r="X370" s="56">
        <v>31.48</v>
      </c>
      <c r="Y370" s="56">
        <v>2.6</v>
      </c>
      <c r="Z370" s="56">
        <v>2.66</v>
      </c>
      <c r="AA370" s="56" t="s">
        <v>115</v>
      </c>
      <c r="AB370" s="56">
        <v>14112174</v>
      </c>
      <c r="AC370" s="56" t="s">
        <v>115</v>
      </c>
      <c r="AD370" s="56">
        <v>14112174</v>
      </c>
      <c r="AE370" s="56" t="s">
        <v>2626</v>
      </c>
      <c r="AF370" s="56" t="s">
        <v>2627</v>
      </c>
      <c r="AG370" s="56" t="s">
        <v>2627</v>
      </c>
      <c r="AH370" s="56">
        <v>36</v>
      </c>
      <c r="AI370" s="56" t="s">
        <v>2628</v>
      </c>
      <c r="AJ370" s="56" t="s">
        <v>2629</v>
      </c>
      <c r="AK370" s="56">
        <v>0</v>
      </c>
      <c r="AL370" s="56" t="s">
        <v>2630</v>
      </c>
      <c r="AM370" s="56" t="s">
        <v>2631</v>
      </c>
      <c r="AN370" s="56" t="s">
        <v>2632</v>
      </c>
      <c r="AO370" s="56" t="s">
        <v>2627</v>
      </c>
      <c r="AP370" s="56" t="s">
        <v>2624</v>
      </c>
      <c r="AQ370" s="123">
        <v>3.4722222222222099E-3</v>
      </c>
      <c r="AR370" s="122">
        <v>-3.4722222222222099E-3</v>
      </c>
      <c r="AS370" s="56" t="s">
        <v>1048</v>
      </c>
      <c r="AT370" s="56" t="s">
        <v>1049</v>
      </c>
      <c r="AU370" s="56" t="s">
        <v>1050</v>
      </c>
      <c r="AV370" s="56">
        <v>36</v>
      </c>
      <c r="AW370" s="56" t="s">
        <v>1051</v>
      </c>
      <c r="AX370" s="56" t="s">
        <v>1464</v>
      </c>
      <c r="AY370" s="56" t="s">
        <v>1128</v>
      </c>
      <c r="AZ370" s="56" t="s">
        <v>1054</v>
      </c>
      <c r="BA370" s="56" t="s">
        <v>1465</v>
      </c>
      <c r="BB370" s="56" t="s">
        <v>1466</v>
      </c>
      <c r="BC370" s="56" t="s">
        <v>1157</v>
      </c>
      <c r="BD370" s="56" t="s">
        <v>3404</v>
      </c>
    </row>
    <row r="371" spans="1:56" x14ac:dyDescent="0.2">
      <c r="A371" s="56">
        <v>176727477</v>
      </c>
      <c r="B371" s="56" t="s">
        <v>3405</v>
      </c>
      <c r="C371" s="56" t="s">
        <v>2623</v>
      </c>
      <c r="D371" s="56" t="s">
        <v>1416</v>
      </c>
      <c r="E371" s="56" t="s">
        <v>1044</v>
      </c>
      <c r="F371" s="56">
        <v>232</v>
      </c>
      <c r="G371" s="56" t="s">
        <v>2670</v>
      </c>
      <c r="H371" s="56">
        <v>15308</v>
      </c>
      <c r="I371" s="56">
        <v>6</v>
      </c>
      <c r="J371" s="56" t="s">
        <v>1045</v>
      </c>
      <c r="K371" s="56" t="s">
        <v>1116</v>
      </c>
      <c r="L371" s="121">
        <v>46269</v>
      </c>
      <c r="M371" s="122">
        <v>0.87847222222222221</v>
      </c>
      <c r="N371" s="122">
        <v>0.88402777777777775</v>
      </c>
      <c r="O371" s="56" t="s">
        <v>1047</v>
      </c>
      <c r="P371" s="121">
        <v>46269</v>
      </c>
      <c r="Q371" s="122">
        <v>0.92708333333333337</v>
      </c>
      <c r="R371" s="122">
        <v>0.90833333333333333</v>
      </c>
      <c r="S371" s="56" t="s">
        <v>1047</v>
      </c>
      <c r="T371" s="56">
        <v>1</v>
      </c>
      <c r="U371" s="56">
        <v>25</v>
      </c>
      <c r="V371" s="56">
        <v>26.35</v>
      </c>
      <c r="W371" s="56">
        <v>22.34</v>
      </c>
      <c r="X371" s="56">
        <v>33.06</v>
      </c>
      <c r="Y371" s="56">
        <v>7.35</v>
      </c>
      <c r="Z371" s="56">
        <v>3.37</v>
      </c>
      <c r="AA371" s="56" t="s">
        <v>1823</v>
      </c>
      <c r="AB371" s="56">
        <v>14123950</v>
      </c>
      <c r="AC371" s="56" t="s">
        <v>1823</v>
      </c>
      <c r="AD371" s="56">
        <v>14123950</v>
      </c>
      <c r="AE371" s="56" t="s">
        <v>2626</v>
      </c>
      <c r="AF371" s="56" t="s">
        <v>2627</v>
      </c>
      <c r="AG371" s="56" t="s">
        <v>2627</v>
      </c>
      <c r="AH371" s="56">
        <v>36</v>
      </c>
      <c r="AI371" s="56" t="s">
        <v>2628</v>
      </c>
      <c r="AJ371" s="56" t="s">
        <v>2629</v>
      </c>
      <c r="AK371" s="56">
        <v>0</v>
      </c>
      <c r="AL371" s="56" t="s">
        <v>2630</v>
      </c>
      <c r="AM371" s="56" t="s">
        <v>2631</v>
      </c>
      <c r="AN371" s="56" t="s">
        <v>2632</v>
      </c>
      <c r="AO371" s="56" t="s">
        <v>2627</v>
      </c>
      <c r="AP371" s="56" t="s">
        <v>2624</v>
      </c>
      <c r="AQ371" s="123">
        <v>5.5555555555555358E-3</v>
      </c>
      <c r="AR371" s="122">
        <v>-1.8750000000000044E-2</v>
      </c>
      <c r="AS371" s="56" t="s">
        <v>1048</v>
      </c>
      <c r="AT371" s="56" t="s">
        <v>1049</v>
      </c>
      <c r="AU371" s="56" t="s">
        <v>1050</v>
      </c>
      <c r="AV371" s="56">
        <v>36</v>
      </c>
      <c r="AW371" s="56" t="s">
        <v>1051</v>
      </c>
      <c r="AX371" s="56" t="s">
        <v>1418</v>
      </c>
      <c r="AY371" s="56" t="s">
        <v>1118</v>
      </c>
      <c r="AZ371" s="56" t="s">
        <v>1054</v>
      </c>
      <c r="BA371" s="56" t="s">
        <v>1419</v>
      </c>
      <c r="BB371" s="56" t="s">
        <v>1420</v>
      </c>
      <c r="BC371" s="56" t="s">
        <v>1157</v>
      </c>
      <c r="BD371" s="56" t="s">
        <v>3406</v>
      </c>
    </row>
    <row r="372" spans="1:56" x14ac:dyDescent="0.2">
      <c r="A372" s="56">
        <v>176724969</v>
      </c>
      <c r="B372" s="56" t="s">
        <v>1422</v>
      </c>
      <c r="C372" s="56" t="s">
        <v>2623</v>
      </c>
      <c r="D372" s="56" t="s">
        <v>1115</v>
      </c>
      <c r="E372" s="56" t="s">
        <v>1044</v>
      </c>
      <c r="F372" s="56">
        <v>98</v>
      </c>
      <c r="G372" s="56" t="s">
        <v>2670</v>
      </c>
      <c r="H372" s="56">
        <v>14692</v>
      </c>
      <c r="I372" s="56">
        <v>6</v>
      </c>
      <c r="J372" s="56" t="s">
        <v>1045</v>
      </c>
      <c r="K372" s="56" t="s">
        <v>1116</v>
      </c>
      <c r="L372" s="121">
        <v>46269</v>
      </c>
      <c r="M372" s="122">
        <v>0.88194444444444442</v>
      </c>
      <c r="N372" s="122">
        <v>0.8979166666666667</v>
      </c>
      <c r="O372" s="56" t="s">
        <v>1047</v>
      </c>
      <c r="P372" s="121">
        <v>46269</v>
      </c>
      <c r="Q372" s="122">
        <v>0.92708333333333337</v>
      </c>
      <c r="R372" s="122">
        <v>0.93125000000000002</v>
      </c>
      <c r="S372" s="56" t="s">
        <v>1047</v>
      </c>
      <c r="T372" s="56">
        <v>1</v>
      </c>
      <c r="U372" s="56">
        <v>31</v>
      </c>
      <c r="V372" s="56">
        <v>26.89</v>
      </c>
      <c r="W372" s="56">
        <v>26.75</v>
      </c>
      <c r="X372" s="56">
        <v>38.08</v>
      </c>
      <c r="Y372" s="56">
        <v>8.24</v>
      </c>
      <c r="Z372" s="56">
        <v>3.09</v>
      </c>
      <c r="AA372" s="56" t="s">
        <v>958</v>
      </c>
      <c r="AB372" s="56">
        <v>14123725</v>
      </c>
      <c r="AC372" s="56" t="s">
        <v>958</v>
      </c>
      <c r="AD372" s="56">
        <v>14123725</v>
      </c>
      <c r="AE372" s="56" t="s">
        <v>2626</v>
      </c>
      <c r="AF372" s="56" t="s">
        <v>2627</v>
      </c>
      <c r="AG372" s="56" t="s">
        <v>2627</v>
      </c>
      <c r="AH372" s="56">
        <v>36</v>
      </c>
      <c r="AI372" s="56" t="s">
        <v>2628</v>
      </c>
      <c r="AJ372" s="56" t="s">
        <v>2640</v>
      </c>
      <c r="AK372" s="56">
        <v>0</v>
      </c>
      <c r="AL372" s="56" t="s">
        <v>2630</v>
      </c>
      <c r="AM372" s="56" t="s">
        <v>2631</v>
      </c>
      <c r="AN372" s="56" t="s">
        <v>2632</v>
      </c>
      <c r="AO372" s="56" t="s">
        <v>2627</v>
      </c>
      <c r="AP372" s="56">
        <v>10</v>
      </c>
      <c r="AQ372" s="123">
        <v>1.5972222222222276E-2</v>
      </c>
      <c r="AR372" s="122">
        <v>4.1666666666666519E-3</v>
      </c>
      <c r="AS372" s="56" t="s">
        <v>1048</v>
      </c>
      <c r="AT372" s="56" t="s">
        <v>1059</v>
      </c>
      <c r="AU372" s="56" t="s">
        <v>1060</v>
      </c>
      <c r="AV372" s="56">
        <v>36</v>
      </c>
      <c r="AW372" s="56" t="s">
        <v>1051</v>
      </c>
      <c r="AX372" s="56" t="s">
        <v>1117</v>
      </c>
      <c r="AY372" s="56" t="s">
        <v>1118</v>
      </c>
      <c r="AZ372" s="56" t="s">
        <v>1054</v>
      </c>
      <c r="BA372" s="56" t="s">
        <v>1119</v>
      </c>
      <c r="BB372" s="56" t="s">
        <v>1120</v>
      </c>
      <c r="BC372" s="56" t="s">
        <v>1157</v>
      </c>
      <c r="BD372" s="56" t="s">
        <v>1423</v>
      </c>
    </row>
    <row r="373" spans="1:56" x14ac:dyDescent="0.2">
      <c r="A373" s="56">
        <v>176726276</v>
      </c>
      <c r="B373" s="56" t="s">
        <v>1503</v>
      </c>
      <c r="C373" s="56" t="s">
        <v>2623</v>
      </c>
      <c r="D373" s="56" t="s">
        <v>1504</v>
      </c>
      <c r="E373" s="56" t="s">
        <v>1044</v>
      </c>
      <c r="F373" s="56">
        <v>149</v>
      </c>
      <c r="G373" s="56" t="s">
        <v>2693</v>
      </c>
      <c r="H373" s="56">
        <v>13754</v>
      </c>
      <c r="I373" s="56">
        <v>6</v>
      </c>
      <c r="J373" s="56" t="s">
        <v>1045</v>
      </c>
      <c r="K373" s="56" t="s">
        <v>1116</v>
      </c>
      <c r="L373" s="121">
        <v>46269</v>
      </c>
      <c r="M373" s="122">
        <v>0.89166666666666672</v>
      </c>
      <c r="N373" s="122">
        <v>0.90138888888888891</v>
      </c>
      <c r="O373" s="56" t="s">
        <v>1047</v>
      </c>
      <c r="P373" s="121">
        <v>46269</v>
      </c>
      <c r="Q373" s="122">
        <v>0.92708333333333337</v>
      </c>
      <c r="R373" s="122">
        <v>0.92949074074074078</v>
      </c>
      <c r="S373" s="56" t="s">
        <v>1047</v>
      </c>
      <c r="T373" s="56">
        <v>1</v>
      </c>
      <c r="U373" s="56">
        <v>20</v>
      </c>
      <c r="V373" s="56">
        <v>20.88</v>
      </c>
      <c r="W373" s="56">
        <v>19.68</v>
      </c>
      <c r="X373" s="56">
        <v>25.75</v>
      </c>
      <c r="Y373" s="56">
        <v>4.84</v>
      </c>
      <c r="Z373" s="56">
        <v>1.23</v>
      </c>
      <c r="AA373" s="56" t="s">
        <v>221</v>
      </c>
      <c r="AB373" s="56">
        <v>14118889</v>
      </c>
      <c r="AC373" s="56" t="s">
        <v>221</v>
      </c>
      <c r="AD373" s="56">
        <v>14118889</v>
      </c>
      <c r="AE373" s="56" t="s">
        <v>2626</v>
      </c>
      <c r="AF373" s="56" t="s">
        <v>2627</v>
      </c>
      <c r="AG373" s="56" t="s">
        <v>2627</v>
      </c>
      <c r="AH373" s="56">
        <v>36</v>
      </c>
      <c r="AI373" s="56" t="s">
        <v>2628</v>
      </c>
      <c r="AJ373" s="56" t="s">
        <v>2640</v>
      </c>
      <c r="AK373" s="56">
        <v>0</v>
      </c>
      <c r="AL373" s="56" t="s">
        <v>2630</v>
      </c>
      <c r="AM373" s="56" t="s">
        <v>2631</v>
      </c>
      <c r="AN373" s="56" t="s">
        <v>2632</v>
      </c>
      <c r="AO373" s="56" t="s">
        <v>2627</v>
      </c>
      <c r="AP373" s="56" t="s">
        <v>2624</v>
      </c>
      <c r="AQ373" s="123">
        <v>9.7222222222221877E-3</v>
      </c>
      <c r="AR373" s="122">
        <v>2.4074074074074137E-3</v>
      </c>
      <c r="AS373" s="56" t="s">
        <v>1048</v>
      </c>
      <c r="AT373" s="56" t="s">
        <v>1049</v>
      </c>
      <c r="AU373" s="56" t="s">
        <v>1050</v>
      </c>
      <c r="AV373" s="56">
        <v>36</v>
      </c>
      <c r="AW373" s="56" t="s">
        <v>1051</v>
      </c>
      <c r="AX373" s="56" t="s">
        <v>1505</v>
      </c>
      <c r="AY373" s="56" t="s">
        <v>1128</v>
      </c>
      <c r="AZ373" s="56" t="s">
        <v>1054</v>
      </c>
      <c r="BA373" s="56" t="s">
        <v>1506</v>
      </c>
      <c r="BB373" s="56" t="s">
        <v>1507</v>
      </c>
      <c r="BC373" s="56" t="s">
        <v>1157</v>
      </c>
      <c r="BD373" s="56" t="s">
        <v>1508</v>
      </c>
    </row>
    <row r="374" spans="1:56" x14ac:dyDescent="0.2">
      <c r="A374" s="56">
        <v>176718689</v>
      </c>
      <c r="B374" s="56" t="s">
        <v>2891</v>
      </c>
      <c r="C374" s="56" t="s">
        <v>2623</v>
      </c>
      <c r="D374" s="56" t="s">
        <v>2688</v>
      </c>
      <c r="E374" s="56" t="s">
        <v>1044</v>
      </c>
      <c r="F374" s="56">
        <v>11</v>
      </c>
      <c r="G374" s="56"/>
      <c r="H374" s="56">
        <v>15185</v>
      </c>
      <c r="I374" s="56">
        <v>6</v>
      </c>
      <c r="J374" s="56" t="s">
        <v>1045</v>
      </c>
      <c r="K374" s="56" t="s">
        <v>1058</v>
      </c>
      <c r="L374" s="121">
        <v>46269</v>
      </c>
      <c r="M374" s="122">
        <v>0.8930555555555556</v>
      </c>
      <c r="N374" s="122">
        <v>0.90138888888888891</v>
      </c>
      <c r="O374" s="56" t="s">
        <v>1047</v>
      </c>
      <c r="P374" s="121">
        <v>46269</v>
      </c>
      <c r="Q374" s="122">
        <v>0.91666666666666663</v>
      </c>
      <c r="R374" s="122">
        <v>0.92212962962962963</v>
      </c>
      <c r="S374" s="56" t="s">
        <v>1047</v>
      </c>
      <c r="T374" s="56">
        <v>1</v>
      </c>
      <c r="U374" s="56">
        <v>14</v>
      </c>
      <c r="V374" s="56">
        <v>8.8800000000000008</v>
      </c>
      <c r="W374" s="56">
        <v>8.2899999999999991</v>
      </c>
      <c r="X374" s="56">
        <v>11.98</v>
      </c>
      <c r="Y374" s="56">
        <v>3.59</v>
      </c>
      <c r="Z374" s="56">
        <v>0.1</v>
      </c>
      <c r="AA374" s="56" t="s">
        <v>1897</v>
      </c>
      <c r="AB374" s="56">
        <v>14124144</v>
      </c>
      <c r="AC374" s="56" t="s">
        <v>1897</v>
      </c>
      <c r="AD374" s="56">
        <v>14124144</v>
      </c>
      <c r="AE374" s="56" t="s">
        <v>2626</v>
      </c>
      <c r="AF374" s="56" t="s">
        <v>2627</v>
      </c>
      <c r="AG374" s="56" t="s">
        <v>2627</v>
      </c>
      <c r="AH374" s="56">
        <v>36</v>
      </c>
      <c r="AI374" s="56" t="s">
        <v>2628</v>
      </c>
      <c r="AJ374" s="56" t="s">
        <v>2640</v>
      </c>
      <c r="AK374" s="56">
        <v>730</v>
      </c>
      <c r="AL374" s="56" t="s">
        <v>2630</v>
      </c>
      <c r="AM374" s="56" t="s">
        <v>2631</v>
      </c>
      <c r="AN374" s="56" t="s">
        <v>2632</v>
      </c>
      <c r="AO374" s="56" t="s">
        <v>2627</v>
      </c>
      <c r="AP374" s="56" t="s">
        <v>2624</v>
      </c>
      <c r="AQ374" s="123">
        <v>8.3333333333333037E-3</v>
      </c>
      <c r="AR374" s="122">
        <v>5.4629629629630028E-3</v>
      </c>
      <c r="AS374" s="56" t="s">
        <v>1048</v>
      </c>
      <c r="AT374" s="56" t="s">
        <v>1059</v>
      </c>
      <c r="AU374" s="56" t="s">
        <v>1060</v>
      </c>
      <c r="AV374" s="56">
        <v>36</v>
      </c>
      <c r="AW374" s="56" t="s">
        <v>1051</v>
      </c>
      <c r="AX374" s="56" t="s">
        <v>2689</v>
      </c>
      <c r="AY374" s="56" t="s">
        <v>1061</v>
      </c>
      <c r="AZ374" s="56" t="s">
        <v>1062</v>
      </c>
      <c r="BA374" s="56" t="s">
        <v>2690</v>
      </c>
      <c r="BB374" s="56" t="s">
        <v>2691</v>
      </c>
      <c r="BC374" s="56" t="s">
        <v>1157</v>
      </c>
      <c r="BD374" s="56" t="s">
        <v>2892</v>
      </c>
    </row>
    <row r="375" spans="1:56" x14ac:dyDescent="0.2">
      <c r="A375" s="56">
        <v>176715712</v>
      </c>
      <c r="B375" s="56" t="s">
        <v>3407</v>
      </c>
      <c r="C375" s="56" t="s">
        <v>2623</v>
      </c>
      <c r="D375" s="56" t="s">
        <v>2799</v>
      </c>
      <c r="E375" s="56" t="s">
        <v>1044</v>
      </c>
      <c r="F375" s="56">
        <v>104</v>
      </c>
      <c r="G375" s="56"/>
      <c r="H375" s="56">
        <v>5474</v>
      </c>
      <c r="I375" s="56">
        <v>6</v>
      </c>
      <c r="J375" s="56" t="s">
        <v>1045</v>
      </c>
      <c r="K375" s="56" t="s">
        <v>1296</v>
      </c>
      <c r="L375" s="121">
        <v>46269</v>
      </c>
      <c r="M375" s="122">
        <v>0.8979166666666667</v>
      </c>
      <c r="N375" s="122">
        <v>0.90208333333333335</v>
      </c>
      <c r="O375" s="56" t="s">
        <v>1047</v>
      </c>
      <c r="P375" s="121">
        <v>46269</v>
      </c>
      <c r="Q375" s="122">
        <v>0.93402777777777779</v>
      </c>
      <c r="R375" s="122">
        <v>0.91993055555555558</v>
      </c>
      <c r="S375" s="56" t="s">
        <v>1047</v>
      </c>
      <c r="T375" s="56">
        <v>1</v>
      </c>
      <c r="U375" s="56">
        <v>26</v>
      </c>
      <c r="V375" s="56">
        <v>18.71</v>
      </c>
      <c r="W375" s="56">
        <v>19.25</v>
      </c>
      <c r="X375" s="56">
        <v>28.82</v>
      </c>
      <c r="Y375" s="56">
        <v>8</v>
      </c>
      <c r="Z375" s="56">
        <v>1.57</v>
      </c>
      <c r="AA375" s="56" t="s">
        <v>2400</v>
      </c>
      <c r="AB375" s="56">
        <v>14124263</v>
      </c>
      <c r="AC375" s="56" t="s">
        <v>2400</v>
      </c>
      <c r="AD375" s="56">
        <v>14124263</v>
      </c>
      <c r="AE375" s="56" t="s">
        <v>2626</v>
      </c>
      <c r="AF375" s="56" t="s">
        <v>2627</v>
      </c>
      <c r="AG375" s="56" t="s">
        <v>2627</v>
      </c>
      <c r="AH375" s="56">
        <v>36</v>
      </c>
      <c r="AI375" s="56" t="s">
        <v>2628</v>
      </c>
      <c r="AJ375" s="56" t="s">
        <v>2629</v>
      </c>
      <c r="AK375" s="56">
        <v>0</v>
      </c>
      <c r="AL375" s="56" t="s">
        <v>2630</v>
      </c>
      <c r="AM375" s="56" t="s">
        <v>2631</v>
      </c>
      <c r="AN375" s="56" t="s">
        <v>2632</v>
      </c>
      <c r="AO375" s="56" t="s">
        <v>2627</v>
      </c>
      <c r="AP375" s="56" t="s">
        <v>2624</v>
      </c>
      <c r="AQ375" s="123">
        <v>4.1666666666666519E-3</v>
      </c>
      <c r="AR375" s="122">
        <v>-1.4097222222222205E-2</v>
      </c>
      <c r="AS375" s="56" t="s">
        <v>1048</v>
      </c>
      <c r="AT375" s="56" t="s">
        <v>1049</v>
      </c>
      <c r="AU375" s="56" t="s">
        <v>1050</v>
      </c>
      <c r="AV375" s="56">
        <v>36</v>
      </c>
      <c r="AW375" s="56" t="s">
        <v>1051</v>
      </c>
      <c r="AX375" s="56" t="s">
        <v>2800</v>
      </c>
      <c r="AY375" s="56" t="s">
        <v>1297</v>
      </c>
      <c r="AZ375" s="56" t="s">
        <v>1067</v>
      </c>
      <c r="BA375" s="56" t="s">
        <v>2801</v>
      </c>
      <c r="BB375" s="56" t="s">
        <v>2802</v>
      </c>
      <c r="BC375" s="56" t="s">
        <v>1157</v>
      </c>
      <c r="BD375" s="56" t="s">
        <v>3408</v>
      </c>
    </row>
    <row r="376" spans="1:56" x14ac:dyDescent="0.2">
      <c r="A376" s="56">
        <v>176715674</v>
      </c>
      <c r="B376" s="56" t="s">
        <v>3409</v>
      </c>
      <c r="C376" s="56" t="s">
        <v>2623</v>
      </c>
      <c r="D376" s="56" t="s">
        <v>2805</v>
      </c>
      <c r="E376" s="56" t="s">
        <v>1044</v>
      </c>
      <c r="F376" s="56">
        <v>121</v>
      </c>
      <c r="G376" s="56"/>
      <c r="H376" s="56">
        <v>16768</v>
      </c>
      <c r="I376" s="56">
        <v>6</v>
      </c>
      <c r="J376" s="56" t="s">
        <v>1045</v>
      </c>
      <c r="K376" s="56" t="s">
        <v>1079</v>
      </c>
      <c r="L376" s="121">
        <v>46269</v>
      </c>
      <c r="M376" s="122">
        <v>0.90277777777777779</v>
      </c>
      <c r="N376" s="122">
        <v>0.90763888888888888</v>
      </c>
      <c r="O376" s="56" t="s">
        <v>1047</v>
      </c>
      <c r="P376" s="121">
        <v>46269</v>
      </c>
      <c r="Q376" s="122">
        <v>0.93402777777777779</v>
      </c>
      <c r="R376" s="122">
        <v>0.93001157407407409</v>
      </c>
      <c r="S376" s="56" t="s">
        <v>1047</v>
      </c>
      <c r="T376" s="56">
        <v>1</v>
      </c>
      <c r="U376" s="56">
        <v>19</v>
      </c>
      <c r="V376" s="56">
        <v>18.47</v>
      </c>
      <c r="W376" s="56">
        <v>18.829999999999998</v>
      </c>
      <c r="X376" s="56">
        <v>19.3</v>
      </c>
      <c r="Y376" s="56">
        <v>0.41</v>
      </c>
      <c r="Z376" s="56">
        <v>0.06</v>
      </c>
      <c r="AA376" s="56" t="s">
        <v>15</v>
      </c>
      <c r="AB376" s="56">
        <v>14100729</v>
      </c>
      <c r="AC376" s="56" t="s">
        <v>15</v>
      </c>
      <c r="AD376" s="56">
        <v>14100729</v>
      </c>
      <c r="AE376" s="56" t="s">
        <v>2626</v>
      </c>
      <c r="AF376" s="56" t="s">
        <v>2627</v>
      </c>
      <c r="AG376" s="56" t="s">
        <v>2627</v>
      </c>
      <c r="AH376" s="56">
        <v>36</v>
      </c>
      <c r="AI376" s="56" t="s">
        <v>2628</v>
      </c>
      <c r="AJ376" s="56" t="s">
        <v>2629</v>
      </c>
      <c r="AK376" s="56">
        <v>0</v>
      </c>
      <c r="AL376" s="56" t="s">
        <v>2630</v>
      </c>
      <c r="AM376" s="56" t="s">
        <v>2631</v>
      </c>
      <c r="AN376" s="56" t="s">
        <v>2632</v>
      </c>
      <c r="AO376" s="56" t="s">
        <v>2627</v>
      </c>
      <c r="AP376" s="56">
        <v>34</v>
      </c>
      <c r="AQ376" s="123">
        <v>4.8611111111110938E-3</v>
      </c>
      <c r="AR376" s="122">
        <v>-4.0162037037037024E-3</v>
      </c>
      <c r="AS376" s="56" t="s">
        <v>1048</v>
      </c>
      <c r="AT376" s="56" t="s">
        <v>1049</v>
      </c>
      <c r="AU376" s="56" t="s">
        <v>1050</v>
      </c>
      <c r="AV376" s="56">
        <v>36</v>
      </c>
      <c r="AW376" s="56" t="s">
        <v>1051</v>
      </c>
      <c r="AX376" s="56" t="s">
        <v>2806</v>
      </c>
      <c r="AY376" s="56" t="s">
        <v>1081</v>
      </c>
      <c r="AZ376" s="56" t="s">
        <v>1067</v>
      </c>
      <c r="BA376" s="56" t="s">
        <v>2807</v>
      </c>
      <c r="BB376" s="56" t="s">
        <v>2808</v>
      </c>
      <c r="BC376" s="56" t="s">
        <v>1157</v>
      </c>
      <c r="BD376" s="56" t="s">
        <v>3410</v>
      </c>
    </row>
    <row r="377" spans="1:56" x14ac:dyDescent="0.2">
      <c r="A377" s="56">
        <v>176718666</v>
      </c>
      <c r="B377" s="56" t="s">
        <v>3411</v>
      </c>
      <c r="C377" s="56" t="s">
        <v>2623</v>
      </c>
      <c r="D377" s="56" t="s">
        <v>2281</v>
      </c>
      <c r="E377" s="56" t="s">
        <v>1044</v>
      </c>
      <c r="F377" s="56">
        <v>3</v>
      </c>
      <c r="G377" s="56"/>
      <c r="H377" s="56">
        <v>15763</v>
      </c>
      <c r="I377" s="56">
        <v>6</v>
      </c>
      <c r="J377" s="56" t="s">
        <v>1045</v>
      </c>
      <c r="K377" s="56" t="s">
        <v>1058</v>
      </c>
      <c r="L377" s="121">
        <v>46269</v>
      </c>
      <c r="M377" s="122">
        <v>0.90277777777777779</v>
      </c>
      <c r="N377" s="122">
        <v>0.91111111111111109</v>
      </c>
      <c r="O377" s="56" t="s">
        <v>1047</v>
      </c>
      <c r="P377" s="121">
        <v>46269</v>
      </c>
      <c r="Q377" s="122">
        <v>0.91666666666666663</v>
      </c>
      <c r="R377" s="122">
        <v>0.92155092592592591</v>
      </c>
      <c r="S377" s="56" t="s">
        <v>1047</v>
      </c>
      <c r="T377" s="56">
        <v>1</v>
      </c>
      <c r="U377" s="56">
        <v>8</v>
      </c>
      <c r="V377" s="56">
        <v>4.57</v>
      </c>
      <c r="W377" s="56">
        <v>4.6900000000000004</v>
      </c>
      <c r="X377" s="56">
        <v>6.06</v>
      </c>
      <c r="Y377" s="56">
        <v>1.3</v>
      </c>
      <c r="Z377" s="56">
        <v>7.0000000000000007E-2</v>
      </c>
      <c r="AA377" s="56" t="s">
        <v>1673</v>
      </c>
      <c r="AB377" s="56">
        <v>14112757</v>
      </c>
      <c r="AC377" s="56" t="s">
        <v>1673</v>
      </c>
      <c r="AD377" s="56">
        <v>14112757</v>
      </c>
      <c r="AE377" s="56" t="s">
        <v>2626</v>
      </c>
      <c r="AF377" s="56" t="s">
        <v>2627</v>
      </c>
      <c r="AG377" s="56" t="s">
        <v>2627</v>
      </c>
      <c r="AH377" s="56">
        <v>36</v>
      </c>
      <c r="AI377" s="56" t="s">
        <v>2628</v>
      </c>
      <c r="AJ377" s="56" t="s">
        <v>2640</v>
      </c>
      <c r="AK377" s="56">
        <v>723</v>
      </c>
      <c r="AL377" s="56" t="s">
        <v>2630</v>
      </c>
      <c r="AM377" s="56" t="s">
        <v>2631</v>
      </c>
      <c r="AN377" s="56" t="s">
        <v>2632</v>
      </c>
      <c r="AO377" s="56" t="s">
        <v>2627</v>
      </c>
      <c r="AP377" s="56" t="s">
        <v>2624</v>
      </c>
      <c r="AQ377" s="123">
        <v>8.3333333333333037E-3</v>
      </c>
      <c r="AR377" s="122">
        <v>4.8842592592592826E-3</v>
      </c>
      <c r="AS377" s="56" t="s">
        <v>1048</v>
      </c>
      <c r="AT377" s="56" t="s">
        <v>1059</v>
      </c>
      <c r="AU377" s="56" t="s">
        <v>1060</v>
      </c>
      <c r="AV377" s="56">
        <v>36</v>
      </c>
      <c r="AW377" s="56" t="s">
        <v>1051</v>
      </c>
      <c r="AX377" s="56" t="s">
        <v>2282</v>
      </c>
      <c r="AY377" s="56" t="s">
        <v>1061</v>
      </c>
      <c r="AZ377" s="56" t="s">
        <v>1062</v>
      </c>
      <c r="BA377" s="56" t="s">
        <v>2283</v>
      </c>
      <c r="BB377" s="56" t="s">
        <v>2284</v>
      </c>
      <c r="BC377" s="56" t="s">
        <v>1157</v>
      </c>
      <c r="BD377" s="56" t="s">
        <v>3412</v>
      </c>
    </row>
    <row r="378" spans="1:56" x14ac:dyDescent="0.2">
      <c r="A378" s="56">
        <v>176725762</v>
      </c>
      <c r="B378" s="56" t="s">
        <v>2900</v>
      </c>
      <c r="C378" s="56" t="s">
        <v>2623</v>
      </c>
      <c r="D378" s="56" t="s">
        <v>2281</v>
      </c>
      <c r="E378" s="56" t="s">
        <v>1044</v>
      </c>
      <c r="F378" s="56">
        <v>112</v>
      </c>
      <c r="G378" s="56" t="s">
        <v>2693</v>
      </c>
      <c r="H378" s="56">
        <v>13374</v>
      </c>
      <c r="I378" s="56">
        <v>6</v>
      </c>
      <c r="J378" s="56" t="s">
        <v>1045</v>
      </c>
      <c r="K378" s="56" t="s">
        <v>1116</v>
      </c>
      <c r="L378" s="121">
        <v>46269</v>
      </c>
      <c r="M378" s="122">
        <v>0.90277777777777779</v>
      </c>
      <c r="N378" s="122">
        <v>0.91249999999999998</v>
      </c>
      <c r="O378" s="56" t="s">
        <v>1047</v>
      </c>
      <c r="P378" s="121">
        <v>46269</v>
      </c>
      <c r="Q378" s="122">
        <v>0.92708333333333337</v>
      </c>
      <c r="R378" s="122">
        <v>0.93194444444444446</v>
      </c>
      <c r="S378" s="56" t="s">
        <v>1047</v>
      </c>
      <c r="T378" s="56">
        <v>1</v>
      </c>
      <c r="U378" s="56">
        <v>17</v>
      </c>
      <c r="V378" s="56">
        <v>11.49</v>
      </c>
      <c r="W378" s="56">
        <v>10.97</v>
      </c>
      <c r="X378" s="56">
        <v>15.38</v>
      </c>
      <c r="Y378" s="56">
        <v>2.0699999999999998</v>
      </c>
      <c r="Z378" s="56">
        <v>2.34</v>
      </c>
      <c r="AA378" s="56" t="s">
        <v>247</v>
      </c>
      <c r="AB378" s="56">
        <v>14119437</v>
      </c>
      <c r="AC378" s="56" t="s">
        <v>247</v>
      </c>
      <c r="AD378" s="56">
        <v>14119437</v>
      </c>
      <c r="AE378" s="56" t="s">
        <v>2626</v>
      </c>
      <c r="AF378" s="56" t="s">
        <v>2627</v>
      </c>
      <c r="AG378" s="56" t="s">
        <v>2627</v>
      </c>
      <c r="AH378" s="56">
        <v>36</v>
      </c>
      <c r="AI378" s="56" t="s">
        <v>2628</v>
      </c>
      <c r="AJ378" s="56" t="s">
        <v>2640</v>
      </c>
      <c r="AK378" s="56">
        <v>0</v>
      </c>
      <c r="AL378" s="56" t="s">
        <v>2630</v>
      </c>
      <c r="AM378" s="56" t="s">
        <v>2631</v>
      </c>
      <c r="AN378" s="56" t="s">
        <v>2632</v>
      </c>
      <c r="AO378" s="56" t="s">
        <v>2627</v>
      </c>
      <c r="AP378" s="56" t="s">
        <v>2624</v>
      </c>
      <c r="AQ378" s="123">
        <v>9.7222222222221877E-3</v>
      </c>
      <c r="AR378" s="122">
        <v>4.8611111111110938E-3</v>
      </c>
      <c r="AS378" s="56" t="s">
        <v>1048</v>
      </c>
      <c r="AT378" s="56" t="s">
        <v>1059</v>
      </c>
      <c r="AU378" s="56" t="s">
        <v>1060</v>
      </c>
      <c r="AV378" s="56">
        <v>36</v>
      </c>
      <c r="AW378" s="56" t="s">
        <v>1051</v>
      </c>
      <c r="AX378" s="56" t="s">
        <v>2825</v>
      </c>
      <c r="AY378" s="56" t="s">
        <v>1128</v>
      </c>
      <c r="AZ378" s="56" t="s">
        <v>1054</v>
      </c>
      <c r="BA378" s="56" t="s">
        <v>2826</v>
      </c>
      <c r="BB378" s="56" t="s">
        <v>2827</v>
      </c>
      <c r="BC378" s="56" t="s">
        <v>1157</v>
      </c>
      <c r="BD378" s="56" t="s">
        <v>2901</v>
      </c>
    </row>
    <row r="379" spans="1:56" x14ac:dyDescent="0.2">
      <c r="A379" s="56">
        <v>176779244</v>
      </c>
      <c r="B379" s="56"/>
      <c r="C379" s="56" t="s">
        <v>2623</v>
      </c>
      <c r="D379" s="56" t="s">
        <v>3413</v>
      </c>
      <c r="E379" s="56" t="s">
        <v>1044</v>
      </c>
      <c r="F379" s="56">
        <v>8</v>
      </c>
      <c r="G379" s="56"/>
      <c r="H379" s="56">
        <v>6660</v>
      </c>
      <c r="I379" s="56">
        <v>8</v>
      </c>
      <c r="J379" s="56" t="s">
        <v>1045</v>
      </c>
      <c r="K379" s="56" t="s">
        <v>2048</v>
      </c>
      <c r="L379" s="121">
        <v>46269</v>
      </c>
      <c r="M379" s="122">
        <v>0.90625</v>
      </c>
      <c r="N379" s="122">
        <v>0.95694444444444449</v>
      </c>
      <c r="O379" s="56" t="s">
        <v>1047</v>
      </c>
      <c r="P379" s="121">
        <v>46269</v>
      </c>
      <c r="Q379" s="122">
        <v>0.94791666666666663</v>
      </c>
      <c r="R379" s="56"/>
      <c r="S379" s="56" t="s">
        <v>1148</v>
      </c>
      <c r="T379" s="56">
        <v>0</v>
      </c>
      <c r="U379" s="56">
        <v>34</v>
      </c>
      <c r="V379" s="56">
        <v>30.42</v>
      </c>
      <c r="W379" s="56" t="s">
        <v>2624</v>
      </c>
      <c r="X379" s="56">
        <v>20.94</v>
      </c>
      <c r="Y379" s="56" t="s">
        <v>2624</v>
      </c>
      <c r="Z379" s="56">
        <v>40.880000000000003</v>
      </c>
      <c r="AA379" s="56" t="s">
        <v>192</v>
      </c>
      <c r="AB379" s="56">
        <v>14118186</v>
      </c>
      <c r="AC379" s="56" t="s">
        <v>192</v>
      </c>
      <c r="AD379" s="56">
        <v>14118186</v>
      </c>
      <c r="AE379" s="56" t="s">
        <v>3414</v>
      </c>
      <c r="AF379" s="124">
        <v>46269.849733796298</v>
      </c>
      <c r="AG379" s="56" t="s">
        <v>3096</v>
      </c>
      <c r="AH379" s="56">
        <v>36</v>
      </c>
      <c r="AI379" s="56" t="s">
        <v>2706</v>
      </c>
      <c r="AJ379" s="56" t="s">
        <v>2640</v>
      </c>
      <c r="AK379" s="56">
        <v>0</v>
      </c>
      <c r="AL379" s="56" t="s">
        <v>2630</v>
      </c>
      <c r="AM379" s="56" t="s">
        <v>2632</v>
      </c>
      <c r="AN379" s="56" t="s">
        <v>2632</v>
      </c>
      <c r="AO379" s="124">
        <v>46269.849733796298</v>
      </c>
      <c r="AP379" s="56" t="s">
        <v>2624</v>
      </c>
      <c r="AQ379" s="123">
        <v>5.0694444444444486E-2</v>
      </c>
      <c r="AR379" s="122">
        <v>-0.94791666666666663</v>
      </c>
      <c r="AS379" s="56" t="s">
        <v>1048</v>
      </c>
      <c r="AT379" s="56" t="s">
        <v>1049</v>
      </c>
      <c r="AU379" s="56" t="s">
        <v>1050</v>
      </c>
      <c r="AV379" s="56">
        <v>36</v>
      </c>
      <c r="AW379" s="56" t="s">
        <v>1051</v>
      </c>
      <c r="AX379" s="56" t="s">
        <v>3415</v>
      </c>
      <c r="AY379" s="56" t="s">
        <v>1124</v>
      </c>
      <c r="AZ379" s="56" t="s">
        <v>1054</v>
      </c>
      <c r="BA379" s="56" t="s">
        <v>3416</v>
      </c>
      <c r="BB379" s="56" t="e">
        <v>#N/A</v>
      </c>
      <c r="BC379" s="56" t="s">
        <v>1609</v>
      </c>
      <c r="BD379" s="56" t="s">
        <v>3417</v>
      </c>
    </row>
    <row r="380" spans="1:56" x14ac:dyDescent="0.2">
      <c r="A380" s="56">
        <v>176779245</v>
      </c>
      <c r="B380" s="56"/>
      <c r="C380" s="56" t="s">
        <v>2623</v>
      </c>
      <c r="D380" s="56" t="s">
        <v>3418</v>
      </c>
      <c r="E380" s="56" t="s">
        <v>1044</v>
      </c>
      <c r="F380" s="56">
        <v>7</v>
      </c>
      <c r="G380" s="56"/>
      <c r="H380" s="56">
        <v>11826</v>
      </c>
      <c r="I380" s="56">
        <v>7</v>
      </c>
      <c r="J380" s="56" t="s">
        <v>1045</v>
      </c>
      <c r="K380" s="56" t="s">
        <v>2048</v>
      </c>
      <c r="L380" s="121">
        <v>46269</v>
      </c>
      <c r="M380" s="122">
        <v>0.90625</v>
      </c>
      <c r="N380" s="122">
        <v>0.93611111111111112</v>
      </c>
      <c r="O380" s="56" t="s">
        <v>1047</v>
      </c>
      <c r="P380" s="121">
        <v>46269</v>
      </c>
      <c r="Q380" s="122">
        <v>0.94791666666666663</v>
      </c>
      <c r="R380" s="56"/>
      <c r="S380" s="56" t="s">
        <v>1148</v>
      </c>
      <c r="T380" s="56">
        <v>0</v>
      </c>
      <c r="U380" s="56">
        <v>17</v>
      </c>
      <c r="V380" s="56">
        <v>13.85</v>
      </c>
      <c r="W380" s="56">
        <v>10.66</v>
      </c>
      <c r="X380" s="56">
        <v>27.66</v>
      </c>
      <c r="Y380" s="56">
        <v>8.91</v>
      </c>
      <c r="Z380" s="56">
        <v>8.09</v>
      </c>
      <c r="AA380" s="56" t="s">
        <v>149</v>
      </c>
      <c r="AB380" s="56">
        <v>14115830</v>
      </c>
      <c r="AC380" s="56" t="s">
        <v>149</v>
      </c>
      <c r="AD380" s="56">
        <v>14115830</v>
      </c>
      <c r="AE380" s="56" t="s">
        <v>3414</v>
      </c>
      <c r="AF380" s="124">
        <v>46269.849872685183</v>
      </c>
      <c r="AG380" s="56" t="s">
        <v>3096</v>
      </c>
      <c r="AH380" s="56">
        <v>36</v>
      </c>
      <c r="AI380" s="56" t="s">
        <v>2706</v>
      </c>
      <c r="AJ380" s="56" t="s">
        <v>2640</v>
      </c>
      <c r="AK380" s="56">
        <v>0</v>
      </c>
      <c r="AL380" s="56" t="s">
        <v>2630</v>
      </c>
      <c r="AM380" s="56" t="s">
        <v>2632</v>
      </c>
      <c r="AN380" s="56" t="s">
        <v>2632</v>
      </c>
      <c r="AO380" s="124">
        <v>46269.849872685183</v>
      </c>
      <c r="AP380" s="56" t="s">
        <v>2624</v>
      </c>
      <c r="AQ380" s="123">
        <v>2.9861111111111116E-2</v>
      </c>
      <c r="AR380" s="122">
        <v>-0.94791666666666663</v>
      </c>
      <c r="AS380" s="56" t="s">
        <v>1048</v>
      </c>
      <c r="AT380" s="56" t="s">
        <v>1049</v>
      </c>
      <c r="AU380" s="56" t="s">
        <v>1050</v>
      </c>
      <c r="AV380" s="56">
        <v>36</v>
      </c>
      <c r="AW380" s="56" t="s">
        <v>1051</v>
      </c>
      <c r="AX380" s="56" t="s">
        <v>3419</v>
      </c>
      <c r="AY380" s="56" t="s">
        <v>1124</v>
      </c>
      <c r="AZ380" s="56" t="s">
        <v>1054</v>
      </c>
      <c r="BA380" s="56" t="s">
        <v>3420</v>
      </c>
      <c r="BB380" s="56" t="e">
        <v>#N/A</v>
      </c>
      <c r="BC380" s="56" t="s">
        <v>1609</v>
      </c>
      <c r="BD380" s="56" t="s">
        <v>3421</v>
      </c>
    </row>
    <row r="381" spans="1:56" x14ac:dyDescent="0.2">
      <c r="A381" s="56">
        <v>176729302</v>
      </c>
      <c r="B381" s="56" t="s">
        <v>1726</v>
      </c>
      <c r="C381" s="56" t="s">
        <v>2623</v>
      </c>
      <c r="D381" s="56" t="s">
        <v>1244</v>
      </c>
      <c r="E381" s="56" t="s">
        <v>1044</v>
      </c>
      <c r="F381" s="56">
        <v>267</v>
      </c>
      <c r="G381" s="56"/>
      <c r="H381" s="56">
        <v>17096</v>
      </c>
      <c r="I381" s="56">
        <v>7</v>
      </c>
      <c r="J381" s="56" t="s">
        <v>1045</v>
      </c>
      <c r="K381" s="56" t="s">
        <v>1116</v>
      </c>
      <c r="L381" s="121">
        <v>46269</v>
      </c>
      <c r="M381" s="122">
        <v>0.95138888888888884</v>
      </c>
      <c r="N381" s="122">
        <v>0.95763888888888893</v>
      </c>
      <c r="O381" s="56" t="s">
        <v>1047</v>
      </c>
      <c r="P381" s="121">
        <v>46269</v>
      </c>
      <c r="Q381" s="122">
        <v>0.95833333333333337</v>
      </c>
      <c r="R381" s="122">
        <v>0.95689814814814811</v>
      </c>
      <c r="S381" s="56" t="s">
        <v>1047</v>
      </c>
      <c r="T381" s="56">
        <v>0</v>
      </c>
      <c r="U381" s="56">
        <v>2</v>
      </c>
      <c r="V381" s="56">
        <v>0.41</v>
      </c>
      <c r="W381" s="56">
        <v>4.3899999999999997</v>
      </c>
      <c r="X381" s="56">
        <v>9.81</v>
      </c>
      <c r="Y381" s="56">
        <v>1.71</v>
      </c>
      <c r="Z381" s="56">
        <v>3.71</v>
      </c>
      <c r="AA381" s="56" t="s">
        <v>385</v>
      </c>
      <c r="AB381" s="56">
        <v>14122083</v>
      </c>
      <c r="AC381" s="56" t="s">
        <v>385</v>
      </c>
      <c r="AD381" s="56">
        <v>14122083</v>
      </c>
      <c r="AE381" s="56" t="s">
        <v>2626</v>
      </c>
      <c r="AF381" s="56" t="s">
        <v>2627</v>
      </c>
      <c r="AG381" s="56" t="s">
        <v>2627</v>
      </c>
      <c r="AH381" s="56">
        <v>36</v>
      </c>
      <c r="AI381" s="56" t="s">
        <v>2628</v>
      </c>
      <c r="AJ381" s="56" t="s">
        <v>2629</v>
      </c>
      <c r="AK381" s="56">
        <v>0</v>
      </c>
      <c r="AL381" s="56" t="s">
        <v>2630</v>
      </c>
      <c r="AM381" s="56" t="s">
        <v>2631</v>
      </c>
      <c r="AN381" s="56" t="s">
        <v>2632</v>
      </c>
      <c r="AO381" s="56" t="s">
        <v>2627</v>
      </c>
      <c r="AP381" s="56">
        <v>27</v>
      </c>
      <c r="AQ381" s="123">
        <v>6.2500000000000888E-3</v>
      </c>
      <c r="AR381" s="122">
        <v>-1.4351851851852615E-3</v>
      </c>
      <c r="AS381" s="56" t="s">
        <v>1048</v>
      </c>
      <c r="AT381" s="56" t="s">
        <v>1049</v>
      </c>
      <c r="AU381" s="56" t="s">
        <v>1050</v>
      </c>
      <c r="AV381" s="56">
        <v>36</v>
      </c>
      <c r="AW381" s="56" t="s">
        <v>1051</v>
      </c>
      <c r="AX381" s="56" t="s">
        <v>1245</v>
      </c>
      <c r="AY381" s="56" t="s">
        <v>1246</v>
      </c>
      <c r="AZ381" s="56" t="s">
        <v>1054</v>
      </c>
      <c r="BA381" s="56" t="s">
        <v>1247</v>
      </c>
      <c r="BB381" s="56" t="e">
        <v>#N/A</v>
      </c>
      <c r="BC381" s="56" t="s">
        <v>1157</v>
      </c>
      <c r="BD381" s="56" t="s">
        <v>1727</v>
      </c>
    </row>
    <row r="382" spans="1:56" x14ac:dyDescent="0.2">
      <c r="A382" s="56">
        <v>176674485</v>
      </c>
      <c r="B382" s="56" t="s">
        <v>3422</v>
      </c>
      <c r="C382" s="56" t="s">
        <v>2623</v>
      </c>
      <c r="D382" s="56" t="s">
        <v>1217</v>
      </c>
      <c r="E382" s="56" t="s">
        <v>1044</v>
      </c>
      <c r="F382" s="56">
        <v>25</v>
      </c>
      <c r="G382" s="56"/>
      <c r="H382" s="56">
        <v>6884</v>
      </c>
      <c r="I382" s="56">
        <v>6</v>
      </c>
      <c r="J382" s="56" t="s">
        <v>1045</v>
      </c>
      <c r="K382" s="56" t="s">
        <v>1406</v>
      </c>
      <c r="L382" s="121">
        <v>46268</v>
      </c>
      <c r="M382" s="122">
        <v>0.18055555555555555</v>
      </c>
      <c r="N382" s="122">
        <v>0.18402777777777779</v>
      </c>
      <c r="O382" s="56" t="s">
        <v>1047</v>
      </c>
      <c r="P382" s="121">
        <v>46268</v>
      </c>
      <c r="Q382" s="122">
        <v>0.23958333333333334</v>
      </c>
      <c r="R382" s="122">
        <v>0.23680555555555555</v>
      </c>
      <c r="S382" s="56" t="s">
        <v>1047</v>
      </c>
      <c r="T382" s="56">
        <v>1</v>
      </c>
      <c r="U382" s="56">
        <v>39</v>
      </c>
      <c r="V382" s="56">
        <v>124.8</v>
      </c>
      <c r="W382" s="56">
        <v>35.97</v>
      </c>
      <c r="X382" s="56" t="s">
        <v>2624</v>
      </c>
      <c r="Y382" s="56" t="s">
        <v>2624</v>
      </c>
      <c r="Z382" s="56" t="s">
        <v>2624</v>
      </c>
      <c r="AA382" s="56" t="s">
        <v>100</v>
      </c>
      <c r="AB382" s="56">
        <v>14110040</v>
      </c>
      <c r="AC382" s="56" t="s">
        <v>100</v>
      </c>
      <c r="AD382" s="56">
        <v>14110040</v>
      </c>
      <c r="AE382" s="56" t="s">
        <v>2626</v>
      </c>
      <c r="AF382" s="56" t="s">
        <v>2627</v>
      </c>
      <c r="AG382" s="56" t="s">
        <v>2627</v>
      </c>
      <c r="AH382" s="56">
        <v>36</v>
      </c>
      <c r="AI382" s="56" t="s">
        <v>2628</v>
      </c>
      <c r="AJ382" s="56" t="s">
        <v>2629</v>
      </c>
      <c r="AK382" s="56">
        <v>0</v>
      </c>
      <c r="AL382" s="56" t="s">
        <v>2630</v>
      </c>
      <c r="AM382" s="56" t="s">
        <v>2631</v>
      </c>
      <c r="AN382" s="56" t="s">
        <v>2632</v>
      </c>
      <c r="AO382" s="56" t="s">
        <v>2627</v>
      </c>
      <c r="AP382" s="56" t="s">
        <v>2624</v>
      </c>
      <c r="AQ382" s="123">
        <v>3.4722222222222376E-3</v>
      </c>
      <c r="AR382" s="122">
        <v>-2.7777777777777957E-3</v>
      </c>
      <c r="AS382" s="56" t="s">
        <v>1048</v>
      </c>
      <c r="AT382" s="56" t="s">
        <v>1049</v>
      </c>
      <c r="AU382" s="56" t="s">
        <v>1050</v>
      </c>
      <c r="AV382" s="56">
        <v>36</v>
      </c>
      <c r="AW382" s="56" t="s">
        <v>1051</v>
      </c>
      <c r="AX382" s="56" t="s">
        <v>3423</v>
      </c>
      <c r="AY382" s="56" t="s">
        <v>1259</v>
      </c>
      <c r="AZ382" s="56" t="s">
        <v>1062</v>
      </c>
      <c r="BA382" s="56" t="s">
        <v>3424</v>
      </c>
      <c r="BB382" s="56" t="s">
        <v>3425</v>
      </c>
      <c r="BC382" s="56" t="s">
        <v>1057</v>
      </c>
      <c r="BD382" s="56" t="s">
        <v>3426</v>
      </c>
    </row>
    <row r="383" spans="1:56" x14ac:dyDescent="0.2">
      <c r="A383" s="56">
        <v>176672761</v>
      </c>
      <c r="B383" s="56" t="s">
        <v>1185</v>
      </c>
      <c r="C383" s="56" t="s">
        <v>2623</v>
      </c>
      <c r="D383" s="56" t="s">
        <v>1186</v>
      </c>
      <c r="E383" s="56" t="s">
        <v>1044</v>
      </c>
      <c r="F383" s="56">
        <v>101</v>
      </c>
      <c r="G383" s="56"/>
      <c r="H383" s="56">
        <v>10747</v>
      </c>
      <c r="I383" s="56">
        <v>6</v>
      </c>
      <c r="J383" s="56" t="s">
        <v>1045</v>
      </c>
      <c r="K383" s="56" t="s">
        <v>1079</v>
      </c>
      <c r="L383" s="121">
        <v>46268</v>
      </c>
      <c r="M383" s="122">
        <v>0.2013888888888889</v>
      </c>
      <c r="N383" s="122">
        <v>0.20972222222222223</v>
      </c>
      <c r="O383" s="56" t="s">
        <v>1047</v>
      </c>
      <c r="P383" s="121">
        <v>46268</v>
      </c>
      <c r="Q383" s="122">
        <v>0.2673611111111111</v>
      </c>
      <c r="R383" s="122">
        <v>0.24583333333333332</v>
      </c>
      <c r="S383" s="56" t="s">
        <v>1047</v>
      </c>
      <c r="T383" s="56">
        <v>1</v>
      </c>
      <c r="U383" s="56">
        <v>43</v>
      </c>
      <c r="V383" s="56">
        <v>36.64</v>
      </c>
      <c r="W383" s="56">
        <v>38.479999999999997</v>
      </c>
      <c r="X383" s="56" t="s">
        <v>2624</v>
      </c>
      <c r="Y383" s="56" t="s">
        <v>2624</v>
      </c>
      <c r="Z383" s="56" t="s">
        <v>2624</v>
      </c>
      <c r="AA383" s="56" t="s">
        <v>527</v>
      </c>
      <c r="AB383" s="56">
        <v>14123488</v>
      </c>
      <c r="AC383" s="56" t="s">
        <v>527</v>
      </c>
      <c r="AD383" s="56">
        <v>14123488</v>
      </c>
      <c r="AE383" s="56" t="s">
        <v>2626</v>
      </c>
      <c r="AF383" s="56" t="s">
        <v>2627</v>
      </c>
      <c r="AG383" s="56" t="s">
        <v>2627</v>
      </c>
      <c r="AH383" s="56">
        <v>36</v>
      </c>
      <c r="AI383" s="56" t="s">
        <v>2628</v>
      </c>
      <c r="AJ383" s="56" t="s">
        <v>2629</v>
      </c>
      <c r="AK383" s="56">
        <v>0</v>
      </c>
      <c r="AL383" s="56" t="s">
        <v>2630</v>
      </c>
      <c r="AM383" s="56" t="s">
        <v>2631</v>
      </c>
      <c r="AN383" s="56" t="s">
        <v>2632</v>
      </c>
      <c r="AO383" s="56" t="s">
        <v>2627</v>
      </c>
      <c r="AP383" s="56" t="s">
        <v>2624</v>
      </c>
      <c r="AQ383" s="123">
        <v>8.3333333333333315E-3</v>
      </c>
      <c r="AR383" s="122">
        <v>-2.1527777777777785E-2</v>
      </c>
      <c r="AS383" s="56" t="s">
        <v>1048</v>
      </c>
      <c r="AT383" s="56" t="s">
        <v>1049</v>
      </c>
      <c r="AU383" s="56" t="s">
        <v>1050</v>
      </c>
      <c r="AV383" s="56">
        <v>36</v>
      </c>
      <c r="AW383" s="56" t="s">
        <v>1051</v>
      </c>
      <c r="AX383" s="56" t="s">
        <v>1188</v>
      </c>
      <c r="AY383" s="56" t="s">
        <v>1081</v>
      </c>
      <c r="AZ383" s="56" t="s">
        <v>1067</v>
      </c>
      <c r="BA383" s="56" t="s">
        <v>1189</v>
      </c>
      <c r="BB383" s="56" t="s">
        <v>1190</v>
      </c>
      <c r="BC383" s="56" t="s">
        <v>1057</v>
      </c>
      <c r="BD383" s="56" t="s">
        <v>1191</v>
      </c>
    </row>
    <row r="384" spans="1:56" x14ac:dyDescent="0.2">
      <c r="A384" s="56">
        <v>176664145</v>
      </c>
      <c r="B384" s="56" t="s">
        <v>1752</v>
      </c>
      <c r="C384" s="56" t="s">
        <v>2623</v>
      </c>
      <c r="D384" s="56" t="s">
        <v>1547</v>
      </c>
      <c r="E384" s="56" t="s">
        <v>1044</v>
      </c>
      <c r="F384" s="56">
        <v>61</v>
      </c>
      <c r="G384" s="56"/>
      <c r="H384" s="56">
        <v>16744</v>
      </c>
      <c r="I384" s="56">
        <v>6</v>
      </c>
      <c r="J384" s="56" t="s">
        <v>1045</v>
      </c>
      <c r="K384" s="56" t="s">
        <v>1064</v>
      </c>
      <c r="L384" s="121">
        <v>46268</v>
      </c>
      <c r="M384" s="122">
        <v>0.20833333333333334</v>
      </c>
      <c r="N384" s="122">
        <v>0.21388888888888888</v>
      </c>
      <c r="O384" s="56" t="s">
        <v>1047</v>
      </c>
      <c r="P384" s="121">
        <v>46268</v>
      </c>
      <c r="Q384" s="122">
        <v>0.2673611111111111</v>
      </c>
      <c r="R384" s="122">
        <v>0.28819444444444442</v>
      </c>
      <c r="S384" s="56" t="s">
        <v>1047</v>
      </c>
      <c r="T384" s="56">
        <v>1</v>
      </c>
      <c r="U384" s="56">
        <v>46</v>
      </c>
      <c r="V384" s="56">
        <v>42.9</v>
      </c>
      <c r="W384" s="56">
        <v>45.68</v>
      </c>
      <c r="X384" s="56" t="s">
        <v>2624</v>
      </c>
      <c r="Y384" s="56" t="s">
        <v>2624</v>
      </c>
      <c r="Z384" s="56" t="s">
        <v>2624</v>
      </c>
      <c r="AA384" s="56" t="s">
        <v>270</v>
      </c>
      <c r="AB384" s="56">
        <v>14119956</v>
      </c>
      <c r="AC384" s="56" t="s">
        <v>270</v>
      </c>
      <c r="AD384" s="56">
        <v>14119956</v>
      </c>
      <c r="AE384" s="56" t="s">
        <v>2626</v>
      </c>
      <c r="AF384" s="56" t="s">
        <v>2627</v>
      </c>
      <c r="AG384" s="56" t="s">
        <v>2627</v>
      </c>
      <c r="AH384" s="56">
        <v>36</v>
      </c>
      <c r="AI384" s="56" t="s">
        <v>2628</v>
      </c>
      <c r="AJ384" s="56" t="s">
        <v>2640</v>
      </c>
      <c r="AK384" s="56">
        <v>530.63</v>
      </c>
      <c r="AL384" s="56" t="s">
        <v>2630</v>
      </c>
      <c r="AM384" s="56" t="s">
        <v>2631</v>
      </c>
      <c r="AN384" s="56" t="s">
        <v>2632</v>
      </c>
      <c r="AO384" s="56" t="s">
        <v>2627</v>
      </c>
      <c r="AP384" s="56" t="s">
        <v>2624</v>
      </c>
      <c r="AQ384" s="123">
        <v>5.5555555555555358E-3</v>
      </c>
      <c r="AR384" s="122">
        <v>2.0833333333333315E-2</v>
      </c>
      <c r="AS384" s="56" t="s">
        <v>1048</v>
      </c>
      <c r="AT384" s="56" t="s">
        <v>1059</v>
      </c>
      <c r="AU384" s="56" t="s">
        <v>1060</v>
      </c>
      <c r="AV384" s="56">
        <v>36</v>
      </c>
      <c r="AW384" s="56" t="s">
        <v>1051</v>
      </c>
      <c r="AX384" s="56" t="s">
        <v>1548</v>
      </c>
      <c r="AY384" s="56" t="s">
        <v>1066</v>
      </c>
      <c r="AZ384" s="56" t="s">
        <v>1067</v>
      </c>
      <c r="BA384" s="56" t="s">
        <v>1549</v>
      </c>
      <c r="BB384" s="56" t="s">
        <v>1550</v>
      </c>
      <c r="BC384" s="56" t="s">
        <v>1057</v>
      </c>
      <c r="BD384" s="56" t="s">
        <v>1753</v>
      </c>
    </row>
    <row r="385" spans="1:56" x14ac:dyDescent="0.2">
      <c r="A385" s="56">
        <v>176672525</v>
      </c>
      <c r="B385" s="56" t="s">
        <v>1573</v>
      </c>
      <c r="C385" s="56" t="s">
        <v>2623</v>
      </c>
      <c r="D385" s="56" t="s">
        <v>1224</v>
      </c>
      <c r="E385" s="56" t="s">
        <v>1044</v>
      </c>
      <c r="F385" s="56">
        <v>29</v>
      </c>
      <c r="G385" s="56"/>
      <c r="H385" s="56">
        <v>13858</v>
      </c>
      <c r="I385" s="56">
        <v>6</v>
      </c>
      <c r="J385" s="56" t="s">
        <v>1045</v>
      </c>
      <c r="K385" s="56" t="s">
        <v>1091</v>
      </c>
      <c r="L385" s="121">
        <v>46268</v>
      </c>
      <c r="M385" s="122">
        <v>0.20833333333333334</v>
      </c>
      <c r="N385" s="122">
        <v>0.21180555555555555</v>
      </c>
      <c r="O385" s="56" t="s">
        <v>1047</v>
      </c>
      <c r="P385" s="121">
        <v>46268</v>
      </c>
      <c r="Q385" s="122">
        <v>0.2673611111111111</v>
      </c>
      <c r="R385" s="122">
        <v>0.26041666666666669</v>
      </c>
      <c r="S385" s="56" t="s">
        <v>1047</v>
      </c>
      <c r="T385" s="56">
        <v>1</v>
      </c>
      <c r="U385" s="56">
        <v>37</v>
      </c>
      <c r="V385" s="56">
        <v>31.51</v>
      </c>
      <c r="W385" s="56">
        <v>32.450000000000003</v>
      </c>
      <c r="X385" s="56" t="s">
        <v>2624</v>
      </c>
      <c r="Y385" s="56" t="s">
        <v>2624</v>
      </c>
      <c r="Z385" s="56" t="s">
        <v>2624</v>
      </c>
      <c r="AA385" s="56" t="s">
        <v>231</v>
      </c>
      <c r="AB385" s="56">
        <v>14119057</v>
      </c>
      <c r="AC385" s="56" t="s">
        <v>231</v>
      </c>
      <c r="AD385" s="56">
        <v>14119057</v>
      </c>
      <c r="AE385" s="56" t="s">
        <v>2626</v>
      </c>
      <c r="AF385" s="56" t="s">
        <v>2627</v>
      </c>
      <c r="AG385" s="56" t="s">
        <v>2627</v>
      </c>
      <c r="AH385" s="56">
        <v>36</v>
      </c>
      <c r="AI385" s="56" t="s">
        <v>2628</v>
      </c>
      <c r="AJ385" s="56" t="s">
        <v>2629</v>
      </c>
      <c r="AK385" s="56">
        <v>0</v>
      </c>
      <c r="AL385" s="56" t="s">
        <v>2630</v>
      </c>
      <c r="AM385" s="56" t="s">
        <v>2631</v>
      </c>
      <c r="AN385" s="56" t="s">
        <v>2632</v>
      </c>
      <c r="AO385" s="56" t="s">
        <v>2627</v>
      </c>
      <c r="AP385" s="56" t="s">
        <v>2624</v>
      </c>
      <c r="AQ385" s="123">
        <v>3.4722222222222099E-3</v>
      </c>
      <c r="AR385" s="122">
        <v>-6.9444444444444198E-3</v>
      </c>
      <c r="AS385" s="56" t="s">
        <v>1048</v>
      </c>
      <c r="AT385" s="56" t="s">
        <v>1049</v>
      </c>
      <c r="AU385" s="56" t="s">
        <v>1050</v>
      </c>
      <c r="AV385" s="56">
        <v>36</v>
      </c>
      <c r="AW385" s="56" t="s">
        <v>1051</v>
      </c>
      <c r="AX385" s="56" t="s">
        <v>1260</v>
      </c>
      <c r="AY385" s="56" t="s">
        <v>1093</v>
      </c>
      <c r="AZ385" s="56" t="s">
        <v>1067</v>
      </c>
      <c r="BA385" s="56" t="s">
        <v>1261</v>
      </c>
      <c r="BB385" s="56" t="s">
        <v>1262</v>
      </c>
      <c r="BC385" s="56" t="s">
        <v>1057</v>
      </c>
      <c r="BD385" s="56" t="s">
        <v>1574</v>
      </c>
    </row>
    <row r="386" spans="1:56" x14ac:dyDescent="0.2">
      <c r="A386" s="56">
        <v>176672779</v>
      </c>
      <c r="B386" s="56" t="s">
        <v>2266</v>
      </c>
      <c r="C386" s="56" t="s">
        <v>2623</v>
      </c>
      <c r="D386" s="56" t="s">
        <v>2267</v>
      </c>
      <c r="E386" s="56" t="s">
        <v>1044</v>
      </c>
      <c r="F386" s="56">
        <v>108</v>
      </c>
      <c r="G386" s="56"/>
      <c r="H386" s="56">
        <v>5672</v>
      </c>
      <c r="I386" s="56">
        <v>6</v>
      </c>
      <c r="J386" s="56" t="s">
        <v>1045</v>
      </c>
      <c r="K386" s="56" t="s">
        <v>1079</v>
      </c>
      <c r="L386" s="121">
        <v>46268</v>
      </c>
      <c r="M386" s="122">
        <v>0.20833333333333334</v>
      </c>
      <c r="N386" s="122">
        <v>0.21180555555555555</v>
      </c>
      <c r="O386" s="56" t="s">
        <v>1047</v>
      </c>
      <c r="P386" s="121">
        <v>46268</v>
      </c>
      <c r="Q386" s="122">
        <v>0.2673611111111111</v>
      </c>
      <c r="R386" s="122">
        <v>0.26041666666666669</v>
      </c>
      <c r="S386" s="56" t="s">
        <v>1047</v>
      </c>
      <c r="T386" s="56">
        <v>1</v>
      </c>
      <c r="U386" s="56">
        <v>42</v>
      </c>
      <c r="V386" s="56">
        <v>28.37</v>
      </c>
      <c r="W386" s="56">
        <v>28.61</v>
      </c>
      <c r="X386" s="56" t="s">
        <v>2624</v>
      </c>
      <c r="Y386" s="56" t="s">
        <v>2624</v>
      </c>
      <c r="Z386" s="56" t="s">
        <v>2624</v>
      </c>
      <c r="AA386" s="56" t="s">
        <v>1003</v>
      </c>
      <c r="AB386" s="56">
        <v>14124002</v>
      </c>
      <c r="AC386" s="56" t="s">
        <v>1003</v>
      </c>
      <c r="AD386" s="56">
        <v>14124002</v>
      </c>
      <c r="AE386" s="56" t="s">
        <v>2626</v>
      </c>
      <c r="AF386" s="56" t="s">
        <v>2627</v>
      </c>
      <c r="AG386" s="56" t="s">
        <v>2627</v>
      </c>
      <c r="AH386" s="56">
        <v>36</v>
      </c>
      <c r="AI386" s="56" t="s">
        <v>2628</v>
      </c>
      <c r="AJ386" s="56" t="s">
        <v>2629</v>
      </c>
      <c r="AK386" s="56">
        <v>0</v>
      </c>
      <c r="AL386" s="56" t="s">
        <v>2630</v>
      </c>
      <c r="AM386" s="56" t="s">
        <v>2631</v>
      </c>
      <c r="AN386" s="56" t="s">
        <v>2632</v>
      </c>
      <c r="AO386" s="56" t="s">
        <v>2627</v>
      </c>
      <c r="AP386" s="56">
        <v>47</v>
      </c>
      <c r="AQ386" s="123">
        <v>3.4722222222222099E-3</v>
      </c>
      <c r="AR386" s="122">
        <v>-6.9444444444444198E-3</v>
      </c>
      <c r="AS386" s="56" t="s">
        <v>1048</v>
      </c>
      <c r="AT386" s="56" t="s">
        <v>1049</v>
      </c>
      <c r="AU386" s="56" t="s">
        <v>1050</v>
      </c>
      <c r="AV386" s="56">
        <v>36</v>
      </c>
      <c r="AW386" s="56" t="s">
        <v>1051</v>
      </c>
      <c r="AX386" s="56" t="s">
        <v>2268</v>
      </c>
      <c r="AY386" s="56" t="s">
        <v>1081</v>
      </c>
      <c r="AZ386" s="56" t="s">
        <v>1067</v>
      </c>
      <c r="BA386" s="56" t="s">
        <v>2269</v>
      </c>
      <c r="BB386" s="56" t="s">
        <v>2270</v>
      </c>
      <c r="BC386" s="56" t="s">
        <v>1057</v>
      </c>
      <c r="BD386" s="56" t="s">
        <v>2271</v>
      </c>
    </row>
    <row r="387" spans="1:56" x14ac:dyDescent="0.2">
      <c r="A387" s="56">
        <v>176673694</v>
      </c>
      <c r="B387" s="56" t="s">
        <v>3427</v>
      </c>
      <c r="C387" s="56" t="s">
        <v>2623</v>
      </c>
      <c r="D387" s="56" t="s">
        <v>3428</v>
      </c>
      <c r="E387" s="56" t="s">
        <v>1044</v>
      </c>
      <c r="F387" s="56">
        <v>37</v>
      </c>
      <c r="G387" s="56"/>
      <c r="H387" s="56">
        <v>6781</v>
      </c>
      <c r="I387" s="56">
        <v>6</v>
      </c>
      <c r="J387" s="56" t="s">
        <v>1045</v>
      </c>
      <c r="K387" s="56" t="s">
        <v>1212</v>
      </c>
      <c r="L387" s="121">
        <v>46268</v>
      </c>
      <c r="M387" s="122">
        <v>0.20833333333333334</v>
      </c>
      <c r="N387" s="122">
        <v>0.22013888888888888</v>
      </c>
      <c r="O387" s="56" t="s">
        <v>1047</v>
      </c>
      <c r="P387" s="121">
        <v>46268</v>
      </c>
      <c r="Q387" s="122">
        <v>0.2638888888888889</v>
      </c>
      <c r="R387" s="122">
        <v>0.2590277777777778</v>
      </c>
      <c r="S387" s="56" t="s">
        <v>1047</v>
      </c>
      <c r="T387" s="56">
        <v>1</v>
      </c>
      <c r="U387" s="56">
        <v>36</v>
      </c>
      <c r="V387" s="56">
        <v>29.8</v>
      </c>
      <c r="W387" s="56">
        <v>30.19</v>
      </c>
      <c r="X387" s="56" t="s">
        <v>2624</v>
      </c>
      <c r="Y387" s="56" t="s">
        <v>2624</v>
      </c>
      <c r="Z387" s="56" t="s">
        <v>2624</v>
      </c>
      <c r="AA387" s="56" t="s">
        <v>1846</v>
      </c>
      <c r="AB387" s="56">
        <v>14110044</v>
      </c>
      <c r="AC387" s="56" t="s">
        <v>1846</v>
      </c>
      <c r="AD387" s="56">
        <v>14110044</v>
      </c>
      <c r="AE387" s="56" t="s">
        <v>2626</v>
      </c>
      <c r="AF387" s="56" t="s">
        <v>2627</v>
      </c>
      <c r="AG387" s="56" t="s">
        <v>2627</v>
      </c>
      <c r="AH387" s="56">
        <v>36</v>
      </c>
      <c r="AI387" s="56" t="s">
        <v>2628</v>
      </c>
      <c r="AJ387" s="56" t="s">
        <v>2629</v>
      </c>
      <c r="AK387" s="56">
        <v>0</v>
      </c>
      <c r="AL387" s="56" t="s">
        <v>2630</v>
      </c>
      <c r="AM387" s="56" t="s">
        <v>2631</v>
      </c>
      <c r="AN387" s="56" t="s">
        <v>2632</v>
      </c>
      <c r="AO387" s="56" t="s">
        <v>2627</v>
      </c>
      <c r="AP387" s="56" t="s">
        <v>2624</v>
      </c>
      <c r="AQ387" s="123">
        <v>1.1805555555555541E-2</v>
      </c>
      <c r="AR387" s="122">
        <v>-4.8611111111110938E-3</v>
      </c>
      <c r="AS387" s="56" t="s">
        <v>1048</v>
      </c>
      <c r="AT387" s="56" t="s">
        <v>1049</v>
      </c>
      <c r="AU387" s="56" t="s">
        <v>1050</v>
      </c>
      <c r="AV387" s="56">
        <v>36</v>
      </c>
      <c r="AW387" s="56" t="s">
        <v>1051</v>
      </c>
      <c r="AX387" s="56" t="s">
        <v>3429</v>
      </c>
      <c r="AY387" s="56" t="s">
        <v>1164</v>
      </c>
      <c r="AZ387" s="56" t="s">
        <v>1062</v>
      </c>
      <c r="BA387" s="56" t="s">
        <v>3430</v>
      </c>
      <c r="BB387" s="56" t="s">
        <v>3431</v>
      </c>
      <c r="BC387" s="56" t="s">
        <v>1057</v>
      </c>
      <c r="BD387" s="56" t="s">
        <v>3432</v>
      </c>
    </row>
    <row r="388" spans="1:56" x14ac:dyDescent="0.2">
      <c r="A388" s="56">
        <v>176683172</v>
      </c>
      <c r="B388" s="56" t="s">
        <v>2038</v>
      </c>
      <c r="C388" s="56" t="s">
        <v>2623</v>
      </c>
      <c r="D388" s="56" t="s">
        <v>1444</v>
      </c>
      <c r="E388" s="56" t="s">
        <v>1044</v>
      </c>
      <c r="F388" s="56">
        <v>77</v>
      </c>
      <c r="G388" s="56" t="s">
        <v>2833</v>
      </c>
      <c r="H388" s="56">
        <v>4446</v>
      </c>
      <c r="I388" s="56">
        <v>6</v>
      </c>
      <c r="J388" s="56" t="s">
        <v>1045</v>
      </c>
      <c r="K388" s="56" t="s">
        <v>1075</v>
      </c>
      <c r="L388" s="121">
        <v>46268</v>
      </c>
      <c r="M388" s="122">
        <v>0.20833333333333334</v>
      </c>
      <c r="N388" s="122">
        <v>0.21249999999999999</v>
      </c>
      <c r="O388" s="56" t="s">
        <v>1047</v>
      </c>
      <c r="P388" s="121">
        <v>46268</v>
      </c>
      <c r="Q388" s="122">
        <v>0.2673611111111111</v>
      </c>
      <c r="R388" s="122">
        <v>0.25138888888888888</v>
      </c>
      <c r="S388" s="56" t="s">
        <v>1047</v>
      </c>
      <c r="T388" s="56">
        <v>1</v>
      </c>
      <c r="U388" s="56">
        <v>38</v>
      </c>
      <c r="V388" s="56">
        <v>35.450000000000003</v>
      </c>
      <c r="W388" s="56">
        <v>35.4</v>
      </c>
      <c r="X388" s="56" t="s">
        <v>2624</v>
      </c>
      <c r="Y388" s="56" t="s">
        <v>2624</v>
      </c>
      <c r="Z388" s="56" t="s">
        <v>2624</v>
      </c>
      <c r="AA388" s="56" t="s">
        <v>522</v>
      </c>
      <c r="AB388" s="56">
        <v>14123460</v>
      </c>
      <c r="AC388" s="56" t="s">
        <v>522</v>
      </c>
      <c r="AD388" s="56">
        <v>14123460</v>
      </c>
      <c r="AE388" s="56" t="s">
        <v>2626</v>
      </c>
      <c r="AF388" s="56" t="s">
        <v>2627</v>
      </c>
      <c r="AG388" s="56" t="s">
        <v>2627</v>
      </c>
      <c r="AH388" s="56">
        <v>36</v>
      </c>
      <c r="AI388" s="56" t="s">
        <v>2628</v>
      </c>
      <c r="AJ388" s="56" t="s">
        <v>2629</v>
      </c>
      <c r="AK388" s="56">
        <v>0</v>
      </c>
      <c r="AL388" s="56" t="s">
        <v>2630</v>
      </c>
      <c r="AM388" s="56" t="s">
        <v>2631</v>
      </c>
      <c r="AN388" s="56" t="s">
        <v>2632</v>
      </c>
      <c r="AO388" s="56" t="s">
        <v>2627</v>
      </c>
      <c r="AP388" s="56" t="s">
        <v>2624</v>
      </c>
      <c r="AQ388" s="123">
        <v>4.1666666666666519E-3</v>
      </c>
      <c r="AR388" s="122">
        <v>-1.5972222222222221E-2</v>
      </c>
      <c r="AS388" s="56" t="s">
        <v>1048</v>
      </c>
      <c r="AT388" s="56" t="s">
        <v>1049</v>
      </c>
      <c r="AU388" s="56" t="s">
        <v>1050</v>
      </c>
      <c r="AV388" s="56">
        <v>36</v>
      </c>
      <c r="AW388" s="56" t="s">
        <v>1051</v>
      </c>
      <c r="AX388" s="56" t="s">
        <v>1445</v>
      </c>
      <c r="AY388" s="56" t="s">
        <v>1076</v>
      </c>
      <c r="AZ388" s="56" t="s">
        <v>1067</v>
      </c>
      <c r="BA388" s="56" t="s">
        <v>1446</v>
      </c>
      <c r="BB388" s="56" t="s">
        <v>1447</v>
      </c>
      <c r="BC388" s="56" t="s">
        <v>1057</v>
      </c>
      <c r="BD388" s="56" t="s">
        <v>2039</v>
      </c>
    </row>
    <row r="389" spans="1:56" x14ac:dyDescent="0.2">
      <c r="A389" s="56">
        <v>176663462</v>
      </c>
      <c r="B389" s="56" t="s">
        <v>3159</v>
      </c>
      <c r="C389" s="56" t="s">
        <v>2623</v>
      </c>
      <c r="D389" s="56" t="s">
        <v>1129</v>
      </c>
      <c r="E389" s="56" t="s">
        <v>1044</v>
      </c>
      <c r="F389" s="56">
        <v>1</v>
      </c>
      <c r="G389" s="56"/>
      <c r="H389" s="56">
        <v>6660</v>
      </c>
      <c r="I389" s="56">
        <v>6</v>
      </c>
      <c r="J389" s="56" t="s">
        <v>1045</v>
      </c>
      <c r="K389" s="56" t="s">
        <v>1123</v>
      </c>
      <c r="L389" s="121">
        <v>46268</v>
      </c>
      <c r="M389" s="122">
        <v>0.21180555555555555</v>
      </c>
      <c r="N389" s="122">
        <v>0.21597222222222223</v>
      </c>
      <c r="O389" s="56" t="s">
        <v>1047</v>
      </c>
      <c r="P389" s="121">
        <v>46268</v>
      </c>
      <c r="Q389" s="122">
        <v>0.27083333333333331</v>
      </c>
      <c r="R389" s="122">
        <v>0.2638888888888889</v>
      </c>
      <c r="S389" s="56" t="s">
        <v>1047</v>
      </c>
      <c r="T389" s="56">
        <v>1</v>
      </c>
      <c r="U389" s="56">
        <v>34</v>
      </c>
      <c r="V389" s="56">
        <v>29.73</v>
      </c>
      <c r="W389" s="56">
        <v>30.5</v>
      </c>
      <c r="X389" s="56" t="s">
        <v>2624</v>
      </c>
      <c r="Y389" s="56" t="s">
        <v>2624</v>
      </c>
      <c r="Z389" s="56" t="s">
        <v>2624</v>
      </c>
      <c r="AA389" s="56" t="s">
        <v>192</v>
      </c>
      <c r="AB389" s="56">
        <v>14118186</v>
      </c>
      <c r="AC389" s="56" t="s">
        <v>192</v>
      </c>
      <c r="AD389" s="56">
        <v>14118186</v>
      </c>
      <c r="AE389" s="56" t="s">
        <v>2626</v>
      </c>
      <c r="AF389" s="56" t="s">
        <v>2627</v>
      </c>
      <c r="AG389" s="56" t="s">
        <v>2627</v>
      </c>
      <c r="AH389" s="56">
        <v>36</v>
      </c>
      <c r="AI389" s="56" t="s">
        <v>2628</v>
      </c>
      <c r="AJ389" s="56" t="s">
        <v>2629</v>
      </c>
      <c r="AK389" s="56">
        <v>626.88</v>
      </c>
      <c r="AL389" s="56" t="s">
        <v>2630</v>
      </c>
      <c r="AM389" s="56" t="s">
        <v>2631</v>
      </c>
      <c r="AN389" s="56" t="s">
        <v>2632</v>
      </c>
      <c r="AO389" s="56" t="s">
        <v>2627</v>
      </c>
      <c r="AP389" s="56" t="s">
        <v>2624</v>
      </c>
      <c r="AQ389" s="123">
        <v>4.1666666666666796E-3</v>
      </c>
      <c r="AR389" s="122">
        <v>-6.9444444444444198E-3</v>
      </c>
      <c r="AS389" s="56" t="s">
        <v>1048</v>
      </c>
      <c r="AT389" s="56" t="s">
        <v>1049</v>
      </c>
      <c r="AU389" s="56" t="s">
        <v>1050</v>
      </c>
      <c r="AV389" s="56">
        <v>36</v>
      </c>
      <c r="AW389" s="56" t="s">
        <v>1051</v>
      </c>
      <c r="AX389" s="56" t="s">
        <v>1130</v>
      </c>
      <c r="AY389" s="56" t="s">
        <v>1124</v>
      </c>
      <c r="AZ389" s="56" t="s">
        <v>1054</v>
      </c>
      <c r="BA389" s="56" t="s">
        <v>1131</v>
      </c>
      <c r="BB389" s="56" t="s">
        <v>1132</v>
      </c>
      <c r="BC389" s="56" t="s">
        <v>1057</v>
      </c>
      <c r="BD389" s="56" t="s">
        <v>3160</v>
      </c>
    </row>
    <row r="390" spans="1:56" x14ac:dyDescent="0.2">
      <c r="A390" s="56">
        <v>176673649</v>
      </c>
      <c r="B390" s="56" t="s">
        <v>1712</v>
      </c>
      <c r="C390" s="56" t="s">
        <v>2623</v>
      </c>
      <c r="D390" s="56" t="s">
        <v>1713</v>
      </c>
      <c r="E390" s="56" t="s">
        <v>1044</v>
      </c>
      <c r="F390" s="56">
        <v>3</v>
      </c>
      <c r="G390" s="56"/>
      <c r="H390" s="56">
        <v>5349</v>
      </c>
      <c r="I390" s="56">
        <v>6</v>
      </c>
      <c r="J390" s="56" t="s">
        <v>1045</v>
      </c>
      <c r="K390" s="56" t="s">
        <v>1212</v>
      </c>
      <c r="L390" s="121">
        <v>46268</v>
      </c>
      <c r="M390" s="122">
        <v>0.21527777777777779</v>
      </c>
      <c r="N390" s="122">
        <v>0.22152777777777777</v>
      </c>
      <c r="O390" s="56" t="s">
        <v>1047</v>
      </c>
      <c r="P390" s="121">
        <v>46268</v>
      </c>
      <c r="Q390" s="122">
        <v>0.2638888888888889</v>
      </c>
      <c r="R390" s="122">
        <v>0.26180555555555557</v>
      </c>
      <c r="S390" s="56" t="s">
        <v>1047</v>
      </c>
      <c r="T390" s="56">
        <v>1</v>
      </c>
      <c r="U390" s="56">
        <v>36</v>
      </c>
      <c r="V390" s="56">
        <v>33.020000000000003</v>
      </c>
      <c r="W390" s="56">
        <v>33.159999999999997</v>
      </c>
      <c r="X390" s="56" t="s">
        <v>2624</v>
      </c>
      <c r="Y390" s="56" t="s">
        <v>2624</v>
      </c>
      <c r="Z390" s="56" t="s">
        <v>2624</v>
      </c>
      <c r="AA390" s="56" t="s">
        <v>968</v>
      </c>
      <c r="AB390" s="56">
        <v>14123819</v>
      </c>
      <c r="AC390" s="56" t="s">
        <v>968</v>
      </c>
      <c r="AD390" s="56">
        <v>14123819</v>
      </c>
      <c r="AE390" s="56" t="s">
        <v>2626</v>
      </c>
      <c r="AF390" s="56" t="s">
        <v>2627</v>
      </c>
      <c r="AG390" s="56" t="s">
        <v>2627</v>
      </c>
      <c r="AH390" s="56">
        <v>36</v>
      </c>
      <c r="AI390" s="56" t="s">
        <v>2628</v>
      </c>
      <c r="AJ390" s="56" t="s">
        <v>2629</v>
      </c>
      <c r="AK390" s="56">
        <v>0</v>
      </c>
      <c r="AL390" s="56" t="s">
        <v>2630</v>
      </c>
      <c r="AM390" s="56" t="s">
        <v>2631</v>
      </c>
      <c r="AN390" s="56" t="s">
        <v>2632</v>
      </c>
      <c r="AO390" s="56" t="s">
        <v>2627</v>
      </c>
      <c r="AP390" s="56" t="s">
        <v>2624</v>
      </c>
      <c r="AQ390" s="123">
        <v>6.2499999999999778E-3</v>
      </c>
      <c r="AR390" s="122">
        <v>-2.0833333333333259E-3</v>
      </c>
      <c r="AS390" s="56" t="s">
        <v>1048</v>
      </c>
      <c r="AT390" s="56" t="s">
        <v>1049</v>
      </c>
      <c r="AU390" s="56" t="s">
        <v>1050</v>
      </c>
      <c r="AV390" s="56">
        <v>36</v>
      </c>
      <c r="AW390" s="56" t="s">
        <v>1051</v>
      </c>
      <c r="AX390" s="56" t="s">
        <v>1714</v>
      </c>
      <c r="AY390" s="56" t="s">
        <v>1164</v>
      </c>
      <c r="AZ390" s="56" t="s">
        <v>1062</v>
      </c>
      <c r="BA390" s="56" t="s">
        <v>1715</v>
      </c>
      <c r="BB390" s="56" t="s">
        <v>1716</v>
      </c>
      <c r="BC390" s="56" t="s">
        <v>1057</v>
      </c>
      <c r="BD390" s="56" t="s">
        <v>1717</v>
      </c>
    </row>
    <row r="391" spans="1:56" x14ac:dyDescent="0.2">
      <c r="A391" s="56">
        <v>176686981</v>
      </c>
      <c r="B391" s="56" t="s">
        <v>2046</v>
      </c>
      <c r="C391" s="56" t="s">
        <v>2623</v>
      </c>
      <c r="D391" s="56" t="s">
        <v>2047</v>
      </c>
      <c r="E391" s="56" t="s">
        <v>1044</v>
      </c>
      <c r="F391" s="56">
        <v>12</v>
      </c>
      <c r="G391" s="56"/>
      <c r="H391" s="56">
        <v>7345</v>
      </c>
      <c r="I391" s="56">
        <v>6</v>
      </c>
      <c r="J391" s="56" t="s">
        <v>1045</v>
      </c>
      <c r="K391" s="56" t="s">
        <v>2048</v>
      </c>
      <c r="L391" s="121">
        <v>46268</v>
      </c>
      <c r="M391" s="122">
        <v>0.21527777777777779</v>
      </c>
      <c r="N391" s="122">
        <v>0.22291666666666668</v>
      </c>
      <c r="O391" s="56" t="s">
        <v>1047</v>
      </c>
      <c r="P391" s="121">
        <v>46268</v>
      </c>
      <c r="Q391" s="122">
        <v>0.23958333333333334</v>
      </c>
      <c r="R391" s="122">
        <v>0.23819444444444443</v>
      </c>
      <c r="S391" s="56" t="s">
        <v>1047</v>
      </c>
      <c r="T391" s="56">
        <v>1</v>
      </c>
      <c r="U391" s="56">
        <v>17</v>
      </c>
      <c r="V391" s="56">
        <v>14.36</v>
      </c>
      <c r="W391" s="56">
        <v>15</v>
      </c>
      <c r="X391" s="56" t="s">
        <v>2624</v>
      </c>
      <c r="Y391" s="56" t="s">
        <v>2624</v>
      </c>
      <c r="Z391" s="56" t="s">
        <v>2624</v>
      </c>
      <c r="AA391" s="56" t="s">
        <v>180</v>
      </c>
      <c r="AB391" s="56">
        <v>14117542</v>
      </c>
      <c r="AC391" s="56" t="s">
        <v>180</v>
      </c>
      <c r="AD391" s="56">
        <v>14117542</v>
      </c>
      <c r="AE391" s="56" t="s">
        <v>2626</v>
      </c>
      <c r="AF391" s="56" t="s">
        <v>2627</v>
      </c>
      <c r="AG391" s="56" t="s">
        <v>2627</v>
      </c>
      <c r="AH391" s="56">
        <v>36</v>
      </c>
      <c r="AI391" s="56" t="s">
        <v>2628</v>
      </c>
      <c r="AJ391" s="56" t="s">
        <v>2629</v>
      </c>
      <c r="AK391" s="56" t="s">
        <v>2624</v>
      </c>
      <c r="AL391" s="56" t="s">
        <v>2630</v>
      </c>
      <c r="AM391" s="56" t="s">
        <v>2632</v>
      </c>
      <c r="AN391" s="56" t="s">
        <v>2632</v>
      </c>
      <c r="AO391" s="56" t="s">
        <v>2627</v>
      </c>
      <c r="AP391" s="56" t="s">
        <v>2624</v>
      </c>
      <c r="AQ391" s="123">
        <v>7.6388888888888895E-3</v>
      </c>
      <c r="AR391" s="122">
        <v>-1.3888888888889117E-3</v>
      </c>
      <c r="AS391" s="56" t="s">
        <v>1048</v>
      </c>
      <c r="AT391" s="56" t="s">
        <v>1049</v>
      </c>
      <c r="AU391" s="56" t="s">
        <v>1050</v>
      </c>
      <c r="AV391" s="56">
        <v>36</v>
      </c>
      <c r="AW391" s="56" t="s">
        <v>1051</v>
      </c>
      <c r="AX391" s="56" t="s">
        <v>2049</v>
      </c>
      <c r="AY391" s="56" t="s">
        <v>1124</v>
      </c>
      <c r="AZ391" s="56" t="s">
        <v>1054</v>
      </c>
      <c r="BA391" s="56" t="s">
        <v>2050</v>
      </c>
      <c r="BB391" s="56" t="e">
        <v>#N/A</v>
      </c>
      <c r="BC391" s="56" t="s">
        <v>1057</v>
      </c>
      <c r="BD391" s="56" t="s">
        <v>2051</v>
      </c>
    </row>
    <row r="392" spans="1:56" x14ac:dyDescent="0.2">
      <c r="A392" s="56">
        <v>176664149</v>
      </c>
      <c r="B392" s="56" t="s">
        <v>3433</v>
      </c>
      <c r="C392" s="56" t="s">
        <v>2623</v>
      </c>
      <c r="D392" s="56" t="s">
        <v>3434</v>
      </c>
      <c r="E392" s="56" t="s">
        <v>1044</v>
      </c>
      <c r="F392" s="56">
        <v>63</v>
      </c>
      <c r="G392" s="56"/>
      <c r="H392" s="56">
        <v>17359</v>
      </c>
      <c r="I392" s="56">
        <v>6</v>
      </c>
      <c r="J392" s="56" t="s">
        <v>1045</v>
      </c>
      <c r="K392" s="56" t="s">
        <v>1064</v>
      </c>
      <c r="L392" s="121">
        <v>46268</v>
      </c>
      <c r="M392" s="122">
        <v>0.21875</v>
      </c>
      <c r="N392" s="122">
        <v>0.22222222222222221</v>
      </c>
      <c r="O392" s="56" t="s">
        <v>1047</v>
      </c>
      <c r="P392" s="121">
        <v>46268</v>
      </c>
      <c r="Q392" s="122">
        <v>0.2673611111111111</v>
      </c>
      <c r="R392" s="122">
        <v>0.24652777777777779</v>
      </c>
      <c r="S392" s="56" t="s">
        <v>1047</v>
      </c>
      <c r="T392" s="56">
        <v>1</v>
      </c>
      <c r="U392" s="56">
        <v>31</v>
      </c>
      <c r="V392" s="56">
        <v>25.94</v>
      </c>
      <c r="W392" s="56">
        <v>25.25</v>
      </c>
      <c r="X392" s="56" t="s">
        <v>2624</v>
      </c>
      <c r="Y392" s="56" t="s">
        <v>2624</v>
      </c>
      <c r="Z392" s="56" t="s">
        <v>2624</v>
      </c>
      <c r="AA392" s="56" t="s">
        <v>402</v>
      </c>
      <c r="AB392" s="56">
        <v>14122221</v>
      </c>
      <c r="AC392" s="56" t="s">
        <v>402</v>
      </c>
      <c r="AD392" s="56">
        <v>14122221</v>
      </c>
      <c r="AE392" s="56" t="s">
        <v>2626</v>
      </c>
      <c r="AF392" s="56" t="s">
        <v>2627</v>
      </c>
      <c r="AG392" s="56" t="s">
        <v>2627</v>
      </c>
      <c r="AH392" s="56">
        <v>36</v>
      </c>
      <c r="AI392" s="56" t="s">
        <v>2628</v>
      </c>
      <c r="AJ392" s="56" t="s">
        <v>2629</v>
      </c>
      <c r="AK392" s="56">
        <v>530.63</v>
      </c>
      <c r="AL392" s="56" t="s">
        <v>2630</v>
      </c>
      <c r="AM392" s="56" t="s">
        <v>2631</v>
      </c>
      <c r="AN392" s="56" t="s">
        <v>2632</v>
      </c>
      <c r="AO392" s="56" t="s">
        <v>2627</v>
      </c>
      <c r="AP392" s="56">
        <v>22</v>
      </c>
      <c r="AQ392" s="123">
        <v>3.4722222222222099E-3</v>
      </c>
      <c r="AR392" s="122">
        <v>-2.0833333333333315E-2</v>
      </c>
      <c r="AS392" s="56" t="s">
        <v>1048</v>
      </c>
      <c r="AT392" s="56" t="s">
        <v>1049</v>
      </c>
      <c r="AU392" s="56" t="s">
        <v>1050</v>
      </c>
      <c r="AV392" s="56">
        <v>36</v>
      </c>
      <c r="AW392" s="56" t="s">
        <v>1051</v>
      </c>
      <c r="AX392" s="56" t="s">
        <v>3435</v>
      </c>
      <c r="AY392" s="56" t="s">
        <v>1066</v>
      </c>
      <c r="AZ392" s="56" t="s">
        <v>1067</v>
      </c>
      <c r="BA392" s="56" t="s">
        <v>3436</v>
      </c>
      <c r="BB392" s="56" t="s">
        <v>3437</v>
      </c>
      <c r="BC392" s="56" t="s">
        <v>1057</v>
      </c>
      <c r="BD392" s="56" t="s">
        <v>3438</v>
      </c>
    </row>
    <row r="393" spans="1:56" x14ac:dyDescent="0.2">
      <c r="A393" s="56">
        <v>176664163</v>
      </c>
      <c r="B393" s="56" t="s">
        <v>3439</v>
      </c>
      <c r="C393" s="56" t="s">
        <v>2623</v>
      </c>
      <c r="D393" s="56" t="s">
        <v>2218</v>
      </c>
      <c r="E393" s="56" t="s">
        <v>1044</v>
      </c>
      <c r="F393" s="56">
        <v>69</v>
      </c>
      <c r="G393" s="56"/>
      <c r="H393" s="56">
        <v>16002</v>
      </c>
      <c r="I393" s="56">
        <v>6</v>
      </c>
      <c r="J393" s="56" t="s">
        <v>1045</v>
      </c>
      <c r="K393" s="56" t="s">
        <v>1064</v>
      </c>
      <c r="L393" s="121">
        <v>46268</v>
      </c>
      <c r="M393" s="122">
        <v>0.21875</v>
      </c>
      <c r="N393" s="122">
        <v>0.22430555555555556</v>
      </c>
      <c r="O393" s="56" t="s">
        <v>1047</v>
      </c>
      <c r="P393" s="121">
        <v>46268</v>
      </c>
      <c r="Q393" s="122">
        <v>0.2673611111111111</v>
      </c>
      <c r="R393" s="122">
        <v>0.25833333333333336</v>
      </c>
      <c r="S393" s="56" t="s">
        <v>1047</v>
      </c>
      <c r="T393" s="56">
        <v>1</v>
      </c>
      <c r="U393" s="56">
        <v>31</v>
      </c>
      <c r="V393" s="56">
        <v>28.92</v>
      </c>
      <c r="W393" s="56">
        <v>25.73</v>
      </c>
      <c r="X393" s="56" t="s">
        <v>2624</v>
      </c>
      <c r="Y393" s="56" t="s">
        <v>2624</v>
      </c>
      <c r="Z393" s="56" t="s">
        <v>2624</v>
      </c>
      <c r="AA393" s="56" t="s">
        <v>105</v>
      </c>
      <c r="AB393" s="56">
        <v>14110761</v>
      </c>
      <c r="AC393" s="56" t="s">
        <v>105</v>
      </c>
      <c r="AD393" s="56">
        <v>14110761</v>
      </c>
      <c r="AE393" s="56" t="s">
        <v>2626</v>
      </c>
      <c r="AF393" s="56" t="s">
        <v>2627</v>
      </c>
      <c r="AG393" s="56" t="s">
        <v>2627</v>
      </c>
      <c r="AH393" s="56">
        <v>36</v>
      </c>
      <c r="AI393" s="56" t="s">
        <v>2628</v>
      </c>
      <c r="AJ393" s="56" t="s">
        <v>2629</v>
      </c>
      <c r="AK393" s="56">
        <v>530.63</v>
      </c>
      <c r="AL393" s="56" t="s">
        <v>2630</v>
      </c>
      <c r="AM393" s="56" t="s">
        <v>2631</v>
      </c>
      <c r="AN393" s="56" t="s">
        <v>2632</v>
      </c>
      <c r="AO393" s="56" t="s">
        <v>2627</v>
      </c>
      <c r="AP393" s="56">
        <v>21</v>
      </c>
      <c r="AQ393" s="123">
        <v>5.5555555555555636E-3</v>
      </c>
      <c r="AR393" s="122">
        <v>-9.0277777777777457E-3</v>
      </c>
      <c r="AS393" s="56" t="s">
        <v>1048</v>
      </c>
      <c r="AT393" s="56" t="s">
        <v>1049</v>
      </c>
      <c r="AU393" s="56" t="s">
        <v>1050</v>
      </c>
      <c r="AV393" s="56">
        <v>36</v>
      </c>
      <c r="AW393" s="56" t="s">
        <v>1051</v>
      </c>
      <c r="AX393" s="56" t="s">
        <v>2219</v>
      </c>
      <c r="AY393" s="56" t="s">
        <v>1066</v>
      </c>
      <c r="AZ393" s="56" t="s">
        <v>1067</v>
      </c>
      <c r="BA393" s="56" t="s">
        <v>2220</v>
      </c>
      <c r="BB393" s="56" t="s">
        <v>2221</v>
      </c>
      <c r="BC393" s="56" t="s">
        <v>1057</v>
      </c>
      <c r="BD393" s="56" t="s">
        <v>3440</v>
      </c>
    </row>
    <row r="394" spans="1:56" x14ac:dyDescent="0.2">
      <c r="A394" s="56">
        <v>176672772</v>
      </c>
      <c r="B394" s="56" t="s">
        <v>2657</v>
      </c>
      <c r="C394" s="56" t="s">
        <v>2623</v>
      </c>
      <c r="D394" s="56" t="s">
        <v>2658</v>
      </c>
      <c r="E394" s="56" t="s">
        <v>1044</v>
      </c>
      <c r="F394" s="56">
        <v>105</v>
      </c>
      <c r="G394" s="56"/>
      <c r="H394" s="56">
        <v>15993</v>
      </c>
      <c r="I394" s="56">
        <v>6</v>
      </c>
      <c r="J394" s="56" t="s">
        <v>1045</v>
      </c>
      <c r="K394" s="56" t="s">
        <v>1079</v>
      </c>
      <c r="L394" s="121">
        <v>46268</v>
      </c>
      <c r="M394" s="122">
        <v>0.21875</v>
      </c>
      <c r="N394" s="122">
        <v>0.22291666666666668</v>
      </c>
      <c r="O394" s="56" t="s">
        <v>1047</v>
      </c>
      <c r="P394" s="121">
        <v>46268</v>
      </c>
      <c r="Q394" s="122">
        <v>0.2673611111111111</v>
      </c>
      <c r="R394" s="122">
        <v>0.2638888888888889</v>
      </c>
      <c r="S394" s="56" t="s">
        <v>1047</v>
      </c>
      <c r="T394" s="56">
        <v>1</v>
      </c>
      <c r="U394" s="56">
        <v>38</v>
      </c>
      <c r="V394" s="56">
        <v>32.75</v>
      </c>
      <c r="W394" s="56">
        <v>34.520000000000003</v>
      </c>
      <c r="X394" s="56" t="s">
        <v>2624</v>
      </c>
      <c r="Y394" s="56" t="s">
        <v>2624</v>
      </c>
      <c r="Z394" s="56" t="s">
        <v>2624</v>
      </c>
      <c r="AA394" s="56" t="s">
        <v>992</v>
      </c>
      <c r="AB394" s="56">
        <v>14123925</v>
      </c>
      <c r="AC394" s="56" t="s">
        <v>992</v>
      </c>
      <c r="AD394" s="56">
        <v>14123925</v>
      </c>
      <c r="AE394" s="56" t="s">
        <v>2626</v>
      </c>
      <c r="AF394" s="56" t="s">
        <v>2627</v>
      </c>
      <c r="AG394" s="56" t="s">
        <v>2627</v>
      </c>
      <c r="AH394" s="56">
        <v>36</v>
      </c>
      <c r="AI394" s="56" t="s">
        <v>2628</v>
      </c>
      <c r="AJ394" s="56" t="s">
        <v>2629</v>
      </c>
      <c r="AK394" s="56">
        <v>0</v>
      </c>
      <c r="AL394" s="56" t="s">
        <v>2630</v>
      </c>
      <c r="AM394" s="56" t="s">
        <v>2631</v>
      </c>
      <c r="AN394" s="56" t="s">
        <v>2632</v>
      </c>
      <c r="AO394" s="56" t="s">
        <v>2627</v>
      </c>
      <c r="AP394" s="56" t="s">
        <v>2624</v>
      </c>
      <c r="AQ394" s="123">
        <v>4.1666666666666796E-3</v>
      </c>
      <c r="AR394" s="122">
        <v>-3.4722222222222099E-3</v>
      </c>
      <c r="AS394" s="56" t="s">
        <v>1048</v>
      </c>
      <c r="AT394" s="56" t="s">
        <v>1049</v>
      </c>
      <c r="AU394" s="56" t="s">
        <v>1050</v>
      </c>
      <c r="AV394" s="56">
        <v>36</v>
      </c>
      <c r="AW394" s="56" t="s">
        <v>1051</v>
      </c>
      <c r="AX394" s="56" t="s">
        <v>2659</v>
      </c>
      <c r="AY394" s="56" t="s">
        <v>1081</v>
      </c>
      <c r="AZ394" s="56" t="s">
        <v>1067</v>
      </c>
      <c r="BA394" s="56" t="s">
        <v>2660</v>
      </c>
      <c r="BB394" s="56" t="s">
        <v>2661</v>
      </c>
      <c r="BC394" s="56" t="s">
        <v>1057</v>
      </c>
      <c r="BD394" s="56" t="s">
        <v>2662</v>
      </c>
    </row>
    <row r="395" spans="1:56" x14ac:dyDescent="0.2">
      <c r="A395" s="56">
        <v>176672730</v>
      </c>
      <c r="B395" s="56" t="s">
        <v>1728</v>
      </c>
      <c r="C395" s="56" t="s">
        <v>2623</v>
      </c>
      <c r="D395" s="56" t="s">
        <v>1729</v>
      </c>
      <c r="E395" s="56" t="s">
        <v>1044</v>
      </c>
      <c r="F395" s="56">
        <v>88</v>
      </c>
      <c r="G395" s="56"/>
      <c r="H395" s="56">
        <v>16366</v>
      </c>
      <c r="I395" s="56">
        <v>6</v>
      </c>
      <c r="J395" s="56" t="s">
        <v>1045</v>
      </c>
      <c r="K395" s="56" t="s">
        <v>1079</v>
      </c>
      <c r="L395" s="121">
        <v>46268</v>
      </c>
      <c r="M395" s="122">
        <v>0.22222222222222221</v>
      </c>
      <c r="N395" s="122">
        <v>0.22569444444444445</v>
      </c>
      <c r="O395" s="56" t="s">
        <v>1047</v>
      </c>
      <c r="P395" s="121">
        <v>46268</v>
      </c>
      <c r="Q395" s="122">
        <v>0.2673611111111111</v>
      </c>
      <c r="R395" s="122">
        <v>0.29166666666666669</v>
      </c>
      <c r="S395" s="56" t="s">
        <v>1047</v>
      </c>
      <c r="T395" s="56">
        <v>1</v>
      </c>
      <c r="U395" s="56">
        <v>21</v>
      </c>
      <c r="V395" s="56">
        <v>18.47</v>
      </c>
      <c r="W395" s="56">
        <v>19.52</v>
      </c>
      <c r="X395" s="56" t="s">
        <v>2624</v>
      </c>
      <c r="Y395" s="56" t="s">
        <v>2624</v>
      </c>
      <c r="Z395" s="56" t="s">
        <v>2624</v>
      </c>
      <c r="AA395" s="56" t="s">
        <v>982</v>
      </c>
      <c r="AB395" s="56">
        <v>14123894</v>
      </c>
      <c r="AC395" s="56" t="s">
        <v>982</v>
      </c>
      <c r="AD395" s="56">
        <v>14123894</v>
      </c>
      <c r="AE395" s="56" t="s">
        <v>2626</v>
      </c>
      <c r="AF395" s="56" t="s">
        <v>2627</v>
      </c>
      <c r="AG395" s="56" t="s">
        <v>2627</v>
      </c>
      <c r="AH395" s="56">
        <v>36</v>
      </c>
      <c r="AI395" s="56" t="s">
        <v>2628</v>
      </c>
      <c r="AJ395" s="56" t="s">
        <v>2640</v>
      </c>
      <c r="AK395" s="56">
        <v>0</v>
      </c>
      <c r="AL395" s="56" t="s">
        <v>2630</v>
      </c>
      <c r="AM395" s="56" t="s">
        <v>2631</v>
      </c>
      <c r="AN395" s="56" t="s">
        <v>2632</v>
      </c>
      <c r="AO395" s="56" t="s">
        <v>2627</v>
      </c>
      <c r="AP395" s="56" t="s">
        <v>2624</v>
      </c>
      <c r="AQ395" s="123">
        <v>3.4722222222222376E-3</v>
      </c>
      <c r="AR395" s="122">
        <v>2.430555555555558E-2</v>
      </c>
      <c r="AS395" s="56" t="s">
        <v>1048</v>
      </c>
      <c r="AT395" s="56" t="s">
        <v>1059</v>
      </c>
      <c r="AU395" s="56" t="s">
        <v>1060</v>
      </c>
      <c r="AV395" s="56">
        <v>36</v>
      </c>
      <c r="AW395" s="56" t="s">
        <v>1051</v>
      </c>
      <c r="AX395" s="56" t="s">
        <v>1730</v>
      </c>
      <c r="AY395" s="56" t="s">
        <v>1081</v>
      </c>
      <c r="AZ395" s="56" t="s">
        <v>1067</v>
      </c>
      <c r="BA395" s="56" t="s">
        <v>1731</v>
      </c>
      <c r="BB395" s="56" t="s">
        <v>1732</v>
      </c>
      <c r="BC395" s="56" t="s">
        <v>1057</v>
      </c>
      <c r="BD395" s="56" t="s">
        <v>1733</v>
      </c>
    </row>
    <row r="396" spans="1:56" x14ac:dyDescent="0.2">
      <c r="A396" s="56">
        <v>176674119</v>
      </c>
      <c r="B396" s="56" t="s">
        <v>3441</v>
      </c>
      <c r="C396" s="56" t="s">
        <v>2623</v>
      </c>
      <c r="D396" s="56" t="s">
        <v>3442</v>
      </c>
      <c r="E396" s="56" t="s">
        <v>1044</v>
      </c>
      <c r="F396" s="56">
        <v>11</v>
      </c>
      <c r="G396" s="56"/>
      <c r="H396" s="56">
        <v>13842</v>
      </c>
      <c r="I396" s="56">
        <v>6</v>
      </c>
      <c r="J396" s="56" t="s">
        <v>1045</v>
      </c>
      <c r="K396" s="56" t="s">
        <v>1209</v>
      </c>
      <c r="L396" s="121">
        <v>46268</v>
      </c>
      <c r="M396" s="122">
        <v>0.22222222222222221</v>
      </c>
      <c r="N396" s="122">
        <v>0.22916666666666666</v>
      </c>
      <c r="O396" s="56" t="s">
        <v>1047</v>
      </c>
      <c r="P396" s="121">
        <v>46268</v>
      </c>
      <c r="Q396" s="122">
        <v>0.26041666666666669</v>
      </c>
      <c r="R396" s="122">
        <v>0.25972222222222224</v>
      </c>
      <c r="S396" s="56" t="s">
        <v>1047</v>
      </c>
      <c r="T396" s="56">
        <v>1</v>
      </c>
      <c r="U396" s="56">
        <v>24</v>
      </c>
      <c r="V396" s="56">
        <v>19.28</v>
      </c>
      <c r="W396" s="56">
        <v>20.05</v>
      </c>
      <c r="X396" s="56" t="s">
        <v>2624</v>
      </c>
      <c r="Y396" s="56" t="s">
        <v>2624</v>
      </c>
      <c r="Z396" s="56" t="s">
        <v>2624</v>
      </c>
      <c r="AA396" s="56" t="s">
        <v>257</v>
      </c>
      <c r="AB396" s="56">
        <v>14119701</v>
      </c>
      <c r="AC396" s="56" t="s">
        <v>257</v>
      </c>
      <c r="AD396" s="56">
        <v>14119701</v>
      </c>
      <c r="AE396" s="56" t="s">
        <v>2626</v>
      </c>
      <c r="AF396" s="56" t="s">
        <v>2627</v>
      </c>
      <c r="AG396" s="56" t="s">
        <v>2627</v>
      </c>
      <c r="AH396" s="56">
        <v>36</v>
      </c>
      <c r="AI396" s="56" t="s">
        <v>2628</v>
      </c>
      <c r="AJ396" s="56" t="s">
        <v>2629</v>
      </c>
      <c r="AK396" s="56">
        <v>692</v>
      </c>
      <c r="AL396" s="56" t="s">
        <v>2630</v>
      </c>
      <c r="AM396" s="56" t="s">
        <v>2631</v>
      </c>
      <c r="AN396" s="56" t="s">
        <v>2632</v>
      </c>
      <c r="AO396" s="56" t="s">
        <v>2627</v>
      </c>
      <c r="AP396" s="56" t="s">
        <v>2624</v>
      </c>
      <c r="AQ396" s="123">
        <v>6.9444444444444475E-3</v>
      </c>
      <c r="AR396" s="122">
        <v>-6.9444444444444198E-4</v>
      </c>
      <c r="AS396" s="56" t="s">
        <v>1048</v>
      </c>
      <c r="AT396" s="56" t="s">
        <v>1049</v>
      </c>
      <c r="AU396" s="56" t="s">
        <v>1050</v>
      </c>
      <c r="AV396" s="56">
        <v>36</v>
      </c>
      <c r="AW396" s="56" t="s">
        <v>1051</v>
      </c>
      <c r="AX396" s="56" t="s">
        <v>3443</v>
      </c>
      <c r="AY396" s="56" t="s">
        <v>1061</v>
      </c>
      <c r="AZ396" s="56" t="s">
        <v>1062</v>
      </c>
      <c r="BA396" s="56" t="s">
        <v>3444</v>
      </c>
      <c r="BB396" s="56" t="s">
        <v>3445</v>
      </c>
      <c r="BC396" s="56" t="s">
        <v>1057</v>
      </c>
      <c r="BD396" s="56" t="s">
        <v>3446</v>
      </c>
    </row>
    <row r="397" spans="1:56" x14ac:dyDescent="0.2">
      <c r="A397" s="56">
        <v>176683647</v>
      </c>
      <c r="B397" s="56" t="s">
        <v>3169</v>
      </c>
      <c r="C397" s="56" t="s">
        <v>2623</v>
      </c>
      <c r="D397" s="56" t="s">
        <v>3170</v>
      </c>
      <c r="E397" s="56" t="s">
        <v>1044</v>
      </c>
      <c r="F397" s="56">
        <v>93</v>
      </c>
      <c r="G397" s="56" t="s">
        <v>2833</v>
      </c>
      <c r="H397" s="56">
        <v>6881</v>
      </c>
      <c r="I397" s="56">
        <v>8</v>
      </c>
      <c r="J397" s="56" t="s">
        <v>1045</v>
      </c>
      <c r="K397" s="56" t="s">
        <v>1075</v>
      </c>
      <c r="L397" s="121">
        <v>46268</v>
      </c>
      <c r="M397" s="122">
        <v>0.22222222222222221</v>
      </c>
      <c r="N397" s="122">
        <v>0.23055555555555557</v>
      </c>
      <c r="O397" s="56" t="s">
        <v>1047</v>
      </c>
      <c r="P397" s="121">
        <v>46268</v>
      </c>
      <c r="Q397" s="122">
        <v>0.2673611111111111</v>
      </c>
      <c r="R397" s="122">
        <v>0.25624999999999998</v>
      </c>
      <c r="S397" s="56" t="s">
        <v>1047</v>
      </c>
      <c r="T397" s="56">
        <v>0</v>
      </c>
      <c r="U397" s="56">
        <v>20</v>
      </c>
      <c r="V397" s="56" t="s">
        <v>2624</v>
      </c>
      <c r="W397" s="56">
        <v>19.600000000000001</v>
      </c>
      <c r="X397" s="56" t="s">
        <v>2624</v>
      </c>
      <c r="Y397" s="56" t="s">
        <v>2624</v>
      </c>
      <c r="Z397" s="56" t="s">
        <v>2624</v>
      </c>
      <c r="AA397" s="56" t="s">
        <v>232</v>
      </c>
      <c r="AB397" s="56">
        <v>14119076</v>
      </c>
      <c r="AC397" s="56" t="s">
        <v>232</v>
      </c>
      <c r="AD397" s="56">
        <v>14119076</v>
      </c>
      <c r="AE397" s="56" t="s">
        <v>2626</v>
      </c>
      <c r="AF397" s="56" t="s">
        <v>2627</v>
      </c>
      <c r="AG397" s="56" t="s">
        <v>2627</v>
      </c>
      <c r="AH397" s="56">
        <v>36</v>
      </c>
      <c r="AI397" s="56" t="s">
        <v>2628</v>
      </c>
      <c r="AJ397" s="56" t="s">
        <v>2629</v>
      </c>
      <c r="AK397" s="56">
        <v>0</v>
      </c>
      <c r="AL397" s="56" t="s">
        <v>2630</v>
      </c>
      <c r="AM397" s="56" t="s">
        <v>2631</v>
      </c>
      <c r="AN397" s="56" t="s">
        <v>2632</v>
      </c>
      <c r="AO397" s="56" t="s">
        <v>2627</v>
      </c>
      <c r="AP397" s="56">
        <v>20</v>
      </c>
      <c r="AQ397" s="123">
        <v>8.3333333333333592E-3</v>
      </c>
      <c r="AR397" s="122">
        <v>-1.1111111111111127E-2</v>
      </c>
      <c r="AS397" s="56" t="s">
        <v>1048</v>
      </c>
      <c r="AT397" s="56" t="s">
        <v>1049</v>
      </c>
      <c r="AU397" s="56" t="s">
        <v>1050</v>
      </c>
      <c r="AV397" s="56">
        <v>36</v>
      </c>
      <c r="AW397" s="56" t="s">
        <v>1051</v>
      </c>
      <c r="AX397" s="56" t="s">
        <v>3171</v>
      </c>
      <c r="AY397" s="56" t="s">
        <v>1076</v>
      </c>
      <c r="AZ397" s="56" t="s">
        <v>1067</v>
      </c>
      <c r="BA397" s="56" t="s">
        <v>3172</v>
      </c>
      <c r="BB397" s="56" t="s">
        <v>3173</v>
      </c>
      <c r="BC397" s="56" t="s">
        <v>1057</v>
      </c>
      <c r="BD397" s="56" t="s">
        <v>3174</v>
      </c>
    </row>
    <row r="398" spans="1:56" x14ac:dyDescent="0.2">
      <c r="A398" s="56">
        <v>176675042</v>
      </c>
      <c r="B398" s="56" t="s">
        <v>3447</v>
      </c>
      <c r="C398" s="56" t="s">
        <v>2623</v>
      </c>
      <c r="D398" s="56" t="s">
        <v>3380</v>
      </c>
      <c r="E398" s="56" t="s">
        <v>1044</v>
      </c>
      <c r="F398" s="56">
        <v>9</v>
      </c>
      <c r="G398" s="56"/>
      <c r="H398" s="56">
        <v>6982</v>
      </c>
      <c r="I398" s="56">
        <v>6</v>
      </c>
      <c r="J398" s="56" t="s">
        <v>1045</v>
      </c>
      <c r="K398" s="56" t="s">
        <v>1162</v>
      </c>
      <c r="L398" s="121">
        <v>46268</v>
      </c>
      <c r="M398" s="122">
        <v>0.22569444444444445</v>
      </c>
      <c r="N398" s="122">
        <v>0.23402777777777778</v>
      </c>
      <c r="O398" s="56" t="s">
        <v>1047</v>
      </c>
      <c r="P398" s="121">
        <v>46268</v>
      </c>
      <c r="Q398" s="122">
        <v>0.2638888888888889</v>
      </c>
      <c r="R398" s="122">
        <v>0.26944444444444443</v>
      </c>
      <c r="S398" s="56" t="s">
        <v>1047</v>
      </c>
      <c r="T398" s="56">
        <v>1</v>
      </c>
      <c r="U398" s="56">
        <v>23</v>
      </c>
      <c r="V398" s="56">
        <v>22.49</v>
      </c>
      <c r="W398" s="56">
        <v>25.81</v>
      </c>
      <c r="X398" s="56" t="s">
        <v>2624</v>
      </c>
      <c r="Y398" s="56" t="s">
        <v>2624</v>
      </c>
      <c r="Z398" s="56" t="s">
        <v>2624</v>
      </c>
      <c r="AA398" s="56" t="s">
        <v>122</v>
      </c>
      <c r="AB398" s="56">
        <v>14112630</v>
      </c>
      <c r="AC398" s="56" t="s">
        <v>122</v>
      </c>
      <c r="AD398" s="56">
        <v>14112630</v>
      </c>
      <c r="AE398" s="56" t="s">
        <v>2626</v>
      </c>
      <c r="AF398" s="56" t="s">
        <v>2627</v>
      </c>
      <c r="AG398" s="56" t="s">
        <v>2627</v>
      </c>
      <c r="AH398" s="56">
        <v>36</v>
      </c>
      <c r="AI398" s="56" t="s">
        <v>2628</v>
      </c>
      <c r="AJ398" s="56" t="s">
        <v>2640</v>
      </c>
      <c r="AK398" s="56">
        <v>0</v>
      </c>
      <c r="AL398" s="56" t="s">
        <v>2630</v>
      </c>
      <c r="AM398" s="56" t="s">
        <v>2631</v>
      </c>
      <c r="AN398" s="56" t="s">
        <v>2632</v>
      </c>
      <c r="AO398" s="56" t="s">
        <v>2627</v>
      </c>
      <c r="AP398" s="56" t="s">
        <v>2624</v>
      </c>
      <c r="AQ398" s="123">
        <v>8.3333333333333315E-3</v>
      </c>
      <c r="AR398" s="122">
        <v>5.5555555555555358E-3</v>
      </c>
      <c r="AS398" s="56" t="s">
        <v>1048</v>
      </c>
      <c r="AT398" s="56" t="s">
        <v>1059</v>
      </c>
      <c r="AU398" s="56" t="s">
        <v>1060</v>
      </c>
      <c r="AV398" s="56">
        <v>36</v>
      </c>
      <c r="AW398" s="56" t="s">
        <v>1051</v>
      </c>
      <c r="AX398" s="56" t="s">
        <v>3381</v>
      </c>
      <c r="AY398" s="56" t="s">
        <v>1164</v>
      </c>
      <c r="AZ398" s="56" t="s">
        <v>1062</v>
      </c>
      <c r="BA398" s="56" t="s">
        <v>3382</v>
      </c>
      <c r="BB398" s="56" t="s">
        <v>3383</v>
      </c>
      <c r="BC398" s="56" t="s">
        <v>1057</v>
      </c>
      <c r="BD398" s="56" t="s">
        <v>3448</v>
      </c>
    </row>
    <row r="399" spans="1:56" x14ac:dyDescent="0.2">
      <c r="A399" s="56">
        <v>176683643</v>
      </c>
      <c r="B399" s="56" t="s">
        <v>3304</v>
      </c>
      <c r="C399" s="56" t="s">
        <v>2623</v>
      </c>
      <c r="D399" s="56" t="s">
        <v>1217</v>
      </c>
      <c r="E399" s="56" t="s">
        <v>1044</v>
      </c>
      <c r="F399" s="56">
        <v>91</v>
      </c>
      <c r="G399" s="56" t="s">
        <v>2833</v>
      </c>
      <c r="H399" s="56">
        <v>4532</v>
      </c>
      <c r="I399" s="56">
        <v>7</v>
      </c>
      <c r="J399" s="56" t="s">
        <v>1045</v>
      </c>
      <c r="K399" s="56" t="s">
        <v>1075</v>
      </c>
      <c r="L399" s="121">
        <v>46268</v>
      </c>
      <c r="M399" s="122">
        <v>0.22569444444444445</v>
      </c>
      <c r="N399" s="122">
        <v>0.22916666666666666</v>
      </c>
      <c r="O399" s="56" t="s">
        <v>1047</v>
      </c>
      <c r="P399" s="121">
        <v>46268</v>
      </c>
      <c r="Q399" s="122">
        <v>0.2673611111111111</v>
      </c>
      <c r="R399" s="122">
        <v>0.25069444444444444</v>
      </c>
      <c r="S399" s="56" t="s">
        <v>1449</v>
      </c>
      <c r="T399" s="56">
        <v>0</v>
      </c>
      <c r="U399" s="56">
        <v>19</v>
      </c>
      <c r="V399" s="56">
        <v>18.54</v>
      </c>
      <c r="W399" s="56" t="s">
        <v>2624</v>
      </c>
      <c r="X399" s="56" t="s">
        <v>2624</v>
      </c>
      <c r="Y399" s="56" t="s">
        <v>2624</v>
      </c>
      <c r="Z399" s="56" t="s">
        <v>2624</v>
      </c>
      <c r="AA399" s="56" t="s">
        <v>322</v>
      </c>
      <c r="AB399" s="56">
        <v>14121158</v>
      </c>
      <c r="AC399" s="56" t="s">
        <v>322</v>
      </c>
      <c r="AD399" s="56">
        <v>14121158</v>
      </c>
      <c r="AE399" s="56" t="s">
        <v>2626</v>
      </c>
      <c r="AF399" s="56" t="s">
        <v>2627</v>
      </c>
      <c r="AG399" s="56" t="s">
        <v>2627</v>
      </c>
      <c r="AH399" s="56">
        <v>36</v>
      </c>
      <c r="AI399" s="56" t="s">
        <v>2842</v>
      </c>
      <c r="AJ399" s="56" t="s">
        <v>2629</v>
      </c>
      <c r="AK399" s="56">
        <v>0</v>
      </c>
      <c r="AL399" s="56" t="s">
        <v>2630</v>
      </c>
      <c r="AM399" s="56" t="s">
        <v>2631</v>
      </c>
      <c r="AN399" s="56" t="s">
        <v>2632</v>
      </c>
      <c r="AO399" s="56" t="s">
        <v>2627</v>
      </c>
      <c r="AP399" s="56" t="s">
        <v>2624</v>
      </c>
      <c r="AQ399" s="123">
        <v>3.4722222222222099E-3</v>
      </c>
      <c r="AR399" s="122">
        <v>-1.6666666666666663E-2</v>
      </c>
      <c r="AS399" s="56" t="s">
        <v>1048</v>
      </c>
      <c r="AT399" s="56" t="s">
        <v>1049</v>
      </c>
      <c r="AU399" s="56" t="s">
        <v>1050</v>
      </c>
      <c r="AV399" s="56">
        <v>36</v>
      </c>
      <c r="AW399" s="56" t="s">
        <v>1051</v>
      </c>
      <c r="AX399" s="56" t="s">
        <v>3305</v>
      </c>
      <c r="AY399" s="56" t="s">
        <v>1076</v>
      </c>
      <c r="AZ399" s="56" t="s">
        <v>1067</v>
      </c>
      <c r="BA399" s="56" t="s">
        <v>3306</v>
      </c>
      <c r="BB399" s="56" t="s">
        <v>3307</v>
      </c>
      <c r="BC399" s="56" t="s">
        <v>1057</v>
      </c>
      <c r="BD399" s="56" t="s">
        <v>3308</v>
      </c>
    </row>
    <row r="400" spans="1:56" x14ac:dyDescent="0.2">
      <c r="A400" s="56">
        <v>176675892</v>
      </c>
      <c r="B400" s="56" t="s">
        <v>2687</v>
      </c>
      <c r="C400" s="56" t="s">
        <v>2623</v>
      </c>
      <c r="D400" s="56" t="s">
        <v>2688</v>
      </c>
      <c r="E400" s="56" t="s">
        <v>1044</v>
      </c>
      <c r="F400" s="56">
        <v>11</v>
      </c>
      <c r="G400" s="56"/>
      <c r="H400" s="56">
        <v>15185</v>
      </c>
      <c r="I400" s="56">
        <v>6</v>
      </c>
      <c r="J400" s="56" t="s">
        <v>1045</v>
      </c>
      <c r="K400" s="56" t="s">
        <v>1058</v>
      </c>
      <c r="L400" s="121">
        <v>46268</v>
      </c>
      <c r="M400" s="122">
        <v>0.22638888888888889</v>
      </c>
      <c r="N400" s="122">
        <v>0.23194444444444445</v>
      </c>
      <c r="O400" s="56" t="s">
        <v>1047</v>
      </c>
      <c r="P400" s="121">
        <v>46268</v>
      </c>
      <c r="Q400" s="122">
        <v>0.25</v>
      </c>
      <c r="R400" s="122">
        <v>0.24583333333333332</v>
      </c>
      <c r="S400" s="56" t="s">
        <v>1047</v>
      </c>
      <c r="T400" s="56">
        <v>1</v>
      </c>
      <c r="U400" s="56">
        <v>14</v>
      </c>
      <c r="V400" s="56">
        <v>9.2899999999999991</v>
      </c>
      <c r="W400" s="56">
        <v>8.42</v>
      </c>
      <c r="X400" s="56" t="s">
        <v>2624</v>
      </c>
      <c r="Y400" s="56" t="s">
        <v>2624</v>
      </c>
      <c r="Z400" s="56" t="s">
        <v>2624</v>
      </c>
      <c r="AA400" s="56" t="s">
        <v>467</v>
      </c>
      <c r="AB400" s="56">
        <v>14122925</v>
      </c>
      <c r="AC400" s="56" t="s">
        <v>467</v>
      </c>
      <c r="AD400" s="56">
        <v>14122925</v>
      </c>
      <c r="AE400" s="56" t="s">
        <v>2626</v>
      </c>
      <c r="AF400" s="56" t="s">
        <v>2627</v>
      </c>
      <c r="AG400" s="56" t="s">
        <v>2627</v>
      </c>
      <c r="AH400" s="56">
        <v>36</v>
      </c>
      <c r="AI400" s="56" t="s">
        <v>2628</v>
      </c>
      <c r="AJ400" s="56" t="s">
        <v>2629</v>
      </c>
      <c r="AK400" s="56">
        <v>730</v>
      </c>
      <c r="AL400" s="56" t="s">
        <v>2630</v>
      </c>
      <c r="AM400" s="56" t="s">
        <v>2631</v>
      </c>
      <c r="AN400" s="56" t="s">
        <v>2632</v>
      </c>
      <c r="AO400" s="56" t="s">
        <v>2627</v>
      </c>
      <c r="AP400" s="56" t="s">
        <v>2624</v>
      </c>
      <c r="AQ400" s="123">
        <v>5.5555555555555636E-3</v>
      </c>
      <c r="AR400" s="122">
        <v>-4.1666666666666796E-3</v>
      </c>
      <c r="AS400" s="56" t="s">
        <v>1048</v>
      </c>
      <c r="AT400" s="56" t="s">
        <v>1049</v>
      </c>
      <c r="AU400" s="56" t="s">
        <v>1050</v>
      </c>
      <c r="AV400" s="56">
        <v>36</v>
      </c>
      <c r="AW400" s="56" t="s">
        <v>1051</v>
      </c>
      <c r="AX400" s="56" t="s">
        <v>2689</v>
      </c>
      <c r="AY400" s="56" t="s">
        <v>1061</v>
      </c>
      <c r="AZ400" s="56" t="s">
        <v>1062</v>
      </c>
      <c r="BA400" s="56" t="s">
        <v>2690</v>
      </c>
      <c r="BB400" s="56" t="s">
        <v>2691</v>
      </c>
      <c r="BC400" s="56" t="s">
        <v>1057</v>
      </c>
      <c r="BD400" s="56" t="s">
        <v>2692</v>
      </c>
    </row>
    <row r="401" spans="1:56" x14ac:dyDescent="0.2">
      <c r="A401" s="56">
        <v>176672753</v>
      </c>
      <c r="B401" s="56" t="s">
        <v>3449</v>
      </c>
      <c r="C401" s="56" t="s">
        <v>2623</v>
      </c>
      <c r="D401" s="56" t="s">
        <v>1074</v>
      </c>
      <c r="E401" s="56" t="s">
        <v>1044</v>
      </c>
      <c r="F401" s="56">
        <v>99</v>
      </c>
      <c r="G401" s="56"/>
      <c r="H401" s="56">
        <v>6251</v>
      </c>
      <c r="I401" s="56">
        <v>6</v>
      </c>
      <c r="J401" s="56" t="s">
        <v>1045</v>
      </c>
      <c r="K401" s="56" t="s">
        <v>1079</v>
      </c>
      <c r="L401" s="121">
        <v>46268</v>
      </c>
      <c r="M401" s="122">
        <v>0.22916666666666666</v>
      </c>
      <c r="N401" s="122">
        <v>0.24444444444444444</v>
      </c>
      <c r="O401" s="56" t="s">
        <v>1047</v>
      </c>
      <c r="P401" s="121">
        <v>46268</v>
      </c>
      <c r="Q401" s="122">
        <v>0.2673611111111111</v>
      </c>
      <c r="R401" s="122">
        <v>0.26527777777777778</v>
      </c>
      <c r="S401" s="56" t="s">
        <v>1047</v>
      </c>
      <c r="T401" s="56">
        <v>1</v>
      </c>
      <c r="U401" s="56">
        <v>22</v>
      </c>
      <c r="V401" s="56">
        <v>17.89</v>
      </c>
      <c r="W401" s="56">
        <v>17.87</v>
      </c>
      <c r="X401" s="56" t="s">
        <v>2624</v>
      </c>
      <c r="Y401" s="56" t="s">
        <v>2624</v>
      </c>
      <c r="Z401" s="56" t="s">
        <v>2624</v>
      </c>
      <c r="AA401" s="56" t="s">
        <v>457</v>
      </c>
      <c r="AB401" s="56">
        <v>14122855</v>
      </c>
      <c r="AC401" s="56" t="s">
        <v>457</v>
      </c>
      <c r="AD401" s="56">
        <v>14122855</v>
      </c>
      <c r="AE401" s="56" t="s">
        <v>2626</v>
      </c>
      <c r="AF401" s="56" t="s">
        <v>2627</v>
      </c>
      <c r="AG401" s="56" t="s">
        <v>2627</v>
      </c>
      <c r="AH401" s="56">
        <v>36</v>
      </c>
      <c r="AI401" s="56" t="s">
        <v>2628</v>
      </c>
      <c r="AJ401" s="56" t="s">
        <v>2629</v>
      </c>
      <c r="AK401" s="56">
        <v>0</v>
      </c>
      <c r="AL401" s="56" t="s">
        <v>2630</v>
      </c>
      <c r="AM401" s="56" t="s">
        <v>2631</v>
      </c>
      <c r="AN401" s="56" t="s">
        <v>2632</v>
      </c>
      <c r="AO401" s="56" t="s">
        <v>2627</v>
      </c>
      <c r="AP401" s="56" t="s">
        <v>2624</v>
      </c>
      <c r="AQ401" s="123">
        <v>1.5277777777777779E-2</v>
      </c>
      <c r="AR401" s="122">
        <v>-2.0833333333333259E-3</v>
      </c>
      <c r="AS401" s="56" t="s">
        <v>1048</v>
      </c>
      <c r="AT401" s="56" t="s">
        <v>1049</v>
      </c>
      <c r="AU401" s="56" t="s">
        <v>1050</v>
      </c>
      <c r="AV401" s="56">
        <v>36</v>
      </c>
      <c r="AW401" s="56" t="s">
        <v>1051</v>
      </c>
      <c r="AX401" s="56" t="s">
        <v>1312</v>
      </c>
      <c r="AY401" s="56" t="s">
        <v>1081</v>
      </c>
      <c r="AZ401" s="56" t="s">
        <v>1067</v>
      </c>
      <c r="BA401" s="56" t="s">
        <v>1313</v>
      </c>
      <c r="BB401" s="56" t="s">
        <v>1314</v>
      </c>
      <c r="BC401" s="56" t="s">
        <v>1057</v>
      </c>
      <c r="BD401" s="56" t="s">
        <v>3450</v>
      </c>
    </row>
    <row r="402" spans="1:56" x14ac:dyDescent="0.2">
      <c r="A402" s="56">
        <v>176682414</v>
      </c>
      <c r="B402" s="56" t="s">
        <v>1114</v>
      </c>
      <c r="C402" s="56" t="s">
        <v>2623</v>
      </c>
      <c r="D402" s="56" t="s">
        <v>1115</v>
      </c>
      <c r="E402" s="56" t="s">
        <v>1044</v>
      </c>
      <c r="F402" s="56">
        <v>98</v>
      </c>
      <c r="G402" s="56" t="s">
        <v>2670</v>
      </c>
      <c r="H402" s="56">
        <v>14692</v>
      </c>
      <c r="I402" s="56">
        <v>6</v>
      </c>
      <c r="J402" s="56" t="s">
        <v>1045</v>
      </c>
      <c r="K402" s="56" t="s">
        <v>1116</v>
      </c>
      <c r="L402" s="121">
        <v>46268</v>
      </c>
      <c r="M402" s="122">
        <v>0.22916666666666666</v>
      </c>
      <c r="N402" s="122">
        <v>0.2388888888888889</v>
      </c>
      <c r="O402" s="56" t="s">
        <v>1047</v>
      </c>
      <c r="P402" s="121">
        <v>46268</v>
      </c>
      <c r="Q402" s="122">
        <v>0.28125</v>
      </c>
      <c r="R402" s="122">
        <v>0.2722222222222222</v>
      </c>
      <c r="S402" s="56" t="s">
        <v>1047</v>
      </c>
      <c r="T402" s="56">
        <v>1</v>
      </c>
      <c r="U402" s="56">
        <v>31</v>
      </c>
      <c r="V402" s="56">
        <v>26.96</v>
      </c>
      <c r="W402" s="56">
        <v>26.84</v>
      </c>
      <c r="X402" s="56" t="s">
        <v>2624</v>
      </c>
      <c r="Y402" s="56" t="s">
        <v>2624</v>
      </c>
      <c r="Z402" s="56" t="s">
        <v>2624</v>
      </c>
      <c r="AA402" s="56" t="s">
        <v>958</v>
      </c>
      <c r="AB402" s="56">
        <v>14123725</v>
      </c>
      <c r="AC402" s="56" t="s">
        <v>958</v>
      </c>
      <c r="AD402" s="56">
        <v>14123725</v>
      </c>
      <c r="AE402" s="56" t="s">
        <v>2626</v>
      </c>
      <c r="AF402" s="56" t="s">
        <v>2627</v>
      </c>
      <c r="AG402" s="56" t="s">
        <v>2627</v>
      </c>
      <c r="AH402" s="56">
        <v>36</v>
      </c>
      <c r="AI402" s="56" t="s">
        <v>2628</v>
      </c>
      <c r="AJ402" s="56" t="s">
        <v>2629</v>
      </c>
      <c r="AK402" s="56">
        <v>0</v>
      </c>
      <c r="AL402" s="56" t="s">
        <v>2630</v>
      </c>
      <c r="AM402" s="56" t="s">
        <v>2631</v>
      </c>
      <c r="AN402" s="56" t="s">
        <v>2632</v>
      </c>
      <c r="AO402" s="56" t="s">
        <v>2627</v>
      </c>
      <c r="AP402" s="56" t="s">
        <v>2624</v>
      </c>
      <c r="AQ402" s="123">
        <v>9.7222222222222432E-3</v>
      </c>
      <c r="AR402" s="122">
        <v>-9.0277777777778012E-3</v>
      </c>
      <c r="AS402" s="56" t="s">
        <v>1048</v>
      </c>
      <c r="AT402" s="56" t="s">
        <v>1049</v>
      </c>
      <c r="AU402" s="56" t="s">
        <v>1050</v>
      </c>
      <c r="AV402" s="56">
        <v>36</v>
      </c>
      <c r="AW402" s="56" t="s">
        <v>1051</v>
      </c>
      <c r="AX402" s="56" t="s">
        <v>1117</v>
      </c>
      <c r="AY402" s="56" t="s">
        <v>1118</v>
      </c>
      <c r="AZ402" s="56" t="s">
        <v>1054</v>
      </c>
      <c r="BA402" s="56" t="s">
        <v>1119</v>
      </c>
      <c r="BB402" s="56" t="s">
        <v>1120</v>
      </c>
      <c r="BC402" s="56" t="s">
        <v>1057</v>
      </c>
      <c r="BD402" s="56" t="s">
        <v>1121</v>
      </c>
    </row>
    <row r="403" spans="1:56" x14ac:dyDescent="0.2">
      <c r="A403" s="56">
        <v>176677677</v>
      </c>
      <c r="B403" s="56" t="s">
        <v>2111</v>
      </c>
      <c r="C403" s="56" t="s">
        <v>2623</v>
      </c>
      <c r="D403" s="56" t="s">
        <v>1650</v>
      </c>
      <c r="E403" s="56" t="s">
        <v>1044</v>
      </c>
      <c r="F403" s="56">
        <v>44</v>
      </c>
      <c r="G403" s="56" t="s">
        <v>2670</v>
      </c>
      <c r="H403" s="56">
        <v>4985</v>
      </c>
      <c r="I403" s="56">
        <v>6</v>
      </c>
      <c r="J403" s="56" t="s">
        <v>1045</v>
      </c>
      <c r="K403" s="56" t="s">
        <v>1116</v>
      </c>
      <c r="L403" s="121">
        <v>46268</v>
      </c>
      <c r="M403" s="122">
        <v>0.2326388888888889</v>
      </c>
      <c r="N403" s="122">
        <v>0.24722222222222223</v>
      </c>
      <c r="O403" s="56" t="s">
        <v>1047</v>
      </c>
      <c r="P403" s="121">
        <v>46268</v>
      </c>
      <c r="Q403" s="122">
        <v>0.28125</v>
      </c>
      <c r="R403" s="122">
        <v>0.28194444444444444</v>
      </c>
      <c r="S403" s="56" t="s">
        <v>1047</v>
      </c>
      <c r="T403" s="56">
        <v>1</v>
      </c>
      <c r="U403" s="56">
        <v>27</v>
      </c>
      <c r="V403" s="56">
        <v>22.24</v>
      </c>
      <c r="W403" s="56">
        <v>22.82</v>
      </c>
      <c r="X403" s="56" t="s">
        <v>2624</v>
      </c>
      <c r="Y403" s="56" t="s">
        <v>2624</v>
      </c>
      <c r="Z403" s="56" t="s">
        <v>2624</v>
      </c>
      <c r="AA403" s="56" t="s">
        <v>983</v>
      </c>
      <c r="AB403" s="56">
        <v>14110336</v>
      </c>
      <c r="AC403" s="56" t="s">
        <v>983</v>
      </c>
      <c r="AD403" s="56">
        <v>14110336</v>
      </c>
      <c r="AE403" s="56" t="s">
        <v>2626</v>
      </c>
      <c r="AF403" s="56" t="s">
        <v>2627</v>
      </c>
      <c r="AG403" s="56" t="s">
        <v>2627</v>
      </c>
      <c r="AH403" s="56">
        <v>36</v>
      </c>
      <c r="AI403" s="56" t="s">
        <v>2628</v>
      </c>
      <c r="AJ403" s="56" t="s">
        <v>2640</v>
      </c>
      <c r="AK403" s="56">
        <v>0</v>
      </c>
      <c r="AL403" s="56" t="s">
        <v>2630</v>
      </c>
      <c r="AM403" s="56" t="s">
        <v>2631</v>
      </c>
      <c r="AN403" s="56" t="s">
        <v>2632</v>
      </c>
      <c r="AO403" s="56" t="s">
        <v>2627</v>
      </c>
      <c r="AP403" s="56">
        <v>39</v>
      </c>
      <c r="AQ403" s="123">
        <v>1.4583333333333337E-2</v>
      </c>
      <c r="AR403" s="122">
        <v>6.9444444444444198E-4</v>
      </c>
      <c r="AS403" s="56" t="s">
        <v>1048</v>
      </c>
      <c r="AT403" s="56" t="s">
        <v>1049</v>
      </c>
      <c r="AU403" s="56" t="s">
        <v>1050</v>
      </c>
      <c r="AV403" s="56">
        <v>36</v>
      </c>
      <c r="AW403" s="56" t="s">
        <v>1051</v>
      </c>
      <c r="AX403" s="56" t="s">
        <v>1651</v>
      </c>
      <c r="AY403" s="56" t="s">
        <v>1118</v>
      </c>
      <c r="AZ403" s="56" t="s">
        <v>1054</v>
      </c>
      <c r="BA403" s="56" t="s">
        <v>1652</v>
      </c>
      <c r="BB403" s="56" t="s">
        <v>1653</v>
      </c>
      <c r="BC403" s="56" t="s">
        <v>1057</v>
      </c>
      <c r="BD403" s="56" t="s">
        <v>3451</v>
      </c>
    </row>
    <row r="404" spans="1:56" x14ac:dyDescent="0.2">
      <c r="A404" s="56">
        <v>176672914</v>
      </c>
      <c r="B404" s="56" t="s">
        <v>1430</v>
      </c>
      <c r="C404" s="56" t="s">
        <v>2623</v>
      </c>
      <c r="D404" s="56" t="s">
        <v>1431</v>
      </c>
      <c r="E404" s="56" t="s">
        <v>1044</v>
      </c>
      <c r="F404" s="56">
        <v>1</v>
      </c>
      <c r="G404" s="56"/>
      <c r="H404" s="56">
        <v>7943</v>
      </c>
      <c r="I404" s="56">
        <v>7</v>
      </c>
      <c r="J404" s="56" t="s">
        <v>1045</v>
      </c>
      <c r="K404" s="56" t="s">
        <v>1428</v>
      </c>
      <c r="L404" s="121">
        <v>46268</v>
      </c>
      <c r="M404" s="122">
        <v>0.2361111111111111</v>
      </c>
      <c r="N404" s="122">
        <v>0.24374999999999999</v>
      </c>
      <c r="O404" s="56" t="s">
        <v>1047</v>
      </c>
      <c r="P404" s="121">
        <v>46268</v>
      </c>
      <c r="Q404" s="122">
        <v>0.33333333333333331</v>
      </c>
      <c r="R404" s="122">
        <v>0.3840277777777778</v>
      </c>
      <c r="S404" s="56" t="s">
        <v>1163</v>
      </c>
      <c r="T404" s="56">
        <v>0</v>
      </c>
      <c r="U404" s="56">
        <v>29</v>
      </c>
      <c r="V404" s="56">
        <v>4.67</v>
      </c>
      <c r="W404" s="56">
        <v>35.090000000000003</v>
      </c>
      <c r="X404" s="56">
        <v>36.9</v>
      </c>
      <c r="Y404" s="56">
        <v>1.81</v>
      </c>
      <c r="Z404" s="56">
        <v>0</v>
      </c>
      <c r="AA404" s="56"/>
      <c r="AB404" s="56"/>
      <c r="AC404" s="56" t="s">
        <v>1187</v>
      </c>
      <c r="AD404" s="56"/>
      <c r="AE404" s="56" t="s">
        <v>2626</v>
      </c>
      <c r="AF404" s="56" t="s">
        <v>2627</v>
      </c>
      <c r="AG404" s="56" t="s">
        <v>2627</v>
      </c>
      <c r="AH404" s="56">
        <v>36</v>
      </c>
      <c r="AI404" s="56" t="s">
        <v>2880</v>
      </c>
      <c r="AJ404" s="56" t="s">
        <v>2640</v>
      </c>
      <c r="AK404" s="56" t="s">
        <v>2624</v>
      </c>
      <c r="AL404" s="56">
        <v>0</v>
      </c>
      <c r="AM404" s="56" t="s">
        <v>2694</v>
      </c>
      <c r="AN404" s="56" t="s">
        <v>2632</v>
      </c>
      <c r="AO404" s="56" t="s">
        <v>2627</v>
      </c>
      <c r="AP404" s="56" t="s">
        <v>2624</v>
      </c>
      <c r="AQ404" s="123">
        <v>7.6388888888888895E-3</v>
      </c>
      <c r="AR404" s="122">
        <v>5.0694444444444486E-2</v>
      </c>
      <c r="AS404" s="56" t="s">
        <v>1048</v>
      </c>
      <c r="AT404" s="56" t="s">
        <v>1059</v>
      </c>
      <c r="AU404" s="56" t="s">
        <v>1060</v>
      </c>
      <c r="AV404" s="56">
        <v>36</v>
      </c>
      <c r="AW404" s="56" t="s">
        <v>1051</v>
      </c>
      <c r="AX404" s="56" t="s">
        <v>1432</v>
      </c>
      <c r="AY404" s="56" t="s">
        <v>1159</v>
      </c>
      <c r="AZ404" s="56" t="s">
        <v>1062</v>
      </c>
      <c r="BA404" s="56" t="s">
        <v>1433</v>
      </c>
      <c r="BB404" s="56" t="s">
        <v>1434</v>
      </c>
      <c r="BC404" s="56" t="s">
        <v>1057</v>
      </c>
      <c r="BD404" s="56" t="s">
        <v>1758</v>
      </c>
    </row>
    <row r="405" spans="1:56" x14ac:dyDescent="0.2">
      <c r="A405" s="56">
        <v>176683708</v>
      </c>
      <c r="B405" s="56" t="s">
        <v>1230</v>
      </c>
      <c r="C405" s="56" t="s">
        <v>2623</v>
      </c>
      <c r="D405" s="56" t="s">
        <v>1231</v>
      </c>
      <c r="E405" s="56" t="s">
        <v>1044</v>
      </c>
      <c r="F405" s="56">
        <v>139</v>
      </c>
      <c r="G405" s="56" t="s">
        <v>2693</v>
      </c>
      <c r="H405" s="56">
        <v>10359</v>
      </c>
      <c r="I405" s="56">
        <v>6</v>
      </c>
      <c r="J405" s="56" t="s">
        <v>1045</v>
      </c>
      <c r="K405" s="56" t="s">
        <v>1116</v>
      </c>
      <c r="L405" s="121">
        <v>46268</v>
      </c>
      <c r="M405" s="122">
        <v>0.2361111111111111</v>
      </c>
      <c r="N405" s="122">
        <v>0.24027777777777778</v>
      </c>
      <c r="O405" s="56" t="s">
        <v>1047</v>
      </c>
      <c r="P405" s="121">
        <v>46268</v>
      </c>
      <c r="Q405" s="122">
        <v>0.28125</v>
      </c>
      <c r="R405" s="122">
        <v>0.27430555555555558</v>
      </c>
      <c r="S405" s="56" t="s">
        <v>1047</v>
      </c>
      <c r="T405" s="56">
        <v>1</v>
      </c>
      <c r="U405" s="56">
        <v>23</v>
      </c>
      <c r="V405" s="56">
        <v>23.94</v>
      </c>
      <c r="W405" s="56">
        <v>26.35</v>
      </c>
      <c r="X405" s="56" t="s">
        <v>2624</v>
      </c>
      <c r="Y405" s="56" t="s">
        <v>2624</v>
      </c>
      <c r="Z405" s="56" t="s">
        <v>2624</v>
      </c>
      <c r="AA405" s="56" t="s">
        <v>1232</v>
      </c>
      <c r="AB405" s="56">
        <v>14112026</v>
      </c>
      <c r="AC405" s="56" t="s">
        <v>1232</v>
      </c>
      <c r="AD405" s="56">
        <v>14112026</v>
      </c>
      <c r="AE405" s="56" t="s">
        <v>2626</v>
      </c>
      <c r="AF405" s="56" t="s">
        <v>2627</v>
      </c>
      <c r="AG405" s="56" t="s">
        <v>2627</v>
      </c>
      <c r="AH405" s="56">
        <v>36</v>
      </c>
      <c r="AI405" s="56" t="s">
        <v>2628</v>
      </c>
      <c r="AJ405" s="56" t="s">
        <v>2629</v>
      </c>
      <c r="AK405" s="56">
        <v>0</v>
      </c>
      <c r="AL405" s="56" t="s">
        <v>2630</v>
      </c>
      <c r="AM405" s="56" t="s">
        <v>2631</v>
      </c>
      <c r="AN405" s="56" t="s">
        <v>2632</v>
      </c>
      <c r="AO405" s="56" t="s">
        <v>2627</v>
      </c>
      <c r="AP405" s="56">
        <v>20</v>
      </c>
      <c r="AQ405" s="123">
        <v>4.1666666666666796E-3</v>
      </c>
      <c r="AR405" s="122">
        <v>-6.9444444444444198E-3</v>
      </c>
      <c r="AS405" s="56" t="s">
        <v>1048</v>
      </c>
      <c r="AT405" s="56" t="s">
        <v>1049</v>
      </c>
      <c r="AU405" s="56" t="s">
        <v>1050</v>
      </c>
      <c r="AV405" s="56">
        <v>36</v>
      </c>
      <c r="AW405" s="56" t="s">
        <v>1051</v>
      </c>
      <c r="AX405" s="56" t="s">
        <v>1233</v>
      </c>
      <c r="AY405" s="56" t="s">
        <v>1128</v>
      </c>
      <c r="AZ405" s="56" t="s">
        <v>1054</v>
      </c>
      <c r="BA405" s="56" t="s">
        <v>1234</v>
      </c>
      <c r="BB405" s="56" t="s">
        <v>1235</v>
      </c>
      <c r="BC405" s="56" t="s">
        <v>1057</v>
      </c>
      <c r="BD405" s="56" t="s">
        <v>1236</v>
      </c>
    </row>
    <row r="406" spans="1:56" x14ac:dyDescent="0.2">
      <c r="A406" s="56">
        <v>176672655</v>
      </c>
      <c r="B406" s="56" t="s">
        <v>2105</v>
      </c>
      <c r="C406" s="56" t="s">
        <v>2623</v>
      </c>
      <c r="D406" s="56" t="s">
        <v>2106</v>
      </c>
      <c r="E406" s="56" t="s">
        <v>1044</v>
      </c>
      <c r="F406" s="56">
        <v>76</v>
      </c>
      <c r="G406" s="56" t="s">
        <v>3177</v>
      </c>
      <c r="H406" s="56">
        <v>15999</v>
      </c>
      <c r="I406" s="56">
        <v>6</v>
      </c>
      <c r="J406" s="56" t="s">
        <v>1045</v>
      </c>
      <c r="K406" s="56" t="s">
        <v>1296</v>
      </c>
      <c r="L406" s="121">
        <v>46268</v>
      </c>
      <c r="M406" s="122">
        <v>0.2388888888888889</v>
      </c>
      <c r="N406" s="122">
        <v>0.24305555555555555</v>
      </c>
      <c r="O406" s="56" t="s">
        <v>1047</v>
      </c>
      <c r="P406" s="121">
        <v>46268</v>
      </c>
      <c r="Q406" s="122">
        <v>0.2673611111111111</v>
      </c>
      <c r="R406" s="122">
        <v>0.25763888888888886</v>
      </c>
      <c r="S406" s="56" t="s">
        <v>1047</v>
      </c>
      <c r="T406" s="56">
        <v>1</v>
      </c>
      <c r="U406" s="56">
        <v>16</v>
      </c>
      <c r="V406" s="56">
        <v>7.78</v>
      </c>
      <c r="W406" s="56">
        <v>8.4700000000000006</v>
      </c>
      <c r="X406" s="56" t="s">
        <v>2624</v>
      </c>
      <c r="Y406" s="56" t="s">
        <v>2624</v>
      </c>
      <c r="Z406" s="56" t="s">
        <v>2624</v>
      </c>
      <c r="AA406" s="56" t="s">
        <v>18</v>
      </c>
      <c r="AB406" s="56">
        <v>14100733</v>
      </c>
      <c r="AC406" s="56" t="s">
        <v>18</v>
      </c>
      <c r="AD406" s="56">
        <v>14100733</v>
      </c>
      <c r="AE406" s="56" t="s">
        <v>2626</v>
      </c>
      <c r="AF406" s="56" t="s">
        <v>2627</v>
      </c>
      <c r="AG406" s="56" t="s">
        <v>2627</v>
      </c>
      <c r="AH406" s="56">
        <v>36</v>
      </c>
      <c r="AI406" s="56" t="s">
        <v>2628</v>
      </c>
      <c r="AJ406" s="56" t="s">
        <v>2629</v>
      </c>
      <c r="AK406" s="56">
        <v>0</v>
      </c>
      <c r="AL406" s="56" t="s">
        <v>2630</v>
      </c>
      <c r="AM406" s="56" t="s">
        <v>2631</v>
      </c>
      <c r="AN406" s="56" t="s">
        <v>2632</v>
      </c>
      <c r="AO406" s="56" t="s">
        <v>2627</v>
      </c>
      <c r="AP406" s="56">
        <v>433134</v>
      </c>
      <c r="AQ406" s="123">
        <v>4.1666666666666519E-3</v>
      </c>
      <c r="AR406" s="122">
        <v>-9.7222222222222432E-3</v>
      </c>
      <c r="AS406" s="56" t="s">
        <v>1048</v>
      </c>
      <c r="AT406" s="56" t="s">
        <v>1049</v>
      </c>
      <c r="AU406" s="56" t="s">
        <v>1050</v>
      </c>
      <c r="AV406" s="56">
        <v>36</v>
      </c>
      <c r="AW406" s="56" t="s">
        <v>1051</v>
      </c>
      <c r="AX406" s="56" t="s">
        <v>2107</v>
      </c>
      <c r="AY406" s="56" t="s">
        <v>1297</v>
      </c>
      <c r="AZ406" s="56" t="s">
        <v>1067</v>
      </c>
      <c r="BA406" s="56" t="s">
        <v>2108</v>
      </c>
      <c r="BB406" s="56" t="s">
        <v>2109</v>
      </c>
      <c r="BC406" s="56" t="s">
        <v>1057</v>
      </c>
      <c r="BD406" s="56" t="s">
        <v>2110</v>
      </c>
    </row>
    <row r="407" spans="1:56" x14ac:dyDescent="0.2">
      <c r="A407" s="56">
        <v>176677146</v>
      </c>
      <c r="B407" s="56" t="s">
        <v>1237</v>
      </c>
      <c r="C407" s="56" t="s">
        <v>2623</v>
      </c>
      <c r="D407" s="56" t="s">
        <v>1238</v>
      </c>
      <c r="E407" s="56" t="s">
        <v>1044</v>
      </c>
      <c r="F407" s="56">
        <v>26</v>
      </c>
      <c r="G407" s="56" t="s">
        <v>2670</v>
      </c>
      <c r="H407" s="56">
        <v>14670</v>
      </c>
      <c r="I407" s="56">
        <v>6</v>
      </c>
      <c r="J407" s="56" t="s">
        <v>1045</v>
      </c>
      <c r="K407" s="56" t="s">
        <v>1116</v>
      </c>
      <c r="L407" s="121">
        <v>46268</v>
      </c>
      <c r="M407" s="122">
        <v>0.23958333333333334</v>
      </c>
      <c r="N407" s="122">
        <v>0.26111111111111113</v>
      </c>
      <c r="O407" s="56" t="s">
        <v>1047</v>
      </c>
      <c r="P407" s="121">
        <v>46268</v>
      </c>
      <c r="Q407" s="122">
        <v>0.28125</v>
      </c>
      <c r="R407" s="122">
        <v>0.29097222222222224</v>
      </c>
      <c r="S407" s="56" t="s">
        <v>1047</v>
      </c>
      <c r="T407" s="56">
        <v>1</v>
      </c>
      <c r="U407" s="56">
        <v>23</v>
      </c>
      <c r="V407" s="56">
        <v>17.54</v>
      </c>
      <c r="W407" s="56">
        <v>16.989999999999998</v>
      </c>
      <c r="X407" s="56" t="s">
        <v>2624</v>
      </c>
      <c r="Y407" s="56" t="s">
        <v>2624</v>
      </c>
      <c r="Z407" s="56" t="s">
        <v>2624</v>
      </c>
      <c r="AA407" s="56"/>
      <c r="AB407" s="56"/>
      <c r="AC407" s="56" t="s">
        <v>1187</v>
      </c>
      <c r="AD407" s="56"/>
      <c r="AE407" s="56" t="s">
        <v>2626</v>
      </c>
      <c r="AF407" s="56" t="s">
        <v>2627</v>
      </c>
      <c r="AG407" s="56" t="s">
        <v>2627</v>
      </c>
      <c r="AH407" s="56">
        <v>36</v>
      </c>
      <c r="AI407" s="56" t="s">
        <v>2628</v>
      </c>
      <c r="AJ407" s="56" t="s">
        <v>2640</v>
      </c>
      <c r="AK407" s="56">
        <v>0</v>
      </c>
      <c r="AL407" s="56" t="s">
        <v>2630</v>
      </c>
      <c r="AM407" s="56" t="s">
        <v>2631</v>
      </c>
      <c r="AN407" s="56" t="s">
        <v>2632</v>
      </c>
      <c r="AO407" s="56" t="s">
        <v>2627</v>
      </c>
      <c r="AP407" s="56" t="s">
        <v>2624</v>
      </c>
      <c r="AQ407" s="123">
        <v>2.1527777777777785E-2</v>
      </c>
      <c r="AR407" s="122">
        <v>9.7222222222222432E-3</v>
      </c>
      <c r="AS407" s="56" t="s">
        <v>1048</v>
      </c>
      <c r="AT407" s="56" t="s">
        <v>1059</v>
      </c>
      <c r="AU407" s="56" t="s">
        <v>1060</v>
      </c>
      <c r="AV407" s="56">
        <v>36</v>
      </c>
      <c r="AW407" s="56" t="s">
        <v>1051</v>
      </c>
      <c r="AX407" s="56" t="s">
        <v>1239</v>
      </c>
      <c r="AY407" s="56" t="s">
        <v>1118</v>
      </c>
      <c r="AZ407" s="56" t="s">
        <v>1054</v>
      </c>
      <c r="BA407" s="56" t="s">
        <v>1240</v>
      </c>
      <c r="BB407" s="56" t="s">
        <v>1241</v>
      </c>
      <c r="BC407" s="56" t="s">
        <v>1057</v>
      </c>
      <c r="BD407" s="56" t="s">
        <v>1242</v>
      </c>
    </row>
    <row r="408" spans="1:56" x14ac:dyDescent="0.2">
      <c r="A408" s="56">
        <v>176685890</v>
      </c>
      <c r="B408" s="56" t="s">
        <v>3311</v>
      </c>
      <c r="C408" s="56" t="s">
        <v>2623</v>
      </c>
      <c r="D408" s="56" t="s">
        <v>3312</v>
      </c>
      <c r="E408" s="56" t="s">
        <v>1044</v>
      </c>
      <c r="F408" s="56">
        <v>258</v>
      </c>
      <c r="G408" s="56" t="s">
        <v>2693</v>
      </c>
      <c r="H408" s="56">
        <v>4539</v>
      </c>
      <c r="I408" s="56">
        <v>6</v>
      </c>
      <c r="J408" s="56" t="s">
        <v>1045</v>
      </c>
      <c r="K408" s="56" t="s">
        <v>1116</v>
      </c>
      <c r="L408" s="121">
        <v>46268</v>
      </c>
      <c r="M408" s="122">
        <v>0.25138888888888888</v>
      </c>
      <c r="N408" s="122">
        <v>0.25763888888888886</v>
      </c>
      <c r="O408" s="56" t="s">
        <v>1047</v>
      </c>
      <c r="P408" s="121">
        <v>46268</v>
      </c>
      <c r="Q408" s="122">
        <v>0.28125</v>
      </c>
      <c r="R408" s="122">
        <v>0.28541666666666665</v>
      </c>
      <c r="S408" s="56" t="s">
        <v>1047</v>
      </c>
      <c r="T408" s="56">
        <v>1</v>
      </c>
      <c r="U408" s="56">
        <v>15</v>
      </c>
      <c r="V408" s="56">
        <v>9.9499999999999993</v>
      </c>
      <c r="W408" s="56">
        <v>9.81</v>
      </c>
      <c r="X408" s="56" t="s">
        <v>2624</v>
      </c>
      <c r="Y408" s="56" t="s">
        <v>2624</v>
      </c>
      <c r="Z408" s="56" t="s">
        <v>2624</v>
      </c>
      <c r="AA408" s="56" t="s">
        <v>497</v>
      </c>
      <c r="AB408" s="56">
        <v>14123246</v>
      </c>
      <c r="AC408" s="56" t="s">
        <v>497</v>
      </c>
      <c r="AD408" s="56">
        <v>14123246</v>
      </c>
      <c r="AE408" s="56" t="s">
        <v>2626</v>
      </c>
      <c r="AF408" s="56" t="s">
        <v>2627</v>
      </c>
      <c r="AG408" s="56" t="s">
        <v>2627</v>
      </c>
      <c r="AH408" s="56">
        <v>36</v>
      </c>
      <c r="AI408" s="56" t="s">
        <v>2628</v>
      </c>
      <c r="AJ408" s="56" t="s">
        <v>2640</v>
      </c>
      <c r="AK408" s="56">
        <v>0</v>
      </c>
      <c r="AL408" s="56" t="s">
        <v>2630</v>
      </c>
      <c r="AM408" s="56" t="s">
        <v>2631</v>
      </c>
      <c r="AN408" s="56" t="s">
        <v>2632</v>
      </c>
      <c r="AO408" s="56" t="s">
        <v>2627</v>
      </c>
      <c r="AP408" s="56" t="s">
        <v>2624</v>
      </c>
      <c r="AQ408" s="123">
        <v>6.2499999999999778E-3</v>
      </c>
      <c r="AR408" s="122">
        <v>4.1666666666666519E-3</v>
      </c>
      <c r="AS408" s="56" t="s">
        <v>1048</v>
      </c>
      <c r="AT408" s="56" t="s">
        <v>1059</v>
      </c>
      <c r="AU408" s="56" t="s">
        <v>1060</v>
      </c>
      <c r="AV408" s="56">
        <v>36</v>
      </c>
      <c r="AW408" s="56" t="s">
        <v>1051</v>
      </c>
      <c r="AX408" s="56" t="s">
        <v>3313</v>
      </c>
      <c r="AY408" s="56" t="s">
        <v>1128</v>
      </c>
      <c r="AZ408" s="56" t="s">
        <v>1054</v>
      </c>
      <c r="BA408" s="56" t="s">
        <v>3314</v>
      </c>
      <c r="BB408" s="56" t="s">
        <v>3315</v>
      </c>
      <c r="BC408" s="56" t="s">
        <v>1057</v>
      </c>
      <c r="BD408" s="56" t="s">
        <v>3316</v>
      </c>
    </row>
    <row r="409" spans="1:56" x14ac:dyDescent="0.2">
      <c r="A409" s="56">
        <v>176678015</v>
      </c>
      <c r="B409" s="56" t="s">
        <v>1361</v>
      </c>
      <c r="C409" s="56" t="s">
        <v>2623</v>
      </c>
      <c r="D409" s="56" t="s">
        <v>1362</v>
      </c>
      <c r="E409" s="56" t="s">
        <v>1044</v>
      </c>
      <c r="F409" s="56">
        <v>28</v>
      </c>
      <c r="G409" s="56"/>
      <c r="H409" s="56">
        <v>15485</v>
      </c>
      <c r="I409" s="56">
        <v>6</v>
      </c>
      <c r="J409" s="56" t="s">
        <v>1045</v>
      </c>
      <c r="K409" s="56" t="s">
        <v>1046</v>
      </c>
      <c r="L409" s="121">
        <v>46268</v>
      </c>
      <c r="M409" s="122">
        <v>0.26041666666666669</v>
      </c>
      <c r="N409" s="122">
        <v>0.2638888888888889</v>
      </c>
      <c r="O409" s="56" t="s">
        <v>1047</v>
      </c>
      <c r="P409" s="121">
        <v>46268</v>
      </c>
      <c r="Q409" s="122">
        <v>0.3125</v>
      </c>
      <c r="R409" s="122">
        <v>0.31041666666666667</v>
      </c>
      <c r="S409" s="56" t="s">
        <v>1047</v>
      </c>
      <c r="T409" s="56">
        <v>1</v>
      </c>
      <c r="U409" s="56">
        <v>62</v>
      </c>
      <c r="V409" s="56">
        <v>58.96</v>
      </c>
      <c r="W409" s="56">
        <v>58.86</v>
      </c>
      <c r="X409" s="56" t="s">
        <v>2624</v>
      </c>
      <c r="Y409" s="56" t="s">
        <v>2624</v>
      </c>
      <c r="Z409" s="56" t="s">
        <v>2624</v>
      </c>
      <c r="AA409" s="56" t="s">
        <v>336</v>
      </c>
      <c r="AB409" s="56">
        <v>14110604</v>
      </c>
      <c r="AC409" s="56" t="s">
        <v>336</v>
      </c>
      <c r="AD409" s="56">
        <v>14110604</v>
      </c>
      <c r="AE409" s="56" t="s">
        <v>2626</v>
      </c>
      <c r="AF409" s="56" t="s">
        <v>2627</v>
      </c>
      <c r="AG409" s="56" t="s">
        <v>2627</v>
      </c>
      <c r="AH409" s="56">
        <v>36</v>
      </c>
      <c r="AI409" s="56" t="s">
        <v>2628</v>
      </c>
      <c r="AJ409" s="56" t="s">
        <v>2629</v>
      </c>
      <c r="AK409" s="56">
        <v>0</v>
      </c>
      <c r="AL409" s="56" t="s">
        <v>2630</v>
      </c>
      <c r="AM409" s="56" t="s">
        <v>2631</v>
      </c>
      <c r="AN409" s="56" t="s">
        <v>2632</v>
      </c>
      <c r="AO409" s="56" t="s">
        <v>2627</v>
      </c>
      <c r="AP409" s="56" t="s">
        <v>2624</v>
      </c>
      <c r="AQ409" s="123">
        <v>3.4722222222222099E-3</v>
      </c>
      <c r="AR409" s="122">
        <v>-2.0833333333333259E-3</v>
      </c>
      <c r="AS409" s="56" t="s">
        <v>1048</v>
      </c>
      <c r="AT409" s="56" t="s">
        <v>1049</v>
      </c>
      <c r="AU409" s="56" t="s">
        <v>1050</v>
      </c>
      <c r="AV409" s="56">
        <v>36</v>
      </c>
      <c r="AW409" s="56" t="s">
        <v>1051</v>
      </c>
      <c r="AX409" s="56" t="s">
        <v>1363</v>
      </c>
      <c r="AY409" s="56" t="s">
        <v>1053</v>
      </c>
      <c r="AZ409" s="56" t="s">
        <v>1054</v>
      </c>
      <c r="BA409" s="56" t="s">
        <v>1364</v>
      </c>
      <c r="BB409" s="56" t="s">
        <v>1365</v>
      </c>
      <c r="BC409" s="56" t="s">
        <v>1057</v>
      </c>
      <c r="BD409" s="56" t="s">
        <v>1366</v>
      </c>
    </row>
    <row r="410" spans="1:56" x14ac:dyDescent="0.2">
      <c r="A410" s="56">
        <v>176674131</v>
      </c>
      <c r="B410" s="56" t="s">
        <v>3452</v>
      </c>
      <c r="C410" s="56" t="s">
        <v>2623</v>
      </c>
      <c r="D410" s="56" t="s">
        <v>3453</v>
      </c>
      <c r="E410" s="56" t="s">
        <v>1044</v>
      </c>
      <c r="F410" s="56">
        <v>15</v>
      </c>
      <c r="G410" s="56"/>
      <c r="H410" s="56">
        <v>15283</v>
      </c>
      <c r="I410" s="56">
        <v>6</v>
      </c>
      <c r="J410" s="56" t="s">
        <v>1045</v>
      </c>
      <c r="K410" s="56" t="s">
        <v>1209</v>
      </c>
      <c r="L410" s="121">
        <v>46268</v>
      </c>
      <c r="M410" s="122">
        <v>0.27083333333333331</v>
      </c>
      <c r="N410" s="122">
        <v>0.27569444444444446</v>
      </c>
      <c r="O410" s="56" t="s">
        <v>1047</v>
      </c>
      <c r="P410" s="121">
        <v>46268</v>
      </c>
      <c r="Q410" s="122">
        <v>0.3298611111111111</v>
      </c>
      <c r="R410" s="122">
        <v>0.32916666666666666</v>
      </c>
      <c r="S410" s="56" t="s">
        <v>1047</v>
      </c>
      <c r="T410" s="56">
        <v>1</v>
      </c>
      <c r="U410" s="56">
        <v>59</v>
      </c>
      <c r="V410" s="56">
        <v>56</v>
      </c>
      <c r="W410" s="56">
        <v>56</v>
      </c>
      <c r="X410" s="56" t="s">
        <v>2624</v>
      </c>
      <c r="Y410" s="56" t="s">
        <v>2624</v>
      </c>
      <c r="Z410" s="56" t="s">
        <v>2624</v>
      </c>
      <c r="AA410" s="56" t="s">
        <v>282</v>
      </c>
      <c r="AB410" s="56">
        <v>14120270</v>
      </c>
      <c r="AC410" s="56" t="s">
        <v>282</v>
      </c>
      <c r="AD410" s="56">
        <v>14120270</v>
      </c>
      <c r="AE410" s="56" t="s">
        <v>2626</v>
      </c>
      <c r="AF410" s="56" t="s">
        <v>2627</v>
      </c>
      <c r="AG410" s="56" t="s">
        <v>2627</v>
      </c>
      <c r="AH410" s="56">
        <v>36</v>
      </c>
      <c r="AI410" s="56" t="s">
        <v>2628</v>
      </c>
      <c r="AJ410" s="56" t="s">
        <v>2629</v>
      </c>
      <c r="AK410" s="56">
        <v>2536</v>
      </c>
      <c r="AL410" s="56" t="s">
        <v>2630</v>
      </c>
      <c r="AM410" s="56" t="s">
        <v>2631</v>
      </c>
      <c r="AN410" s="56" t="s">
        <v>2632</v>
      </c>
      <c r="AO410" s="56" t="s">
        <v>2627</v>
      </c>
      <c r="AP410" s="56" t="s">
        <v>2624</v>
      </c>
      <c r="AQ410" s="123">
        <v>4.8611111111111494E-3</v>
      </c>
      <c r="AR410" s="122">
        <v>-6.9444444444444198E-4</v>
      </c>
      <c r="AS410" s="56" t="s">
        <v>1048</v>
      </c>
      <c r="AT410" s="56" t="s">
        <v>1049</v>
      </c>
      <c r="AU410" s="56" t="s">
        <v>1050</v>
      </c>
      <c r="AV410" s="56">
        <v>36</v>
      </c>
      <c r="AW410" s="56" t="s">
        <v>1051</v>
      </c>
      <c r="AX410" s="56" t="s">
        <v>3454</v>
      </c>
      <c r="AY410" s="56" t="s">
        <v>1061</v>
      </c>
      <c r="AZ410" s="56" t="s">
        <v>1062</v>
      </c>
      <c r="BA410" s="56" t="s">
        <v>3455</v>
      </c>
      <c r="BB410" s="56" t="s">
        <v>3456</v>
      </c>
      <c r="BC410" s="56" t="s">
        <v>1057</v>
      </c>
      <c r="BD410" s="56" t="s">
        <v>3457</v>
      </c>
    </row>
    <row r="411" spans="1:56" x14ac:dyDescent="0.2">
      <c r="A411" s="56">
        <v>176679568</v>
      </c>
      <c r="B411" s="56" t="s">
        <v>3317</v>
      </c>
      <c r="C411" s="56" t="s">
        <v>2623</v>
      </c>
      <c r="D411" s="56" t="s">
        <v>3318</v>
      </c>
      <c r="E411" s="56" t="s">
        <v>1044</v>
      </c>
      <c r="F411" s="56">
        <v>96</v>
      </c>
      <c r="G411" s="56" t="s">
        <v>2714</v>
      </c>
      <c r="H411" s="56">
        <v>5035</v>
      </c>
      <c r="I411" s="56">
        <v>6</v>
      </c>
      <c r="J411" s="56" t="s">
        <v>1045</v>
      </c>
      <c r="K411" s="56" t="s">
        <v>1374</v>
      </c>
      <c r="L411" s="121">
        <v>46268</v>
      </c>
      <c r="M411" s="122">
        <v>0.27083333333333331</v>
      </c>
      <c r="N411" s="122">
        <v>0.27569444444444446</v>
      </c>
      <c r="O411" s="56" t="s">
        <v>1047</v>
      </c>
      <c r="P411" s="121">
        <v>46268</v>
      </c>
      <c r="Q411" s="122">
        <v>0.34722222222222221</v>
      </c>
      <c r="R411" s="122">
        <v>0.32451388888888888</v>
      </c>
      <c r="S411" s="56" t="s">
        <v>1047</v>
      </c>
      <c r="T411" s="56">
        <v>1</v>
      </c>
      <c r="U411" s="56">
        <v>67</v>
      </c>
      <c r="V411" s="56">
        <v>65.05</v>
      </c>
      <c r="W411" s="56">
        <v>63.24</v>
      </c>
      <c r="X411" s="56" t="s">
        <v>2624</v>
      </c>
      <c r="Y411" s="56" t="s">
        <v>2624</v>
      </c>
      <c r="Z411" s="56" t="s">
        <v>2624</v>
      </c>
      <c r="AA411" s="56" t="s">
        <v>1460</v>
      </c>
      <c r="AB411" s="56">
        <v>14122035</v>
      </c>
      <c r="AC411" s="56" t="s">
        <v>1460</v>
      </c>
      <c r="AD411" s="56">
        <v>14122035</v>
      </c>
      <c r="AE411" s="56" t="s">
        <v>2626</v>
      </c>
      <c r="AF411" s="56" t="s">
        <v>2627</v>
      </c>
      <c r="AG411" s="56" t="s">
        <v>2627</v>
      </c>
      <c r="AH411" s="56">
        <v>36</v>
      </c>
      <c r="AI411" s="56" t="s">
        <v>2628</v>
      </c>
      <c r="AJ411" s="56" t="s">
        <v>2629</v>
      </c>
      <c r="AK411" s="56">
        <v>0</v>
      </c>
      <c r="AL411" s="56" t="s">
        <v>2630</v>
      </c>
      <c r="AM411" s="56" t="s">
        <v>2631</v>
      </c>
      <c r="AN411" s="56" t="s">
        <v>2632</v>
      </c>
      <c r="AO411" s="56" t="s">
        <v>2627</v>
      </c>
      <c r="AP411" s="56">
        <v>41</v>
      </c>
      <c r="AQ411" s="123">
        <v>4.8611111111111494E-3</v>
      </c>
      <c r="AR411" s="122">
        <v>-2.270833333333333E-2</v>
      </c>
      <c r="AS411" s="56" t="s">
        <v>1048</v>
      </c>
      <c r="AT411" s="56" t="s">
        <v>1049</v>
      </c>
      <c r="AU411" s="56" t="s">
        <v>1050</v>
      </c>
      <c r="AV411" s="56">
        <v>36</v>
      </c>
      <c r="AW411" s="56" t="s">
        <v>1051</v>
      </c>
      <c r="AX411" s="56" t="s">
        <v>3319</v>
      </c>
      <c r="AY411" s="56" t="s">
        <v>1375</v>
      </c>
      <c r="AZ411" s="56" t="s">
        <v>1067</v>
      </c>
      <c r="BA411" s="56" t="s">
        <v>3320</v>
      </c>
      <c r="BB411" s="56" t="s">
        <v>3321</v>
      </c>
      <c r="BC411" s="56" t="s">
        <v>1057</v>
      </c>
      <c r="BD411" s="56" t="s">
        <v>3322</v>
      </c>
    </row>
    <row r="412" spans="1:56" x14ac:dyDescent="0.2">
      <c r="A412" s="56">
        <v>176672465</v>
      </c>
      <c r="B412" s="56" t="s">
        <v>1367</v>
      </c>
      <c r="C412" s="56" t="s">
        <v>2623</v>
      </c>
      <c r="D412" s="56" t="s">
        <v>1368</v>
      </c>
      <c r="E412" s="56" t="s">
        <v>1044</v>
      </c>
      <c r="F412" s="56">
        <v>1</v>
      </c>
      <c r="G412" s="56" t="s">
        <v>2713</v>
      </c>
      <c r="H412" s="56">
        <v>16783</v>
      </c>
      <c r="I412" s="56">
        <v>6</v>
      </c>
      <c r="J412" s="56" t="s">
        <v>1045</v>
      </c>
      <c r="K412" s="56" t="s">
        <v>1091</v>
      </c>
      <c r="L412" s="121">
        <v>46268</v>
      </c>
      <c r="M412" s="122">
        <v>0.27430555555555558</v>
      </c>
      <c r="N412" s="122">
        <v>0.28958333333333336</v>
      </c>
      <c r="O412" s="56" t="s">
        <v>1047</v>
      </c>
      <c r="P412" s="121">
        <v>46268</v>
      </c>
      <c r="Q412" s="122">
        <v>0.33333333333333331</v>
      </c>
      <c r="R412" s="122">
        <v>0.34092592592592591</v>
      </c>
      <c r="S412" s="56" t="s">
        <v>1047</v>
      </c>
      <c r="T412" s="56">
        <v>1</v>
      </c>
      <c r="U412" s="56">
        <v>28</v>
      </c>
      <c r="V412" s="56">
        <v>24.76</v>
      </c>
      <c r="W412" s="56">
        <v>25.2</v>
      </c>
      <c r="X412" s="56" t="s">
        <v>2624</v>
      </c>
      <c r="Y412" s="56" t="s">
        <v>2624</v>
      </c>
      <c r="Z412" s="56" t="s">
        <v>2624</v>
      </c>
      <c r="AA412" s="56" t="s">
        <v>1805</v>
      </c>
      <c r="AB412" s="56">
        <v>14122067</v>
      </c>
      <c r="AC412" s="56" t="s">
        <v>1805</v>
      </c>
      <c r="AD412" s="56">
        <v>14122067</v>
      </c>
      <c r="AE412" s="56" t="s">
        <v>2626</v>
      </c>
      <c r="AF412" s="56" t="s">
        <v>2627</v>
      </c>
      <c r="AG412" s="56" t="s">
        <v>2627</v>
      </c>
      <c r="AH412" s="56">
        <v>36</v>
      </c>
      <c r="AI412" s="56" t="s">
        <v>2628</v>
      </c>
      <c r="AJ412" s="56" t="s">
        <v>2640</v>
      </c>
      <c r="AK412" s="56">
        <v>0</v>
      </c>
      <c r="AL412" s="56" t="s">
        <v>2630</v>
      </c>
      <c r="AM412" s="56" t="s">
        <v>2631</v>
      </c>
      <c r="AN412" s="56" t="s">
        <v>2632</v>
      </c>
      <c r="AO412" s="56" t="s">
        <v>2627</v>
      </c>
      <c r="AP412" s="56" t="s">
        <v>2624</v>
      </c>
      <c r="AQ412" s="123">
        <v>1.5277777777777779E-2</v>
      </c>
      <c r="AR412" s="122">
        <v>7.5925925925925952E-3</v>
      </c>
      <c r="AS412" s="56" t="s">
        <v>1048</v>
      </c>
      <c r="AT412" s="56" t="s">
        <v>1059</v>
      </c>
      <c r="AU412" s="56" t="s">
        <v>1060</v>
      </c>
      <c r="AV412" s="56">
        <v>36</v>
      </c>
      <c r="AW412" s="56" t="s">
        <v>1051</v>
      </c>
      <c r="AX412" s="56" t="s">
        <v>1370</v>
      </c>
      <c r="AY412" s="56" t="s">
        <v>1093</v>
      </c>
      <c r="AZ412" s="56" t="s">
        <v>1067</v>
      </c>
      <c r="BA412" s="56" t="s">
        <v>1371</v>
      </c>
      <c r="BB412" s="56" t="s">
        <v>1372</v>
      </c>
      <c r="BC412" s="56" t="s">
        <v>1057</v>
      </c>
      <c r="BD412" s="56" t="s">
        <v>1373</v>
      </c>
    </row>
    <row r="413" spans="1:56" x14ac:dyDescent="0.2">
      <c r="A413" s="56">
        <v>176679555</v>
      </c>
      <c r="B413" s="56" t="s">
        <v>2715</v>
      </c>
      <c r="C413" s="56" t="s">
        <v>2623</v>
      </c>
      <c r="D413" s="56" t="s">
        <v>2716</v>
      </c>
      <c r="E413" s="56" t="s">
        <v>1044</v>
      </c>
      <c r="F413" s="56">
        <v>83</v>
      </c>
      <c r="G413" s="56" t="s">
        <v>2714</v>
      </c>
      <c r="H413" s="56">
        <v>6353</v>
      </c>
      <c r="I413" s="56">
        <v>6</v>
      </c>
      <c r="J413" s="56" t="s">
        <v>1045</v>
      </c>
      <c r="K413" s="56" t="s">
        <v>1374</v>
      </c>
      <c r="L413" s="121">
        <v>46268</v>
      </c>
      <c r="M413" s="122">
        <v>0.27777777777777779</v>
      </c>
      <c r="N413" s="122">
        <v>0.28541666666666665</v>
      </c>
      <c r="O413" s="56" t="s">
        <v>1047</v>
      </c>
      <c r="P413" s="121">
        <v>46268</v>
      </c>
      <c r="Q413" s="122">
        <v>0.34722222222222221</v>
      </c>
      <c r="R413" s="122">
        <v>0.32516203703703705</v>
      </c>
      <c r="S413" s="56" t="s">
        <v>1047</v>
      </c>
      <c r="T413" s="56">
        <v>1</v>
      </c>
      <c r="U413" s="56">
        <v>35</v>
      </c>
      <c r="V413" s="56">
        <v>28.62</v>
      </c>
      <c r="W413" s="56">
        <v>28.2</v>
      </c>
      <c r="X413" s="56" t="s">
        <v>2624</v>
      </c>
      <c r="Y413" s="56" t="s">
        <v>2624</v>
      </c>
      <c r="Z413" s="56" t="s">
        <v>2624</v>
      </c>
      <c r="AA413" s="56" t="s">
        <v>1637</v>
      </c>
      <c r="AB413" s="56">
        <v>14121860</v>
      </c>
      <c r="AC413" s="56" t="s">
        <v>1637</v>
      </c>
      <c r="AD413" s="56">
        <v>14121860</v>
      </c>
      <c r="AE413" s="56" t="s">
        <v>2626</v>
      </c>
      <c r="AF413" s="56" t="s">
        <v>2627</v>
      </c>
      <c r="AG413" s="56" t="s">
        <v>2627</v>
      </c>
      <c r="AH413" s="56">
        <v>36</v>
      </c>
      <c r="AI413" s="56" t="s">
        <v>2628</v>
      </c>
      <c r="AJ413" s="56" t="s">
        <v>2629</v>
      </c>
      <c r="AK413" s="56">
        <v>0</v>
      </c>
      <c r="AL413" s="56" t="s">
        <v>2630</v>
      </c>
      <c r="AM413" s="56" t="s">
        <v>2631</v>
      </c>
      <c r="AN413" s="56" t="s">
        <v>2632</v>
      </c>
      <c r="AO413" s="56" t="s">
        <v>2627</v>
      </c>
      <c r="AP413" s="56" t="s">
        <v>2624</v>
      </c>
      <c r="AQ413" s="123">
        <v>7.6388888888888618E-3</v>
      </c>
      <c r="AR413" s="122">
        <v>-2.2060185185185155E-2</v>
      </c>
      <c r="AS413" s="56" t="s">
        <v>1048</v>
      </c>
      <c r="AT413" s="56" t="s">
        <v>1049</v>
      </c>
      <c r="AU413" s="56" t="s">
        <v>1050</v>
      </c>
      <c r="AV413" s="56">
        <v>36</v>
      </c>
      <c r="AW413" s="56" t="s">
        <v>1051</v>
      </c>
      <c r="AX413" s="56" t="s">
        <v>2717</v>
      </c>
      <c r="AY413" s="56" t="s">
        <v>1375</v>
      </c>
      <c r="AZ413" s="56" t="s">
        <v>1067</v>
      </c>
      <c r="BA413" s="56" t="s">
        <v>2718</v>
      </c>
      <c r="BB413" s="56" t="s">
        <v>2719</v>
      </c>
      <c r="BC413" s="56" t="s">
        <v>1057</v>
      </c>
      <c r="BD413" s="56" t="s">
        <v>2720</v>
      </c>
    </row>
    <row r="414" spans="1:56" x14ac:dyDescent="0.2">
      <c r="A414" s="56">
        <v>176679588</v>
      </c>
      <c r="B414" s="56" t="s">
        <v>1563</v>
      </c>
      <c r="C414" s="56" t="s">
        <v>2623</v>
      </c>
      <c r="D414" s="56" t="s">
        <v>1509</v>
      </c>
      <c r="E414" s="56" t="s">
        <v>1044</v>
      </c>
      <c r="F414" s="56">
        <v>116</v>
      </c>
      <c r="G414" s="56" t="s">
        <v>2727</v>
      </c>
      <c r="H414" s="56">
        <v>16768</v>
      </c>
      <c r="I414" s="56">
        <v>6</v>
      </c>
      <c r="J414" s="56" t="s">
        <v>1045</v>
      </c>
      <c r="K414" s="56" t="s">
        <v>1374</v>
      </c>
      <c r="L414" s="121">
        <v>46268</v>
      </c>
      <c r="M414" s="122">
        <v>0.28125</v>
      </c>
      <c r="N414" s="122">
        <v>0.28541666666666665</v>
      </c>
      <c r="O414" s="56" t="s">
        <v>1047</v>
      </c>
      <c r="P414" s="121">
        <v>46268</v>
      </c>
      <c r="Q414" s="122">
        <v>0.34722222222222221</v>
      </c>
      <c r="R414" s="122">
        <v>0.33289351851851851</v>
      </c>
      <c r="S414" s="56" t="s">
        <v>1047</v>
      </c>
      <c r="T414" s="56">
        <v>1</v>
      </c>
      <c r="U414" s="56">
        <v>43</v>
      </c>
      <c r="V414" s="56">
        <v>41.13</v>
      </c>
      <c r="W414" s="56">
        <v>41.2</v>
      </c>
      <c r="X414" s="56" t="s">
        <v>2624</v>
      </c>
      <c r="Y414" s="56" t="s">
        <v>2624</v>
      </c>
      <c r="Z414" s="56" t="s">
        <v>2624</v>
      </c>
      <c r="AA414" s="56" t="s">
        <v>15</v>
      </c>
      <c r="AB414" s="56">
        <v>14100729</v>
      </c>
      <c r="AC414" s="56" t="s">
        <v>15</v>
      </c>
      <c r="AD414" s="56">
        <v>14100729</v>
      </c>
      <c r="AE414" s="56" t="s">
        <v>2626</v>
      </c>
      <c r="AF414" s="56" t="s">
        <v>2627</v>
      </c>
      <c r="AG414" s="56" t="s">
        <v>2627</v>
      </c>
      <c r="AH414" s="56">
        <v>36</v>
      </c>
      <c r="AI414" s="56" t="s">
        <v>2628</v>
      </c>
      <c r="AJ414" s="56" t="s">
        <v>2629</v>
      </c>
      <c r="AK414" s="56">
        <v>0</v>
      </c>
      <c r="AL414" s="56" t="s">
        <v>2630</v>
      </c>
      <c r="AM414" s="56" t="s">
        <v>2631</v>
      </c>
      <c r="AN414" s="56" t="s">
        <v>2632</v>
      </c>
      <c r="AO414" s="56" t="s">
        <v>2627</v>
      </c>
      <c r="AP414" s="56">
        <v>38</v>
      </c>
      <c r="AQ414" s="123">
        <v>4.1666666666666519E-3</v>
      </c>
      <c r="AR414" s="122">
        <v>-1.4328703703703705E-2</v>
      </c>
      <c r="AS414" s="56" t="s">
        <v>1048</v>
      </c>
      <c r="AT414" s="56" t="s">
        <v>1049</v>
      </c>
      <c r="AU414" s="56" t="s">
        <v>1050</v>
      </c>
      <c r="AV414" s="56">
        <v>36</v>
      </c>
      <c r="AW414" s="56" t="s">
        <v>1051</v>
      </c>
      <c r="AX414" s="56" t="s">
        <v>1564</v>
      </c>
      <c r="AY414" s="56" t="s">
        <v>1375</v>
      </c>
      <c r="AZ414" s="56" t="s">
        <v>1067</v>
      </c>
      <c r="BA414" s="56" t="s">
        <v>1565</v>
      </c>
      <c r="BB414" s="56" t="s">
        <v>1566</v>
      </c>
      <c r="BC414" s="56" t="s">
        <v>1057</v>
      </c>
      <c r="BD414" s="56" t="s">
        <v>1567</v>
      </c>
    </row>
    <row r="415" spans="1:56" x14ac:dyDescent="0.2">
      <c r="A415" s="56">
        <v>176679585</v>
      </c>
      <c r="B415" s="56" t="s">
        <v>1381</v>
      </c>
      <c r="C415" s="56" t="s">
        <v>2623</v>
      </c>
      <c r="D415" s="56" t="s">
        <v>1382</v>
      </c>
      <c r="E415" s="56" t="s">
        <v>1044</v>
      </c>
      <c r="F415" s="56">
        <v>113</v>
      </c>
      <c r="G415" s="56" t="s">
        <v>2727</v>
      </c>
      <c r="H415" s="56">
        <v>5530</v>
      </c>
      <c r="I415" s="56">
        <v>6</v>
      </c>
      <c r="J415" s="56" t="s">
        <v>1045</v>
      </c>
      <c r="K415" s="56" t="s">
        <v>1374</v>
      </c>
      <c r="L415" s="121">
        <v>46268</v>
      </c>
      <c r="M415" s="122">
        <v>0.28333333333333333</v>
      </c>
      <c r="N415" s="122">
        <v>0.29652777777777778</v>
      </c>
      <c r="O415" s="56" t="s">
        <v>1047</v>
      </c>
      <c r="P415" s="121">
        <v>46268</v>
      </c>
      <c r="Q415" s="122">
        <v>0.34722222222222221</v>
      </c>
      <c r="R415" s="122">
        <v>0.33521990740740742</v>
      </c>
      <c r="S415" s="56" t="s">
        <v>1047</v>
      </c>
      <c r="T415" s="56">
        <v>1</v>
      </c>
      <c r="U415" s="56">
        <v>30</v>
      </c>
      <c r="V415" s="56">
        <v>25.04</v>
      </c>
      <c r="W415" s="56">
        <v>24.14</v>
      </c>
      <c r="X415" s="56" t="s">
        <v>2624</v>
      </c>
      <c r="Y415" s="56" t="s">
        <v>2624</v>
      </c>
      <c r="Z415" s="56" t="s">
        <v>2624</v>
      </c>
      <c r="AA415" s="56" t="s">
        <v>309</v>
      </c>
      <c r="AB415" s="56">
        <v>14120925</v>
      </c>
      <c r="AC415" s="56" t="s">
        <v>309</v>
      </c>
      <c r="AD415" s="56">
        <v>14120925</v>
      </c>
      <c r="AE415" s="56" t="s">
        <v>2626</v>
      </c>
      <c r="AF415" s="56" t="s">
        <v>2627</v>
      </c>
      <c r="AG415" s="56" t="s">
        <v>2627</v>
      </c>
      <c r="AH415" s="56">
        <v>36</v>
      </c>
      <c r="AI415" s="56" t="s">
        <v>2628</v>
      </c>
      <c r="AJ415" s="56" t="s">
        <v>2629</v>
      </c>
      <c r="AK415" s="56">
        <v>0</v>
      </c>
      <c r="AL415" s="56" t="s">
        <v>2630</v>
      </c>
      <c r="AM415" s="56" t="s">
        <v>2631</v>
      </c>
      <c r="AN415" s="56" t="s">
        <v>2632</v>
      </c>
      <c r="AO415" s="56" t="s">
        <v>2627</v>
      </c>
      <c r="AP415" s="56" t="s">
        <v>2624</v>
      </c>
      <c r="AQ415" s="123">
        <v>1.3194444444444453E-2</v>
      </c>
      <c r="AR415" s="122">
        <v>-1.2002314814814785E-2</v>
      </c>
      <c r="AS415" s="56" t="s">
        <v>1048</v>
      </c>
      <c r="AT415" s="56" t="s">
        <v>1049</v>
      </c>
      <c r="AU415" s="56" t="s">
        <v>1050</v>
      </c>
      <c r="AV415" s="56">
        <v>36</v>
      </c>
      <c r="AW415" s="56" t="s">
        <v>1051</v>
      </c>
      <c r="AX415" s="56" t="s">
        <v>1383</v>
      </c>
      <c r="AY415" s="56" t="s">
        <v>1375</v>
      </c>
      <c r="AZ415" s="56" t="s">
        <v>1067</v>
      </c>
      <c r="BA415" s="56" t="s">
        <v>1384</v>
      </c>
      <c r="BB415" s="56" t="s">
        <v>1385</v>
      </c>
      <c r="BC415" s="56" t="s">
        <v>1057</v>
      </c>
      <c r="BD415" s="56" t="s">
        <v>1386</v>
      </c>
    </row>
    <row r="416" spans="1:56" x14ac:dyDescent="0.2">
      <c r="A416" s="56">
        <v>176679548</v>
      </c>
      <c r="B416" s="56" t="s">
        <v>1387</v>
      </c>
      <c r="C416" s="56" t="s">
        <v>2623</v>
      </c>
      <c r="D416" s="56" t="s">
        <v>1388</v>
      </c>
      <c r="E416" s="56" t="s">
        <v>1044</v>
      </c>
      <c r="F416" s="56">
        <v>76</v>
      </c>
      <c r="G416" s="56" t="s">
        <v>2714</v>
      </c>
      <c r="H416" s="56">
        <v>13408</v>
      </c>
      <c r="I416" s="56">
        <v>6</v>
      </c>
      <c r="J416" s="56" t="s">
        <v>1045</v>
      </c>
      <c r="K416" s="56" t="s">
        <v>1374</v>
      </c>
      <c r="L416" s="121">
        <v>46268</v>
      </c>
      <c r="M416" s="122">
        <v>0.28472222222222221</v>
      </c>
      <c r="N416" s="122">
        <v>0.29583333333333334</v>
      </c>
      <c r="O416" s="56" t="s">
        <v>1047</v>
      </c>
      <c r="P416" s="121">
        <v>46268</v>
      </c>
      <c r="Q416" s="122">
        <v>0.34722222222222221</v>
      </c>
      <c r="R416" s="122">
        <v>0.33079861111111108</v>
      </c>
      <c r="S416" s="56" t="s">
        <v>1047</v>
      </c>
      <c r="T416" s="56">
        <v>1</v>
      </c>
      <c r="U416" s="56">
        <v>35</v>
      </c>
      <c r="V416" s="56">
        <v>33.72</v>
      </c>
      <c r="W416" s="56">
        <v>33.47</v>
      </c>
      <c r="X416" s="56" t="s">
        <v>2624</v>
      </c>
      <c r="Y416" s="56" t="s">
        <v>2624</v>
      </c>
      <c r="Z416" s="56" t="s">
        <v>2624</v>
      </c>
      <c r="AA416" s="56" t="s">
        <v>545</v>
      </c>
      <c r="AB416" s="56">
        <v>14123559</v>
      </c>
      <c r="AC416" s="56" t="s">
        <v>545</v>
      </c>
      <c r="AD416" s="56">
        <v>14123559</v>
      </c>
      <c r="AE416" s="56" t="s">
        <v>2626</v>
      </c>
      <c r="AF416" s="56" t="s">
        <v>2627</v>
      </c>
      <c r="AG416" s="56" t="s">
        <v>2627</v>
      </c>
      <c r="AH416" s="56">
        <v>36</v>
      </c>
      <c r="AI416" s="56" t="s">
        <v>2628</v>
      </c>
      <c r="AJ416" s="56" t="s">
        <v>2629</v>
      </c>
      <c r="AK416" s="56">
        <v>0</v>
      </c>
      <c r="AL416" s="56" t="s">
        <v>2630</v>
      </c>
      <c r="AM416" s="56" t="s">
        <v>2631</v>
      </c>
      <c r="AN416" s="56" t="s">
        <v>2632</v>
      </c>
      <c r="AO416" s="56" t="s">
        <v>2627</v>
      </c>
      <c r="AP416" s="56" t="s">
        <v>2624</v>
      </c>
      <c r="AQ416" s="123">
        <v>1.1111111111111127E-2</v>
      </c>
      <c r="AR416" s="122">
        <v>-1.6423611111111125E-2</v>
      </c>
      <c r="AS416" s="56" t="s">
        <v>1048</v>
      </c>
      <c r="AT416" s="56" t="s">
        <v>1049</v>
      </c>
      <c r="AU416" s="56" t="s">
        <v>1050</v>
      </c>
      <c r="AV416" s="56">
        <v>36</v>
      </c>
      <c r="AW416" s="56" t="s">
        <v>1051</v>
      </c>
      <c r="AX416" s="56" t="s">
        <v>1389</v>
      </c>
      <c r="AY416" s="56" t="s">
        <v>1375</v>
      </c>
      <c r="AZ416" s="56" t="s">
        <v>1067</v>
      </c>
      <c r="BA416" s="56" t="s">
        <v>1390</v>
      </c>
      <c r="BB416" s="56" t="s">
        <v>1391</v>
      </c>
      <c r="BC416" s="56" t="s">
        <v>1057</v>
      </c>
      <c r="BD416" s="56" t="s">
        <v>1392</v>
      </c>
    </row>
    <row r="417" spans="1:56" x14ac:dyDescent="0.2">
      <c r="A417" s="56">
        <v>176679567</v>
      </c>
      <c r="B417" s="56" t="s">
        <v>2165</v>
      </c>
      <c r="C417" s="56" t="s">
        <v>2623</v>
      </c>
      <c r="D417" s="56" t="s">
        <v>2166</v>
      </c>
      <c r="E417" s="56" t="s">
        <v>1044</v>
      </c>
      <c r="F417" s="56">
        <v>95</v>
      </c>
      <c r="G417" s="56" t="s">
        <v>2727</v>
      </c>
      <c r="H417" s="56">
        <v>16736</v>
      </c>
      <c r="I417" s="56">
        <v>6</v>
      </c>
      <c r="J417" s="56" t="s">
        <v>1045</v>
      </c>
      <c r="K417" s="56" t="s">
        <v>1374</v>
      </c>
      <c r="L417" s="121">
        <v>46268</v>
      </c>
      <c r="M417" s="122">
        <v>0.28472222222222221</v>
      </c>
      <c r="N417" s="122">
        <v>0.2951388888888889</v>
      </c>
      <c r="O417" s="56" t="s">
        <v>1047</v>
      </c>
      <c r="P417" s="121">
        <v>46268</v>
      </c>
      <c r="Q417" s="122">
        <v>0.34722222222222221</v>
      </c>
      <c r="R417" s="122">
        <v>0.32644675925925926</v>
      </c>
      <c r="S417" s="56" t="s">
        <v>1047</v>
      </c>
      <c r="T417" s="56">
        <v>1</v>
      </c>
      <c r="U417" s="56">
        <v>30</v>
      </c>
      <c r="V417" s="56">
        <v>27.26</v>
      </c>
      <c r="W417" s="56">
        <v>27.12</v>
      </c>
      <c r="X417" s="56" t="s">
        <v>2624</v>
      </c>
      <c r="Y417" s="56" t="s">
        <v>2624</v>
      </c>
      <c r="Z417" s="56" t="s">
        <v>2624</v>
      </c>
      <c r="AA417" s="56" t="s">
        <v>19</v>
      </c>
      <c r="AB417" s="56">
        <v>14100740</v>
      </c>
      <c r="AC417" s="56" t="s">
        <v>19</v>
      </c>
      <c r="AD417" s="56">
        <v>14100740</v>
      </c>
      <c r="AE417" s="56" t="s">
        <v>2626</v>
      </c>
      <c r="AF417" s="56" t="s">
        <v>2627</v>
      </c>
      <c r="AG417" s="56" t="s">
        <v>2627</v>
      </c>
      <c r="AH417" s="56">
        <v>36</v>
      </c>
      <c r="AI417" s="56" t="s">
        <v>2628</v>
      </c>
      <c r="AJ417" s="56" t="s">
        <v>2629</v>
      </c>
      <c r="AK417" s="56">
        <v>0</v>
      </c>
      <c r="AL417" s="56" t="s">
        <v>2630</v>
      </c>
      <c r="AM417" s="56" t="s">
        <v>2631</v>
      </c>
      <c r="AN417" s="56" t="s">
        <v>2632</v>
      </c>
      <c r="AO417" s="56" t="s">
        <v>2627</v>
      </c>
      <c r="AP417" s="56" t="s">
        <v>2624</v>
      </c>
      <c r="AQ417" s="123">
        <v>1.0416666666666685E-2</v>
      </c>
      <c r="AR417" s="122">
        <v>-2.0775462962962954E-2</v>
      </c>
      <c r="AS417" s="56" t="s">
        <v>1048</v>
      </c>
      <c r="AT417" s="56" t="s">
        <v>1049</v>
      </c>
      <c r="AU417" s="56" t="s">
        <v>1050</v>
      </c>
      <c r="AV417" s="56">
        <v>36</v>
      </c>
      <c r="AW417" s="56" t="s">
        <v>1051</v>
      </c>
      <c r="AX417" s="56" t="s">
        <v>2167</v>
      </c>
      <c r="AY417" s="56" t="s">
        <v>1375</v>
      </c>
      <c r="AZ417" s="56" t="s">
        <v>1067</v>
      </c>
      <c r="BA417" s="56" t="s">
        <v>2168</v>
      </c>
      <c r="BB417" s="56" t="s">
        <v>2169</v>
      </c>
      <c r="BC417" s="56" t="s">
        <v>1057</v>
      </c>
      <c r="BD417" s="56" t="s">
        <v>2170</v>
      </c>
    </row>
    <row r="418" spans="1:56" x14ac:dyDescent="0.2">
      <c r="A418" s="56">
        <v>176679600</v>
      </c>
      <c r="B418" s="56" t="s">
        <v>3458</v>
      </c>
      <c r="C418" s="56" t="s">
        <v>2623</v>
      </c>
      <c r="D418" s="56" t="s">
        <v>3459</v>
      </c>
      <c r="E418" s="56" t="s">
        <v>1044</v>
      </c>
      <c r="F418" s="56">
        <v>129</v>
      </c>
      <c r="G418" s="56" t="s">
        <v>2727</v>
      </c>
      <c r="H418" s="56">
        <v>14689</v>
      </c>
      <c r="I418" s="56">
        <v>6</v>
      </c>
      <c r="J418" s="56" t="s">
        <v>1045</v>
      </c>
      <c r="K418" s="56" t="s">
        <v>1374</v>
      </c>
      <c r="L418" s="121">
        <v>46268</v>
      </c>
      <c r="M418" s="122">
        <v>0.28680555555555554</v>
      </c>
      <c r="N418" s="122">
        <v>0.29375000000000001</v>
      </c>
      <c r="O418" s="56" t="s">
        <v>1047</v>
      </c>
      <c r="P418" s="121">
        <v>46268</v>
      </c>
      <c r="Q418" s="122">
        <v>0.34722222222222221</v>
      </c>
      <c r="R418" s="122">
        <v>0.34122685185185186</v>
      </c>
      <c r="S418" s="56" t="s">
        <v>1047</v>
      </c>
      <c r="T418" s="56">
        <v>1</v>
      </c>
      <c r="U418" s="56">
        <v>32</v>
      </c>
      <c r="V418" s="56">
        <v>30.94</v>
      </c>
      <c r="W418" s="56">
        <v>32.61</v>
      </c>
      <c r="X418" s="56" t="s">
        <v>2624</v>
      </c>
      <c r="Y418" s="56" t="s">
        <v>2624</v>
      </c>
      <c r="Z418" s="56" t="s">
        <v>2624</v>
      </c>
      <c r="AA418" s="56" t="s">
        <v>524</v>
      </c>
      <c r="AB418" s="56">
        <v>14123463</v>
      </c>
      <c r="AC418" s="56" t="s">
        <v>524</v>
      </c>
      <c r="AD418" s="56">
        <v>14123463</v>
      </c>
      <c r="AE418" s="56" t="s">
        <v>2626</v>
      </c>
      <c r="AF418" s="56" t="s">
        <v>2627</v>
      </c>
      <c r="AG418" s="56" t="s">
        <v>2627</v>
      </c>
      <c r="AH418" s="56">
        <v>36</v>
      </c>
      <c r="AI418" s="56" t="s">
        <v>2628</v>
      </c>
      <c r="AJ418" s="56" t="s">
        <v>2629</v>
      </c>
      <c r="AK418" s="56">
        <v>0</v>
      </c>
      <c r="AL418" s="56" t="s">
        <v>2630</v>
      </c>
      <c r="AM418" s="56" t="s">
        <v>2631</v>
      </c>
      <c r="AN418" s="56" t="s">
        <v>2632</v>
      </c>
      <c r="AO418" s="56" t="s">
        <v>2627</v>
      </c>
      <c r="AP418" s="56" t="s">
        <v>2624</v>
      </c>
      <c r="AQ418" s="123">
        <v>6.9444444444444753E-3</v>
      </c>
      <c r="AR418" s="122">
        <v>-5.9953703703703454E-3</v>
      </c>
      <c r="AS418" s="56" t="s">
        <v>1048</v>
      </c>
      <c r="AT418" s="56" t="s">
        <v>1049</v>
      </c>
      <c r="AU418" s="56" t="s">
        <v>1050</v>
      </c>
      <c r="AV418" s="56">
        <v>36</v>
      </c>
      <c r="AW418" s="56" t="s">
        <v>1051</v>
      </c>
      <c r="AX418" s="56" t="s">
        <v>3460</v>
      </c>
      <c r="AY418" s="56" t="s">
        <v>1375</v>
      </c>
      <c r="AZ418" s="56" t="s">
        <v>1067</v>
      </c>
      <c r="BA418" s="56" t="s">
        <v>3461</v>
      </c>
      <c r="BB418" s="56" t="s">
        <v>3462</v>
      </c>
      <c r="BC418" s="56" t="s">
        <v>1057</v>
      </c>
      <c r="BD418" s="56" t="s">
        <v>3463</v>
      </c>
    </row>
    <row r="419" spans="1:56" x14ac:dyDescent="0.2">
      <c r="A419" s="56">
        <v>176679593</v>
      </c>
      <c r="B419" s="56" t="s">
        <v>3330</v>
      </c>
      <c r="C419" s="56" t="s">
        <v>2623</v>
      </c>
      <c r="D419" s="56" t="s">
        <v>3331</v>
      </c>
      <c r="E419" s="56" t="s">
        <v>1044</v>
      </c>
      <c r="F419" s="56">
        <v>121</v>
      </c>
      <c r="G419" s="56" t="s">
        <v>3329</v>
      </c>
      <c r="H419" s="56">
        <v>16004</v>
      </c>
      <c r="I419" s="56">
        <v>6</v>
      </c>
      <c r="J419" s="56" t="s">
        <v>1045</v>
      </c>
      <c r="K419" s="56" t="s">
        <v>1374</v>
      </c>
      <c r="L419" s="121">
        <v>46268</v>
      </c>
      <c r="M419" s="122">
        <v>0.28819444444444442</v>
      </c>
      <c r="N419" s="122">
        <v>0.29652777777777778</v>
      </c>
      <c r="O419" s="56" t="s">
        <v>1047</v>
      </c>
      <c r="P419" s="121">
        <v>46268</v>
      </c>
      <c r="Q419" s="122">
        <v>0.34722222222222221</v>
      </c>
      <c r="R419" s="122">
        <v>0.34575231481481483</v>
      </c>
      <c r="S419" s="56" t="s">
        <v>1047</v>
      </c>
      <c r="T419" s="56">
        <v>1</v>
      </c>
      <c r="U419" s="56">
        <v>29</v>
      </c>
      <c r="V419" s="56">
        <v>30.43</v>
      </c>
      <c r="W419" s="56">
        <v>34.159999999999997</v>
      </c>
      <c r="X419" s="56" t="s">
        <v>2624</v>
      </c>
      <c r="Y419" s="56" t="s">
        <v>2624</v>
      </c>
      <c r="Z419" s="56" t="s">
        <v>2624</v>
      </c>
      <c r="AA419" s="56" t="s">
        <v>541</v>
      </c>
      <c r="AB419" s="56">
        <v>14123530</v>
      </c>
      <c r="AC419" s="56" t="s">
        <v>541</v>
      </c>
      <c r="AD419" s="56">
        <v>14123530</v>
      </c>
      <c r="AE419" s="56" t="s">
        <v>2626</v>
      </c>
      <c r="AF419" s="56" t="s">
        <v>2627</v>
      </c>
      <c r="AG419" s="56" t="s">
        <v>2627</v>
      </c>
      <c r="AH419" s="56">
        <v>36</v>
      </c>
      <c r="AI419" s="56" t="s">
        <v>2628</v>
      </c>
      <c r="AJ419" s="56" t="s">
        <v>2629</v>
      </c>
      <c r="AK419" s="56">
        <v>0</v>
      </c>
      <c r="AL419" s="56" t="s">
        <v>2630</v>
      </c>
      <c r="AM419" s="56" t="s">
        <v>2631</v>
      </c>
      <c r="AN419" s="56" t="s">
        <v>2632</v>
      </c>
      <c r="AO419" s="56" t="s">
        <v>2627</v>
      </c>
      <c r="AP419" s="56">
        <v>38</v>
      </c>
      <c r="AQ419" s="123">
        <v>8.3333333333333592E-3</v>
      </c>
      <c r="AR419" s="122">
        <v>-1.4699074074073781E-3</v>
      </c>
      <c r="AS419" s="56" t="s">
        <v>1048</v>
      </c>
      <c r="AT419" s="56" t="s">
        <v>1049</v>
      </c>
      <c r="AU419" s="56" t="s">
        <v>1050</v>
      </c>
      <c r="AV419" s="56">
        <v>36</v>
      </c>
      <c r="AW419" s="56" t="s">
        <v>1051</v>
      </c>
      <c r="AX419" s="56" t="s">
        <v>3332</v>
      </c>
      <c r="AY419" s="56" t="s">
        <v>1375</v>
      </c>
      <c r="AZ419" s="56" t="s">
        <v>1067</v>
      </c>
      <c r="BA419" s="56" t="s">
        <v>3333</v>
      </c>
      <c r="BB419" s="56" t="s">
        <v>3334</v>
      </c>
      <c r="BC419" s="56" t="s">
        <v>1057</v>
      </c>
      <c r="BD419" s="56" t="s">
        <v>3335</v>
      </c>
    </row>
    <row r="420" spans="1:56" x14ac:dyDescent="0.2">
      <c r="A420" s="56">
        <v>176679581</v>
      </c>
      <c r="B420" s="56" t="s">
        <v>1398</v>
      </c>
      <c r="C420" s="56" t="s">
        <v>2623</v>
      </c>
      <c r="D420" s="56" t="s">
        <v>1399</v>
      </c>
      <c r="E420" s="56" t="s">
        <v>1044</v>
      </c>
      <c r="F420" s="56">
        <v>109</v>
      </c>
      <c r="G420" s="56" t="s">
        <v>2727</v>
      </c>
      <c r="H420" s="56">
        <v>15995</v>
      </c>
      <c r="I420" s="56">
        <v>6</v>
      </c>
      <c r="J420" s="56" t="s">
        <v>1045</v>
      </c>
      <c r="K420" s="56" t="s">
        <v>1374</v>
      </c>
      <c r="L420" s="121">
        <v>46268</v>
      </c>
      <c r="M420" s="122">
        <v>0.2951388888888889</v>
      </c>
      <c r="N420" s="122">
        <v>0.30138888888888887</v>
      </c>
      <c r="O420" s="56" t="s">
        <v>1047</v>
      </c>
      <c r="P420" s="121">
        <v>46268</v>
      </c>
      <c r="Q420" s="122">
        <v>0.34722222222222221</v>
      </c>
      <c r="R420" s="122">
        <v>0.33826388888888886</v>
      </c>
      <c r="S420" s="56" t="s">
        <v>1047</v>
      </c>
      <c r="T420" s="56">
        <v>1</v>
      </c>
      <c r="U420" s="56">
        <v>22</v>
      </c>
      <c r="V420" s="56">
        <v>17.96</v>
      </c>
      <c r="W420" s="56">
        <v>16.36</v>
      </c>
      <c r="X420" s="56" t="s">
        <v>2624</v>
      </c>
      <c r="Y420" s="56" t="s">
        <v>2624</v>
      </c>
      <c r="Z420" s="56" t="s">
        <v>2624</v>
      </c>
      <c r="AA420" s="56" t="s">
        <v>311</v>
      </c>
      <c r="AB420" s="56">
        <v>14121015</v>
      </c>
      <c r="AC420" s="56" t="s">
        <v>311</v>
      </c>
      <c r="AD420" s="56">
        <v>14121015</v>
      </c>
      <c r="AE420" s="56" t="s">
        <v>2626</v>
      </c>
      <c r="AF420" s="56" t="s">
        <v>2627</v>
      </c>
      <c r="AG420" s="56" t="s">
        <v>2627</v>
      </c>
      <c r="AH420" s="56">
        <v>36</v>
      </c>
      <c r="AI420" s="56" t="s">
        <v>2628</v>
      </c>
      <c r="AJ420" s="56" t="s">
        <v>2629</v>
      </c>
      <c r="AK420" s="56">
        <v>0</v>
      </c>
      <c r="AL420" s="56" t="s">
        <v>2630</v>
      </c>
      <c r="AM420" s="56" t="s">
        <v>2631</v>
      </c>
      <c r="AN420" s="56" t="s">
        <v>2632</v>
      </c>
      <c r="AO420" s="56" t="s">
        <v>2627</v>
      </c>
      <c r="AP420" s="56" t="s">
        <v>2624</v>
      </c>
      <c r="AQ420" s="123">
        <v>6.2499999999999778E-3</v>
      </c>
      <c r="AR420" s="122">
        <v>-8.9583333333333459E-3</v>
      </c>
      <c r="AS420" s="56" t="s">
        <v>1048</v>
      </c>
      <c r="AT420" s="56" t="s">
        <v>1049</v>
      </c>
      <c r="AU420" s="56" t="s">
        <v>1050</v>
      </c>
      <c r="AV420" s="56">
        <v>36</v>
      </c>
      <c r="AW420" s="56" t="s">
        <v>1051</v>
      </c>
      <c r="AX420" s="56" t="s">
        <v>1400</v>
      </c>
      <c r="AY420" s="56" t="s">
        <v>1375</v>
      </c>
      <c r="AZ420" s="56" t="s">
        <v>1067</v>
      </c>
      <c r="BA420" s="56" t="s">
        <v>1401</v>
      </c>
      <c r="BB420" s="56" t="s">
        <v>1402</v>
      </c>
      <c r="BC420" s="56" t="s">
        <v>1057</v>
      </c>
      <c r="BD420" s="56" t="s">
        <v>1403</v>
      </c>
    </row>
    <row r="421" spans="1:56" x14ac:dyDescent="0.2">
      <c r="A421" s="56">
        <v>176679553</v>
      </c>
      <c r="B421" s="56" t="s">
        <v>2235</v>
      </c>
      <c r="C421" s="56" t="s">
        <v>2623</v>
      </c>
      <c r="D421" s="56" t="s">
        <v>1180</v>
      </c>
      <c r="E421" s="56" t="s">
        <v>1044</v>
      </c>
      <c r="F421" s="56">
        <v>81</v>
      </c>
      <c r="G421" s="56" t="s">
        <v>2727</v>
      </c>
      <c r="H421" s="56">
        <v>13375</v>
      </c>
      <c r="I421" s="56">
        <v>6</v>
      </c>
      <c r="J421" s="56" t="s">
        <v>1045</v>
      </c>
      <c r="K421" s="56" t="s">
        <v>1374</v>
      </c>
      <c r="L421" s="121">
        <v>46268</v>
      </c>
      <c r="M421" s="122">
        <v>0.2986111111111111</v>
      </c>
      <c r="N421" s="122">
        <v>0.30972222222222223</v>
      </c>
      <c r="O421" s="56" t="s">
        <v>1047</v>
      </c>
      <c r="P421" s="121">
        <v>46268</v>
      </c>
      <c r="Q421" s="122">
        <v>0.34722222222222221</v>
      </c>
      <c r="R421" s="122">
        <v>0.33780092592592592</v>
      </c>
      <c r="S421" s="56" t="s">
        <v>1047</v>
      </c>
      <c r="T421" s="56">
        <v>1</v>
      </c>
      <c r="U421" s="56">
        <v>29</v>
      </c>
      <c r="V421" s="56">
        <v>16.809999999999999</v>
      </c>
      <c r="W421" s="56">
        <v>16.899999999999999</v>
      </c>
      <c r="X421" s="56" t="s">
        <v>2624</v>
      </c>
      <c r="Y421" s="56" t="s">
        <v>2624</v>
      </c>
      <c r="Z421" s="56" t="s">
        <v>2624</v>
      </c>
      <c r="AA421" s="56" t="s">
        <v>460</v>
      </c>
      <c r="AB421" s="56">
        <v>14122873</v>
      </c>
      <c r="AC421" s="56" t="s">
        <v>460</v>
      </c>
      <c r="AD421" s="56">
        <v>14122873</v>
      </c>
      <c r="AE421" s="56" t="s">
        <v>2626</v>
      </c>
      <c r="AF421" s="56" t="s">
        <v>2627</v>
      </c>
      <c r="AG421" s="56" t="s">
        <v>2627</v>
      </c>
      <c r="AH421" s="56">
        <v>36</v>
      </c>
      <c r="AI421" s="56" t="s">
        <v>2628</v>
      </c>
      <c r="AJ421" s="56" t="s">
        <v>2629</v>
      </c>
      <c r="AK421" s="56">
        <v>0</v>
      </c>
      <c r="AL421" s="56" t="s">
        <v>2630</v>
      </c>
      <c r="AM421" s="56" t="s">
        <v>2631</v>
      </c>
      <c r="AN421" s="56" t="s">
        <v>2632</v>
      </c>
      <c r="AO421" s="56" t="s">
        <v>2627</v>
      </c>
      <c r="AP421" s="56" t="s">
        <v>2624</v>
      </c>
      <c r="AQ421" s="123">
        <v>1.1111111111111127E-2</v>
      </c>
      <c r="AR421" s="122">
        <v>-9.4212962962962887E-3</v>
      </c>
      <c r="AS421" s="56" t="s">
        <v>1048</v>
      </c>
      <c r="AT421" s="56" t="s">
        <v>1049</v>
      </c>
      <c r="AU421" s="56" t="s">
        <v>1050</v>
      </c>
      <c r="AV421" s="56">
        <v>36</v>
      </c>
      <c r="AW421" s="56" t="s">
        <v>1051</v>
      </c>
      <c r="AX421" s="56" t="s">
        <v>2236</v>
      </c>
      <c r="AY421" s="56" t="s">
        <v>1375</v>
      </c>
      <c r="AZ421" s="56" t="s">
        <v>1067</v>
      </c>
      <c r="BA421" s="56" t="s">
        <v>2237</v>
      </c>
      <c r="BB421" s="56" t="s">
        <v>2238</v>
      </c>
      <c r="BC421" s="56" t="s">
        <v>1057</v>
      </c>
      <c r="BD421" s="56" t="s">
        <v>2239</v>
      </c>
    </row>
    <row r="422" spans="1:56" x14ac:dyDescent="0.2">
      <c r="A422" s="56">
        <v>176679546</v>
      </c>
      <c r="B422" s="56" t="s">
        <v>3464</v>
      </c>
      <c r="C422" s="56" t="s">
        <v>2623</v>
      </c>
      <c r="D422" s="56" t="s">
        <v>1111</v>
      </c>
      <c r="E422" s="56" t="s">
        <v>1044</v>
      </c>
      <c r="F422" s="56">
        <v>74</v>
      </c>
      <c r="G422" s="56" t="s">
        <v>2714</v>
      </c>
      <c r="H422" s="56">
        <v>17343</v>
      </c>
      <c r="I422" s="56">
        <v>6</v>
      </c>
      <c r="J422" s="56" t="s">
        <v>1045</v>
      </c>
      <c r="K422" s="56" t="s">
        <v>1374</v>
      </c>
      <c r="L422" s="121">
        <v>46268</v>
      </c>
      <c r="M422" s="122">
        <v>0.3125</v>
      </c>
      <c r="N422" s="122">
        <v>0.31597222222222221</v>
      </c>
      <c r="O422" s="56" t="s">
        <v>1047</v>
      </c>
      <c r="P422" s="121">
        <v>46268</v>
      </c>
      <c r="Q422" s="122">
        <v>0.34722222222222221</v>
      </c>
      <c r="R422" s="122">
        <v>0.33180555555555558</v>
      </c>
      <c r="S422" s="56" t="s">
        <v>1047</v>
      </c>
      <c r="T422" s="56">
        <v>1</v>
      </c>
      <c r="U422" s="56">
        <v>9</v>
      </c>
      <c r="V422" s="56">
        <v>8.58</v>
      </c>
      <c r="W422" s="56">
        <v>8.65</v>
      </c>
      <c r="X422" s="56" t="s">
        <v>2624</v>
      </c>
      <c r="Y422" s="56" t="s">
        <v>2624</v>
      </c>
      <c r="Z422" s="56" t="s">
        <v>2624</v>
      </c>
      <c r="AA422" s="56" t="s">
        <v>140</v>
      </c>
      <c r="AB422" s="56">
        <v>14115136</v>
      </c>
      <c r="AC422" s="56" t="s">
        <v>140</v>
      </c>
      <c r="AD422" s="56">
        <v>14115136</v>
      </c>
      <c r="AE422" s="56" t="s">
        <v>2626</v>
      </c>
      <c r="AF422" s="56" t="s">
        <v>2627</v>
      </c>
      <c r="AG422" s="56" t="s">
        <v>2627</v>
      </c>
      <c r="AH422" s="56">
        <v>36</v>
      </c>
      <c r="AI422" s="56" t="s">
        <v>2628</v>
      </c>
      <c r="AJ422" s="56" t="s">
        <v>2629</v>
      </c>
      <c r="AK422" s="56">
        <v>0</v>
      </c>
      <c r="AL422" s="56" t="s">
        <v>2630</v>
      </c>
      <c r="AM422" s="56" t="s">
        <v>2631</v>
      </c>
      <c r="AN422" s="56" t="s">
        <v>2632</v>
      </c>
      <c r="AO422" s="56" t="s">
        <v>2627</v>
      </c>
      <c r="AP422" s="56" t="s">
        <v>2624</v>
      </c>
      <c r="AQ422" s="123">
        <v>3.4722222222222099E-3</v>
      </c>
      <c r="AR422" s="122">
        <v>-1.5416666666666634E-2</v>
      </c>
      <c r="AS422" s="56" t="s">
        <v>1048</v>
      </c>
      <c r="AT422" s="56" t="s">
        <v>1049</v>
      </c>
      <c r="AU422" s="56" t="s">
        <v>1050</v>
      </c>
      <c r="AV422" s="56">
        <v>36</v>
      </c>
      <c r="AW422" s="56" t="s">
        <v>1051</v>
      </c>
      <c r="AX422" s="56" t="s">
        <v>3465</v>
      </c>
      <c r="AY422" s="56" t="s">
        <v>1375</v>
      </c>
      <c r="AZ422" s="56" t="s">
        <v>1067</v>
      </c>
      <c r="BA422" s="56" t="s">
        <v>3466</v>
      </c>
      <c r="BB422" s="56" t="s">
        <v>3467</v>
      </c>
      <c r="BC422" s="56" t="s">
        <v>1057</v>
      </c>
      <c r="BD422" s="56" t="s">
        <v>3468</v>
      </c>
    </row>
    <row r="423" spans="1:56" x14ac:dyDescent="0.2">
      <c r="A423" s="56">
        <v>176672447</v>
      </c>
      <c r="B423" s="56" t="s">
        <v>2290</v>
      </c>
      <c r="C423" s="56" t="s">
        <v>2623</v>
      </c>
      <c r="D423" s="56" t="s">
        <v>1472</v>
      </c>
      <c r="E423" s="56" t="s">
        <v>1044</v>
      </c>
      <c r="F423" s="56">
        <v>9</v>
      </c>
      <c r="G423" s="56"/>
      <c r="H423" s="56">
        <v>7005</v>
      </c>
      <c r="I423" s="56">
        <v>6</v>
      </c>
      <c r="J423" s="56" t="s">
        <v>1045</v>
      </c>
      <c r="K423" s="56" t="s">
        <v>1125</v>
      </c>
      <c r="L423" s="121">
        <v>46268</v>
      </c>
      <c r="M423" s="122">
        <v>0.32291666666666669</v>
      </c>
      <c r="N423" s="122">
        <v>0.32916666666666666</v>
      </c>
      <c r="O423" s="56" t="s">
        <v>1047</v>
      </c>
      <c r="P423" s="121">
        <v>46268</v>
      </c>
      <c r="Q423" s="122">
        <v>0.375</v>
      </c>
      <c r="R423" s="122">
        <v>0.37076388888888889</v>
      </c>
      <c r="S423" s="56" t="s">
        <v>1047</v>
      </c>
      <c r="T423" s="56">
        <v>1</v>
      </c>
      <c r="U423" s="56">
        <v>27</v>
      </c>
      <c r="V423" s="56">
        <v>-4042.61</v>
      </c>
      <c r="W423" s="56">
        <v>21.07</v>
      </c>
      <c r="X423" s="56" t="s">
        <v>2624</v>
      </c>
      <c r="Y423" s="56" t="s">
        <v>2624</v>
      </c>
      <c r="Z423" s="56" t="s">
        <v>2624</v>
      </c>
      <c r="AA423" s="56" t="s">
        <v>52</v>
      </c>
      <c r="AB423" s="56">
        <v>14106438</v>
      </c>
      <c r="AC423" s="56" t="s">
        <v>52</v>
      </c>
      <c r="AD423" s="56">
        <v>14106438</v>
      </c>
      <c r="AE423" s="56" t="s">
        <v>2626</v>
      </c>
      <c r="AF423" s="56" t="s">
        <v>2627</v>
      </c>
      <c r="AG423" s="56" t="s">
        <v>2627</v>
      </c>
      <c r="AH423" s="56">
        <v>36</v>
      </c>
      <c r="AI423" s="56" t="s">
        <v>2628</v>
      </c>
      <c r="AJ423" s="56" t="s">
        <v>2629</v>
      </c>
      <c r="AK423" s="56">
        <v>1242</v>
      </c>
      <c r="AL423" s="56">
        <v>0</v>
      </c>
      <c r="AM423" s="56" t="s">
        <v>2694</v>
      </c>
      <c r="AN423" s="56" t="s">
        <v>2702</v>
      </c>
      <c r="AO423" s="56" t="s">
        <v>2627</v>
      </c>
      <c r="AP423" s="56" t="s">
        <v>2624</v>
      </c>
      <c r="AQ423" s="123">
        <v>6.2499999999999778E-3</v>
      </c>
      <c r="AR423" s="122">
        <v>-4.2361111111111072E-3</v>
      </c>
      <c r="AS423" s="56" t="s">
        <v>1048</v>
      </c>
      <c r="AT423" s="56" t="s">
        <v>1049</v>
      </c>
      <c r="AU423" s="56" t="s">
        <v>1050</v>
      </c>
      <c r="AV423" s="56">
        <v>36</v>
      </c>
      <c r="AW423" s="56" t="s">
        <v>1051</v>
      </c>
      <c r="AX423" s="56" t="s">
        <v>2703</v>
      </c>
      <c r="AY423" s="56" t="s">
        <v>1127</v>
      </c>
      <c r="AZ423" s="56" t="s">
        <v>1054</v>
      </c>
      <c r="BA423" s="56" t="s">
        <v>2704</v>
      </c>
      <c r="BB423" s="56" t="s">
        <v>2291</v>
      </c>
      <c r="BC423" s="56" t="s">
        <v>1057</v>
      </c>
      <c r="BD423" s="56" t="s">
        <v>3343</v>
      </c>
    </row>
    <row r="424" spans="1:56" x14ac:dyDescent="0.2">
      <c r="A424" s="56">
        <v>176679902</v>
      </c>
      <c r="B424" s="56" t="s">
        <v>2304</v>
      </c>
      <c r="C424" s="56" t="s">
        <v>2623</v>
      </c>
      <c r="D424" s="56" t="s">
        <v>2305</v>
      </c>
      <c r="E424" s="56" t="s">
        <v>1044</v>
      </c>
      <c r="F424" s="56">
        <v>33</v>
      </c>
      <c r="G424" s="56"/>
      <c r="H424" s="56">
        <v>13011</v>
      </c>
      <c r="I424" s="56">
        <v>6</v>
      </c>
      <c r="J424" s="56" t="s">
        <v>1045</v>
      </c>
      <c r="K424" s="56" t="s">
        <v>1125</v>
      </c>
      <c r="L424" s="121">
        <v>46268</v>
      </c>
      <c r="M424" s="122">
        <v>0.32500000000000001</v>
      </c>
      <c r="N424" s="122">
        <v>0.3347222222222222</v>
      </c>
      <c r="O424" s="56" t="s">
        <v>1047</v>
      </c>
      <c r="P424" s="121">
        <v>46268</v>
      </c>
      <c r="Q424" s="122">
        <v>0.375</v>
      </c>
      <c r="R424" s="122">
        <v>0.37668981481481484</v>
      </c>
      <c r="S424" s="56" t="s">
        <v>1047</v>
      </c>
      <c r="T424" s="56">
        <v>1</v>
      </c>
      <c r="U424" s="56">
        <v>38</v>
      </c>
      <c r="V424" s="56">
        <v>30.93</v>
      </c>
      <c r="W424" s="56">
        <v>30.56</v>
      </c>
      <c r="X424" s="56" t="s">
        <v>2624</v>
      </c>
      <c r="Y424" s="56" t="s">
        <v>2624</v>
      </c>
      <c r="Z424" s="56" t="s">
        <v>2624</v>
      </c>
      <c r="AA424" s="56" t="s">
        <v>320</v>
      </c>
      <c r="AB424" s="56">
        <v>14121152</v>
      </c>
      <c r="AC424" s="56" t="s">
        <v>320</v>
      </c>
      <c r="AD424" s="56">
        <v>14121152</v>
      </c>
      <c r="AE424" s="56" t="s">
        <v>2626</v>
      </c>
      <c r="AF424" s="56" t="s">
        <v>2627</v>
      </c>
      <c r="AG424" s="56" t="s">
        <v>2627</v>
      </c>
      <c r="AH424" s="56">
        <v>36</v>
      </c>
      <c r="AI424" s="56" t="s">
        <v>2628</v>
      </c>
      <c r="AJ424" s="56" t="s">
        <v>2640</v>
      </c>
      <c r="AK424" s="56">
        <v>1748</v>
      </c>
      <c r="AL424" s="56">
        <v>0</v>
      </c>
      <c r="AM424" s="56" t="s">
        <v>2694</v>
      </c>
      <c r="AN424" s="56" t="s">
        <v>2702</v>
      </c>
      <c r="AO424" s="56" t="s">
        <v>2627</v>
      </c>
      <c r="AP424" s="56">
        <v>31</v>
      </c>
      <c r="AQ424" s="123">
        <v>9.7222222222221877E-3</v>
      </c>
      <c r="AR424" s="122">
        <v>1.6898148148148384E-3</v>
      </c>
      <c r="AS424" s="56" t="s">
        <v>1048</v>
      </c>
      <c r="AT424" s="56" t="s">
        <v>1049</v>
      </c>
      <c r="AU424" s="56" t="s">
        <v>1050</v>
      </c>
      <c r="AV424" s="56">
        <v>36</v>
      </c>
      <c r="AW424" s="56" t="s">
        <v>1051</v>
      </c>
      <c r="AX424" s="56" t="s">
        <v>2306</v>
      </c>
      <c r="AY424" s="56" t="s">
        <v>1127</v>
      </c>
      <c r="AZ424" s="56" t="s">
        <v>1054</v>
      </c>
      <c r="BA424" s="56" t="s">
        <v>2307</v>
      </c>
      <c r="BB424" s="56" t="e">
        <v>#N/A</v>
      </c>
      <c r="BC424" s="56" t="s">
        <v>1133</v>
      </c>
      <c r="BD424" s="56" t="s">
        <v>2308</v>
      </c>
    </row>
    <row r="425" spans="1:56" x14ac:dyDescent="0.2">
      <c r="A425" s="56">
        <v>176674502</v>
      </c>
      <c r="B425" s="56" t="s">
        <v>1404</v>
      </c>
      <c r="C425" s="56" t="s">
        <v>2623</v>
      </c>
      <c r="D425" s="56" t="s">
        <v>1405</v>
      </c>
      <c r="E425" s="56" t="s">
        <v>1044</v>
      </c>
      <c r="F425" s="56">
        <v>33</v>
      </c>
      <c r="G425" s="56"/>
      <c r="H425" s="56">
        <v>13859</v>
      </c>
      <c r="I425" s="56">
        <v>6</v>
      </c>
      <c r="J425" s="56" t="s">
        <v>1045</v>
      </c>
      <c r="K425" s="56" t="s">
        <v>1406</v>
      </c>
      <c r="L425" s="121">
        <v>46268</v>
      </c>
      <c r="M425" s="122">
        <v>0.52083333333333337</v>
      </c>
      <c r="N425" s="122">
        <v>0.52500000000000002</v>
      </c>
      <c r="O425" s="56" t="s">
        <v>1047</v>
      </c>
      <c r="P425" s="121">
        <v>46268</v>
      </c>
      <c r="Q425" s="122">
        <v>0.57291666666666663</v>
      </c>
      <c r="R425" s="122">
        <v>0.58611111111111114</v>
      </c>
      <c r="S425" s="56" t="s">
        <v>1047</v>
      </c>
      <c r="T425" s="56">
        <v>1</v>
      </c>
      <c r="U425" s="56">
        <v>32</v>
      </c>
      <c r="V425" s="56">
        <v>27.7</v>
      </c>
      <c r="W425" s="56">
        <v>28.68</v>
      </c>
      <c r="X425" s="56" t="s">
        <v>2624</v>
      </c>
      <c r="Y425" s="56" t="s">
        <v>2624</v>
      </c>
      <c r="Z425" s="56" t="s">
        <v>2624</v>
      </c>
      <c r="AA425" s="56" t="s">
        <v>409</v>
      </c>
      <c r="AB425" s="56">
        <v>14122293</v>
      </c>
      <c r="AC425" s="56" t="s">
        <v>409</v>
      </c>
      <c r="AD425" s="56">
        <v>14122293</v>
      </c>
      <c r="AE425" s="56" t="s">
        <v>2626</v>
      </c>
      <c r="AF425" s="56" t="s">
        <v>2627</v>
      </c>
      <c r="AG425" s="56" t="s">
        <v>2627</v>
      </c>
      <c r="AH425" s="56">
        <v>36</v>
      </c>
      <c r="AI425" s="56" t="s">
        <v>2628</v>
      </c>
      <c r="AJ425" s="56" t="s">
        <v>2640</v>
      </c>
      <c r="AK425" s="56">
        <v>0</v>
      </c>
      <c r="AL425" s="56" t="s">
        <v>2630</v>
      </c>
      <c r="AM425" s="56" t="s">
        <v>2631</v>
      </c>
      <c r="AN425" s="56" t="s">
        <v>2632</v>
      </c>
      <c r="AO425" s="56" t="s">
        <v>2627</v>
      </c>
      <c r="AP425" s="56" t="s">
        <v>2624</v>
      </c>
      <c r="AQ425" s="123">
        <v>4.1666666666666519E-3</v>
      </c>
      <c r="AR425" s="122">
        <v>1.3194444444444509E-2</v>
      </c>
      <c r="AS425" s="56" t="s">
        <v>1048</v>
      </c>
      <c r="AT425" s="56" t="s">
        <v>1059</v>
      </c>
      <c r="AU425" s="56" t="s">
        <v>1060</v>
      </c>
      <c r="AV425" s="56">
        <v>36</v>
      </c>
      <c r="AW425" s="56" t="s">
        <v>1051</v>
      </c>
      <c r="AX425" s="56" t="s">
        <v>1407</v>
      </c>
      <c r="AY425" s="56" t="s">
        <v>1259</v>
      </c>
      <c r="AZ425" s="56" t="s">
        <v>1062</v>
      </c>
      <c r="BA425" s="56" t="s">
        <v>1408</v>
      </c>
      <c r="BB425" s="56" t="s">
        <v>1409</v>
      </c>
      <c r="BC425" s="56" t="s">
        <v>1133</v>
      </c>
      <c r="BD425" s="56" t="s">
        <v>1410</v>
      </c>
    </row>
    <row r="426" spans="1:56" x14ac:dyDescent="0.2">
      <c r="A426" s="56">
        <v>176668533</v>
      </c>
      <c r="B426" s="56" t="s">
        <v>2227</v>
      </c>
      <c r="C426" s="56" t="s">
        <v>2623</v>
      </c>
      <c r="D426" s="56" t="s">
        <v>1411</v>
      </c>
      <c r="E426" s="56" t="s">
        <v>1044</v>
      </c>
      <c r="F426" s="56">
        <v>38</v>
      </c>
      <c r="G426" s="56"/>
      <c r="H426" s="56">
        <v>5877</v>
      </c>
      <c r="I426" s="56">
        <v>6</v>
      </c>
      <c r="J426" s="56" t="s">
        <v>1045</v>
      </c>
      <c r="K426" s="56" t="s">
        <v>1123</v>
      </c>
      <c r="L426" s="121">
        <v>46268</v>
      </c>
      <c r="M426" s="122">
        <v>0.52777777777777779</v>
      </c>
      <c r="N426" s="122">
        <v>0.53125</v>
      </c>
      <c r="O426" s="56" t="s">
        <v>1047</v>
      </c>
      <c r="P426" s="121">
        <v>46268</v>
      </c>
      <c r="Q426" s="122">
        <v>0.60416666666666663</v>
      </c>
      <c r="R426" s="122">
        <v>0.60518518518518516</v>
      </c>
      <c r="S426" s="56" t="s">
        <v>1047</v>
      </c>
      <c r="T426" s="56">
        <v>1</v>
      </c>
      <c r="U426" s="56">
        <v>26</v>
      </c>
      <c r="V426" s="56">
        <v>23.16</v>
      </c>
      <c r="W426" s="56">
        <v>23.56</v>
      </c>
      <c r="X426" s="56" t="s">
        <v>2624</v>
      </c>
      <c r="Y426" s="56" t="s">
        <v>2624</v>
      </c>
      <c r="Z426" s="56" t="s">
        <v>2624</v>
      </c>
      <c r="AA426" s="56" t="s">
        <v>291</v>
      </c>
      <c r="AB426" s="56">
        <v>14120489</v>
      </c>
      <c r="AC426" s="56" t="s">
        <v>291</v>
      </c>
      <c r="AD426" s="56">
        <v>14120489</v>
      </c>
      <c r="AE426" s="56" t="s">
        <v>2626</v>
      </c>
      <c r="AF426" s="56" t="s">
        <v>2627</v>
      </c>
      <c r="AG426" s="56" t="s">
        <v>2627</v>
      </c>
      <c r="AH426" s="56">
        <v>36</v>
      </c>
      <c r="AI426" s="56" t="s">
        <v>2628</v>
      </c>
      <c r="AJ426" s="56" t="s">
        <v>2640</v>
      </c>
      <c r="AK426" s="56">
        <v>483.41</v>
      </c>
      <c r="AL426" s="56" t="s">
        <v>2630</v>
      </c>
      <c r="AM426" s="56" t="s">
        <v>2631</v>
      </c>
      <c r="AN426" s="56" t="s">
        <v>2632</v>
      </c>
      <c r="AO426" s="56" t="s">
        <v>2627</v>
      </c>
      <c r="AP426" s="56" t="s">
        <v>2624</v>
      </c>
      <c r="AQ426" s="123">
        <v>3.4722222222222099E-3</v>
      </c>
      <c r="AR426" s="122">
        <v>1.0185185185185297E-3</v>
      </c>
      <c r="AS426" s="56" t="s">
        <v>1048</v>
      </c>
      <c r="AT426" s="56" t="s">
        <v>1049</v>
      </c>
      <c r="AU426" s="56" t="s">
        <v>1050</v>
      </c>
      <c r="AV426" s="56">
        <v>36</v>
      </c>
      <c r="AW426" s="56" t="s">
        <v>1051</v>
      </c>
      <c r="AX426" s="56" t="s">
        <v>1412</v>
      </c>
      <c r="AY426" s="56" t="s">
        <v>1124</v>
      </c>
      <c r="AZ426" s="56" t="s">
        <v>1054</v>
      </c>
      <c r="BA426" s="56" t="s">
        <v>1413</v>
      </c>
      <c r="BB426" s="56" t="s">
        <v>1414</v>
      </c>
      <c r="BC426" s="56" t="s">
        <v>1133</v>
      </c>
      <c r="BD426" s="56" t="s">
        <v>2228</v>
      </c>
    </row>
    <row r="427" spans="1:56" x14ac:dyDescent="0.2">
      <c r="A427" s="56">
        <v>176672762</v>
      </c>
      <c r="B427" s="56" t="s">
        <v>2763</v>
      </c>
      <c r="C427" s="56" t="s">
        <v>2623</v>
      </c>
      <c r="D427" s="56" t="s">
        <v>1186</v>
      </c>
      <c r="E427" s="56" t="s">
        <v>1044</v>
      </c>
      <c r="F427" s="56">
        <v>101</v>
      </c>
      <c r="G427" s="56"/>
      <c r="H427" s="56">
        <v>17344</v>
      </c>
      <c r="I427" s="56">
        <v>6</v>
      </c>
      <c r="J427" s="56" t="s">
        <v>1045</v>
      </c>
      <c r="K427" s="56" t="s">
        <v>1079</v>
      </c>
      <c r="L427" s="121">
        <v>46268</v>
      </c>
      <c r="M427" s="122">
        <v>0.52777777777777779</v>
      </c>
      <c r="N427" s="122">
        <v>0.53194444444444444</v>
      </c>
      <c r="O427" s="56" t="s">
        <v>1047</v>
      </c>
      <c r="P427" s="121">
        <v>46268</v>
      </c>
      <c r="Q427" s="122">
        <v>0.60069444444444442</v>
      </c>
      <c r="R427" s="122">
        <v>0.59335648148148146</v>
      </c>
      <c r="S427" s="56" t="s">
        <v>1047</v>
      </c>
      <c r="T427" s="56">
        <v>1</v>
      </c>
      <c r="U427" s="56">
        <v>43</v>
      </c>
      <c r="V427" s="56">
        <v>36.64</v>
      </c>
      <c r="W427" s="56">
        <v>36.520000000000003</v>
      </c>
      <c r="X427" s="56">
        <v>22.77</v>
      </c>
      <c r="Y427" s="56">
        <v>-7013.14</v>
      </c>
      <c r="Z427" s="56">
        <v>6999.39</v>
      </c>
      <c r="AA427" s="56" t="s">
        <v>990</v>
      </c>
      <c r="AB427" s="56">
        <v>14123919</v>
      </c>
      <c r="AC427" s="56" t="s">
        <v>990</v>
      </c>
      <c r="AD427" s="56">
        <v>14123919</v>
      </c>
      <c r="AE427" s="56" t="s">
        <v>2626</v>
      </c>
      <c r="AF427" s="56" t="s">
        <v>2627</v>
      </c>
      <c r="AG427" s="56" t="s">
        <v>2627</v>
      </c>
      <c r="AH427" s="56">
        <v>36</v>
      </c>
      <c r="AI427" s="56" t="s">
        <v>2628</v>
      </c>
      <c r="AJ427" s="56" t="s">
        <v>2629</v>
      </c>
      <c r="AK427" s="56">
        <v>0</v>
      </c>
      <c r="AL427" s="56" t="s">
        <v>2630</v>
      </c>
      <c r="AM427" s="56" t="s">
        <v>2631</v>
      </c>
      <c r="AN427" s="56" t="s">
        <v>2632</v>
      </c>
      <c r="AO427" s="56" t="s">
        <v>2627</v>
      </c>
      <c r="AP427" s="56" t="s">
        <v>2624</v>
      </c>
      <c r="AQ427" s="123">
        <v>4.1666666666666519E-3</v>
      </c>
      <c r="AR427" s="122">
        <v>-7.3379629629629628E-3</v>
      </c>
      <c r="AS427" s="56" t="s">
        <v>1048</v>
      </c>
      <c r="AT427" s="56" t="s">
        <v>1049</v>
      </c>
      <c r="AU427" s="56" t="s">
        <v>1050</v>
      </c>
      <c r="AV427" s="56">
        <v>36</v>
      </c>
      <c r="AW427" s="56" t="s">
        <v>1051</v>
      </c>
      <c r="AX427" s="56" t="s">
        <v>1188</v>
      </c>
      <c r="AY427" s="56" t="s">
        <v>1081</v>
      </c>
      <c r="AZ427" s="56" t="s">
        <v>1067</v>
      </c>
      <c r="BA427" s="56" t="s">
        <v>1189</v>
      </c>
      <c r="BB427" s="56" t="s">
        <v>1190</v>
      </c>
      <c r="BC427" s="56" t="s">
        <v>1133</v>
      </c>
      <c r="BD427" s="56" t="s">
        <v>2764</v>
      </c>
    </row>
    <row r="428" spans="1:56" x14ac:dyDescent="0.2">
      <c r="A428" s="56">
        <v>176664164</v>
      </c>
      <c r="B428" s="56" t="s">
        <v>2217</v>
      </c>
      <c r="C428" s="56" t="s">
        <v>2623</v>
      </c>
      <c r="D428" s="56" t="s">
        <v>2218</v>
      </c>
      <c r="E428" s="56" t="s">
        <v>1044</v>
      </c>
      <c r="F428" s="56">
        <v>69</v>
      </c>
      <c r="G428" s="56"/>
      <c r="H428" s="56">
        <v>16002</v>
      </c>
      <c r="I428" s="56">
        <v>6</v>
      </c>
      <c r="J428" s="56" t="s">
        <v>1045</v>
      </c>
      <c r="K428" s="56" t="s">
        <v>1064</v>
      </c>
      <c r="L428" s="121">
        <v>46268</v>
      </c>
      <c r="M428" s="122">
        <v>0.53472222222222221</v>
      </c>
      <c r="N428" s="122">
        <v>0.54236111111111107</v>
      </c>
      <c r="O428" s="56" t="s">
        <v>1047</v>
      </c>
      <c r="P428" s="121">
        <v>46268</v>
      </c>
      <c r="Q428" s="122">
        <v>0.60069444444444442</v>
      </c>
      <c r="R428" s="122">
        <v>0.58493055555555551</v>
      </c>
      <c r="S428" s="56" t="s">
        <v>1047</v>
      </c>
      <c r="T428" s="56">
        <v>1</v>
      </c>
      <c r="U428" s="56">
        <v>31</v>
      </c>
      <c r="V428" s="56">
        <v>28.92</v>
      </c>
      <c r="W428" s="56">
        <v>26.7</v>
      </c>
      <c r="X428" s="56" t="s">
        <v>2624</v>
      </c>
      <c r="Y428" s="56" t="s">
        <v>2624</v>
      </c>
      <c r="Z428" s="56" t="s">
        <v>2624</v>
      </c>
      <c r="AA428" s="56" t="s">
        <v>105</v>
      </c>
      <c r="AB428" s="56">
        <v>14110761</v>
      </c>
      <c r="AC428" s="56" t="s">
        <v>105</v>
      </c>
      <c r="AD428" s="56">
        <v>14110761</v>
      </c>
      <c r="AE428" s="56" t="s">
        <v>2626</v>
      </c>
      <c r="AF428" s="56" t="s">
        <v>2627</v>
      </c>
      <c r="AG428" s="56" t="s">
        <v>2627</v>
      </c>
      <c r="AH428" s="56">
        <v>36</v>
      </c>
      <c r="AI428" s="56" t="s">
        <v>2628</v>
      </c>
      <c r="AJ428" s="56" t="s">
        <v>2629</v>
      </c>
      <c r="AK428" s="56">
        <v>530.63</v>
      </c>
      <c r="AL428" s="56" t="s">
        <v>2630</v>
      </c>
      <c r="AM428" s="56" t="s">
        <v>2631</v>
      </c>
      <c r="AN428" s="56" t="s">
        <v>2632</v>
      </c>
      <c r="AO428" s="56" t="s">
        <v>2627</v>
      </c>
      <c r="AP428" s="56">
        <v>16</v>
      </c>
      <c r="AQ428" s="123">
        <v>7.6388888888888618E-3</v>
      </c>
      <c r="AR428" s="122">
        <v>-1.5763888888888911E-2</v>
      </c>
      <c r="AS428" s="56" t="s">
        <v>1048</v>
      </c>
      <c r="AT428" s="56" t="s">
        <v>1049</v>
      </c>
      <c r="AU428" s="56" t="s">
        <v>1050</v>
      </c>
      <c r="AV428" s="56">
        <v>36</v>
      </c>
      <c r="AW428" s="56" t="s">
        <v>1051</v>
      </c>
      <c r="AX428" s="56" t="s">
        <v>2219</v>
      </c>
      <c r="AY428" s="56" t="s">
        <v>1066</v>
      </c>
      <c r="AZ428" s="56" t="s">
        <v>1067</v>
      </c>
      <c r="BA428" s="56" t="s">
        <v>2220</v>
      </c>
      <c r="BB428" s="56" t="s">
        <v>2221</v>
      </c>
      <c r="BC428" s="56" t="s">
        <v>1133</v>
      </c>
      <c r="BD428" s="56" t="s">
        <v>2222</v>
      </c>
    </row>
    <row r="429" spans="1:56" x14ac:dyDescent="0.2">
      <c r="A429" s="56">
        <v>176674215</v>
      </c>
      <c r="B429" s="56" t="s">
        <v>3199</v>
      </c>
      <c r="C429" s="56" t="s">
        <v>2623</v>
      </c>
      <c r="D429" s="56" t="s">
        <v>2646</v>
      </c>
      <c r="E429" s="56" t="s">
        <v>1044</v>
      </c>
      <c r="F429" s="56">
        <v>12</v>
      </c>
      <c r="G429" s="56"/>
      <c r="H429" s="56">
        <v>13446</v>
      </c>
      <c r="I429" s="56">
        <v>7</v>
      </c>
      <c r="J429" s="56" t="s">
        <v>1045</v>
      </c>
      <c r="K429" s="56" t="s">
        <v>1181</v>
      </c>
      <c r="L429" s="121">
        <v>46268</v>
      </c>
      <c r="M429" s="122">
        <v>0.53472222222222221</v>
      </c>
      <c r="N429" s="122">
        <v>0.5444444444444444</v>
      </c>
      <c r="O429" s="56" t="s">
        <v>1047</v>
      </c>
      <c r="P429" s="121">
        <v>46268</v>
      </c>
      <c r="Q429" s="122">
        <v>0.57986111111111116</v>
      </c>
      <c r="R429" s="122">
        <v>0.66111111111111109</v>
      </c>
      <c r="S429" s="56" t="s">
        <v>1163</v>
      </c>
      <c r="T429" s="56">
        <v>0</v>
      </c>
      <c r="U429" s="56">
        <v>18</v>
      </c>
      <c r="V429" s="56">
        <v>13.66</v>
      </c>
      <c r="W429" s="56">
        <v>53.08</v>
      </c>
      <c r="X429" s="56">
        <v>69.34</v>
      </c>
      <c r="Y429" s="56">
        <v>15.86</v>
      </c>
      <c r="Z429" s="56">
        <v>0.4</v>
      </c>
      <c r="AA429" s="56" t="s">
        <v>3124</v>
      </c>
      <c r="AB429" s="56">
        <v>14108552</v>
      </c>
      <c r="AC429" s="56" t="s">
        <v>3124</v>
      </c>
      <c r="AD429" s="56">
        <v>14108552</v>
      </c>
      <c r="AE429" s="56" t="s">
        <v>2626</v>
      </c>
      <c r="AF429" s="56" t="s">
        <v>2627</v>
      </c>
      <c r="AG429" s="56" t="s">
        <v>2627</v>
      </c>
      <c r="AH429" s="56">
        <v>36</v>
      </c>
      <c r="AI429" s="56" t="s">
        <v>2880</v>
      </c>
      <c r="AJ429" s="56" t="s">
        <v>2640</v>
      </c>
      <c r="AK429" s="56">
        <v>408.1</v>
      </c>
      <c r="AL429" s="56" t="s">
        <v>2630</v>
      </c>
      <c r="AM429" s="56" t="s">
        <v>2631</v>
      </c>
      <c r="AN429" s="56" t="s">
        <v>2632</v>
      </c>
      <c r="AO429" s="56" t="s">
        <v>2627</v>
      </c>
      <c r="AP429" s="56">
        <v>5</v>
      </c>
      <c r="AQ429" s="123">
        <v>9.7222222222221877E-3</v>
      </c>
      <c r="AR429" s="122">
        <v>8.1249999999999933E-2</v>
      </c>
      <c r="AS429" s="56" t="s">
        <v>1048</v>
      </c>
      <c r="AT429" s="56" t="s">
        <v>1059</v>
      </c>
      <c r="AU429" s="56" t="s">
        <v>1060</v>
      </c>
      <c r="AV429" s="56">
        <v>36</v>
      </c>
      <c r="AW429" s="56" t="s">
        <v>1051</v>
      </c>
      <c r="AX429" s="56" t="s">
        <v>2647</v>
      </c>
      <c r="AY429" s="56" t="s">
        <v>1140</v>
      </c>
      <c r="AZ429" s="56" t="s">
        <v>1062</v>
      </c>
      <c r="BA429" s="56" t="s">
        <v>2648</v>
      </c>
      <c r="BB429" s="56" t="s">
        <v>2649</v>
      </c>
      <c r="BC429" s="56" t="s">
        <v>1133</v>
      </c>
      <c r="BD429" s="56" t="s">
        <v>3200</v>
      </c>
    </row>
    <row r="430" spans="1:56" x14ac:dyDescent="0.2">
      <c r="A430" s="56">
        <v>176663538</v>
      </c>
      <c r="B430" s="56" t="s">
        <v>2128</v>
      </c>
      <c r="C430" s="56" t="s">
        <v>2623</v>
      </c>
      <c r="D430" s="56" t="s">
        <v>1632</v>
      </c>
      <c r="E430" s="56" t="s">
        <v>1044</v>
      </c>
      <c r="F430" s="56">
        <v>9</v>
      </c>
      <c r="G430" s="56"/>
      <c r="H430" s="56">
        <v>6900</v>
      </c>
      <c r="I430" s="56">
        <v>6</v>
      </c>
      <c r="J430" s="56" t="s">
        <v>1045</v>
      </c>
      <c r="K430" s="56" t="s">
        <v>1123</v>
      </c>
      <c r="L430" s="121">
        <v>46268</v>
      </c>
      <c r="M430" s="122">
        <v>0.53819444444444442</v>
      </c>
      <c r="N430" s="122">
        <v>0.5444444444444444</v>
      </c>
      <c r="O430" s="56" t="s">
        <v>1047</v>
      </c>
      <c r="P430" s="121">
        <v>46268</v>
      </c>
      <c r="Q430" s="122">
        <v>0.60416666666666663</v>
      </c>
      <c r="R430" s="122">
        <v>0.48819444444444443</v>
      </c>
      <c r="S430" s="56" t="s">
        <v>3469</v>
      </c>
      <c r="T430" s="56">
        <v>1</v>
      </c>
      <c r="U430" s="56">
        <v>22</v>
      </c>
      <c r="V430" s="56">
        <v>12.52</v>
      </c>
      <c r="W430" s="56">
        <v>3.21</v>
      </c>
      <c r="X430" s="56" t="s">
        <v>2624</v>
      </c>
      <c r="Y430" s="56" t="s">
        <v>2624</v>
      </c>
      <c r="Z430" s="56" t="s">
        <v>2624</v>
      </c>
      <c r="AA430" s="56" t="s">
        <v>201</v>
      </c>
      <c r="AB430" s="56">
        <v>14118440</v>
      </c>
      <c r="AC430" s="56" t="s">
        <v>201</v>
      </c>
      <c r="AD430" s="56">
        <v>14118440</v>
      </c>
      <c r="AE430" s="56" t="s">
        <v>2626</v>
      </c>
      <c r="AF430" s="56" t="s">
        <v>2627</v>
      </c>
      <c r="AG430" s="56" t="s">
        <v>2627</v>
      </c>
      <c r="AH430" s="56">
        <v>36</v>
      </c>
      <c r="AI430" s="56" t="s">
        <v>2842</v>
      </c>
      <c r="AJ430" s="56" t="s">
        <v>2629</v>
      </c>
      <c r="AK430" s="56">
        <v>544.9</v>
      </c>
      <c r="AL430" s="56" t="s">
        <v>2630</v>
      </c>
      <c r="AM430" s="56" t="s">
        <v>2631</v>
      </c>
      <c r="AN430" s="56" t="s">
        <v>2632</v>
      </c>
      <c r="AO430" s="56" t="s">
        <v>2627</v>
      </c>
      <c r="AP430" s="56" t="s">
        <v>2624</v>
      </c>
      <c r="AQ430" s="123">
        <v>6.2499999999999778E-3</v>
      </c>
      <c r="AR430" s="122">
        <v>-0.1159722222222222</v>
      </c>
      <c r="AS430" s="56" t="s">
        <v>1048</v>
      </c>
      <c r="AT430" s="56" t="s">
        <v>1049</v>
      </c>
      <c r="AU430" s="56" t="s">
        <v>1050</v>
      </c>
      <c r="AV430" s="56">
        <v>36</v>
      </c>
      <c r="AW430" s="56" t="s">
        <v>1051</v>
      </c>
      <c r="AX430" s="56" t="s">
        <v>1633</v>
      </c>
      <c r="AY430" s="56" t="s">
        <v>1124</v>
      </c>
      <c r="AZ430" s="56" t="s">
        <v>1054</v>
      </c>
      <c r="BA430" s="56" t="s">
        <v>1634</v>
      </c>
      <c r="BB430" s="56" t="s">
        <v>1635</v>
      </c>
      <c r="BC430" s="56" t="s">
        <v>1133</v>
      </c>
      <c r="BD430" s="56" t="s">
        <v>2129</v>
      </c>
    </row>
    <row r="431" spans="1:56" x14ac:dyDescent="0.2">
      <c r="A431" s="56">
        <v>176672780</v>
      </c>
      <c r="B431" s="56" t="s">
        <v>1282</v>
      </c>
      <c r="C431" s="56" t="s">
        <v>2623</v>
      </c>
      <c r="D431" s="56" t="s">
        <v>1283</v>
      </c>
      <c r="E431" s="56" t="s">
        <v>1044</v>
      </c>
      <c r="F431" s="56">
        <v>109</v>
      </c>
      <c r="G431" s="56"/>
      <c r="H431" s="56">
        <v>5672</v>
      </c>
      <c r="I431" s="56">
        <v>6</v>
      </c>
      <c r="J431" s="56" t="s">
        <v>1045</v>
      </c>
      <c r="K431" s="56" t="s">
        <v>1079</v>
      </c>
      <c r="L431" s="121">
        <v>46268</v>
      </c>
      <c r="M431" s="122">
        <v>0.53819444444444442</v>
      </c>
      <c r="N431" s="122">
        <v>0.54305555555555551</v>
      </c>
      <c r="O431" s="56" t="s">
        <v>1047</v>
      </c>
      <c r="P431" s="121">
        <v>46268</v>
      </c>
      <c r="Q431" s="122">
        <v>0.60069444444444442</v>
      </c>
      <c r="R431" s="122">
        <v>0.58333333333333337</v>
      </c>
      <c r="S431" s="56" t="s">
        <v>1047</v>
      </c>
      <c r="T431" s="56">
        <v>1</v>
      </c>
      <c r="U431" s="56">
        <v>42</v>
      </c>
      <c r="V431" s="56">
        <v>25.3</v>
      </c>
      <c r="W431" s="56">
        <v>25.25</v>
      </c>
      <c r="X431" s="56" t="s">
        <v>2624</v>
      </c>
      <c r="Y431" s="56" t="s">
        <v>2624</v>
      </c>
      <c r="Z431" s="56" t="s">
        <v>2624</v>
      </c>
      <c r="AA431" s="56" t="s">
        <v>1003</v>
      </c>
      <c r="AB431" s="56">
        <v>14124002</v>
      </c>
      <c r="AC431" s="56" t="s">
        <v>1003</v>
      </c>
      <c r="AD431" s="56">
        <v>14124002</v>
      </c>
      <c r="AE431" s="56" t="s">
        <v>2626</v>
      </c>
      <c r="AF431" s="56" t="s">
        <v>2627</v>
      </c>
      <c r="AG431" s="56" t="s">
        <v>2627</v>
      </c>
      <c r="AH431" s="56">
        <v>36</v>
      </c>
      <c r="AI431" s="56" t="s">
        <v>2628</v>
      </c>
      <c r="AJ431" s="56" t="s">
        <v>2629</v>
      </c>
      <c r="AK431" s="56">
        <v>0</v>
      </c>
      <c r="AL431" s="56" t="s">
        <v>2630</v>
      </c>
      <c r="AM431" s="56" t="s">
        <v>2631</v>
      </c>
      <c r="AN431" s="56" t="s">
        <v>2632</v>
      </c>
      <c r="AO431" s="56" t="s">
        <v>2627</v>
      </c>
      <c r="AP431" s="56">
        <v>49</v>
      </c>
      <c r="AQ431" s="123">
        <v>4.8611111111110938E-3</v>
      </c>
      <c r="AR431" s="122">
        <v>-1.7361111111111049E-2</v>
      </c>
      <c r="AS431" s="56" t="s">
        <v>1048</v>
      </c>
      <c r="AT431" s="56" t="s">
        <v>1049</v>
      </c>
      <c r="AU431" s="56" t="s">
        <v>1050</v>
      </c>
      <c r="AV431" s="56">
        <v>36</v>
      </c>
      <c r="AW431" s="56" t="s">
        <v>1051</v>
      </c>
      <c r="AX431" s="56" t="s">
        <v>1284</v>
      </c>
      <c r="AY431" s="56" t="s">
        <v>1081</v>
      </c>
      <c r="AZ431" s="56" t="s">
        <v>1067</v>
      </c>
      <c r="BA431" s="56" t="s">
        <v>1285</v>
      </c>
      <c r="BB431" s="56" t="s">
        <v>1286</v>
      </c>
      <c r="BC431" s="56" t="s">
        <v>1133</v>
      </c>
      <c r="BD431" s="56" t="s">
        <v>1287</v>
      </c>
    </row>
    <row r="432" spans="1:56" x14ac:dyDescent="0.2">
      <c r="A432" s="56">
        <v>176675881</v>
      </c>
      <c r="B432" s="56" t="s">
        <v>2776</v>
      </c>
      <c r="C432" s="56" t="s">
        <v>2623</v>
      </c>
      <c r="D432" s="56" t="s">
        <v>1173</v>
      </c>
      <c r="E432" s="56" t="s">
        <v>1044</v>
      </c>
      <c r="F432" s="56">
        <v>7</v>
      </c>
      <c r="G432" s="56"/>
      <c r="H432" s="56">
        <v>13842</v>
      </c>
      <c r="I432" s="56">
        <v>6</v>
      </c>
      <c r="J432" s="56" t="s">
        <v>1045</v>
      </c>
      <c r="K432" s="56" t="s">
        <v>1058</v>
      </c>
      <c r="L432" s="121">
        <v>46268</v>
      </c>
      <c r="M432" s="122">
        <v>0.53819444444444442</v>
      </c>
      <c r="N432" s="122">
        <v>0.56111111111111112</v>
      </c>
      <c r="O432" s="56" t="s">
        <v>1047</v>
      </c>
      <c r="P432" s="121">
        <v>46268</v>
      </c>
      <c r="Q432" s="122">
        <v>0.60416666666666663</v>
      </c>
      <c r="R432" s="122">
        <v>0.60252314814814811</v>
      </c>
      <c r="S432" s="56" t="s">
        <v>1047</v>
      </c>
      <c r="T432" s="56">
        <v>1</v>
      </c>
      <c r="U432" s="56">
        <v>34</v>
      </c>
      <c r="V432" s="56">
        <v>28.36</v>
      </c>
      <c r="W432" s="56">
        <v>28.85</v>
      </c>
      <c r="X432" s="56" t="s">
        <v>2624</v>
      </c>
      <c r="Y432" s="56" t="s">
        <v>2624</v>
      </c>
      <c r="Z432" s="56" t="s">
        <v>2624</v>
      </c>
      <c r="AA432" s="56" t="s">
        <v>257</v>
      </c>
      <c r="AB432" s="56">
        <v>14119701</v>
      </c>
      <c r="AC432" s="56" t="s">
        <v>257</v>
      </c>
      <c r="AD432" s="56">
        <v>14119701</v>
      </c>
      <c r="AE432" s="56" t="s">
        <v>2626</v>
      </c>
      <c r="AF432" s="56" t="s">
        <v>2627</v>
      </c>
      <c r="AG432" s="56" t="s">
        <v>2627</v>
      </c>
      <c r="AH432" s="56">
        <v>36</v>
      </c>
      <c r="AI432" s="56" t="s">
        <v>2628</v>
      </c>
      <c r="AJ432" s="56" t="s">
        <v>2629</v>
      </c>
      <c r="AK432" s="56">
        <v>842</v>
      </c>
      <c r="AL432" s="56" t="s">
        <v>2630</v>
      </c>
      <c r="AM432" s="56" t="s">
        <v>2631</v>
      </c>
      <c r="AN432" s="56" t="s">
        <v>2632</v>
      </c>
      <c r="AO432" s="56" t="s">
        <v>2627</v>
      </c>
      <c r="AP432" s="56" t="s">
        <v>2624</v>
      </c>
      <c r="AQ432" s="123">
        <v>2.2916666666666696E-2</v>
      </c>
      <c r="AR432" s="122">
        <v>-1.6435185185185164E-3</v>
      </c>
      <c r="AS432" s="56" t="s">
        <v>1048</v>
      </c>
      <c r="AT432" s="56" t="s">
        <v>1049</v>
      </c>
      <c r="AU432" s="56" t="s">
        <v>1050</v>
      </c>
      <c r="AV432" s="56">
        <v>36</v>
      </c>
      <c r="AW432" s="56" t="s">
        <v>1051</v>
      </c>
      <c r="AX432" s="56" t="s">
        <v>1175</v>
      </c>
      <c r="AY432" s="56" t="s">
        <v>1061</v>
      </c>
      <c r="AZ432" s="56" t="s">
        <v>1062</v>
      </c>
      <c r="BA432" s="56" t="s">
        <v>1176</v>
      </c>
      <c r="BB432" s="56" t="s">
        <v>1177</v>
      </c>
      <c r="BC432" s="56" t="s">
        <v>1133</v>
      </c>
      <c r="BD432" s="56" t="s">
        <v>2777</v>
      </c>
    </row>
    <row r="433" spans="1:56" x14ac:dyDescent="0.2">
      <c r="A433" s="56">
        <v>176664189</v>
      </c>
      <c r="B433" s="56" t="s">
        <v>3470</v>
      </c>
      <c r="C433" s="56" t="s">
        <v>2623</v>
      </c>
      <c r="D433" s="56" t="s">
        <v>1415</v>
      </c>
      <c r="E433" s="56" t="s">
        <v>1044</v>
      </c>
      <c r="F433" s="56">
        <v>75</v>
      </c>
      <c r="G433" s="56"/>
      <c r="H433" s="56">
        <v>16737</v>
      </c>
      <c r="I433" s="56">
        <v>6</v>
      </c>
      <c r="J433" s="56" t="s">
        <v>1045</v>
      </c>
      <c r="K433" s="56" t="s">
        <v>1064</v>
      </c>
      <c r="L433" s="121">
        <v>46268</v>
      </c>
      <c r="M433" s="122">
        <v>0.54166666666666663</v>
      </c>
      <c r="N433" s="122">
        <v>0.54513888888888884</v>
      </c>
      <c r="O433" s="56" t="s">
        <v>1047</v>
      </c>
      <c r="P433" s="121">
        <v>46268</v>
      </c>
      <c r="Q433" s="122">
        <v>0.60069444444444442</v>
      </c>
      <c r="R433" s="122">
        <v>0.58620370370370367</v>
      </c>
      <c r="S433" s="56" t="s">
        <v>1047</v>
      </c>
      <c r="T433" s="56">
        <v>1</v>
      </c>
      <c r="U433" s="56">
        <v>35</v>
      </c>
      <c r="V433" s="56">
        <v>30.66</v>
      </c>
      <c r="W433" s="56">
        <v>28.81</v>
      </c>
      <c r="X433" s="56" t="s">
        <v>2624</v>
      </c>
      <c r="Y433" s="56" t="s">
        <v>2624</v>
      </c>
      <c r="Z433" s="56" t="s">
        <v>2624</v>
      </c>
      <c r="AA433" s="56" t="s">
        <v>186</v>
      </c>
      <c r="AB433" s="56">
        <v>14117967</v>
      </c>
      <c r="AC433" s="56" t="s">
        <v>186</v>
      </c>
      <c r="AD433" s="56">
        <v>14117967</v>
      </c>
      <c r="AE433" s="56" t="s">
        <v>2626</v>
      </c>
      <c r="AF433" s="56" t="s">
        <v>2627</v>
      </c>
      <c r="AG433" s="56" t="s">
        <v>2627</v>
      </c>
      <c r="AH433" s="56">
        <v>36</v>
      </c>
      <c r="AI433" s="56" t="s">
        <v>2628</v>
      </c>
      <c r="AJ433" s="56" t="s">
        <v>2629</v>
      </c>
      <c r="AK433" s="56">
        <v>530.63</v>
      </c>
      <c r="AL433" s="56" t="s">
        <v>2630</v>
      </c>
      <c r="AM433" s="56" t="s">
        <v>2631</v>
      </c>
      <c r="AN433" s="56" t="s">
        <v>2632</v>
      </c>
      <c r="AO433" s="56" t="s">
        <v>2627</v>
      </c>
      <c r="AP433" s="56" t="s">
        <v>2624</v>
      </c>
      <c r="AQ433" s="123">
        <v>3.4722222222222099E-3</v>
      </c>
      <c r="AR433" s="122">
        <v>-1.4490740740740748E-2</v>
      </c>
      <c r="AS433" s="56" t="s">
        <v>1048</v>
      </c>
      <c r="AT433" s="56" t="s">
        <v>1049</v>
      </c>
      <c r="AU433" s="56" t="s">
        <v>1050</v>
      </c>
      <c r="AV433" s="56">
        <v>36</v>
      </c>
      <c r="AW433" s="56" t="s">
        <v>1051</v>
      </c>
      <c r="AX433" s="56" t="s">
        <v>1679</v>
      </c>
      <c r="AY433" s="56" t="s">
        <v>1066</v>
      </c>
      <c r="AZ433" s="56" t="s">
        <v>1067</v>
      </c>
      <c r="BA433" s="56" t="s">
        <v>1680</v>
      </c>
      <c r="BB433" s="56" t="s">
        <v>1681</v>
      </c>
      <c r="BC433" s="56" t="s">
        <v>1133</v>
      </c>
      <c r="BD433" s="56" t="s">
        <v>3471</v>
      </c>
    </row>
    <row r="434" spans="1:56" x14ac:dyDescent="0.2">
      <c r="A434" s="56">
        <v>176680655</v>
      </c>
      <c r="B434" s="56" t="s">
        <v>3472</v>
      </c>
      <c r="C434" s="56" t="s">
        <v>2623</v>
      </c>
      <c r="D434" s="56" t="s">
        <v>3473</v>
      </c>
      <c r="E434" s="56" t="s">
        <v>1044</v>
      </c>
      <c r="F434" s="56">
        <v>195</v>
      </c>
      <c r="G434" s="56"/>
      <c r="H434" s="56">
        <v>6250</v>
      </c>
      <c r="I434" s="56">
        <v>6</v>
      </c>
      <c r="J434" s="56" t="s">
        <v>1045</v>
      </c>
      <c r="K434" s="56" t="s">
        <v>1296</v>
      </c>
      <c r="L434" s="121">
        <v>46268</v>
      </c>
      <c r="M434" s="122">
        <v>0.54166666666666663</v>
      </c>
      <c r="N434" s="122">
        <v>0.54583333333333328</v>
      </c>
      <c r="O434" s="56" t="s">
        <v>1047</v>
      </c>
      <c r="P434" s="121">
        <v>46268</v>
      </c>
      <c r="Q434" s="122">
        <v>0.60069444444444442</v>
      </c>
      <c r="R434" s="122">
        <v>0.5951967592592593</v>
      </c>
      <c r="S434" s="56" t="s">
        <v>1047</v>
      </c>
      <c r="T434" s="56">
        <v>1</v>
      </c>
      <c r="U434" s="56">
        <v>38</v>
      </c>
      <c r="V434" s="56">
        <v>37.57</v>
      </c>
      <c r="W434" s="56">
        <v>37.04</v>
      </c>
      <c r="X434" s="56" t="s">
        <v>2624</v>
      </c>
      <c r="Y434" s="56" t="s">
        <v>2624</v>
      </c>
      <c r="Z434" s="56" t="s">
        <v>2624</v>
      </c>
      <c r="AA434" s="56" t="s">
        <v>205</v>
      </c>
      <c r="AB434" s="56">
        <v>14118620</v>
      </c>
      <c r="AC434" s="56" t="s">
        <v>205</v>
      </c>
      <c r="AD434" s="56">
        <v>14118620</v>
      </c>
      <c r="AE434" s="56" t="s">
        <v>2626</v>
      </c>
      <c r="AF434" s="56" t="s">
        <v>2627</v>
      </c>
      <c r="AG434" s="56" t="s">
        <v>2627</v>
      </c>
      <c r="AH434" s="56">
        <v>36</v>
      </c>
      <c r="AI434" s="56" t="s">
        <v>2628</v>
      </c>
      <c r="AJ434" s="56" t="s">
        <v>2629</v>
      </c>
      <c r="AK434" s="56">
        <v>0</v>
      </c>
      <c r="AL434" s="56" t="s">
        <v>2630</v>
      </c>
      <c r="AM434" s="56" t="s">
        <v>2631</v>
      </c>
      <c r="AN434" s="56" t="s">
        <v>2632</v>
      </c>
      <c r="AO434" s="56" t="s">
        <v>2627</v>
      </c>
      <c r="AP434" s="56">
        <v>49</v>
      </c>
      <c r="AQ434" s="123">
        <v>4.1666666666666519E-3</v>
      </c>
      <c r="AR434" s="122">
        <v>-5.4976851851851194E-3</v>
      </c>
      <c r="AS434" s="56" t="s">
        <v>1048</v>
      </c>
      <c r="AT434" s="56" t="s">
        <v>1049</v>
      </c>
      <c r="AU434" s="56" t="s">
        <v>1050</v>
      </c>
      <c r="AV434" s="56">
        <v>36</v>
      </c>
      <c r="AW434" s="56" t="s">
        <v>1051</v>
      </c>
      <c r="AX434" s="56" t="s">
        <v>3474</v>
      </c>
      <c r="AY434" s="56" t="s">
        <v>1297</v>
      </c>
      <c r="AZ434" s="56" t="s">
        <v>1067</v>
      </c>
      <c r="BA434" s="56" t="s">
        <v>3475</v>
      </c>
      <c r="BB434" s="56" t="s">
        <v>3476</v>
      </c>
      <c r="BC434" s="56" t="s">
        <v>1133</v>
      </c>
      <c r="BD434" s="56" t="s">
        <v>3477</v>
      </c>
    </row>
    <row r="435" spans="1:56" x14ac:dyDescent="0.2">
      <c r="A435" s="56">
        <v>176683330</v>
      </c>
      <c r="B435" s="56" t="s">
        <v>2778</v>
      </c>
      <c r="C435" s="56" t="s">
        <v>2623</v>
      </c>
      <c r="D435" s="56" t="s">
        <v>1224</v>
      </c>
      <c r="E435" s="56" t="s">
        <v>1044</v>
      </c>
      <c r="F435" s="56">
        <v>227</v>
      </c>
      <c r="G435" s="56"/>
      <c r="H435" s="56">
        <v>13416</v>
      </c>
      <c r="I435" s="56">
        <v>7</v>
      </c>
      <c r="J435" s="56" t="s">
        <v>1045</v>
      </c>
      <c r="K435" s="56" t="s">
        <v>1079</v>
      </c>
      <c r="L435" s="121">
        <v>46268</v>
      </c>
      <c r="M435" s="122">
        <v>0.54166666666666663</v>
      </c>
      <c r="N435" s="122">
        <v>0.54652777777777772</v>
      </c>
      <c r="O435" s="56" t="s">
        <v>1047</v>
      </c>
      <c r="P435" s="121">
        <v>46268</v>
      </c>
      <c r="Q435" s="122">
        <v>0.60069444444444442</v>
      </c>
      <c r="R435" s="122">
        <v>0.58750000000000002</v>
      </c>
      <c r="S435" s="56" t="s">
        <v>1449</v>
      </c>
      <c r="T435" s="56">
        <v>0</v>
      </c>
      <c r="U435" s="56">
        <v>30</v>
      </c>
      <c r="V435" s="56">
        <v>24.61</v>
      </c>
      <c r="W435" s="56">
        <v>26.66</v>
      </c>
      <c r="X435" s="56">
        <v>31.07</v>
      </c>
      <c r="Y435" s="56">
        <v>4.0599999999999996</v>
      </c>
      <c r="Z435" s="56">
        <v>0.35</v>
      </c>
      <c r="AA435" s="56"/>
      <c r="AB435" s="56"/>
      <c r="AC435" s="56" t="s">
        <v>1187</v>
      </c>
      <c r="AD435" s="56"/>
      <c r="AE435" s="56" t="s">
        <v>2626</v>
      </c>
      <c r="AF435" s="56" t="s">
        <v>2627</v>
      </c>
      <c r="AG435" s="56" t="s">
        <v>2627</v>
      </c>
      <c r="AH435" s="56">
        <v>36</v>
      </c>
      <c r="AI435" s="56" t="s">
        <v>2842</v>
      </c>
      <c r="AJ435" s="56" t="s">
        <v>2629</v>
      </c>
      <c r="AK435" s="56">
        <v>0</v>
      </c>
      <c r="AL435" s="56" t="s">
        <v>2630</v>
      </c>
      <c r="AM435" s="56" t="s">
        <v>2631</v>
      </c>
      <c r="AN435" s="56" t="s">
        <v>2632</v>
      </c>
      <c r="AO435" s="56" t="s">
        <v>2627</v>
      </c>
      <c r="AP435" s="56" t="s">
        <v>2624</v>
      </c>
      <c r="AQ435" s="123">
        <v>4.8611111111110938E-3</v>
      </c>
      <c r="AR435" s="122">
        <v>-1.3194444444444398E-2</v>
      </c>
      <c r="AS435" s="56" t="s">
        <v>1048</v>
      </c>
      <c r="AT435" s="56" t="s">
        <v>1049</v>
      </c>
      <c r="AU435" s="56" t="s">
        <v>1050</v>
      </c>
      <c r="AV435" s="56">
        <v>36</v>
      </c>
      <c r="AW435" s="56" t="s">
        <v>1051</v>
      </c>
      <c r="AX435" s="56" t="s">
        <v>2664</v>
      </c>
      <c r="AY435" s="56" t="s">
        <v>1081</v>
      </c>
      <c r="AZ435" s="56" t="s">
        <v>1067</v>
      </c>
      <c r="BA435" s="56" t="s">
        <v>2665</v>
      </c>
      <c r="BB435" s="56" t="s">
        <v>2666</v>
      </c>
      <c r="BC435" s="56" t="s">
        <v>1133</v>
      </c>
      <c r="BD435" s="56" t="s">
        <v>2779</v>
      </c>
    </row>
    <row r="436" spans="1:56" x14ac:dyDescent="0.2">
      <c r="A436" s="56">
        <v>176684938</v>
      </c>
      <c r="B436" s="56" t="s">
        <v>2780</v>
      </c>
      <c r="C436" s="56" t="s">
        <v>2623</v>
      </c>
      <c r="D436" s="56" t="s">
        <v>2781</v>
      </c>
      <c r="E436" s="56" t="s">
        <v>1044</v>
      </c>
      <c r="F436" s="56">
        <v>20</v>
      </c>
      <c r="G436" s="56"/>
      <c r="H436" s="56">
        <v>5425</v>
      </c>
      <c r="I436" s="56">
        <v>6</v>
      </c>
      <c r="J436" s="56" t="s">
        <v>1045</v>
      </c>
      <c r="K436" s="56" t="s">
        <v>1181</v>
      </c>
      <c r="L436" s="121">
        <v>46268</v>
      </c>
      <c r="M436" s="122">
        <v>0.54166666666666663</v>
      </c>
      <c r="N436" s="122">
        <v>0.54513888888888884</v>
      </c>
      <c r="O436" s="56" t="s">
        <v>1047</v>
      </c>
      <c r="P436" s="121">
        <v>46268</v>
      </c>
      <c r="Q436" s="122">
        <v>0.57986111111111116</v>
      </c>
      <c r="R436" s="122">
        <v>0.57659722222222221</v>
      </c>
      <c r="S436" s="56" t="s">
        <v>1047</v>
      </c>
      <c r="T436" s="56">
        <v>1</v>
      </c>
      <c r="U436" s="56">
        <v>11</v>
      </c>
      <c r="V436" s="56">
        <v>8.06</v>
      </c>
      <c r="W436" s="56">
        <v>7.49</v>
      </c>
      <c r="X436" s="56" t="s">
        <v>2624</v>
      </c>
      <c r="Y436" s="56" t="s">
        <v>2624</v>
      </c>
      <c r="Z436" s="56" t="s">
        <v>2624</v>
      </c>
      <c r="AA436" s="56" t="s">
        <v>1510</v>
      </c>
      <c r="AB436" s="56">
        <v>14123536</v>
      </c>
      <c r="AC436" s="56" t="s">
        <v>1510</v>
      </c>
      <c r="AD436" s="56">
        <v>14123536</v>
      </c>
      <c r="AE436" s="56" t="s">
        <v>2626</v>
      </c>
      <c r="AF436" s="56" t="s">
        <v>2627</v>
      </c>
      <c r="AG436" s="56" t="s">
        <v>2627</v>
      </c>
      <c r="AH436" s="56">
        <v>36</v>
      </c>
      <c r="AI436" s="56" t="s">
        <v>2628</v>
      </c>
      <c r="AJ436" s="56" t="s">
        <v>2629</v>
      </c>
      <c r="AK436" s="56">
        <v>0</v>
      </c>
      <c r="AL436" s="56" t="s">
        <v>2630</v>
      </c>
      <c r="AM436" s="56" t="s">
        <v>2631</v>
      </c>
      <c r="AN436" s="56" t="s">
        <v>2632</v>
      </c>
      <c r="AO436" s="56" t="s">
        <v>2627</v>
      </c>
      <c r="AP436" s="56" t="s">
        <v>2624</v>
      </c>
      <c r="AQ436" s="123">
        <v>3.4722222222222099E-3</v>
      </c>
      <c r="AR436" s="122">
        <v>-3.263888888888955E-3</v>
      </c>
      <c r="AS436" s="56" t="s">
        <v>1048</v>
      </c>
      <c r="AT436" s="56" t="s">
        <v>1049</v>
      </c>
      <c r="AU436" s="56" t="s">
        <v>1050</v>
      </c>
      <c r="AV436" s="56">
        <v>36</v>
      </c>
      <c r="AW436" s="56" t="s">
        <v>1051</v>
      </c>
      <c r="AX436" s="56" t="s">
        <v>2782</v>
      </c>
      <c r="AY436" s="56" t="s">
        <v>1140</v>
      </c>
      <c r="AZ436" s="56" t="s">
        <v>1062</v>
      </c>
      <c r="BA436" s="56" t="s">
        <v>2783</v>
      </c>
      <c r="BB436" s="56" t="s">
        <v>2784</v>
      </c>
      <c r="BC436" s="56" t="s">
        <v>1133</v>
      </c>
      <c r="BD436" s="56" t="s">
        <v>2785</v>
      </c>
    </row>
    <row r="437" spans="1:56" x14ac:dyDescent="0.2">
      <c r="A437" s="56">
        <v>176684007</v>
      </c>
      <c r="B437" s="56" t="s">
        <v>3478</v>
      </c>
      <c r="C437" s="56" t="s">
        <v>2623</v>
      </c>
      <c r="D437" s="56" t="s">
        <v>1180</v>
      </c>
      <c r="E437" s="56" t="s">
        <v>1044</v>
      </c>
      <c r="F437" s="56">
        <v>7</v>
      </c>
      <c r="G437" s="56"/>
      <c r="H437" s="56">
        <v>4393</v>
      </c>
      <c r="I437" s="56">
        <v>7</v>
      </c>
      <c r="J437" s="56" t="s">
        <v>1045</v>
      </c>
      <c r="K437" s="56" t="s">
        <v>2682</v>
      </c>
      <c r="L437" s="121">
        <v>46268</v>
      </c>
      <c r="M437" s="122">
        <v>0.54513888888888884</v>
      </c>
      <c r="N437" s="122">
        <v>0.5493055555555556</v>
      </c>
      <c r="O437" s="56" t="s">
        <v>1047</v>
      </c>
      <c r="P437" s="121">
        <v>46268</v>
      </c>
      <c r="Q437" s="122">
        <v>0.59375</v>
      </c>
      <c r="R437" s="122">
        <v>0.64444444444444449</v>
      </c>
      <c r="S437" s="56" t="s">
        <v>1163</v>
      </c>
      <c r="T437" s="56">
        <v>0</v>
      </c>
      <c r="U437" s="56">
        <v>21</v>
      </c>
      <c r="V437" s="56">
        <v>17.45</v>
      </c>
      <c r="W437" s="56">
        <v>28.43</v>
      </c>
      <c r="X437" s="56">
        <v>39.75</v>
      </c>
      <c r="Y437" s="56">
        <v>2.68</v>
      </c>
      <c r="Z437" s="56">
        <v>8.64</v>
      </c>
      <c r="AA437" s="56" t="s">
        <v>910</v>
      </c>
      <c r="AB437" s="56">
        <v>14123652</v>
      </c>
      <c r="AC437" s="56" t="s">
        <v>910</v>
      </c>
      <c r="AD437" s="56">
        <v>14123652</v>
      </c>
      <c r="AE437" s="56" t="s">
        <v>2626</v>
      </c>
      <c r="AF437" s="56" t="s">
        <v>2627</v>
      </c>
      <c r="AG437" s="56" t="s">
        <v>2627</v>
      </c>
      <c r="AH437" s="56">
        <v>36</v>
      </c>
      <c r="AI437" s="56" t="s">
        <v>2880</v>
      </c>
      <c r="AJ437" s="56" t="s">
        <v>2640</v>
      </c>
      <c r="AK437" s="56">
        <v>0</v>
      </c>
      <c r="AL437" s="56" t="s">
        <v>2630</v>
      </c>
      <c r="AM437" s="56" t="s">
        <v>2631</v>
      </c>
      <c r="AN437" s="56" t="s">
        <v>2632</v>
      </c>
      <c r="AO437" s="56" t="s">
        <v>2627</v>
      </c>
      <c r="AP437" s="56" t="s">
        <v>2624</v>
      </c>
      <c r="AQ437" s="123">
        <v>4.1666666666667629E-3</v>
      </c>
      <c r="AR437" s="122">
        <v>5.0694444444444486E-2</v>
      </c>
      <c r="AS437" s="56" t="s">
        <v>1048</v>
      </c>
      <c r="AT437" s="56" t="s">
        <v>1059</v>
      </c>
      <c r="AU437" s="56" t="s">
        <v>1060</v>
      </c>
      <c r="AV437" s="56">
        <v>36</v>
      </c>
      <c r="AW437" s="56" t="s">
        <v>1051</v>
      </c>
      <c r="AX437" s="56" t="s">
        <v>2683</v>
      </c>
      <c r="AY437" s="56" t="s">
        <v>1140</v>
      </c>
      <c r="AZ437" s="56" t="s">
        <v>1062</v>
      </c>
      <c r="BA437" s="56" t="s">
        <v>2684</v>
      </c>
      <c r="BB437" s="56" t="s">
        <v>2685</v>
      </c>
      <c r="BC437" s="56" t="s">
        <v>1133</v>
      </c>
      <c r="BD437" s="56" t="s">
        <v>3479</v>
      </c>
    </row>
    <row r="438" spans="1:56" x14ac:dyDescent="0.2">
      <c r="A438" s="56">
        <v>176672733</v>
      </c>
      <c r="B438" s="56" t="s">
        <v>3480</v>
      </c>
      <c r="C438" s="56" t="s">
        <v>2623</v>
      </c>
      <c r="D438" s="56" t="s">
        <v>3481</v>
      </c>
      <c r="E438" s="56" t="s">
        <v>1044</v>
      </c>
      <c r="F438" s="56">
        <v>90</v>
      </c>
      <c r="G438" s="56"/>
      <c r="H438" s="56">
        <v>15995</v>
      </c>
      <c r="I438" s="56">
        <v>6</v>
      </c>
      <c r="J438" s="56" t="s">
        <v>1045</v>
      </c>
      <c r="K438" s="56" t="s">
        <v>1079</v>
      </c>
      <c r="L438" s="121">
        <v>46268</v>
      </c>
      <c r="M438" s="122">
        <v>0.54861111111111116</v>
      </c>
      <c r="N438" s="122">
        <v>0.55833333333333335</v>
      </c>
      <c r="O438" s="56" t="s">
        <v>1047</v>
      </c>
      <c r="P438" s="121">
        <v>46268</v>
      </c>
      <c r="Q438" s="122">
        <v>0.60069444444444442</v>
      </c>
      <c r="R438" s="122">
        <v>0.58173611111111112</v>
      </c>
      <c r="S438" s="56" t="s">
        <v>1047</v>
      </c>
      <c r="T438" s="56">
        <v>1</v>
      </c>
      <c r="U438" s="56">
        <v>23</v>
      </c>
      <c r="V438" s="56">
        <v>21.12</v>
      </c>
      <c r="W438" s="56">
        <v>23.25</v>
      </c>
      <c r="X438" s="56" t="s">
        <v>2624</v>
      </c>
      <c r="Y438" s="56" t="s">
        <v>2624</v>
      </c>
      <c r="Z438" s="56" t="s">
        <v>2624</v>
      </c>
      <c r="AA438" s="56" t="s">
        <v>311</v>
      </c>
      <c r="AB438" s="56">
        <v>14121015</v>
      </c>
      <c r="AC438" s="56" t="s">
        <v>311</v>
      </c>
      <c r="AD438" s="56">
        <v>14121015</v>
      </c>
      <c r="AE438" s="56" t="s">
        <v>2626</v>
      </c>
      <c r="AF438" s="56" t="s">
        <v>2627</v>
      </c>
      <c r="AG438" s="56" t="s">
        <v>2627</v>
      </c>
      <c r="AH438" s="56">
        <v>36</v>
      </c>
      <c r="AI438" s="56" t="s">
        <v>2628</v>
      </c>
      <c r="AJ438" s="56" t="s">
        <v>2629</v>
      </c>
      <c r="AK438" s="56">
        <v>0</v>
      </c>
      <c r="AL438" s="56" t="s">
        <v>2630</v>
      </c>
      <c r="AM438" s="56" t="s">
        <v>2631</v>
      </c>
      <c r="AN438" s="56" t="s">
        <v>2632</v>
      </c>
      <c r="AO438" s="56" t="s">
        <v>2627</v>
      </c>
      <c r="AP438" s="56" t="s">
        <v>2624</v>
      </c>
      <c r="AQ438" s="123">
        <v>9.7222222222221877E-3</v>
      </c>
      <c r="AR438" s="122">
        <v>-1.8958333333333299E-2</v>
      </c>
      <c r="AS438" s="56" t="s">
        <v>1048</v>
      </c>
      <c r="AT438" s="56" t="s">
        <v>1049</v>
      </c>
      <c r="AU438" s="56" t="s">
        <v>1050</v>
      </c>
      <c r="AV438" s="56">
        <v>36</v>
      </c>
      <c r="AW438" s="56" t="s">
        <v>1051</v>
      </c>
      <c r="AX438" s="56" t="s">
        <v>3482</v>
      </c>
      <c r="AY438" s="56" t="s">
        <v>1081</v>
      </c>
      <c r="AZ438" s="56" t="s">
        <v>1067</v>
      </c>
      <c r="BA438" s="56" t="s">
        <v>3483</v>
      </c>
      <c r="BB438" s="56" t="s">
        <v>3484</v>
      </c>
      <c r="BC438" s="56" t="s">
        <v>1133</v>
      </c>
      <c r="BD438" s="56" t="s">
        <v>3485</v>
      </c>
    </row>
    <row r="439" spans="1:56" x14ac:dyDescent="0.2">
      <c r="A439" s="56">
        <v>176672861</v>
      </c>
      <c r="B439" s="56" t="s">
        <v>2274</v>
      </c>
      <c r="C439" s="56" t="s">
        <v>2623</v>
      </c>
      <c r="D439" s="56" t="s">
        <v>2204</v>
      </c>
      <c r="E439" s="56" t="s">
        <v>1044</v>
      </c>
      <c r="F439" s="56">
        <v>109</v>
      </c>
      <c r="G439" s="56"/>
      <c r="H439" s="56">
        <v>6473</v>
      </c>
      <c r="I439" s="56">
        <v>6</v>
      </c>
      <c r="J439" s="56" t="s">
        <v>1045</v>
      </c>
      <c r="K439" s="56" t="s">
        <v>1296</v>
      </c>
      <c r="L439" s="121">
        <v>46268</v>
      </c>
      <c r="M439" s="122">
        <v>0.54861111111111116</v>
      </c>
      <c r="N439" s="122">
        <v>0.55347222222222225</v>
      </c>
      <c r="O439" s="56" t="s">
        <v>1047</v>
      </c>
      <c r="P439" s="121">
        <v>46268</v>
      </c>
      <c r="Q439" s="122">
        <v>0.60069444444444442</v>
      </c>
      <c r="R439" s="122">
        <v>0.60164351851851849</v>
      </c>
      <c r="S439" s="56" t="s">
        <v>1047</v>
      </c>
      <c r="T439" s="56">
        <v>1</v>
      </c>
      <c r="U439" s="56">
        <v>45</v>
      </c>
      <c r="V439" s="56">
        <v>43.1</v>
      </c>
      <c r="W439" s="56">
        <v>43.53</v>
      </c>
      <c r="X439" s="56" t="s">
        <v>2624</v>
      </c>
      <c r="Y439" s="56" t="s">
        <v>2624</v>
      </c>
      <c r="Z439" s="56" t="s">
        <v>2624</v>
      </c>
      <c r="AA439" s="56" t="s">
        <v>1598</v>
      </c>
      <c r="AB439" s="56">
        <v>14104932</v>
      </c>
      <c r="AC439" s="56" t="s">
        <v>1598</v>
      </c>
      <c r="AD439" s="56">
        <v>14104932</v>
      </c>
      <c r="AE439" s="56" t="s">
        <v>2626</v>
      </c>
      <c r="AF439" s="56" t="s">
        <v>2627</v>
      </c>
      <c r="AG439" s="56" t="s">
        <v>2627</v>
      </c>
      <c r="AH439" s="56">
        <v>36</v>
      </c>
      <c r="AI439" s="56" t="s">
        <v>2628</v>
      </c>
      <c r="AJ439" s="56" t="s">
        <v>2640</v>
      </c>
      <c r="AK439" s="56">
        <v>0</v>
      </c>
      <c r="AL439" s="56" t="s">
        <v>2630</v>
      </c>
      <c r="AM439" s="56" t="s">
        <v>2631</v>
      </c>
      <c r="AN439" s="56" t="s">
        <v>2632</v>
      </c>
      <c r="AO439" s="56" t="s">
        <v>2627</v>
      </c>
      <c r="AP439" s="56" t="s">
        <v>2624</v>
      </c>
      <c r="AQ439" s="123">
        <v>4.8611111111110938E-3</v>
      </c>
      <c r="AR439" s="122">
        <v>9.490740740740744E-4</v>
      </c>
      <c r="AS439" s="56" t="s">
        <v>1048</v>
      </c>
      <c r="AT439" s="56" t="s">
        <v>1049</v>
      </c>
      <c r="AU439" s="56" t="s">
        <v>1050</v>
      </c>
      <c r="AV439" s="56">
        <v>36</v>
      </c>
      <c r="AW439" s="56" t="s">
        <v>1051</v>
      </c>
      <c r="AX439" s="56" t="s">
        <v>2205</v>
      </c>
      <c r="AY439" s="56" t="s">
        <v>1297</v>
      </c>
      <c r="AZ439" s="56" t="s">
        <v>1067</v>
      </c>
      <c r="BA439" s="56" t="s">
        <v>2206</v>
      </c>
      <c r="BB439" s="56" t="s">
        <v>2207</v>
      </c>
      <c r="BC439" s="56" t="s">
        <v>1133</v>
      </c>
      <c r="BD439" s="56" t="s">
        <v>2275</v>
      </c>
    </row>
    <row r="440" spans="1:56" x14ac:dyDescent="0.2">
      <c r="A440" s="56">
        <v>176680177</v>
      </c>
      <c r="B440" s="56" t="s">
        <v>3203</v>
      </c>
      <c r="C440" s="56" t="s">
        <v>2623</v>
      </c>
      <c r="D440" s="56" t="s">
        <v>3204</v>
      </c>
      <c r="E440" s="56" t="s">
        <v>1044</v>
      </c>
      <c r="F440" s="56">
        <v>58</v>
      </c>
      <c r="G440" s="56"/>
      <c r="H440" s="56">
        <v>16786</v>
      </c>
      <c r="I440" s="56">
        <v>7</v>
      </c>
      <c r="J440" s="56" t="s">
        <v>1045</v>
      </c>
      <c r="K440" s="56" t="s">
        <v>1091</v>
      </c>
      <c r="L440" s="121">
        <v>46268</v>
      </c>
      <c r="M440" s="122">
        <v>0.54861111111111116</v>
      </c>
      <c r="N440" s="122">
        <v>0.63194444444444442</v>
      </c>
      <c r="O440" s="56" t="s">
        <v>1047</v>
      </c>
      <c r="P440" s="121">
        <v>46268</v>
      </c>
      <c r="Q440" s="122">
        <v>0.60069444444444442</v>
      </c>
      <c r="R440" s="122">
        <v>0.66874999999999996</v>
      </c>
      <c r="S440" s="56" t="s">
        <v>1163</v>
      </c>
      <c r="T440" s="56">
        <v>0</v>
      </c>
      <c r="U440" s="56">
        <v>30</v>
      </c>
      <c r="V440" s="56">
        <v>26.04</v>
      </c>
      <c r="W440" s="56">
        <v>19.09</v>
      </c>
      <c r="X440" s="56">
        <v>33.71</v>
      </c>
      <c r="Y440" s="56">
        <v>14.62</v>
      </c>
      <c r="Z440" s="56">
        <v>0</v>
      </c>
      <c r="AA440" s="56" t="s">
        <v>24</v>
      </c>
      <c r="AB440" s="56">
        <v>14100807</v>
      </c>
      <c r="AC440" s="56" t="s">
        <v>24</v>
      </c>
      <c r="AD440" s="56">
        <v>14100807</v>
      </c>
      <c r="AE440" s="56" t="s">
        <v>2626</v>
      </c>
      <c r="AF440" s="56" t="s">
        <v>2627</v>
      </c>
      <c r="AG440" s="56" t="s">
        <v>2627</v>
      </c>
      <c r="AH440" s="56">
        <v>36</v>
      </c>
      <c r="AI440" s="56" t="s">
        <v>2880</v>
      </c>
      <c r="AJ440" s="56" t="s">
        <v>2640</v>
      </c>
      <c r="AK440" s="56">
        <v>0</v>
      </c>
      <c r="AL440" s="56" t="s">
        <v>2630</v>
      </c>
      <c r="AM440" s="56" t="s">
        <v>2631</v>
      </c>
      <c r="AN440" s="56" t="s">
        <v>2632</v>
      </c>
      <c r="AO440" s="56" t="s">
        <v>2627</v>
      </c>
      <c r="AP440" s="56" t="s">
        <v>2624</v>
      </c>
      <c r="AQ440" s="123">
        <v>8.3333333333333259E-2</v>
      </c>
      <c r="AR440" s="122">
        <v>6.8055555555555536E-2</v>
      </c>
      <c r="AS440" s="56" t="s">
        <v>1048</v>
      </c>
      <c r="AT440" s="56" t="s">
        <v>1059</v>
      </c>
      <c r="AU440" s="56" t="s">
        <v>1060</v>
      </c>
      <c r="AV440" s="56">
        <v>36</v>
      </c>
      <c r="AW440" s="56" t="s">
        <v>1051</v>
      </c>
      <c r="AX440" s="56" t="s">
        <v>3205</v>
      </c>
      <c r="AY440" s="56" t="s">
        <v>1093</v>
      </c>
      <c r="AZ440" s="56" t="s">
        <v>1067</v>
      </c>
      <c r="BA440" s="56" t="s">
        <v>3206</v>
      </c>
      <c r="BB440" s="56" t="s">
        <v>3207</v>
      </c>
      <c r="BC440" s="56" t="s">
        <v>1133</v>
      </c>
      <c r="BD440" s="56" t="s">
        <v>3208</v>
      </c>
    </row>
    <row r="441" spans="1:56" x14ac:dyDescent="0.2">
      <c r="A441" s="56">
        <v>176683357</v>
      </c>
      <c r="B441" s="56" t="s">
        <v>1770</v>
      </c>
      <c r="C441" s="56" t="s">
        <v>2623</v>
      </c>
      <c r="D441" s="56" t="s">
        <v>1424</v>
      </c>
      <c r="E441" s="56" t="s">
        <v>1044</v>
      </c>
      <c r="F441" s="56">
        <v>121</v>
      </c>
      <c r="G441" s="56" t="s">
        <v>2693</v>
      </c>
      <c r="H441" s="56">
        <v>14052</v>
      </c>
      <c r="I441" s="56">
        <v>6</v>
      </c>
      <c r="J441" s="56" t="s">
        <v>1045</v>
      </c>
      <c r="K441" s="56" t="s">
        <v>1116</v>
      </c>
      <c r="L441" s="121">
        <v>46268</v>
      </c>
      <c r="M441" s="122">
        <v>0.54861111111111116</v>
      </c>
      <c r="N441" s="122">
        <v>0.56736111111111109</v>
      </c>
      <c r="O441" s="56" t="s">
        <v>1047</v>
      </c>
      <c r="P441" s="121">
        <v>46268</v>
      </c>
      <c r="Q441" s="122">
        <v>0.61458333333333337</v>
      </c>
      <c r="R441" s="122">
        <v>0.63503472222222224</v>
      </c>
      <c r="S441" s="56" t="s">
        <v>1047</v>
      </c>
      <c r="T441" s="56">
        <v>1</v>
      </c>
      <c r="U441" s="56">
        <v>25</v>
      </c>
      <c r="V441" s="56">
        <v>21.22</v>
      </c>
      <c r="W441" s="56">
        <v>20.73</v>
      </c>
      <c r="X441" s="56" t="s">
        <v>2624</v>
      </c>
      <c r="Y441" s="56" t="s">
        <v>2624</v>
      </c>
      <c r="Z441" s="56" t="s">
        <v>2624</v>
      </c>
      <c r="AA441" s="56" t="s">
        <v>248</v>
      </c>
      <c r="AB441" s="56">
        <v>14119481</v>
      </c>
      <c r="AC441" s="56" t="s">
        <v>248</v>
      </c>
      <c r="AD441" s="56">
        <v>14119481</v>
      </c>
      <c r="AE441" s="56" t="s">
        <v>2626</v>
      </c>
      <c r="AF441" s="56" t="s">
        <v>2627</v>
      </c>
      <c r="AG441" s="56" t="s">
        <v>2627</v>
      </c>
      <c r="AH441" s="56">
        <v>36</v>
      </c>
      <c r="AI441" s="56" t="s">
        <v>2628</v>
      </c>
      <c r="AJ441" s="56" t="s">
        <v>2640</v>
      </c>
      <c r="AK441" s="56">
        <v>0</v>
      </c>
      <c r="AL441" s="56" t="s">
        <v>2630</v>
      </c>
      <c r="AM441" s="56" t="s">
        <v>2631</v>
      </c>
      <c r="AN441" s="56" t="s">
        <v>2632</v>
      </c>
      <c r="AO441" s="56" t="s">
        <v>2627</v>
      </c>
      <c r="AP441" s="56" t="s">
        <v>2624</v>
      </c>
      <c r="AQ441" s="123">
        <v>1.8749999999999933E-2</v>
      </c>
      <c r="AR441" s="122">
        <v>2.0451388888888866E-2</v>
      </c>
      <c r="AS441" s="56" t="s">
        <v>1048</v>
      </c>
      <c r="AT441" s="56" t="s">
        <v>1059</v>
      </c>
      <c r="AU441" s="56" t="s">
        <v>1060</v>
      </c>
      <c r="AV441" s="56">
        <v>36</v>
      </c>
      <c r="AW441" s="56" t="s">
        <v>1051</v>
      </c>
      <c r="AX441" s="56" t="s">
        <v>1425</v>
      </c>
      <c r="AY441" s="56" t="s">
        <v>1128</v>
      </c>
      <c r="AZ441" s="56" t="s">
        <v>1054</v>
      </c>
      <c r="BA441" s="56" t="s">
        <v>1426</v>
      </c>
      <c r="BB441" s="56" t="s">
        <v>1427</v>
      </c>
      <c r="BC441" s="56" t="s">
        <v>1133</v>
      </c>
      <c r="BD441" s="56" t="s">
        <v>1771</v>
      </c>
    </row>
    <row r="442" spans="1:56" x14ac:dyDescent="0.2">
      <c r="A442" s="56">
        <v>176682415</v>
      </c>
      <c r="B442" s="56" t="s">
        <v>1309</v>
      </c>
      <c r="C442" s="56" t="s">
        <v>2623</v>
      </c>
      <c r="D442" s="56" t="s">
        <v>1115</v>
      </c>
      <c r="E442" s="56" t="s">
        <v>1044</v>
      </c>
      <c r="F442" s="56">
        <v>98</v>
      </c>
      <c r="G442" s="56" t="s">
        <v>2670</v>
      </c>
      <c r="H442" s="56">
        <v>14692</v>
      </c>
      <c r="I442" s="56">
        <v>6</v>
      </c>
      <c r="J442" s="56" t="s">
        <v>1045</v>
      </c>
      <c r="K442" s="56" t="s">
        <v>1116</v>
      </c>
      <c r="L442" s="121">
        <v>46268</v>
      </c>
      <c r="M442" s="122">
        <v>0.55208333333333337</v>
      </c>
      <c r="N442" s="122">
        <v>0.56180555555555556</v>
      </c>
      <c r="O442" s="56" t="s">
        <v>1047</v>
      </c>
      <c r="P442" s="121">
        <v>46268</v>
      </c>
      <c r="Q442" s="122">
        <v>0.61458333333333337</v>
      </c>
      <c r="R442" s="122">
        <v>0.62353009259259262</v>
      </c>
      <c r="S442" s="56" t="s">
        <v>1047</v>
      </c>
      <c r="T442" s="56">
        <v>1</v>
      </c>
      <c r="U442" s="56">
        <v>31</v>
      </c>
      <c r="V442" s="56">
        <v>26.96</v>
      </c>
      <c r="W442" s="56">
        <v>26.69</v>
      </c>
      <c r="X442" s="56" t="s">
        <v>2624</v>
      </c>
      <c r="Y442" s="56" t="s">
        <v>2624</v>
      </c>
      <c r="Z442" s="56" t="s">
        <v>2624</v>
      </c>
      <c r="AA442" s="56" t="s">
        <v>958</v>
      </c>
      <c r="AB442" s="56">
        <v>14123725</v>
      </c>
      <c r="AC442" s="56" t="s">
        <v>958</v>
      </c>
      <c r="AD442" s="56">
        <v>14123725</v>
      </c>
      <c r="AE442" s="56" t="s">
        <v>2626</v>
      </c>
      <c r="AF442" s="56" t="s">
        <v>2627</v>
      </c>
      <c r="AG442" s="56" t="s">
        <v>2627</v>
      </c>
      <c r="AH442" s="56">
        <v>36</v>
      </c>
      <c r="AI442" s="56" t="s">
        <v>2628</v>
      </c>
      <c r="AJ442" s="56" t="s">
        <v>2640</v>
      </c>
      <c r="AK442" s="56">
        <v>0</v>
      </c>
      <c r="AL442" s="56" t="s">
        <v>2630</v>
      </c>
      <c r="AM442" s="56" t="s">
        <v>2631</v>
      </c>
      <c r="AN442" s="56" t="s">
        <v>2632</v>
      </c>
      <c r="AO442" s="56" t="s">
        <v>2627</v>
      </c>
      <c r="AP442" s="56">
        <v>39</v>
      </c>
      <c r="AQ442" s="123">
        <v>9.7222222222221877E-3</v>
      </c>
      <c r="AR442" s="122">
        <v>8.9467592592592515E-3</v>
      </c>
      <c r="AS442" s="56" t="s">
        <v>1048</v>
      </c>
      <c r="AT442" s="56" t="s">
        <v>1059</v>
      </c>
      <c r="AU442" s="56" t="s">
        <v>1060</v>
      </c>
      <c r="AV442" s="56">
        <v>36</v>
      </c>
      <c r="AW442" s="56" t="s">
        <v>1051</v>
      </c>
      <c r="AX442" s="56" t="s">
        <v>1117</v>
      </c>
      <c r="AY442" s="56" t="s">
        <v>1118</v>
      </c>
      <c r="AZ442" s="56" t="s">
        <v>1054</v>
      </c>
      <c r="BA442" s="56" t="s">
        <v>1119</v>
      </c>
      <c r="BB442" s="56" t="s">
        <v>1120</v>
      </c>
      <c r="BC442" s="56" t="s">
        <v>1133</v>
      </c>
      <c r="BD442" s="56" t="s">
        <v>1310</v>
      </c>
    </row>
    <row r="443" spans="1:56" x14ac:dyDescent="0.2">
      <c r="A443" s="56">
        <v>176683491</v>
      </c>
      <c r="B443" s="56" t="s">
        <v>2792</v>
      </c>
      <c r="C443" s="56" t="s">
        <v>2623</v>
      </c>
      <c r="D443" s="56" t="s">
        <v>2793</v>
      </c>
      <c r="E443" s="56" t="s">
        <v>1044</v>
      </c>
      <c r="F443" s="56">
        <v>229</v>
      </c>
      <c r="G443" s="56"/>
      <c r="H443" s="56">
        <v>5530</v>
      </c>
      <c r="I443" s="56">
        <v>6</v>
      </c>
      <c r="J443" s="56" t="s">
        <v>1045</v>
      </c>
      <c r="K443" s="56" t="s">
        <v>1079</v>
      </c>
      <c r="L443" s="121">
        <v>46268</v>
      </c>
      <c r="M443" s="122">
        <v>0.55555555555555558</v>
      </c>
      <c r="N443" s="122">
        <v>0.56319444444444444</v>
      </c>
      <c r="O443" s="56" t="s">
        <v>1047</v>
      </c>
      <c r="P443" s="121">
        <v>46268</v>
      </c>
      <c r="Q443" s="122">
        <v>0.60069444444444442</v>
      </c>
      <c r="R443" s="122">
        <v>0.5871643518518519</v>
      </c>
      <c r="S443" s="56" t="s">
        <v>1047</v>
      </c>
      <c r="T443" s="56">
        <v>1</v>
      </c>
      <c r="U443" s="56">
        <v>19</v>
      </c>
      <c r="V443" s="56">
        <v>15.58</v>
      </c>
      <c r="W443" s="56">
        <v>15.95</v>
      </c>
      <c r="X443" s="56" t="s">
        <v>2624</v>
      </c>
      <c r="Y443" s="56" t="s">
        <v>2624</v>
      </c>
      <c r="Z443" s="56" t="s">
        <v>2624</v>
      </c>
      <c r="AA443" s="56" t="s">
        <v>309</v>
      </c>
      <c r="AB443" s="56">
        <v>14120925</v>
      </c>
      <c r="AC443" s="56" t="s">
        <v>309</v>
      </c>
      <c r="AD443" s="56">
        <v>14120925</v>
      </c>
      <c r="AE443" s="56" t="s">
        <v>2626</v>
      </c>
      <c r="AF443" s="56" t="s">
        <v>2627</v>
      </c>
      <c r="AG443" s="56" t="s">
        <v>2627</v>
      </c>
      <c r="AH443" s="56">
        <v>36</v>
      </c>
      <c r="AI443" s="56" t="s">
        <v>2628</v>
      </c>
      <c r="AJ443" s="56" t="s">
        <v>2629</v>
      </c>
      <c r="AK443" s="56">
        <v>0</v>
      </c>
      <c r="AL443" s="56" t="s">
        <v>2630</v>
      </c>
      <c r="AM443" s="56" t="s">
        <v>2631</v>
      </c>
      <c r="AN443" s="56" t="s">
        <v>2632</v>
      </c>
      <c r="AO443" s="56" t="s">
        <v>2627</v>
      </c>
      <c r="AP443" s="56" t="s">
        <v>2624</v>
      </c>
      <c r="AQ443" s="123">
        <v>7.6388888888888618E-3</v>
      </c>
      <c r="AR443" s="122">
        <v>-1.3530092592592524E-2</v>
      </c>
      <c r="AS443" s="56" t="s">
        <v>1048</v>
      </c>
      <c r="AT443" s="56" t="s">
        <v>1049</v>
      </c>
      <c r="AU443" s="56" t="s">
        <v>1050</v>
      </c>
      <c r="AV443" s="56">
        <v>36</v>
      </c>
      <c r="AW443" s="56" t="s">
        <v>1051</v>
      </c>
      <c r="AX443" s="56" t="s">
        <v>2794</v>
      </c>
      <c r="AY443" s="56" t="s">
        <v>1081</v>
      </c>
      <c r="AZ443" s="56" t="s">
        <v>1067</v>
      </c>
      <c r="BA443" s="56" t="s">
        <v>2795</v>
      </c>
      <c r="BB443" s="56" t="s">
        <v>2796</v>
      </c>
      <c r="BC443" s="56" t="s">
        <v>1133</v>
      </c>
      <c r="BD443" s="56" t="s">
        <v>2797</v>
      </c>
    </row>
    <row r="444" spans="1:56" x14ac:dyDescent="0.2">
      <c r="A444" s="56">
        <v>176672754</v>
      </c>
      <c r="B444" s="56" t="s">
        <v>1311</v>
      </c>
      <c r="C444" s="56" t="s">
        <v>2623</v>
      </c>
      <c r="D444" s="56" t="s">
        <v>1074</v>
      </c>
      <c r="E444" s="56" t="s">
        <v>1044</v>
      </c>
      <c r="F444" s="56">
        <v>99</v>
      </c>
      <c r="G444" s="56"/>
      <c r="H444" s="56">
        <v>6251</v>
      </c>
      <c r="I444" s="56">
        <v>6</v>
      </c>
      <c r="J444" s="56" t="s">
        <v>1045</v>
      </c>
      <c r="K444" s="56" t="s">
        <v>1079</v>
      </c>
      <c r="L444" s="121">
        <v>46268</v>
      </c>
      <c r="M444" s="122">
        <v>0.55902777777777779</v>
      </c>
      <c r="N444" s="122">
        <v>0.56874999999999998</v>
      </c>
      <c r="O444" s="56" t="s">
        <v>1047</v>
      </c>
      <c r="P444" s="121">
        <v>46268</v>
      </c>
      <c r="Q444" s="122">
        <v>0.60069444444444442</v>
      </c>
      <c r="R444" s="122">
        <v>0.59207175925925926</v>
      </c>
      <c r="S444" s="56" t="s">
        <v>1047</v>
      </c>
      <c r="T444" s="56">
        <v>1</v>
      </c>
      <c r="U444" s="56">
        <v>22</v>
      </c>
      <c r="V444" s="56">
        <v>17.89</v>
      </c>
      <c r="W444" s="56">
        <v>19.25</v>
      </c>
      <c r="X444" s="56" t="s">
        <v>2624</v>
      </c>
      <c r="Y444" s="56" t="s">
        <v>2624</v>
      </c>
      <c r="Z444" s="56" t="s">
        <v>2624</v>
      </c>
      <c r="AA444" s="56" t="s">
        <v>457</v>
      </c>
      <c r="AB444" s="56">
        <v>14122855</v>
      </c>
      <c r="AC444" s="56" t="s">
        <v>457</v>
      </c>
      <c r="AD444" s="56">
        <v>14122855</v>
      </c>
      <c r="AE444" s="56" t="s">
        <v>2626</v>
      </c>
      <c r="AF444" s="56" t="s">
        <v>2627</v>
      </c>
      <c r="AG444" s="56" t="s">
        <v>2627</v>
      </c>
      <c r="AH444" s="56">
        <v>36</v>
      </c>
      <c r="AI444" s="56" t="s">
        <v>2628</v>
      </c>
      <c r="AJ444" s="56" t="s">
        <v>2629</v>
      </c>
      <c r="AK444" s="56">
        <v>0</v>
      </c>
      <c r="AL444" s="56" t="s">
        <v>2630</v>
      </c>
      <c r="AM444" s="56" t="s">
        <v>2631</v>
      </c>
      <c r="AN444" s="56" t="s">
        <v>2632</v>
      </c>
      <c r="AO444" s="56" t="s">
        <v>2627</v>
      </c>
      <c r="AP444" s="56" t="s">
        <v>2624</v>
      </c>
      <c r="AQ444" s="123">
        <v>9.7222222222221877E-3</v>
      </c>
      <c r="AR444" s="122">
        <v>-8.6226851851851638E-3</v>
      </c>
      <c r="AS444" s="56" t="s">
        <v>1048</v>
      </c>
      <c r="AT444" s="56" t="s">
        <v>1049</v>
      </c>
      <c r="AU444" s="56" t="s">
        <v>1050</v>
      </c>
      <c r="AV444" s="56">
        <v>36</v>
      </c>
      <c r="AW444" s="56" t="s">
        <v>1051</v>
      </c>
      <c r="AX444" s="56" t="s">
        <v>1312</v>
      </c>
      <c r="AY444" s="56" t="s">
        <v>1081</v>
      </c>
      <c r="AZ444" s="56" t="s">
        <v>1067</v>
      </c>
      <c r="BA444" s="56" t="s">
        <v>1313</v>
      </c>
      <c r="BB444" s="56" t="s">
        <v>1314</v>
      </c>
      <c r="BC444" s="56" t="s">
        <v>1133</v>
      </c>
      <c r="BD444" s="56" t="s">
        <v>1315</v>
      </c>
    </row>
    <row r="445" spans="1:56" x14ac:dyDescent="0.2">
      <c r="A445" s="56">
        <v>176678675</v>
      </c>
      <c r="B445" s="56" t="s">
        <v>3090</v>
      </c>
      <c r="C445" s="56" t="s">
        <v>2623</v>
      </c>
      <c r="D445" s="56" t="s">
        <v>2696</v>
      </c>
      <c r="E445" s="56" t="s">
        <v>1044</v>
      </c>
      <c r="F445" s="56">
        <v>69</v>
      </c>
      <c r="G445" s="56" t="s">
        <v>2693</v>
      </c>
      <c r="H445" s="56">
        <v>4982</v>
      </c>
      <c r="I445" s="56">
        <v>6</v>
      </c>
      <c r="J445" s="56" t="s">
        <v>1045</v>
      </c>
      <c r="K445" s="56" t="s">
        <v>1116</v>
      </c>
      <c r="L445" s="121">
        <v>46268</v>
      </c>
      <c r="M445" s="122">
        <v>0.5625</v>
      </c>
      <c r="N445" s="122">
        <v>0.56736111111111109</v>
      </c>
      <c r="O445" s="56" t="s">
        <v>1047</v>
      </c>
      <c r="P445" s="121">
        <v>46268</v>
      </c>
      <c r="Q445" s="122">
        <v>0.61458333333333337</v>
      </c>
      <c r="R445" s="122">
        <v>0.61282407407407402</v>
      </c>
      <c r="S445" s="56" t="s">
        <v>1047</v>
      </c>
      <c r="T445" s="56">
        <v>1</v>
      </c>
      <c r="U445" s="56">
        <v>28</v>
      </c>
      <c r="V445" s="56">
        <v>23.19</v>
      </c>
      <c r="W445" s="56">
        <v>25.15</v>
      </c>
      <c r="X445" s="56" t="s">
        <v>2624</v>
      </c>
      <c r="Y445" s="56" t="s">
        <v>2624</v>
      </c>
      <c r="Z445" s="56" t="s">
        <v>2624</v>
      </c>
      <c r="AA445" s="56" t="s">
        <v>284</v>
      </c>
      <c r="AB445" s="56">
        <v>14111678</v>
      </c>
      <c r="AC445" s="56" t="s">
        <v>284</v>
      </c>
      <c r="AD445" s="56">
        <v>14111678</v>
      </c>
      <c r="AE445" s="56" t="s">
        <v>2626</v>
      </c>
      <c r="AF445" s="56" t="s">
        <v>2627</v>
      </c>
      <c r="AG445" s="56" t="s">
        <v>2627</v>
      </c>
      <c r="AH445" s="56">
        <v>36</v>
      </c>
      <c r="AI445" s="56" t="s">
        <v>2628</v>
      </c>
      <c r="AJ445" s="56" t="s">
        <v>2629</v>
      </c>
      <c r="AK445" s="56">
        <v>0</v>
      </c>
      <c r="AL445" s="56" t="s">
        <v>2630</v>
      </c>
      <c r="AM445" s="56" t="s">
        <v>2631</v>
      </c>
      <c r="AN445" s="56" t="s">
        <v>2632</v>
      </c>
      <c r="AO445" s="56" t="s">
        <v>2627</v>
      </c>
      <c r="AP445" s="56" t="s">
        <v>2624</v>
      </c>
      <c r="AQ445" s="123">
        <v>4.8611111111110938E-3</v>
      </c>
      <c r="AR445" s="122">
        <v>-1.7592592592593492E-3</v>
      </c>
      <c r="AS445" s="56" t="s">
        <v>1048</v>
      </c>
      <c r="AT445" s="56" t="s">
        <v>1049</v>
      </c>
      <c r="AU445" s="56" t="s">
        <v>1050</v>
      </c>
      <c r="AV445" s="56">
        <v>36</v>
      </c>
      <c r="AW445" s="56" t="s">
        <v>1051</v>
      </c>
      <c r="AX445" s="56" t="s">
        <v>2697</v>
      </c>
      <c r="AY445" s="56" t="s">
        <v>1128</v>
      </c>
      <c r="AZ445" s="56" t="s">
        <v>1054</v>
      </c>
      <c r="BA445" s="56" t="s">
        <v>2698</v>
      </c>
      <c r="BB445" s="56" t="s">
        <v>2699</v>
      </c>
      <c r="BC445" s="56" t="s">
        <v>1133</v>
      </c>
      <c r="BD445" s="56" t="s">
        <v>3091</v>
      </c>
    </row>
    <row r="446" spans="1:56" x14ac:dyDescent="0.2">
      <c r="A446" s="56">
        <v>176675893</v>
      </c>
      <c r="B446" s="56" t="s">
        <v>2816</v>
      </c>
      <c r="C446" s="56" t="s">
        <v>2623</v>
      </c>
      <c r="D446" s="56" t="s">
        <v>2688</v>
      </c>
      <c r="E446" s="56" t="s">
        <v>1044</v>
      </c>
      <c r="F446" s="56">
        <v>11</v>
      </c>
      <c r="G446" s="56"/>
      <c r="H446" s="56">
        <v>15185</v>
      </c>
      <c r="I446" s="56">
        <v>6</v>
      </c>
      <c r="J446" s="56" t="s">
        <v>1045</v>
      </c>
      <c r="K446" s="56" t="s">
        <v>1058</v>
      </c>
      <c r="L446" s="121">
        <v>46268</v>
      </c>
      <c r="M446" s="122">
        <v>0.57361111111111107</v>
      </c>
      <c r="N446" s="122">
        <v>0.58194444444444449</v>
      </c>
      <c r="O446" s="56" t="s">
        <v>1047</v>
      </c>
      <c r="P446" s="121">
        <v>46268</v>
      </c>
      <c r="Q446" s="122">
        <v>0.60416666666666663</v>
      </c>
      <c r="R446" s="122">
        <v>0.59706018518518522</v>
      </c>
      <c r="S446" s="56" t="s">
        <v>1047</v>
      </c>
      <c r="T446" s="56">
        <v>1</v>
      </c>
      <c r="U446" s="56">
        <v>14</v>
      </c>
      <c r="V446" s="56">
        <v>9.2899999999999991</v>
      </c>
      <c r="W446" s="56">
        <v>8.4700000000000006</v>
      </c>
      <c r="X446" s="56" t="s">
        <v>2624</v>
      </c>
      <c r="Y446" s="56" t="s">
        <v>2624</v>
      </c>
      <c r="Z446" s="56" t="s">
        <v>2624</v>
      </c>
      <c r="AA446" s="56" t="s">
        <v>467</v>
      </c>
      <c r="AB446" s="56">
        <v>14122925</v>
      </c>
      <c r="AC446" s="56" t="s">
        <v>467</v>
      </c>
      <c r="AD446" s="56">
        <v>14122925</v>
      </c>
      <c r="AE446" s="56" t="s">
        <v>2626</v>
      </c>
      <c r="AF446" s="56" t="s">
        <v>2627</v>
      </c>
      <c r="AG446" s="56" t="s">
        <v>2627</v>
      </c>
      <c r="AH446" s="56">
        <v>36</v>
      </c>
      <c r="AI446" s="56" t="s">
        <v>2628</v>
      </c>
      <c r="AJ446" s="56" t="s">
        <v>2629</v>
      </c>
      <c r="AK446" s="56">
        <v>730</v>
      </c>
      <c r="AL446" s="56" t="s">
        <v>2630</v>
      </c>
      <c r="AM446" s="56" t="s">
        <v>2631</v>
      </c>
      <c r="AN446" s="56" t="s">
        <v>2632</v>
      </c>
      <c r="AO446" s="56" t="s">
        <v>2627</v>
      </c>
      <c r="AP446" s="56" t="s">
        <v>2624</v>
      </c>
      <c r="AQ446" s="123">
        <v>8.3333333333334147E-3</v>
      </c>
      <c r="AR446" s="122">
        <v>-7.1064814814814081E-3</v>
      </c>
      <c r="AS446" s="56" t="s">
        <v>1048</v>
      </c>
      <c r="AT446" s="56" t="s">
        <v>1049</v>
      </c>
      <c r="AU446" s="56" t="s">
        <v>1050</v>
      </c>
      <c r="AV446" s="56">
        <v>36</v>
      </c>
      <c r="AW446" s="56" t="s">
        <v>1051</v>
      </c>
      <c r="AX446" s="56" t="s">
        <v>2689</v>
      </c>
      <c r="AY446" s="56" t="s">
        <v>1061</v>
      </c>
      <c r="AZ446" s="56" t="s">
        <v>1062</v>
      </c>
      <c r="BA446" s="56" t="s">
        <v>2690</v>
      </c>
      <c r="BB446" s="56" t="s">
        <v>2691</v>
      </c>
      <c r="BC446" s="56" t="s">
        <v>1133</v>
      </c>
      <c r="BD446" s="56" t="s">
        <v>2817</v>
      </c>
    </row>
    <row r="447" spans="1:56" x14ac:dyDescent="0.2">
      <c r="A447" s="56">
        <v>176683775</v>
      </c>
      <c r="B447" s="56" t="s">
        <v>2333</v>
      </c>
      <c r="C447" s="56" t="s">
        <v>2623</v>
      </c>
      <c r="D447" s="56" t="s">
        <v>2334</v>
      </c>
      <c r="E447" s="56" t="s">
        <v>1044</v>
      </c>
      <c r="F447" s="56">
        <v>161</v>
      </c>
      <c r="G447" s="56" t="s">
        <v>2670</v>
      </c>
      <c r="H447" s="56">
        <v>6791</v>
      </c>
      <c r="I447" s="56">
        <v>7</v>
      </c>
      <c r="J447" s="56" t="s">
        <v>1045</v>
      </c>
      <c r="K447" s="56" t="s">
        <v>1116</v>
      </c>
      <c r="L447" s="121">
        <v>46268</v>
      </c>
      <c r="M447" s="122">
        <v>0.57638888888888884</v>
      </c>
      <c r="N447" s="122">
        <v>0.57986111111111116</v>
      </c>
      <c r="O447" s="56" t="s">
        <v>1047</v>
      </c>
      <c r="P447" s="121">
        <v>46268</v>
      </c>
      <c r="Q447" s="122">
        <v>0.61458333333333337</v>
      </c>
      <c r="R447" s="56"/>
      <c r="S447" s="56" t="s">
        <v>1148</v>
      </c>
      <c r="T447" s="56">
        <v>0</v>
      </c>
      <c r="U447" s="56">
        <v>23</v>
      </c>
      <c r="V447" s="56">
        <v>18.829999999999998</v>
      </c>
      <c r="W447" s="56">
        <v>4.1900000000000004</v>
      </c>
      <c r="X447" s="56">
        <v>18.5</v>
      </c>
      <c r="Y447" s="56">
        <v>5.41</v>
      </c>
      <c r="Z447" s="56">
        <v>8.9</v>
      </c>
      <c r="AA447" s="56" t="s">
        <v>417</v>
      </c>
      <c r="AB447" s="56">
        <v>14122355</v>
      </c>
      <c r="AC447" s="56" t="s">
        <v>417</v>
      </c>
      <c r="AD447" s="56">
        <v>14122355</v>
      </c>
      <c r="AE447" s="56" t="s">
        <v>2626</v>
      </c>
      <c r="AF447" s="56" t="s">
        <v>2627</v>
      </c>
      <c r="AG447" s="56" t="s">
        <v>2627</v>
      </c>
      <c r="AH447" s="56">
        <v>36</v>
      </c>
      <c r="AI447" s="56" t="s">
        <v>2706</v>
      </c>
      <c r="AJ447" s="56" t="s">
        <v>2640</v>
      </c>
      <c r="AK447" s="56">
        <v>0</v>
      </c>
      <c r="AL447" s="56" t="s">
        <v>2630</v>
      </c>
      <c r="AM447" s="56" t="s">
        <v>2631</v>
      </c>
      <c r="AN447" s="56" t="s">
        <v>2632</v>
      </c>
      <c r="AO447" s="56" t="s">
        <v>2627</v>
      </c>
      <c r="AP447" s="56" t="s">
        <v>2624</v>
      </c>
      <c r="AQ447" s="123">
        <v>3.4722222222223209E-3</v>
      </c>
      <c r="AR447" s="122">
        <v>-0.61458333333333337</v>
      </c>
      <c r="AS447" s="56" t="s">
        <v>1048</v>
      </c>
      <c r="AT447" s="56" t="s">
        <v>1049</v>
      </c>
      <c r="AU447" s="56" t="s">
        <v>1050</v>
      </c>
      <c r="AV447" s="56">
        <v>36</v>
      </c>
      <c r="AW447" s="56" t="s">
        <v>1051</v>
      </c>
      <c r="AX447" s="56" t="s">
        <v>2335</v>
      </c>
      <c r="AY447" s="56" t="s">
        <v>1118</v>
      </c>
      <c r="AZ447" s="56" t="s">
        <v>1054</v>
      </c>
      <c r="BA447" s="56" t="s">
        <v>2336</v>
      </c>
      <c r="BB447" s="56" t="s">
        <v>2337</v>
      </c>
      <c r="BC447" s="56" t="s">
        <v>1133</v>
      </c>
      <c r="BD447" s="56" t="s">
        <v>2338</v>
      </c>
    </row>
    <row r="448" spans="1:56" x14ac:dyDescent="0.2">
      <c r="A448" s="56">
        <v>176683225</v>
      </c>
      <c r="B448" s="56" t="s">
        <v>2824</v>
      </c>
      <c r="C448" s="56" t="s">
        <v>2623</v>
      </c>
      <c r="D448" s="56" t="s">
        <v>2281</v>
      </c>
      <c r="E448" s="56" t="s">
        <v>1044</v>
      </c>
      <c r="F448" s="56">
        <v>112</v>
      </c>
      <c r="G448" s="56" t="s">
        <v>2693</v>
      </c>
      <c r="H448" s="56">
        <v>13374</v>
      </c>
      <c r="I448" s="56">
        <v>6</v>
      </c>
      <c r="J448" s="56" t="s">
        <v>1045</v>
      </c>
      <c r="K448" s="56" t="s">
        <v>1116</v>
      </c>
      <c r="L448" s="121">
        <v>46268</v>
      </c>
      <c r="M448" s="122">
        <v>0.57986111111111116</v>
      </c>
      <c r="N448" s="122">
        <v>0.58402777777777781</v>
      </c>
      <c r="O448" s="56" t="s">
        <v>1047</v>
      </c>
      <c r="P448" s="121">
        <v>46268</v>
      </c>
      <c r="Q448" s="122">
        <v>0.61458333333333337</v>
      </c>
      <c r="R448" s="122">
        <v>0.60170138888888891</v>
      </c>
      <c r="S448" s="56" t="s">
        <v>1047</v>
      </c>
      <c r="T448" s="56">
        <v>1</v>
      </c>
      <c r="U448" s="56">
        <v>17</v>
      </c>
      <c r="V448" s="56">
        <v>11.59</v>
      </c>
      <c r="W448" s="56">
        <v>10.81</v>
      </c>
      <c r="X448" s="56" t="s">
        <v>2624</v>
      </c>
      <c r="Y448" s="56" t="s">
        <v>2624</v>
      </c>
      <c r="Z448" s="56" t="s">
        <v>2624</v>
      </c>
      <c r="AA448" s="56" t="s">
        <v>946</v>
      </c>
      <c r="AB448" s="56">
        <v>14123704</v>
      </c>
      <c r="AC448" s="56" t="s">
        <v>946</v>
      </c>
      <c r="AD448" s="56">
        <v>14123704</v>
      </c>
      <c r="AE448" s="56" t="s">
        <v>2626</v>
      </c>
      <c r="AF448" s="56" t="s">
        <v>2627</v>
      </c>
      <c r="AG448" s="56" t="s">
        <v>2627</v>
      </c>
      <c r="AH448" s="56">
        <v>36</v>
      </c>
      <c r="AI448" s="56" t="s">
        <v>2628</v>
      </c>
      <c r="AJ448" s="56" t="s">
        <v>2629</v>
      </c>
      <c r="AK448" s="56">
        <v>0</v>
      </c>
      <c r="AL448" s="56" t="s">
        <v>2630</v>
      </c>
      <c r="AM448" s="56" t="s">
        <v>2631</v>
      </c>
      <c r="AN448" s="56" t="s">
        <v>2632</v>
      </c>
      <c r="AO448" s="56" t="s">
        <v>2627</v>
      </c>
      <c r="AP448" s="56" t="s">
        <v>2624</v>
      </c>
      <c r="AQ448" s="123">
        <v>4.1666666666666519E-3</v>
      </c>
      <c r="AR448" s="122">
        <v>-1.288194444444446E-2</v>
      </c>
      <c r="AS448" s="56" t="s">
        <v>1048</v>
      </c>
      <c r="AT448" s="56" t="s">
        <v>1049</v>
      </c>
      <c r="AU448" s="56" t="s">
        <v>1050</v>
      </c>
      <c r="AV448" s="56">
        <v>36</v>
      </c>
      <c r="AW448" s="56" t="s">
        <v>1051</v>
      </c>
      <c r="AX448" s="56" t="s">
        <v>2825</v>
      </c>
      <c r="AY448" s="56" t="s">
        <v>1128</v>
      </c>
      <c r="AZ448" s="56" t="s">
        <v>1054</v>
      </c>
      <c r="BA448" s="56" t="s">
        <v>2826</v>
      </c>
      <c r="BB448" s="56" t="s">
        <v>2827</v>
      </c>
      <c r="BC448" s="56" t="s">
        <v>1133</v>
      </c>
      <c r="BD448" s="56" t="s">
        <v>2828</v>
      </c>
    </row>
    <row r="449" spans="1:56" x14ac:dyDescent="0.2">
      <c r="A449" s="56">
        <v>176685188</v>
      </c>
      <c r="B449" s="56" t="s">
        <v>3373</v>
      </c>
      <c r="C449" s="56" t="s">
        <v>2623</v>
      </c>
      <c r="D449" s="56" t="s">
        <v>3374</v>
      </c>
      <c r="E449" s="56" t="s">
        <v>1044</v>
      </c>
      <c r="F449" s="56">
        <v>238</v>
      </c>
      <c r="G449" s="56" t="s">
        <v>2693</v>
      </c>
      <c r="H449" s="56">
        <v>4200</v>
      </c>
      <c r="I449" s="56">
        <v>6</v>
      </c>
      <c r="J449" s="56" t="s">
        <v>1045</v>
      </c>
      <c r="K449" s="56" t="s">
        <v>1116</v>
      </c>
      <c r="L449" s="121">
        <v>46268</v>
      </c>
      <c r="M449" s="122">
        <v>0.58333333333333337</v>
      </c>
      <c r="N449" s="122">
        <v>0.59236111111111112</v>
      </c>
      <c r="O449" s="56" t="s">
        <v>1047</v>
      </c>
      <c r="P449" s="121">
        <v>46268</v>
      </c>
      <c r="Q449" s="122">
        <v>0.61458333333333337</v>
      </c>
      <c r="R449" s="122">
        <v>0.61166666666666669</v>
      </c>
      <c r="S449" s="56" t="s">
        <v>1047</v>
      </c>
      <c r="T449" s="56">
        <v>1</v>
      </c>
      <c r="U449" s="56">
        <v>9</v>
      </c>
      <c r="V449" s="56">
        <v>5.57</v>
      </c>
      <c r="W449" s="56">
        <v>1.88</v>
      </c>
      <c r="X449" s="56" t="s">
        <v>2624</v>
      </c>
      <c r="Y449" s="56" t="s">
        <v>2624</v>
      </c>
      <c r="Z449" s="56" t="s">
        <v>2624</v>
      </c>
      <c r="AA449" s="56" t="s">
        <v>177</v>
      </c>
      <c r="AB449" s="56">
        <v>14117160</v>
      </c>
      <c r="AC449" s="56" t="s">
        <v>177</v>
      </c>
      <c r="AD449" s="56">
        <v>14117160</v>
      </c>
      <c r="AE449" s="56" t="s">
        <v>2626</v>
      </c>
      <c r="AF449" s="56" t="s">
        <v>2627</v>
      </c>
      <c r="AG449" s="56" t="s">
        <v>2627</v>
      </c>
      <c r="AH449" s="56">
        <v>36</v>
      </c>
      <c r="AI449" s="56" t="s">
        <v>2628</v>
      </c>
      <c r="AJ449" s="56" t="s">
        <v>2629</v>
      </c>
      <c r="AK449" s="56">
        <v>0</v>
      </c>
      <c r="AL449" s="56" t="s">
        <v>2630</v>
      </c>
      <c r="AM449" s="56" t="s">
        <v>2631</v>
      </c>
      <c r="AN449" s="56" t="s">
        <v>2632</v>
      </c>
      <c r="AO449" s="56" t="s">
        <v>2627</v>
      </c>
      <c r="AP449" s="56" t="s">
        <v>2624</v>
      </c>
      <c r="AQ449" s="123">
        <v>9.0277777777777457E-3</v>
      </c>
      <c r="AR449" s="122">
        <v>-2.9166666666666785E-3</v>
      </c>
      <c r="AS449" s="56" t="s">
        <v>1048</v>
      </c>
      <c r="AT449" s="56" t="s">
        <v>1049</v>
      </c>
      <c r="AU449" s="56" t="s">
        <v>1050</v>
      </c>
      <c r="AV449" s="56">
        <v>36</v>
      </c>
      <c r="AW449" s="56" t="s">
        <v>1051</v>
      </c>
      <c r="AX449" s="56" t="s">
        <v>3375</v>
      </c>
      <c r="AY449" s="56" t="s">
        <v>1128</v>
      </c>
      <c r="AZ449" s="56" t="s">
        <v>1054</v>
      </c>
      <c r="BA449" s="56" t="s">
        <v>3376</v>
      </c>
      <c r="BB449" s="56" t="s">
        <v>3377</v>
      </c>
      <c r="BC449" s="56" t="s">
        <v>1133</v>
      </c>
      <c r="BD449" s="56" t="s">
        <v>3378</v>
      </c>
    </row>
    <row r="450" spans="1:56" x14ac:dyDescent="0.2">
      <c r="A450" s="56">
        <v>176675043</v>
      </c>
      <c r="B450" s="56" t="s">
        <v>3379</v>
      </c>
      <c r="C450" s="56" t="s">
        <v>2623</v>
      </c>
      <c r="D450" s="56" t="s">
        <v>3380</v>
      </c>
      <c r="E450" s="56" t="s">
        <v>1044</v>
      </c>
      <c r="F450" s="56">
        <v>9</v>
      </c>
      <c r="G450" s="56"/>
      <c r="H450" s="56">
        <v>6867</v>
      </c>
      <c r="I450" s="56">
        <v>8</v>
      </c>
      <c r="J450" s="56" t="s">
        <v>1045</v>
      </c>
      <c r="K450" s="56" t="s">
        <v>1162</v>
      </c>
      <c r="L450" s="121">
        <v>46268</v>
      </c>
      <c r="M450" s="122">
        <v>0.61458333333333337</v>
      </c>
      <c r="N450" s="122">
        <v>0.61875000000000002</v>
      </c>
      <c r="O450" s="56" t="s">
        <v>1047</v>
      </c>
      <c r="P450" s="121">
        <v>46268</v>
      </c>
      <c r="Q450" s="122">
        <v>0.65972222222222221</v>
      </c>
      <c r="R450" s="122">
        <v>0.65138888888888891</v>
      </c>
      <c r="S450" s="56" t="s">
        <v>1047</v>
      </c>
      <c r="T450" s="56">
        <v>0</v>
      </c>
      <c r="U450" s="56">
        <v>23</v>
      </c>
      <c r="V450" s="56">
        <v>22.49</v>
      </c>
      <c r="W450" s="56">
        <v>20.43</v>
      </c>
      <c r="X450" s="56">
        <v>42.43</v>
      </c>
      <c r="Y450" s="56">
        <v>21.5</v>
      </c>
      <c r="Z450" s="56">
        <v>0.5</v>
      </c>
      <c r="AA450" s="56" t="s">
        <v>386</v>
      </c>
      <c r="AB450" s="56">
        <v>14122094</v>
      </c>
      <c r="AC450" s="56" t="s">
        <v>386</v>
      </c>
      <c r="AD450" s="56">
        <v>14122094</v>
      </c>
      <c r="AE450" s="56" t="s">
        <v>2626</v>
      </c>
      <c r="AF450" s="56" t="s">
        <v>2627</v>
      </c>
      <c r="AG450" s="56" t="s">
        <v>2627</v>
      </c>
      <c r="AH450" s="56">
        <v>36</v>
      </c>
      <c r="AI450" s="56" t="s">
        <v>2628</v>
      </c>
      <c r="AJ450" s="56" t="s">
        <v>2629</v>
      </c>
      <c r="AK450" s="56">
        <v>0</v>
      </c>
      <c r="AL450" s="56" t="s">
        <v>2630</v>
      </c>
      <c r="AM450" s="56" t="s">
        <v>2631</v>
      </c>
      <c r="AN450" s="56" t="s">
        <v>2632</v>
      </c>
      <c r="AO450" s="56" t="s">
        <v>2627</v>
      </c>
      <c r="AP450" s="56" t="s">
        <v>2624</v>
      </c>
      <c r="AQ450" s="123">
        <v>4.1666666666666519E-3</v>
      </c>
      <c r="AR450" s="122">
        <v>-8.3333333333333037E-3</v>
      </c>
      <c r="AS450" s="56" t="s">
        <v>1048</v>
      </c>
      <c r="AT450" s="56" t="s">
        <v>1049</v>
      </c>
      <c r="AU450" s="56" t="s">
        <v>1050</v>
      </c>
      <c r="AV450" s="56">
        <v>36</v>
      </c>
      <c r="AW450" s="56" t="s">
        <v>1051</v>
      </c>
      <c r="AX450" s="56" t="s">
        <v>3381</v>
      </c>
      <c r="AY450" s="56" t="s">
        <v>1164</v>
      </c>
      <c r="AZ450" s="56" t="s">
        <v>1062</v>
      </c>
      <c r="BA450" s="56" t="s">
        <v>3382</v>
      </c>
      <c r="BB450" s="56" t="s">
        <v>3383</v>
      </c>
      <c r="BC450" s="56" t="s">
        <v>1133</v>
      </c>
      <c r="BD450" s="56" t="s">
        <v>3384</v>
      </c>
    </row>
    <row r="451" spans="1:56" x14ac:dyDescent="0.2">
      <c r="A451" s="56">
        <v>176675053</v>
      </c>
      <c r="B451" s="56" t="s">
        <v>3385</v>
      </c>
      <c r="C451" s="56" t="s">
        <v>2623</v>
      </c>
      <c r="D451" s="56" t="s">
        <v>3386</v>
      </c>
      <c r="E451" s="56" t="s">
        <v>1044</v>
      </c>
      <c r="F451" s="56">
        <v>14</v>
      </c>
      <c r="G451" s="56"/>
      <c r="H451" s="56">
        <v>5426</v>
      </c>
      <c r="I451" s="56">
        <v>7</v>
      </c>
      <c r="J451" s="56" t="s">
        <v>1045</v>
      </c>
      <c r="K451" s="56" t="s">
        <v>1162</v>
      </c>
      <c r="L451" s="121">
        <v>46268</v>
      </c>
      <c r="M451" s="122">
        <v>0.61458333333333337</v>
      </c>
      <c r="N451" s="122">
        <v>0.61805555555555558</v>
      </c>
      <c r="O451" s="56" t="s">
        <v>1047</v>
      </c>
      <c r="P451" s="121">
        <v>46268</v>
      </c>
      <c r="Q451" s="122">
        <v>0.65972222222222221</v>
      </c>
      <c r="R451" s="122">
        <v>0.72083333333333333</v>
      </c>
      <c r="S451" s="56" t="s">
        <v>1163</v>
      </c>
      <c r="T451" s="56">
        <v>0</v>
      </c>
      <c r="U451" s="56">
        <v>25</v>
      </c>
      <c r="V451" s="56">
        <v>20.190000000000001</v>
      </c>
      <c r="W451" s="56">
        <v>51.88</v>
      </c>
      <c r="X451" s="56">
        <v>67.69</v>
      </c>
      <c r="Y451" s="56">
        <v>15.81</v>
      </c>
      <c r="Z451" s="56">
        <v>0</v>
      </c>
      <c r="AA451" s="56" t="s">
        <v>152</v>
      </c>
      <c r="AB451" s="56">
        <v>14116000</v>
      </c>
      <c r="AC451" s="56" t="s">
        <v>152</v>
      </c>
      <c r="AD451" s="56">
        <v>14116000</v>
      </c>
      <c r="AE451" s="56" t="s">
        <v>2626</v>
      </c>
      <c r="AF451" s="56" t="s">
        <v>2627</v>
      </c>
      <c r="AG451" s="56" t="s">
        <v>2627</v>
      </c>
      <c r="AH451" s="56">
        <v>36</v>
      </c>
      <c r="AI451" s="56" t="s">
        <v>2880</v>
      </c>
      <c r="AJ451" s="56" t="s">
        <v>2640</v>
      </c>
      <c r="AK451" s="56">
        <v>0</v>
      </c>
      <c r="AL451" s="56" t="s">
        <v>2630</v>
      </c>
      <c r="AM451" s="56" t="s">
        <v>2631</v>
      </c>
      <c r="AN451" s="56" t="s">
        <v>2632</v>
      </c>
      <c r="AO451" s="56" t="s">
        <v>2627</v>
      </c>
      <c r="AP451" s="56" t="s">
        <v>2624</v>
      </c>
      <c r="AQ451" s="123">
        <v>3.4722222222222099E-3</v>
      </c>
      <c r="AR451" s="122">
        <v>6.1111111111111116E-2</v>
      </c>
      <c r="AS451" s="56" t="s">
        <v>1048</v>
      </c>
      <c r="AT451" s="56" t="s">
        <v>1059</v>
      </c>
      <c r="AU451" s="56" t="s">
        <v>1060</v>
      </c>
      <c r="AV451" s="56">
        <v>36</v>
      </c>
      <c r="AW451" s="56" t="s">
        <v>1051</v>
      </c>
      <c r="AX451" s="56" t="s">
        <v>3387</v>
      </c>
      <c r="AY451" s="56" t="s">
        <v>1164</v>
      </c>
      <c r="AZ451" s="56" t="s">
        <v>1062</v>
      </c>
      <c r="BA451" s="56" t="s">
        <v>3388</v>
      </c>
      <c r="BB451" s="56" t="s">
        <v>3389</v>
      </c>
      <c r="BC451" s="56" t="s">
        <v>1133</v>
      </c>
      <c r="BD451" s="56" t="s">
        <v>3390</v>
      </c>
    </row>
    <row r="452" spans="1:56" x14ac:dyDescent="0.2">
      <c r="A452" s="56">
        <v>176678965</v>
      </c>
      <c r="B452" s="56" t="s">
        <v>1461</v>
      </c>
      <c r="C452" s="56" t="s">
        <v>2623</v>
      </c>
      <c r="D452" s="56" t="s">
        <v>1456</v>
      </c>
      <c r="E452" s="56" t="s">
        <v>1044</v>
      </c>
      <c r="F452" s="56">
        <v>22</v>
      </c>
      <c r="G452" s="56"/>
      <c r="H452" s="56">
        <v>13564</v>
      </c>
      <c r="I452" s="56">
        <v>6</v>
      </c>
      <c r="J452" s="56" t="s">
        <v>1045</v>
      </c>
      <c r="K452" s="56" t="s">
        <v>1457</v>
      </c>
      <c r="L452" s="121">
        <v>46268</v>
      </c>
      <c r="M452" s="122">
        <v>0.61805555555555558</v>
      </c>
      <c r="N452" s="122">
        <v>0.62708333333333333</v>
      </c>
      <c r="O452" s="56" t="s">
        <v>1047</v>
      </c>
      <c r="P452" s="121">
        <v>46268</v>
      </c>
      <c r="Q452" s="122">
        <v>0.65972222222222221</v>
      </c>
      <c r="R452" s="122">
        <v>0.65880787037037036</v>
      </c>
      <c r="S452" s="56" t="s">
        <v>1047</v>
      </c>
      <c r="T452" s="56">
        <v>1</v>
      </c>
      <c r="U452" s="56">
        <v>35</v>
      </c>
      <c r="V452" s="56">
        <v>25.46</v>
      </c>
      <c r="W452" s="56">
        <v>27.19</v>
      </c>
      <c r="X452" s="56" t="s">
        <v>2624</v>
      </c>
      <c r="Y452" s="56" t="s">
        <v>2624</v>
      </c>
      <c r="Z452" s="56" t="s">
        <v>2624</v>
      </c>
      <c r="AA452" s="56" t="s">
        <v>157</v>
      </c>
      <c r="AB452" s="56">
        <v>14116134</v>
      </c>
      <c r="AC452" s="56" t="s">
        <v>157</v>
      </c>
      <c r="AD452" s="56">
        <v>14116134</v>
      </c>
      <c r="AE452" s="56" t="s">
        <v>2626</v>
      </c>
      <c r="AF452" s="56" t="s">
        <v>2627</v>
      </c>
      <c r="AG452" s="56" t="s">
        <v>2627</v>
      </c>
      <c r="AH452" s="56">
        <v>36</v>
      </c>
      <c r="AI452" s="56" t="s">
        <v>2628</v>
      </c>
      <c r="AJ452" s="56" t="s">
        <v>2629</v>
      </c>
      <c r="AK452" s="56">
        <v>0</v>
      </c>
      <c r="AL452" s="56" t="s">
        <v>2630</v>
      </c>
      <c r="AM452" s="56" t="s">
        <v>2631</v>
      </c>
      <c r="AN452" s="56" t="s">
        <v>2632</v>
      </c>
      <c r="AO452" s="56" t="s">
        <v>2627</v>
      </c>
      <c r="AP452" s="56" t="s">
        <v>2624</v>
      </c>
      <c r="AQ452" s="123">
        <v>9.0277777777777457E-3</v>
      </c>
      <c r="AR452" s="122">
        <v>-9.1435185185184675E-4</v>
      </c>
      <c r="AS452" s="56" t="s">
        <v>1048</v>
      </c>
      <c r="AT452" s="56" t="s">
        <v>1049</v>
      </c>
      <c r="AU452" s="56" t="s">
        <v>1050</v>
      </c>
      <c r="AV452" s="56">
        <v>36</v>
      </c>
      <c r="AW452" s="56" t="s">
        <v>1051</v>
      </c>
      <c r="AX452" s="56" t="s">
        <v>1458</v>
      </c>
      <c r="AY452" s="56" t="s">
        <v>1259</v>
      </c>
      <c r="AZ452" s="56" t="s">
        <v>1062</v>
      </c>
      <c r="BA452" s="56" t="s">
        <v>1459</v>
      </c>
      <c r="BB452" s="56" t="e">
        <v>#N/A</v>
      </c>
      <c r="BC452" s="56" t="s">
        <v>1133</v>
      </c>
      <c r="BD452" s="56" t="s">
        <v>3227</v>
      </c>
    </row>
    <row r="453" spans="1:56" x14ac:dyDescent="0.2">
      <c r="A453" s="56">
        <v>176664519</v>
      </c>
      <c r="B453" s="56" t="s">
        <v>1588</v>
      </c>
      <c r="C453" s="56" t="s">
        <v>2623</v>
      </c>
      <c r="D453" s="56" t="s">
        <v>1589</v>
      </c>
      <c r="E453" s="56" t="s">
        <v>1044</v>
      </c>
      <c r="F453" s="56">
        <v>2</v>
      </c>
      <c r="G453" s="56" t="s">
        <v>2829</v>
      </c>
      <c r="H453" s="56">
        <v>6384</v>
      </c>
      <c r="I453" s="56">
        <v>6</v>
      </c>
      <c r="J453" s="56" t="s">
        <v>1045</v>
      </c>
      <c r="K453" s="56" t="s">
        <v>1181</v>
      </c>
      <c r="L453" s="121">
        <v>46268</v>
      </c>
      <c r="M453" s="122">
        <v>0.67708333333333337</v>
      </c>
      <c r="N453" s="122">
        <v>0.68333333333333335</v>
      </c>
      <c r="O453" s="56" t="s">
        <v>1047</v>
      </c>
      <c r="P453" s="121">
        <v>46268</v>
      </c>
      <c r="Q453" s="122">
        <v>0.74305555555555558</v>
      </c>
      <c r="R453" s="122">
        <v>0.74738425925925922</v>
      </c>
      <c r="S453" s="56" t="s">
        <v>1047</v>
      </c>
      <c r="T453" s="56">
        <v>1</v>
      </c>
      <c r="U453" s="56">
        <v>32</v>
      </c>
      <c r="V453" s="56">
        <v>28.27</v>
      </c>
      <c r="W453" s="56">
        <v>28.19</v>
      </c>
      <c r="X453" s="56" t="s">
        <v>2624</v>
      </c>
      <c r="Y453" s="56" t="s">
        <v>2624</v>
      </c>
      <c r="Z453" s="56" t="s">
        <v>2624</v>
      </c>
      <c r="AA453" s="56" t="s">
        <v>459</v>
      </c>
      <c r="AB453" s="56">
        <v>14122871</v>
      </c>
      <c r="AC453" s="56" t="s">
        <v>459</v>
      </c>
      <c r="AD453" s="56">
        <v>14122871</v>
      </c>
      <c r="AE453" s="56" t="s">
        <v>2626</v>
      </c>
      <c r="AF453" s="56" t="s">
        <v>2627</v>
      </c>
      <c r="AG453" s="56" t="s">
        <v>2627</v>
      </c>
      <c r="AH453" s="56">
        <v>36</v>
      </c>
      <c r="AI453" s="56" t="s">
        <v>2628</v>
      </c>
      <c r="AJ453" s="56" t="s">
        <v>2640</v>
      </c>
      <c r="AK453" s="56">
        <v>447.41</v>
      </c>
      <c r="AL453" s="56" t="s">
        <v>2630</v>
      </c>
      <c r="AM453" s="56" t="s">
        <v>2631</v>
      </c>
      <c r="AN453" s="56" t="s">
        <v>2632</v>
      </c>
      <c r="AO453" s="56" t="s">
        <v>2627</v>
      </c>
      <c r="AP453" s="56" t="s">
        <v>2624</v>
      </c>
      <c r="AQ453" s="123">
        <v>6.2499999999999778E-3</v>
      </c>
      <c r="AR453" s="122">
        <v>4.3287037037036402E-3</v>
      </c>
      <c r="AS453" s="56" t="s">
        <v>1048</v>
      </c>
      <c r="AT453" s="56" t="s">
        <v>1059</v>
      </c>
      <c r="AU453" s="56" t="s">
        <v>1060</v>
      </c>
      <c r="AV453" s="56">
        <v>36</v>
      </c>
      <c r="AW453" s="56" t="s">
        <v>1051</v>
      </c>
      <c r="AX453" s="56" t="s">
        <v>1590</v>
      </c>
      <c r="AY453" s="56" t="s">
        <v>1140</v>
      </c>
      <c r="AZ453" s="56" t="s">
        <v>1062</v>
      </c>
      <c r="BA453" s="56" t="s">
        <v>1591</v>
      </c>
      <c r="BB453" s="56" t="s">
        <v>1592</v>
      </c>
      <c r="BC453" s="56" t="s">
        <v>1057</v>
      </c>
      <c r="BD453" s="56" t="s">
        <v>2830</v>
      </c>
    </row>
    <row r="454" spans="1:56" x14ac:dyDescent="0.2">
      <c r="A454" s="56">
        <v>176683125</v>
      </c>
      <c r="B454" s="56" t="s">
        <v>3486</v>
      </c>
      <c r="C454" s="56" t="s">
        <v>2623</v>
      </c>
      <c r="D454" s="56" t="s">
        <v>3487</v>
      </c>
      <c r="E454" s="56" t="s">
        <v>1044</v>
      </c>
      <c r="F454" s="56">
        <v>53</v>
      </c>
      <c r="G454" s="56"/>
      <c r="H454" s="56">
        <v>4340</v>
      </c>
      <c r="I454" s="56">
        <v>6</v>
      </c>
      <c r="J454" s="56" t="s">
        <v>1045</v>
      </c>
      <c r="K454" s="56" t="s">
        <v>1075</v>
      </c>
      <c r="L454" s="121">
        <v>46268</v>
      </c>
      <c r="M454" s="122">
        <v>0.68055555555555558</v>
      </c>
      <c r="N454" s="122">
        <v>0.68402777777777779</v>
      </c>
      <c r="O454" s="56" t="s">
        <v>1047</v>
      </c>
      <c r="P454" s="121">
        <v>46268</v>
      </c>
      <c r="Q454" s="122">
        <v>0.76736111111111116</v>
      </c>
      <c r="R454" s="122">
        <v>0.74508101851851849</v>
      </c>
      <c r="S454" s="56" t="s">
        <v>1047</v>
      </c>
      <c r="T454" s="56">
        <v>1</v>
      </c>
      <c r="U454" s="56">
        <v>46</v>
      </c>
      <c r="V454" s="56">
        <v>44.11</v>
      </c>
      <c r="W454" s="56">
        <v>39.130000000000003</v>
      </c>
      <c r="X454" s="56" t="s">
        <v>2624</v>
      </c>
      <c r="Y454" s="56" t="s">
        <v>2624</v>
      </c>
      <c r="Z454" s="56" t="s">
        <v>2624</v>
      </c>
      <c r="AA454" s="56" t="s">
        <v>299</v>
      </c>
      <c r="AB454" s="56">
        <v>14113803</v>
      </c>
      <c r="AC454" s="56" t="s">
        <v>299</v>
      </c>
      <c r="AD454" s="56">
        <v>14113803</v>
      </c>
      <c r="AE454" s="56" t="s">
        <v>2626</v>
      </c>
      <c r="AF454" s="56" t="s">
        <v>2627</v>
      </c>
      <c r="AG454" s="56" t="s">
        <v>2627</v>
      </c>
      <c r="AH454" s="56">
        <v>36</v>
      </c>
      <c r="AI454" s="56" t="s">
        <v>2628</v>
      </c>
      <c r="AJ454" s="56" t="s">
        <v>2629</v>
      </c>
      <c r="AK454" s="56">
        <v>0</v>
      </c>
      <c r="AL454" s="56" t="s">
        <v>2630</v>
      </c>
      <c r="AM454" s="56" t="s">
        <v>2631</v>
      </c>
      <c r="AN454" s="56" t="s">
        <v>2632</v>
      </c>
      <c r="AO454" s="56" t="s">
        <v>2627</v>
      </c>
      <c r="AP454" s="56">
        <v>15</v>
      </c>
      <c r="AQ454" s="123">
        <v>3.4722222222222099E-3</v>
      </c>
      <c r="AR454" s="122">
        <v>-2.2280092592592671E-2</v>
      </c>
      <c r="AS454" s="56" t="s">
        <v>1048</v>
      </c>
      <c r="AT454" s="56" t="s">
        <v>1049</v>
      </c>
      <c r="AU454" s="56" t="s">
        <v>1050</v>
      </c>
      <c r="AV454" s="56">
        <v>36</v>
      </c>
      <c r="AW454" s="56" t="s">
        <v>1051</v>
      </c>
      <c r="AX454" s="56" t="s">
        <v>3488</v>
      </c>
      <c r="AY454" s="56" t="s">
        <v>1076</v>
      </c>
      <c r="AZ454" s="56" t="s">
        <v>1067</v>
      </c>
      <c r="BA454" s="56" t="s">
        <v>3489</v>
      </c>
      <c r="BB454" s="56" t="s">
        <v>3490</v>
      </c>
      <c r="BC454" s="56" t="s">
        <v>1133</v>
      </c>
      <c r="BD454" s="56" t="s">
        <v>3491</v>
      </c>
    </row>
    <row r="455" spans="1:56" x14ac:dyDescent="0.2">
      <c r="A455" s="56">
        <v>176683173</v>
      </c>
      <c r="B455" s="56" t="s">
        <v>1540</v>
      </c>
      <c r="C455" s="56" t="s">
        <v>2623</v>
      </c>
      <c r="D455" s="56" t="s">
        <v>1444</v>
      </c>
      <c r="E455" s="56" t="s">
        <v>1044</v>
      </c>
      <c r="F455" s="56">
        <v>77</v>
      </c>
      <c r="G455" s="56" t="s">
        <v>2833</v>
      </c>
      <c r="H455" s="56">
        <v>4446</v>
      </c>
      <c r="I455" s="56">
        <v>6</v>
      </c>
      <c r="J455" s="56" t="s">
        <v>1045</v>
      </c>
      <c r="K455" s="56" t="s">
        <v>1075</v>
      </c>
      <c r="L455" s="121">
        <v>46268</v>
      </c>
      <c r="M455" s="122">
        <v>0.70138888888888884</v>
      </c>
      <c r="N455" s="122">
        <v>0.70625000000000004</v>
      </c>
      <c r="O455" s="56" t="s">
        <v>1047</v>
      </c>
      <c r="P455" s="121">
        <v>46268</v>
      </c>
      <c r="Q455" s="122">
        <v>0.76736111111111116</v>
      </c>
      <c r="R455" s="122">
        <v>0.76197916666666665</v>
      </c>
      <c r="S455" s="56" t="s">
        <v>1047</v>
      </c>
      <c r="T455" s="56">
        <v>1</v>
      </c>
      <c r="U455" s="56">
        <v>38</v>
      </c>
      <c r="V455" s="56">
        <v>35.450000000000003</v>
      </c>
      <c r="W455" s="56">
        <v>35.35</v>
      </c>
      <c r="X455" s="56" t="s">
        <v>2624</v>
      </c>
      <c r="Y455" s="56" t="s">
        <v>2624</v>
      </c>
      <c r="Z455" s="56" t="s">
        <v>2624</v>
      </c>
      <c r="AA455" s="56" t="s">
        <v>522</v>
      </c>
      <c r="AB455" s="56">
        <v>14123460</v>
      </c>
      <c r="AC455" s="56" t="s">
        <v>522</v>
      </c>
      <c r="AD455" s="56">
        <v>14123460</v>
      </c>
      <c r="AE455" s="56" t="s">
        <v>2626</v>
      </c>
      <c r="AF455" s="56" t="s">
        <v>2627</v>
      </c>
      <c r="AG455" s="56" t="s">
        <v>2627</v>
      </c>
      <c r="AH455" s="56">
        <v>36</v>
      </c>
      <c r="AI455" s="56" t="s">
        <v>2628</v>
      </c>
      <c r="AJ455" s="56" t="s">
        <v>2629</v>
      </c>
      <c r="AK455" s="56">
        <v>0</v>
      </c>
      <c r="AL455" s="56" t="s">
        <v>2630</v>
      </c>
      <c r="AM455" s="56" t="s">
        <v>2631</v>
      </c>
      <c r="AN455" s="56" t="s">
        <v>2632</v>
      </c>
      <c r="AO455" s="56" t="s">
        <v>2627</v>
      </c>
      <c r="AP455" s="56" t="s">
        <v>2624</v>
      </c>
      <c r="AQ455" s="123">
        <v>4.8611111111112049E-3</v>
      </c>
      <c r="AR455" s="122">
        <v>-5.3819444444445086E-3</v>
      </c>
      <c r="AS455" s="56" t="s">
        <v>1048</v>
      </c>
      <c r="AT455" s="56" t="s">
        <v>1049</v>
      </c>
      <c r="AU455" s="56" t="s">
        <v>1050</v>
      </c>
      <c r="AV455" s="56">
        <v>36</v>
      </c>
      <c r="AW455" s="56" t="s">
        <v>1051</v>
      </c>
      <c r="AX455" s="56" t="s">
        <v>1445</v>
      </c>
      <c r="AY455" s="56" t="s">
        <v>1076</v>
      </c>
      <c r="AZ455" s="56" t="s">
        <v>1067</v>
      </c>
      <c r="BA455" s="56" t="s">
        <v>1446</v>
      </c>
      <c r="BB455" s="56" t="s">
        <v>1447</v>
      </c>
      <c r="BC455" s="56" t="s">
        <v>1133</v>
      </c>
      <c r="BD455" s="56" t="s">
        <v>1541</v>
      </c>
    </row>
    <row r="456" spans="1:56" x14ac:dyDescent="0.2">
      <c r="A456" s="56">
        <v>176678002</v>
      </c>
      <c r="B456" s="56" t="s">
        <v>1480</v>
      </c>
      <c r="C456" s="56" t="s">
        <v>2623</v>
      </c>
      <c r="D456" s="56" t="s">
        <v>1481</v>
      </c>
      <c r="E456" s="56" t="s">
        <v>1044</v>
      </c>
      <c r="F456" s="56">
        <v>18</v>
      </c>
      <c r="G456" s="56"/>
      <c r="H456" s="56">
        <v>11943</v>
      </c>
      <c r="I456" s="56">
        <v>6</v>
      </c>
      <c r="J456" s="56" t="s">
        <v>1045</v>
      </c>
      <c r="K456" s="56" t="s">
        <v>1046</v>
      </c>
      <c r="L456" s="121">
        <v>46268</v>
      </c>
      <c r="M456" s="122">
        <v>0.70486111111111116</v>
      </c>
      <c r="N456" s="122">
        <v>0.7270833333333333</v>
      </c>
      <c r="O456" s="56" t="s">
        <v>1047</v>
      </c>
      <c r="P456" s="121">
        <v>46268</v>
      </c>
      <c r="Q456" s="122">
        <v>0.76041666666666663</v>
      </c>
      <c r="R456" s="122">
        <v>0.75096064814814811</v>
      </c>
      <c r="S456" s="56" t="s">
        <v>1047</v>
      </c>
      <c r="T456" s="56">
        <v>1</v>
      </c>
      <c r="U456" s="56">
        <v>35</v>
      </c>
      <c r="V456" s="56">
        <v>18.47</v>
      </c>
      <c r="W456" s="56">
        <v>17.87</v>
      </c>
      <c r="X456" s="56" t="s">
        <v>2624</v>
      </c>
      <c r="Y456" s="56" t="s">
        <v>2624</v>
      </c>
      <c r="Z456" s="56" t="s">
        <v>2624</v>
      </c>
      <c r="AA456" s="56" t="s">
        <v>158</v>
      </c>
      <c r="AB456" s="56">
        <v>14116262</v>
      </c>
      <c r="AC456" s="56" t="s">
        <v>158</v>
      </c>
      <c r="AD456" s="56">
        <v>14116262</v>
      </c>
      <c r="AE456" s="56" t="s">
        <v>2626</v>
      </c>
      <c r="AF456" s="56" t="s">
        <v>2627</v>
      </c>
      <c r="AG456" s="56" t="s">
        <v>2627</v>
      </c>
      <c r="AH456" s="56">
        <v>36</v>
      </c>
      <c r="AI456" s="56" t="s">
        <v>2628</v>
      </c>
      <c r="AJ456" s="56" t="s">
        <v>2629</v>
      </c>
      <c r="AK456" s="56">
        <v>0</v>
      </c>
      <c r="AL456" s="56" t="s">
        <v>2630</v>
      </c>
      <c r="AM456" s="56" t="s">
        <v>2631</v>
      </c>
      <c r="AN456" s="56" t="s">
        <v>2632</v>
      </c>
      <c r="AO456" s="56" t="s">
        <v>2627</v>
      </c>
      <c r="AP456" s="56" t="s">
        <v>2624</v>
      </c>
      <c r="AQ456" s="123">
        <v>2.2222222222222143E-2</v>
      </c>
      <c r="AR456" s="122">
        <v>-9.4560185185185164E-3</v>
      </c>
      <c r="AS456" s="56" t="s">
        <v>1048</v>
      </c>
      <c r="AT456" s="56" t="s">
        <v>1049</v>
      </c>
      <c r="AU456" s="56" t="s">
        <v>1050</v>
      </c>
      <c r="AV456" s="56">
        <v>36</v>
      </c>
      <c r="AW456" s="56" t="s">
        <v>1051</v>
      </c>
      <c r="AX456" s="56" t="s">
        <v>1482</v>
      </c>
      <c r="AY456" s="56" t="s">
        <v>1053</v>
      </c>
      <c r="AZ456" s="56" t="s">
        <v>1054</v>
      </c>
      <c r="BA456" s="56" t="s">
        <v>1483</v>
      </c>
      <c r="BB456" s="56" t="s">
        <v>1484</v>
      </c>
      <c r="BC456" s="56" t="s">
        <v>1133</v>
      </c>
      <c r="BD456" s="56" t="s">
        <v>1485</v>
      </c>
    </row>
    <row r="457" spans="1:56" x14ac:dyDescent="0.2">
      <c r="A457" s="56">
        <v>176678452</v>
      </c>
      <c r="B457" s="56" t="s">
        <v>3391</v>
      </c>
      <c r="C457" s="56" t="s">
        <v>2623</v>
      </c>
      <c r="D457" s="56" t="s">
        <v>3392</v>
      </c>
      <c r="E457" s="56" t="s">
        <v>1044</v>
      </c>
      <c r="F457" s="56">
        <v>18</v>
      </c>
      <c r="G457" s="56"/>
      <c r="H457" s="56">
        <v>12767</v>
      </c>
      <c r="I457" s="56">
        <v>6</v>
      </c>
      <c r="J457" s="56" t="s">
        <v>1045</v>
      </c>
      <c r="K457" s="56" t="s">
        <v>1181</v>
      </c>
      <c r="L457" s="121">
        <v>46268</v>
      </c>
      <c r="M457" s="122">
        <v>0.70833333333333337</v>
      </c>
      <c r="N457" s="122">
        <v>0.71180555555555558</v>
      </c>
      <c r="O457" s="56" t="s">
        <v>1047</v>
      </c>
      <c r="P457" s="121">
        <v>46268</v>
      </c>
      <c r="Q457" s="122">
        <v>0.74305555555555558</v>
      </c>
      <c r="R457" s="122">
        <v>0.74604166666666671</v>
      </c>
      <c r="S457" s="56" t="s">
        <v>1047</v>
      </c>
      <c r="T457" s="56">
        <v>1</v>
      </c>
      <c r="U457" s="56">
        <v>14</v>
      </c>
      <c r="V457" s="56">
        <v>12.82</v>
      </c>
      <c r="W457" s="56">
        <v>13.5</v>
      </c>
      <c r="X457" s="56" t="s">
        <v>2624</v>
      </c>
      <c r="Y457" s="56" t="s">
        <v>2624</v>
      </c>
      <c r="Z457" s="56" t="s">
        <v>2624</v>
      </c>
      <c r="AA457" s="56" t="s">
        <v>2003</v>
      </c>
      <c r="AB457" s="56">
        <v>14124146</v>
      </c>
      <c r="AC457" s="56" t="s">
        <v>2003</v>
      </c>
      <c r="AD457" s="56">
        <v>14124146</v>
      </c>
      <c r="AE457" s="56" t="s">
        <v>2626</v>
      </c>
      <c r="AF457" s="56" t="s">
        <v>2627</v>
      </c>
      <c r="AG457" s="56" t="s">
        <v>2627</v>
      </c>
      <c r="AH457" s="56">
        <v>36</v>
      </c>
      <c r="AI457" s="56" t="s">
        <v>2628</v>
      </c>
      <c r="AJ457" s="56" t="s">
        <v>2640</v>
      </c>
      <c r="AK457" s="56">
        <v>0</v>
      </c>
      <c r="AL457" s="56" t="s">
        <v>2630</v>
      </c>
      <c r="AM457" s="56" t="s">
        <v>2631</v>
      </c>
      <c r="AN457" s="56" t="s">
        <v>2632</v>
      </c>
      <c r="AO457" s="56" t="s">
        <v>2627</v>
      </c>
      <c r="AP457" s="56">
        <v>2</v>
      </c>
      <c r="AQ457" s="123">
        <v>3.4722222222222099E-3</v>
      </c>
      <c r="AR457" s="122">
        <v>2.9861111111111338E-3</v>
      </c>
      <c r="AS457" s="56" t="s">
        <v>1048</v>
      </c>
      <c r="AT457" s="56" t="s">
        <v>1049</v>
      </c>
      <c r="AU457" s="56" t="s">
        <v>1050</v>
      </c>
      <c r="AV457" s="56">
        <v>36</v>
      </c>
      <c r="AW457" s="56" t="s">
        <v>1051</v>
      </c>
      <c r="AX457" s="56" t="s">
        <v>3393</v>
      </c>
      <c r="AY457" s="56" t="s">
        <v>1140</v>
      </c>
      <c r="AZ457" s="56" t="s">
        <v>1062</v>
      </c>
      <c r="BA457" s="56" t="s">
        <v>3394</v>
      </c>
      <c r="BB457" s="56" t="s">
        <v>3395</v>
      </c>
      <c r="BC457" s="56" t="s">
        <v>1057</v>
      </c>
      <c r="BD457" s="56" t="s">
        <v>3396</v>
      </c>
    </row>
    <row r="458" spans="1:56" x14ac:dyDescent="0.2">
      <c r="A458" s="56">
        <v>176683153</v>
      </c>
      <c r="B458" s="56" t="s">
        <v>2192</v>
      </c>
      <c r="C458" s="56" t="s">
        <v>2623</v>
      </c>
      <c r="D458" s="56" t="s">
        <v>1243</v>
      </c>
      <c r="E458" s="56" t="s">
        <v>1044</v>
      </c>
      <c r="F458" s="56">
        <v>67</v>
      </c>
      <c r="G458" s="56" t="s">
        <v>2833</v>
      </c>
      <c r="H458" s="56">
        <v>4179</v>
      </c>
      <c r="I458" s="56">
        <v>6</v>
      </c>
      <c r="J458" s="56" t="s">
        <v>1045</v>
      </c>
      <c r="K458" s="56" t="s">
        <v>1075</v>
      </c>
      <c r="L458" s="121">
        <v>46268</v>
      </c>
      <c r="M458" s="122">
        <v>0.70833333333333337</v>
      </c>
      <c r="N458" s="122">
        <v>0.71180555555555558</v>
      </c>
      <c r="O458" s="56" t="s">
        <v>1047</v>
      </c>
      <c r="P458" s="121">
        <v>46268</v>
      </c>
      <c r="Q458" s="122">
        <v>0.76736111111111116</v>
      </c>
      <c r="R458" s="122">
        <v>0.75135416666666666</v>
      </c>
      <c r="S458" s="56" t="s">
        <v>1047</v>
      </c>
      <c r="T458" s="56">
        <v>1</v>
      </c>
      <c r="U458" s="56">
        <v>37</v>
      </c>
      <c r="V458" s="56">
        <v>30.55</v>
      </c>
      <c r="W458" s="56">
        <v>31.22</v>
      </c>
      <c r="X458" s="56" t="s">
        <v>2624</v>
      </c>
      <c r="Y458" s="56" t="s">
        <v>2624</v>
      </c>
      <c r="Z458" s="56" t="s">
        <v>2624</v>
      </c>
      <c r="AA458" s="56" t="s">
        <v>976</v>
      </c>
      <c r="AB458" s="56">
        <v>14123855</v>
      </c>
      <c r="AC458" s="56" t="s">
        <v>976</v>
      </c>
      <c r="AD458" s="56">
        <v>14123855</v>
      </c>
      <c r="AE458" s="56" t="s">
        <v>2626</v>
      </c>
      <c r="AF458" s="56" t="s">
        <v>2627</v>
      </c>
      <c r="AG458" s="56" t="s">
        <v>2627</v>
      </c>
      <c r="AH458" s="56">
        <v>36</v>
      </c>
      <c r="AI458" s="56" t="s">
        <v>2628</v>
      </c>
      <c r="AJ458" s="56" t="s">
        <v>2629</v>
      </c>
      <c r="AK458" s="56">
        <v>0</v>
      </c>
      <c r="AL458" s="56" t="s">
        <v>2630</v>
      </c>
      <c r="AM458" s="56" t="s">
        <v>2631</v>
      </c>
      <c r="AN458" s="56" t="s">
        <v>2632</v>
      </c>
      <c r="AO458" s="56" t="s">
        <v>2627</v>
      </c>
      <c r="AP458" s="56">
        <v>26</v>
      </c>
      <c r="AQ458" s="123">
        <v>3.4722222222222099E-3</v>
      </c>
      <c r="AR458" s="122">
        <v>-1.6006944444444504E-2</v>
      </c>
      <c r="AS458" s="56" t="s">
        <v>1048</v>
      </c>
      <c r="AT458" s="56" t="s">
        <v>1049</v>
      </c>
      <c r="AU458" s="56" t="s">
        <v>1050</v>
      </c>
      <c r="AV458" s="56">
        <v>36</v>
      </c>
      <c r="AW458" s="56" t="s">
        <v>1051</v>
      </c>
      <c r="AX458" s="56" t="s">
        <v>2193</v>
      </c>
      <c r="AY458" s="56" t="s">
        <v>1076</v>
      </c>
      <c r="AZ458" s="56" t="s">
        <v>1067</v>
      </c>
      <c r="BA458" s="56" t="s">
        <v>2194</v>
      </c>
      <c r="BB458" s="56" t="s">
        <v>2195</v>
      </c>
      <c r="BC458" s="56" t="s">
        <v>1133</v>
      </c>
      <c r="BD458" s="56" t="s">
        <v>2196</v>
      </c>
    </row>
    <row r="459" spans="1:56" x14ac:dyDescent="0.2">
      <c r="A459" s="56">
        <v>176683133</v>
      </c>
      <c r="B459" s="56" t="s">
        <v>3492</v>
      </c>
      <c r="C459" s="56" t="s">
        <v>2623</v>
      </c>
      <c r="D459" s="56" t="s">
        <v>3493</v>
      </c>
      <c r="E459" s="56" t="s">
        <v>1044</v>
      </c>
      <c r="F459" s="56">
        <v>57</v>
      </c>
      <c r="G459" s="56" t="s">
        <v>2833</v>
      </c>
      <c r="H459" s="56">
        <v>4431</v>
      </c>
      <c r="I459" s="56">
        <v>6</v>
      </c>
      <c r="J459" s="56" t="s">
        <v>1045</v>
      </c>
      <c r="K459" s="56" t="s">
        <v>1075</v>
      </c>
      <c r="L459" s="121">
        <v>46268</v>
      </c>
      <c r="M459" s="122">
        <v>0.71527777777777779</v>
      </c>
      <c r="N459" s="122">
        <v>0.72152777777777777</v>
      </c>
      <c r="O459" s="56" t="s">
        <v>1047</v>
      </c>
      <c r="P459" s="121">
        <v>46268</v>
      </c>
      <c r="Q459" s="122">
        <v>0.76736111111111116</v>
      </c>
      <c r="R459" s="122">
        <v>0.75299768518518517</v>
      </c>
      <c r="S459" s="56" t="s">
        <v>1047</v>
      </c>
      <c r="T459" s="56">
        <v>1</v>
      </c>
      <c r="U459" s="56">
        <v>21</v>
      </c>
      <c r="V459" s="56">
        <v>18.23</v>
      </c>
      <c r="W459" s="56">
        <v>19.600000000000001</v>
      </c>
      <c r="X459" s="56" t="s">
        <v>2624</v>
      </c>
      <c r="Y459" s="56" t="s">
        <v>2624</v>
      </c>
      <c r="Z459" s="56" t="s">
        <v>2624</v>
      </c>
      <c r="AA459" s="56" t="s">
        <v>1149</v>
      </c>
      <c r="AB459" s="56">
        <v>14102875</v>
      </c>
      <c r="AC459" s="56" t="s">
        <v>1149</v>
      </c>
      <c r="AD459" s="56">
        <v>14102875</v>
      </c>
      <c r="AE459" s="56" t="s">
        <v>2626</v>
      </c>
      <c r="AF459" s="56" t="s">
        <v>2627</v>
      </c>
      <c r="AG459" s="56" t="s">
        <v>2627</v>
      </c>
      <c r="AH459" s="56">
        <v>36</v>
      </c>
      <c r="AI459" s="56" t="s">
        <v>2628</v>
      </c>
      <c r="AJ459" s="56" t="s">
        <v>2629</v>
      </c>
      <c r="AK459" s="56">
        <v>0</v>
      </c>
      <c r="AL459" s="56" t="s">
        <v>2630</v>
      </c>
      <c r="AM459" s="56" t="s">
        <v>2631</v>
      </c>
      <c r="AN459" s="56" t="s">
        <v>2632</v>
      </c>
      <c r="AO459" s="56" t="s">
        <v>2627</v>
      </c>
      <c r="AP459" s="56" t="s">
        <v>2624</v>
      </c>
      <c r="AQ459" s="123">
        <v>6.2499999999999778E-3</v>
      </c>
      <c r="AR459" s="122">
        <v>-1.4363425925925988E-2</v>
      </c>
      <c r="AS459" s="56" t="s">
        <v>1048</v>
      </c>
      <c r="AT459" s="56" t="s">
        <v>1049</v>
      </c>
      <c r="AU459" s="56" t="s">
        <v>1050</v>
      </c>
      <c r="AV459" s="56">
        <v>36</v>
      </c>
      <c r="AW459" s="56" t="s">
        <v>1051</v>
      </c>
      <c r="AX459" s="56" t="s">
        <v>3494</v>
      </c>
      <c r="AY459" s="56" t="s">
        <v>1076</v>
      </c>
      <c r="AZ459" s="56" t="s">
        <v>1067</v>
      </c>
      <c r="BA459" s="56" t="s">
        <v>3495</v>
      </c>
      <c r="BB459" s="56" t="s">
        <v>3496</v>
      </c>
      <c r="BC459" s="56" t="s">
        <v>1133</v>
      </c>
      <c r="BD459" s="56" t="s">
        <v>3497</v>
      </c>
    </row>
    <row r="460" spans="1:56" x14ac:dyDescent="0.2">
      <c r="A460" s="56">
        <v>176673175</v>
      </c>
      <c r="B460" s="56" t="s">
        <v>3498</v>
      </c>
      <c r="C460" s="56" t="s">
        <v>2623</v>
      </c>
      <c r="D460" s="56" t="s">
        <v>1350</v>
      </c>
      <c r="E460" s="56" t="s">
        <v>1044</v>
      </c>
      <c r="F460" s="56">
        <v>13</v>
      </c>
      <c r="G460" s="56"/>
      <c r="H460" s="56">
        <v>6660</v>
      </c>
      <c r="I460" s="56">
        <v>7</v>
      </c>
      <c r="J460" s="56" t="s">
        <v>1045</v>
      </c>
      <c r="K460" s="56" t="s">
        <v>1192</v>
      </c>
      <c r="L460" s="121">
        <v>46268</v>
      </c>
      <c r="M460" s="122">
        <v>0.82638888888888884</v>
      </c>
      <c r="N460" s="122">
        <v>0.8305555555555556</v>
      </c>
      <c r="O460" s="56" t="s">
        <v>1047</v>
      </c>
      <c r="P460" s="121">
        <v>46268</v>
      </c>
      <c r="Q460" s="122">
        <v>0.89583333333333337</v>
      </c>
      <c r="R460" s="122">
        <v>0.94097222222222221</v>
      </c>
      <c r="S460" s="56" t="s">
        <v>1163</v>
      </c>
      <c r="T460" s="56">
        <v>0</v>
      </c>
      <c r="U460" s="56">
        <v>45</v>
      </c>
      <c r="V460" s="56">
        <v>41.31</v>
      </c>
      <c r="W460" s="56">
        <v>44.38</v>
      </c>
      <c r="X460" s="56">
        <v>57.38</v>
      </c>
      <c r="Y460" s="56">
        <v>8.75</v>
      </c>
      <c r="Z460" s="56">
        <v>4.25</v>
      </c>
      <c r="AA460" s="56"/>
      <c r="AB460" s="56"/>
      <c r="AC460" s="56"/>
      <c r="AD460" s="56"/>
      <c r="AE460" s="56" t="s">
        <v>2626</v>
      </c>
      <c r="AF460" s="56" t="s">
        <v>2627</v>
      </c>
      <c r="AG460" s="56" t="s">
        <v>2627</v>
      </c>
      <c r="AH460" s="56">
        <v>36</v>
      </c>
      <c r="AI460" s="56" t="s">
        <v>2880</v>
      </c>
      <c r="AJ460" s="56" t="s">
        <v>2640</v>
      </c>
      <c r="AK460" s="56">
        <v>616.02</v>
      </c>
      <c r="AL460" s="56" t="s">
        <v>2630</v>
      </c>
      <c r="AM460" s="56" t="s">
        <v>2631</v>
      </c>
      <c r="AN460" s="56" t="s">
        <v>2632</v>
      </c>
      <c r="AO460" s="56" t="s">
        <v>2627</v>
      </c>
      <c r="AP460" s="56" t="s">
        <v>2624</v>
      </c>
      <c r="AQ460" s="123">
        <v>4.1666666666667629E-3</v>
      </c>
      <c r="AR460" s="122">
        <v>4.513888888888884E-2</v>
      </c>
      <c r="AS460" s="56" t="s">
        <v>1048</v>
      </c>
      <c r="AT460" s="56" t="s">
        <v>1059</v>
      </c>
      <c r="AU460" s="56" t="s">
        <v>1060</v>
      </c>
      <c r="AV460" s="56">
        <v>36</v>
      </c>
      <c r="AW460" s="56" t="s">
        <v>1051</v>
      </c>
      <c r="AX460" s="56" t="s">
        <v>1351</v>
      </c>
      <c r="AY460" s="56" t="s">
        <v>1124</v>
      </c>
      <c r="AZ460" s="56" t="s">
        <v>1054</v>
      </c>
      <c r="BA460" s="56" t="s">
        <v>1352</v>
      </c>
      <c r="BB460" s="56" t="s">
        <v>1353</v>
      </c>
      <c r="BC460" s="56" t="s">
        <v>1157</v>
      </c>
      <c r="BD460" s="56" t="s">
        <v>3499</v>
      </c>
    </row>
    <row r="461" spans="1:56" x14ac:dyDescent="0.2">
      <c r="A461" s="56">
        <v>176672106</v>
      </c>
      <c r="B461" s="56" t="s">
        <v>3257</v>
      </c>
      <c r="C461" s="56" t="s">
        <v>2623</v>
      </c>
      <c r="D461" s="56" t="s">
        <v>1178</v>
      </c>
      <c r="E461" s="56" t="s">
        <v>1044</v>
      </c>
      <c r="F461" s="56">
        <v>2</v>
      </c>
      <c r="G461" s="56"/>
      <c r="H461" s="56">
        <v>12767</v>
      </c>
      <c r="I461" s="56">
        <v>6</v>
      </c>
      <c r="J461" s="56" t="s">
        <v>1045</v>
      </c>
      <c r="K461" s="56" t="s">
        <v>1167</v>
      </c>
      <c r="L461" s="121">
        <v>46268</v>
      </c>
      <c r="M461" s="122">
        <v>0.83472222222222225</v>
      </c>
      <c r="N461" s="122">
        <v>0.84236111111111112</v>
      </c>
      <c r="O461" s="56" t="s">
        <v>1047</v>
      </c>
      <c r="P461" s="121">
        <v>46268</v>
      </c>
      <c r="Q461" s="122">
        <v>0.88541666666666663</v>
      </c>
      <c r="R461" s="122">
        <v>0.89444444444444449</v>
      </c>
      <c r="S461" s="56" t="s">
        <v>1047</v>
      </c>
      <c r="T461" s="56">
        <v>1</v>
      </c>
      <c r="U461" s="56">
        <v>21</v>
      </c>
      <c r="V461" s="56">
        <v>21.16</v>
      </c>
      <c r="W461" s="56">
        <v>22.31</v>
      </c>
      <c r="X461" s="56" t="s">
        <v>2624</v>
      </c>
      <c r="Y461" s="56" t="s">
        <v>2624</v>
      </c>
      <c r="Z461" s="56" t="s">
        <v>2624</v>
      </c>
      <c r="AA461" s="56" t="s">
        <v>2003</v>
      </c>
      <c r="AB461" s="56">
        <v>14124146</v>
      </c>
      <c r="AC461" s="56" t="s">
        <v>2003</v>
      </c>
      <c r="AD461" s="56">
        <v>14124146</v>
      </c>
      <c r="AE461" s="56" t="s">
        <v>2626</v>
      </c>
      <c r="AF461" s="56" t="s">
        <v>2627</v>
      </c>
      <c r="AG461" s="56" t="s">
        <v>2627</v>
      </c>
      <c r="AH461" s="56">
        <v>36</v>
      </c>
      <c r="AI461" s="56" t="s">
        <v>2628</v>
      </c>
      <c r="AJ461" s="56" t="s">
        <v>2640</v>
      </c>
      <c r="AK461" s="56" t="s">
        <v>2624</v>
      </c>
      <c r="AL461" s="56" t="s">
        <v>2630</v>
      </c>
      <c r="AM461" s="56" t="s">
        <v>3258</v>
      </c>
      <c r="AN461" s="56" t="s">
        <v>2632</v>
      </c>
      <c r="AO461" s="56" t="s">
        <v>2627</v>
      </c>
      <c r="AP461" s="56">
        <v>3</v>
      </c>
      <c r="AQ461" s="123">
        <v>7.6388888888888618E-3</v>
      </c>
      <c r="AR461" s="122">
        <v>9.0277777777778567E-3</v>
      </c>
      <c r="AS461" s="56" t="s">
        <v>1048</v>
      </c>
      <c r="AT461" s="56" t="s">
        <v>1059</v>
      </c>
      <c r="AU461" s="56" t="s">
        <v>1060</v>
      </c>
      <c r="AV461" s="56">
        <v>36</v>
      </c>
      <c r="AW461" s="56" t="s">
        <v>1051</v>
      </c>
      <c r="AX461" s="56" t="s">
        <v>2171</v>
      </c>
      <c r="AY461" s="56" t="s">
        <v>1140</v>
      </c>
      <c r="AZ461" s="56" t="s">
        <v>1062</v>
      </c>
      <c r="BA461" s="56" t="s">
        <v>2172</v>
      </c>
      <c r="BB461" s="56" t="s">
        <v>2173</v>
      </c>
      <c r="BC461" s="56" t="s">
        <v>1157</v>
      </c>
      <c r="BD461" s="56" t="s">
        <v>3259</v>
      </c>
    </row>
    <row r="462" spans="1:56" x14ac:dyDescent="0.2">
      <c r="A462" s="56">
        <v>176668534</v>
      </c>
      <c r="B462" s="56" t="s">
        <v>2847</v>
      </c>
      <c r="C462" s="56" t="s">
        <v>2623</v>
      </c>
      <c r="D462" s="56" t="s">
        <v>1411</v>
      </c>
      <c r="E462" s="56" t="s">
        <v>1044</v>
      </c>
      <c r="F462" s="56">
        <v>38</v>
      </c>
      <c r="G462" s="56"/>
      <c r="H462" s="56">
        <v>5877</v>
      </c>
      <c r="I462" s="56">
        <v>7</v>
      </c>
      <c r="J462" s="56" t="s">
        <v>1045</v>
      </c>
      <c r="K462" s="56" t="s">
        <v>1123</v>
      </c>
      <c r="L462" s="121">
        <v>46268</v>
      </c>
      <c r="M462" s="122">
        <v>0.84722222222222221</v>
      </c>
      <c r="N462" s="122">
        <v>0.94236111111111109</v>
      </c>
      <c r="O462" s="56" t="s">
        <v>1047</v>
      </c>
      <c r="P462" s="121">
        <v>46268</v>
      </c>
      <c r="Q462" s="122">
        <v>0.90277777777777779</v>
      </c>
      <c r="R462" s="122">
        <v>0.99375000000000002</v>
      </c>
      <c r="S462" s="56" t="s">
        <v>1163</v>
      </c>
      <c r="T462" s="56">
        <v>0</v>
      </c>
      <c r="U462" s="56">
        <v>26</v>
      </c>
      <c r="V462" s="56">
        <v>23.16</v>
      </c>
      <c r="W462" s="56">
        <v>4.72</v>
      </c>
      <c r="X462" s="56">
        <v>4.88</v>
      </c>
      <c r="Y462" s="56">
        <v>0.16</v>
      </c>
      <c r="Z462" s="56">
        <v>0</v>
      </c>
      <c r="AA462" s="56"/>
      <c r="AB462" s="56"/>
      <c r="AC462" s="56"/>
      <c r="AD462" s="56"/>
      <c r="AE462" s="56" t="s">
        <v>2626</v>
      </c>
      <c r="AF462" s="56" t="s">
        <v>2627</v>
      </c>
      <c r="AG462" s="56" t="s">
        <v>2627</v>
      </c>
      <c r="AH462" s="56">
        <v>36</v>
      </c>
      <c r="AI462" s="56" t="s">
        <v>2880</v>
      </c>
      <c r="AJ462" s="56" t="s">
        <v>2640</v>
      </c>
      <c r="AK462" s="56">
        <v>483.41</v>
      </c>
      <c r="AL462" s="56" t="s">
        <v>2630</v>
      </c>
      <c r="AM462" s="56" t="s">
        <v>2631</v>
      </c>
      <c r="AN462" s="56" t="s">
        <v>2632</v>
      </c>
      <c r="AO462" s="56" t="s">
        <v>2627</v>
      </c>
      <c r="AP462" s="56" t="s">
        <v>2624</v>
      </c>
      <c r="AQ462" s="123">
        <v>9.5138888888888884E-2</v>
      </c>
      <c r="AR462" s="122">
        <v>9.0972222222222232E-2</v>
      </c>
      <c r="AS462" s="56" t="s">
        <v>1048</v>
      </c>
      <c r="AT462" s="56" t="s">
        <v>1059</v>
      </c>
      <c r="AU462" s="56" t="s">
        <v>1060</v>
      </c>
      <c r="AV462" s="56">
        <v>36</v>
      </c>
      <c r="AW462" s="56" t="s">
        <v>1051</v>
      </c>
      <c r="AX462" s="56" t="s">
        <v>1412</v>
      </c>
      <c r="AY462" s="56" t="s">
        <v>1124</v>
      </c>
      <c r="AZ462" s="56" t="s">
        <v>1054</v>
      </c>
      <c r="BA462" s="56" t="s">
        <v>1413</v>
      </c>
      <c r="BB462" s="56" t="s">
        <v>1414</v>
      </c>
      <c r="BC462" s="56" t="s">
        <v>1157</v>
      </c>
      <c r="BD462" s="56" t="s">
        <v>2848</v>
      </c>
    </row>
    <row r="463" spans="1:56" x14ac:dyDescent="0.2">
      <c r="A463" s="56">
        <v>176678140</v>
      </c>
      <c r="B463" s="56" t="s">
        <v>1682</v>
      </c>
      <c r="C463" s="56" t="s">
        <v>2623</v>
      </c>
      <c r="D463" s="56" t="s">
        <v>1326</v>
      </c>
      <c r="E463" s="56" t="s">
        <v>1044</v>
      </c>
      <c r="F463" s="56">
        <v>50</v>
      </c>
      <c r="G463" s="56" t="s">
        <v>2693</v>
      </c>
      <c r="H463" s="56">
        <v>12898</v>
      </c>
      <c r="I463" s="56">
        <v>6</v>
      </c>
      <c r="J463" s="56" t="s">
        <v>1045</v>
      </c>
      <c r="K463" s="56" t="s">
        <v>1116</v>
      </c>
      <c r="L463" s="121">
        <v>46268</v>
      </c>
      <c r="M463" s="122">
        <v>0.86458333333333337</v>
      </c>
      <c r="N463" s="122">
        <v>0.86944444444444446</v>
      </c>
      <c r="O463" s="56" t="s">
        <v>1047</v>
      </c>
      <c r="P463" s="121">
        <v>46268</v>
      </c>
      <c r="Q463" s="122">
        <v>0.92708333333333337</v>
      </c>
      <c r="R463" s="122">
        <v>0.9145833333333333</v>
      </c>
      <c r="S463" s="56" t="s">
        <v>1047</v>
      </c>
      <c r="T463" s="56">
        <v>1</v>
      </c>
      <c r="U463" s="56">
        <v>25</v>
      </c>
      <c r="V463" s="56">
        <v>26.54</v>
      </c>
      <c r="W463" s="56">
        <v>25.47</v>
      </c>
      <c r="X463" s="56" t="s">
        <v>2624</v>
      </c>
      <c r="Y463" s="56" t="s">
        <v>2624</v>
      </c>
      <c r="Z463" s="56" t="s">
        <v>2624</v>
      </c>
      <c r="AA463" s="56" t="s">
        <v>338</v>
      </c>
      <c r="AB463" s="56">
        <v>14121523</v>
      </c>
      <c r="AC463" s="56" t="s">
        <v>338</v>
      </c>
      <c r="AD463" s="56">
        <v>14121523</v>
      </c>
      <c r="AE463" s="56" t="s">
        <v>2626</v>
      </c>
      <c r="AF463" s="56" t="s">
        <v>2627</v>
      </c>
      <c r="AG463" s="56" t="s">
        <v>2627</v>
      </c>
      <c r="AH463" s="56">
        <v>36</v>
      </c>
      <c r="AI463" s="56" t="s">
        <v>2628</v>
      </c>
      <c r="AJ463" s="56" t="s">
        <v>2629</v>
      </c>
      <c r="AK463" s="56">
        <v>0</v>
      </c>
      <c r="AL463" s="56" t="s">
        <v>2630</v>
      </c>
      <c r="AM463" s="56" t="s">
        <v>2631</v>
      </c>
      <c r="AN463" s="56" t="s">
        <v>2632</v>
      </c>
      <c r="AO463" s="56" t="s">
        <v>2627</v>
      </c>
      <c r="AP463" s="56" t="s">
        <v>2624</v>
      </c>
      <c r="AQ463" s="123">
        <v>4.8611111111110938E-3</v>
      </c>
      <c r="AR463" s="122">
        <v>-1.2500000000000067E-2</v>
      </c>
      <c r="AS463" s="56" t="s">
        <v>1048</v>
      </c>
      <c r="AT463" s="56" t="s">
        <v>1049</v>
      </c>
      <c r="AU463" s="56" t="s">
        <v>1050</v>
      </c>
      <c r="AV463" s="56">
        <v>36</v>
      </c>
      <c r="AW463" s="56" t="s">
        <v>1051</v>
      </c>
      <c r="AX463" s="56" t="s">
        <v>1683</v>
      </c>
      <c r="AY463" s="56" t="s">
        <v>1128</v>
      </c>
      <c r="AZ463" s="56" t="s">
        <v>1054</v>
      </c>
      <c r="BA463" s="56" t="s">
        <v>1684</v>
      </c>
      <c r="BB463" s="56" t="s">
        <v>1685</v>
      </c>
      <c r="BC463" s="56" t="s">
        <v>1157</v>
      </c>
      <c r="BD463" s="56" t="s">
        <v>1686</v>
      </c>
    </row>
    <row r="464" spans="1:56" x14ac:dyDescent="0.2">
      <c r="A464" s="56">
        <v>176679485</v>
      </c>
      <c r="B464" s="56" t="s">
        <v>2248</v>
      </c>
      <c r="C464" s="56" t="s">
        <v>2623</v>
      </c>
      <c r="D464" s="56" t="s">
        <v>1734</v>
      </c>
      <c r="E464" s="56" t="s">
        <v>1044</v>
      </c>
      <c r="F464" s="56">
        <v>42</v>
      </c>
      <c r="G464" s="56"/>
      <c r="H464" s="56">
        <v>5476</v>
      </c>
      <c r="I464" s="56">
        <v>6</v>
      </c>
      <c r="J464" s="56" t="s">
        <v>1045</v>
      </c>
      <c r="K464" s="56" t="s">
        <v>1112</v>
      </c>
      <c r="L464" s="121">
        <v>46268</v>
      </c>
      <c r="M464" s="122">
        <v>0.86458333333333337</v>
      </c>
      <c r="N464" s="122">
        <v>0.87430555555555556</v>
      </c>
      <c r="O464" s="56" t="s">
        <v>1047</v>
      </c>
      <c r="P464" s="121">
        <v>46268</v>
      </c>
      <c r="Q464" s="122">
        <v>0.90625</v>
      </c>
      <c r="R464" s="122">
        <v>0.91388888888888886</v>
      </c>
      <c r="S464" s="56" t="s">
        <v>1047</v>
      </c>
      <c r="T464" s="56">
        <v>1</v>
      </c>
      <c r="U464" s="56">
        <v>26</v>
      </c>
      <c r="V464" s="56">
        <v>21.8</v>
      </c>
      <c r="W464" s="56">
        <v>22.44</v>
      </c>
      <c r="X464" s="56" t="s">
        <v>2624</v>
      </c>
      <c r="Y464" s="56" t="s">
        <v>2624</v>
      </c>
      <c r="Z464" s="56" t="s">
        <v>2624</v>
      </c>
      <c r="AA464" s="56" t="s">
        <v>223</v>
      </c>
      <c r="AB464" s="56">
        <v>14100843</v>
      </c>
      <c r="AC464" s="56" t="s">
        <v>223</v>
      </c>
      <c r="AD464" s="56">
        <v>14100843</v>
      </c>
      <c r="AE464" s="56" t="s">
        <v>2626</v>
      </c>
      <c r="AF464" s="56" t="s">
        <v>2627</v>
      </c>
      <c r="AG464" s="56" t="s">
        <v>2627</v>
      </c>
      <c r="AH464" s="56">
        <v>36</v>
      </c>
      <c r="AI464" s="56" t="s">
        <v>2628</v>
      </c>
      <c r="AJ464" s="56" t="s">
        <v>2640</v>
      </c>
      <c r="AK464" s="56">
        <v>0</v>
      </c>
      <c r="AL464" s="56" t="s">
        <v>2630</v>
      </c>
      <c r="AM464" s="56" t="s">
        <v>2631</v>
      </c>
      <c r="AN464" s="56" t="s">
        <v>2632</v>
      </c>
      <c r="AO464" s="56" t="s">
        <v>2627</v>
      </c>
      <c r="AP464" s="56" t="s">
        <v>2624</v>
      </c>
      <c r="AQ464" s="123">
        <v>9.7222222222221877E-3</v>
      </c>
      <c r="AR464" s="122">
        <v>7.6388888888888618E-3</v>
      </c>
      <c r="AS464" s="56" t="s">
        <v>1048</v>
      </c>
      <c r="AT464" s="56" t="s">
        <v>1059</v>
      </c>
      <c r="AU464" s="56" t="s">
        <v>1060</v>
      </c>
      <c r="AV464" s="56">
        <v>36</v>
      </c>
      <c r="AW464" s="56" t="s">
        <v>1051</v>
      </c>
      <c r="AX464" s="56" t="s">
        <v>2249</v>
      </c>
      <c r="AY464" s="56" t="s">
        <v>1113</v>
      </c>
      <c r="AZ464" s="56" t="s">
        <v>1062</v>
      </c>
      <c r="BA464" s="56" t="s">
        <v>2250</v>
      </c>
      <c r="BB464" s="56" t="s">
        <v>2251</v>
      </c>
      <c r="BC464" s="56" t="s">
        <v>1157</v>
      </c>
      <c r="BD464" s="56" t="s">
        <v>2252</v>
      </c>
    </row>
    <row r="465" spans="1:56" x14ac:dyDescent="0.2">
      <c r="A465" s="56">
        <v>176679494</v>
      </c>
      <c r="B465" s="56" t="s">
        <v>3500</v>
      </c>
      <c r="C465" s="56" t="s">
        <v>2623</v>
      </c>
      <c r="D465" s="56" t="s">
        <v>2240</v>
      </c>
      <c r="E465" s="56" t="s">
        <v>1044</v>
      </c>
      <c r="F465" s="56">
        <v>45</v>
      </c>
      <c r="G465" s="56"/>
      <c r="H465" s="56">
        <v>4236</v>
      </c>
      <c r="I465" s="56">
        <v>7</v>
      </c>
      <c r="J465" s="56" t="s">
        <v>1045</v>
      </c>
      <c r="K465" s="56" t="s">
        <v>1112</v>
      </c>
      <c r="L465" s="121">
        <v>46268</v>
      </c>
      <c r="M465" s="122">
        <v>0.86458333333333337</v>
      </c>
      <c r="N465" s="122">
        <v>0.90069444444444446</v>
      </c>
      <c r="O465" s="56" t="s">
        <v>1047</v>
      </c>
      <c r="P465" s="121">
        <v>46268</v>
      </c>
      <c r="Q465" s="122">
        <v>0.90625</v>
      </c>
      <c r="R465" s="122">
        <v>0.93680555555555556</v>
      </c>
      <c r="S465" s="56" t="s">
        <v>1449</v>
      </c>
      <c r="T465" s="56">
        <v>0</v>
      </c>
      <c r="U465" s="56">
        <v>24</v>
      </c>
      <c r="V465" s="56">
        <v>20.61</v>
      </c>
      <c r="W465" s="56">
        <v>20.88</v>
      </c>
      <c r="X465" s="56">
        <v>46.01</v>
      </c>
      <c r="Y465" s="56">
        <v>11.26</v>
      </c>
      <c r="Z465" s="56">
        <v>13.87</v>
      </c>
      <c r="AA465" s="56"/>
      <c r="AB465" s="56"/>
      <c r="AC465" s="56"/>
      <c r="AD465" s="56"/>
      <c r="AE465" s="56" t="s">
        <v>2626</v>
      </c>
      <c r="AF465" s="56" t="s">
        <v>2627</v>
      </c>
      <c r="AG465" s="56" t="s">
        <v>2627</v>
      </c>
      <c r="AH465" s="56">
        <v>36</v>
      </c>
      <c r="AI465" s="56" t="s">
        <v>2842</v>
      </c>
      <c r="AJ465" s="56" t="s">
        <v>2640</v>
      </c>
      <c r="AK465" s="56">
        <v>0</v>
      </c>
      <c r="AL465" s="56" t="s">
        <v>2630</v>
      </c>
      <c r="AM465" s="56" t="s">
        <v>2631</v>
      </c>
      <c r="AN465" s="56" t="s">
        <v>2632</v>
      </c>
      <c r="AO465" s="56" t="s">
        <v>2627</v>
      </c>
      <c r="AP465" s="56" t="s">
        <v>2624</v>
      </c>
      <c r="AQ465" s="123">
        <v>3.6111111111111094E-2</v>
      </c>
      <c r="AR465" s="122">
        <v>3.0555555555555558E-2</v>
      </c>
      <c r="AS465" s="56" t="s">
        <v>1048</v>
      </c>
      <c r="AT465" s="56" t="s">
        <v>1059</v>
      </c>
      <c r="AU465" s="56" t="s">
        <v>1060</v>
      </c>
      <c r="AV465" s="56">
        <v>36</v>
      </c>
      <c r="AW465" s="56" t="s">
        <v>1051</v>
      </c>
      <c r="AX465" s="56" t="s">
        <v>2241</v>
      </c>
      <c r="AY465" s="56" t="s">
        <v>1113</v>
      </c>
      <c r="AZ465" s="56" t="s">
        <v>1062</v>
      </c>
      <c r="BA465" s="56" t="s">
        <v>2242</v>
      </c>
      <c r="BB465" s="56" t="s">
        <v>2243</v>
      </c>
      <c r="BC465" s="56" t="s">
        <v>1157</v>
      </c>
      <c r="BD465" s="56" t="s">
        <v>3501</v>
      </c>
    </row>
    <row r="466" spans="1:56" x14ac:dyDescent="0.2">
      <c r="A466" s="56">
        <v>176679530</v>
      </c>
      <c r="B466" s="56" t="s">
        <v>3502</v>
      </c>
      <c r="C466" s="56" t="s">
        <v>2623</v>
      </c>
      <c r="D466" s="56" t="s">
        <v>3212</v>
      </c>
      <c r="E466" s="56" t="s">
        <v>1044</v>
      </c>
      <c r="F466" s="56">
        <v>57</v>
      </c>
      <c r="G466" s="56"/>
      <c r="H466" s="56">
        <v>13004</v>
      </c>
      <c r="I466" s="56">
        <v>6</v>
      </c>
      <c r="J466" s="56" t="s">
        <v>1045</v>
      </c>
      <c r="K466" s="56" t="s">
        <v>1112</v>
      </c>
      <c r="L466" s="121">
        <v>46268</v>
      </c>
      <c r="M466" s="122">
        <v>0.86458333333333337</v>
      </c>
      <c r="N466" s="122">
        <v>0.86875000000000002</v>
      </c>
      <c r="O466" s="56" t="s">
        <v>1047</v>
      </c>
      <c r="P466" s="121">
        <v>46268</v>
      </c>
      <c r="Q466" s="122">
        <v>0.90625</v>
      </c>
      <c r="R466" s="122">
        <v>0.90208333333333335</v>
      </c>
      <c r="S466" s="56" t="s">
        <v>1047</v>
      </c>
      <c r="T466" s="56">
        <v>1</v>
      </c>
      <c r="U466" s="56">
        <v>27</v>
      </c>
      <c r="V466" s="56">
        <v>22.48</v>
      </c>
      <c r="W466" s="56">
        <v>22.41</v>
      </c>
      <c r="X466" s="56" t="s">
        <v>2624</v>
      </c>
      <c r="Y466" s="56" t="s">
        <v>2624</v>
      </c>
      <c r="Z466" s="56" t="s">
        <v>2624</v>
      </c>
      <c r="AA466" s="56" t="s">
        <v>1793</v>
      </c>
      <c r="AB466" s="56">
        <v>14121728</v>
      </c>
      <c r="AC466" s="56" t="s">
        <v>1793</v>
      </c>
      <c r="AD466" s="56">
        <v>14121728</v>
      </c>
      <c r="AE466" s="56" t="s">
        <v>2626</v>
      </c>
      <c r="AF466" s="56" t="s">
        <v>2627</v>
      </c>
      <c r="AG466" s="56" t="s">
        <v>2627</v>
      </c>
      <c r="AH466" s="56">
        <v>36</v>
      </c>
      <c r="AI466" s="56" t="s">
        <v>2628</v>
      </c>
      <c r="AJ466" s="56" t="s">
        <v>2629</v>
      </c>
      <c r="AK466" s="56">
        <v>0</v>
      </c>
      <c r="AL466" s="56" t="s">
        <v>2630</v>
      </c>
      <c r="AM466" s="56" t="s">
        <v>2631</v>
      </c>
      <c r="AN466" s="56" t="s">
        <v>2632</v>
      </c>
      <c r="AO466" s="56" t="s">
        <v>2627</v>
      </c>
      <c r="AP466" s="56" t="s">
        <v>2624</v>
      </c>
      <c r="AQ466" s="123">
        <v>4.1666666666666519E-3</v>
      </c>
      <c r="AR466" s="122">
        <v>-4.1666666666666519E-3</v>
      </c>
      <c r="AS466" s="56" t="s">
        <v>1048</v>
      </c>
      <c r="AT466" s="56" t="s">
        <v>1049</v>
      </c>
      <c r="AU466" s="56" t="s">
        <v>1050</v>
      </c>
      <c r="AV466" s="56">
        <v>36</v>
      </c>
      <c r="AW466" s="56" t="s">
        <v>1051</v>
      </c>
      <c r="AX466" s="56" t="s">
        <v>3213</v>
      </c>
      <c r="AY466" s="56" t="s">
        <v>1113</v>
      </c>
      <c r="AZ466" s="56" t="s">
        <v>1062</v>
      </c>
      <c r="BA466" s="56" t="s">
        <v>3214</v>
      </c>
      <c r="BB466" s="56" t="s">
        <v>3215</v>
      </c>
      <c r="BC466" s="56" t="s">
        <v>1157</v>
      </c>
      <c r="BD466" s="56" t="s">
        <v>3503</v>
      </c>
    </row>
    <row r="467" spans="1:56" x14ac:dyDescent="0.2">
      <c r="A467" s="56">
        <v>176664144</v>
      </c>
      <c r="B467" s="56" t="s">
        <v>3504</v>
      </c>
      <c r="C467" s="56" t="s">
        <v>2623</v>
      </c>
      <c r="D467" s="56" t="s">
        <v>1264</v>
      </c>
      <c r="E467" s="56" t="s">
        <v>1044</v>
      </c>
      <c r="F467" s="56">
        <v>60</v>
      </c>
      <c r="G467" s="56"/>
      <c r="H467" s="56">
        <v>5719</v>
      </c>
      <c r="I467" s="56">
        <v>6</v>
      </c>
      <c r="J467" s="56" t="s">
        <v>1045</v>
      </c>
      <c r="K467" s="56" t="s">
        <v>1064</v>
      </c>
      <c r="L467" s="121">
        <v>46268</v>
      </c>
      <c r="M467" s="122">
        <v>0.86805555555555558</v>
      </c>
      <c r="N467" s="122">
        <v>0.87291666666666667</v>
      </c>
      <c r="O467" s="56" t="s">
        <v>1047</v>
      </c>
      <c r="P467" s="121">
        <v>46268</v>
      </c>
      <c r="Q467" s="122">
        <v>0.93402777777777779</v>
      </c>
      <c r="R467" s="122">
        <v>0.94097222222222221</v>
      </c>
      <c r="S467" s="56" t="s">
        <v>3469</v>
      </c>
      <c r="T467" s="56">
        <v>1</v>
      </c>
      <c r="U467" s="56">
        <v>37</v>
      </c>
      <c r="V467" s="56">
        <v>33.159999999999997</v>
      </c>
      <c r="W467" s="56">
        <v>33.49</v>
      </c>
      <c r="X467" s="56">
        <v>50.75</v>
      </c>
      <c r="Y467" s="56">
        <v>10.3</v>
      </c>
      <c r="Z467" s="56">
        <v>6.96</v>
      </c>
      <c r="AA467" s="56" t="s">
        <v>144</v>
      </c>
      <c r="AB467" s="56">
        <v>14115536</v>
      </c>
      <c r="AC467" s="56" t="s">
        <v>144</v>
      </c>
      <c r="AD467" s="56">
        <v>14115536</v>
      </c>
      <c r="AE467" s="56" t="s">
        <v>2626</v>
      </c>
      <c r="AF467" s="56" t="s">
        <v>2627</v>
      </c>
      <c r="AG467" s="56" t="s">
        <v>2627</v>
      </c>
      <c r="AH467" s="56">
        <v>36</v>
      </c>
      <c r="AI467" s="56" t="s">
        <v>2842</v>
      </c>
      <c r="AJ467" s="56" t="s">
        <v>2640</v>
      </c>
      <c r="AK467" s="56">
        <v>530.63</v>
      </c>
      <c r="AL467" s="56" t="s">
        <v>2630</v>
      </c>
      <c r="AM467" s="56" t="s">
        <v>2631</v>
      </c>
      <c r="AN467" s="56" t="s">
        <v>2632</v>
      </c>
      <c r="AO467" s="56" t="s">
        <v>2627</v>
      </c>
      <c r="AP467" s="56" t="s">
        <v>2624</v>
      </c>
      <c r="AQ467" s="123">
        <v>4.8611111111110938E-3</v>
      </c>
      <c r="AR467" s="122">
        <v>6.9444444444444198E-3</v>
      </c>
      <c r="AS467" s="56" t="s">
        <v>1048</v>
      </c>
      <c r="AT467" s="56" t="s">
        <v>1059</v>
      </c>
      <c r="AU467" s="56" t="s">
        <v>1060</v>
      </c>
      <c r="AV467" s="56">
        <v>36</v>
      </c>
      <c r="AW467" s="56" t="s">
        <v>1051</v>
      </c>
      <c r="AX467" s="56" t="s">
        <v>1265</v>
      </c>
      <c r="AY467" s="56" t="s">
        <v>1066</v>
      </c>
      <c r="AZ467" s="56" t="s">
        <v>1067</v>
      </c>
      <c r="BA467" s="56" t="s">
        <v>1266</v>
      </c>
      <c r="BB467" s="56" t="s">
        <v>1267</v>
      </c>
      <c r="BC467" s="56" t="s">
        <v>1157</v>
      </c>
      <c r="BD467" s="56" t="s">
        <v>3505</v>
      </c>
    </row>
    <row r="468" spans="1:56" x14ac:dyDescent="0.2">
      <c r="A468" s="56">
        <v>176665767</v>
      </c>
      <c r="B468" s="56" t="s">
        <v>2201</v>
      </c>
      <c r="C468" s="56" t="s">
        <v>2623</v>
      </c>
      <c r="D468" s="56" t="s">
        <v>2073</v>
      </c>
      <c r="E468" s="56" t="s">
        <v>1044</v>
      </c>
      <c r="F468" s="56">
        <v>18</v>
      </c>
      <c r="G468" s="56"/>
      <c r="H468" s="56">
        <v>5429</v>
      </c>
      <c r="I468" s="56">
        <v>6</v>
      </c>
      <c r="J468" s="56" t="s">
        <v>1045</v>
      </c>
      <c r="K468" s="56" t="s">
        <v>1123</v>
      </c>
      <c r="L468" s="121">
        <v>46268</v>
      </c>
      <c r="M468" s="122">
        <v>0.86805555555555558</v>
      </c>
      <c r="N468" s="122">
        <v>0.89166666666666672</v>
      </c>
      <c r="O468" s="56" t="s">
        <v>1047</v>
      </c>
      <c r="P468" s="121">
        <v>46268</v>
      </c>
      <c r="Q468" s="122">
        <v>0.90277777777777779</v>
      </c>
      <c r="R468" s="122">
        <v>0.91874999999999996</v>
      </c>
      <c r="S468" s="56" t="s">
        <v>1047</v>
      </c>
      <c r="T468" s="56">
        <v>1</v>
      </c>
      <c r="U468" s="56">
        <v>16</v>
      </c>
      <c r="V468" s="56">
        <v>10.02</v>
      </c>
      <c r="W468" s="56">
        <v>10.38</v>
      </c>
      <c r="X468" s="56" t="s">
        <v>2624</v>
      </c>
      <c r="Y468" s="56" t="s">
        <v>2624</v>
      </c>
      <c r="Z468" s="56" t="s">
        <v>2624</v>
      </c>
      <c r="AA468" s="56" t="s">
        <v>446</v>
      </c>
      <c r="AB468" s="56">
        <v>14122709</v>
      </c>
      <c r="AC468" s="56" t="s">
        <v>446</v>
      </c>
      <c r="AD468" s="56">
        <v>14122709</v>
      </c>
      <c r="AE468" s="56" t="s">
        <v>2626</v>
      </c>
      <c r="AF468" s="56" t="s">
        <v>2627</v>
      </c>
      <c r="AG468" s="56" t="s">
        <v>2627</v>
      </c>
      <c r="AH468" s="56">
        <v>36</v>
      </c>
      <c r="AI468" s="56" t="s">
        <v>2628</v>
      </c>
      <c r="AJ468" s="56" t="s">
        <v>2640</v>
      </c>
      <c r="AK468" s="56">
        <v>584.1</v>
      </c>
      <c r="AL468" s="56" t="s">
        <v>2630</v>
      </c>
      <c r="AM468" s="56" t="s">
        <v>2631</v>
      </c>
      <c r="AN468" s="56" t="s">
        <v>2632</v>
      </c>
      <c r="AO468" s="56" t="s">
        <v>2627</v>
      </c>
      <c r="AP468" s="56" t="s">
        <v>2624</v>
      </c>
      <c r="AQ468" s="123">
        <v>2.3611111111111138E-2</v>
      </c>
      <c r="AR468" s="122">
        <v>1.5972222222222165E-2</v>
      </c>
      <c r="AS468" s="56" t="s">
        <v>1048</v>
      </c>
      <c r="AT468" s="56" t="s">
        <v>1059</v>
      </c>
      <c r="AU468" s="56" t="s">
        <v>1060</v>
      </c>
      <c r="AV468" s="56">
        <v>36</v>
      </c>
      <c r="AW468" s="56" t="s">
        <v>1051</v>
      </c>
      <c r="AX468" s="56" t="s">
        <v>2074</v>
      </c>
      <c r="AY468" s="56" t="s">
        <v>1124</v>
      </c>
      <c r="AZ468" s="56" t="s">
        <v>1054</v>
      </c>
      <c r="BA468" s="56" t="s">
        <v>2075</v>
      </c>
      <c r="BB468" s="56" t="s">
        <v>2076</v>
      </c>
      <c r="BC468" s="56" t="s">
        <v>1157</v>
      </c>
      <c r="BD468" s="56" t="s">
        <v>2202</v>
      </c>
    </row>
    <row r="469" spans="1:56" x14ac:dyDescent="0.2">
      <c r="A469" s="56">
        <v>176672654</v>
      </c>
      <c r="B469" s="56" t="s">
        <v>3506</v>
      </c>
      <c r="C469" s="56" t="s">
        <v>2623</v>
      </c>
      <c r="D469" s="56" t="s">
        <v>3507</v>
      </c>
      <c r="E469" s="56" t="s">
        <v>1044</v>
      </c>
      <c r="F469" s="56">
        <v>42</v>
      </c>
      <c r="G469" s="56"/>
      <c r="H469" s="56">
        <v>17355</v>
      </c>
      <c r="I469" s="56">
        <v>6</v>
      </c>
      <c r="J469" s="56" t="s">
        <v>1045</v>
      </c>
      <c r="K469" s="56" t="s">
        <v>1091</v>
      </c>
      <c r="L469" s="121">
        <v>46268</v>
      </c>
      <c r="M469" s="122">
        <v>0.86805555555555558</v>
      </c>
      <c r="N469" s="122">
        <v>0.87777777777777777</v>
      </c>
      <c r="O469" s="56" t="s">
        <v>1047</v>
      </c>
      <c r="P469" s="121">
        <v>46268</v>
      </c>
      <c r="Q469" s="122">
        <v>0.93402777777777779</v>
      </c>
      <c r="R469" s="122">
        <v>0.93958333333333333</v>
      </c>
      <c r="S469" s="56" t="s">
        <v>1047</v>
      </c>
      <c r="T469" s="56">
        <v>1</v>
      </c>
      <c r="U469" s="56">
        <v>34</v>
      </c>
      <c r="V469" s="56">
        <v>28.57</v>
      </c>
      <c r="W469" s="56">
        <v>31.47</v>
      </c>
      <c r="X469" s="56" t="s">
        <v>2624</v>
      </c>
      <c r="Y469" s="56" t="s">
        <v>2624</v>
      </c>
      <c r="Z469" s="56" t="s">
        <v>2624</v>
      </c>
      <c r="AA469" s="56" t="s">
        <v>1448</v>
      </c>
      <c r="AB469" s="56">
        <v>14115917</v>
      </c>
      <c r="AC469" s="56" t="s">
        <v>1448</v>
      </c>
      <c r="AD469" s="56">
        <v>14115917</v>
      </c>
      <c r="AE469" s="56" t="s">
        <v>2626</v>
      </c>
      <c r="AF469" s="56" t="s">
        <v>2627</v>
      </c>
      <c r="AG469" s="56" t="s">
        <v>2627</v>
      </c>
      <c r="AH469" s="56">
        <v>36</v>
      </c>
      <c r="AI469" s="56" t="s">
        <v>2628</v>
      </c>
      <c r="AJ469" s="56" t="s">
        <v>2640</v>
      </c>
      <c r="AK469" s="56">
        <v>0</v>
      </c>
      <c r="AL469" s="56" t="s">
        <v>2630</v>
      </c>
      <c r="AM469" s="56" t="s">
        <v>2631</v>
      </c>
      <c r="AN469" s="56" t="s">
        <v>2632</v>
      </c>
      <c r="AO469" s="56" t="s">
        <v>2627</v>
      </c>
      <c r="AP469" s="56" t="s">
        <v>2624</v>
      </c>
      <c r="AQ469" s="123">
        <v>9.7222222222221877E-3</v>
      </c>
      <c r="AR469" s="122">
        <v>5.5555555555555358E-3</v>
      </c>
      <c r="AS469" s="56" t="s">
        <v>1048</v>
      </c>
      <c r="AT469" s="56" t="s">
        <v>1059</v>
      </c>
      <c r="AU469" s="56" t="s">
        <v>1060</v>
      </c>
      <c r="AV469" s="56">
        <v>36</v>
      </c>
      <c r="AW469" s="56" t="s">
        <v>1051</v>
      </c>
      <c r="AX469" s="56" t="s">
        <v>3508</v>
      </c>
      <c r="AY469" s="56" t="s">
        <v>1093</v>
      </c>
      <c r="AZ469" s="56" t="s">
        <v>1067</v>
      </c>
      <c r="BA469" s="56" t="s">
        <v>3509</v>
      </c>
      <c r="BB469" s="56" t="s">
        <v>3510</v>
      </c>
      <c r="BC469" s="56" t="s">
        <v>1157</v>
      </c>
      <c r="BD469" s="56" t="s">
        <v>3511</v>
      </c>
    </row>
    <row r="470" spans="1:56" x14ac:dyDescent="0.2">
      <c r="A470" s="56">
        <v>176672763</v>
      </c>
      <c r="B470" s="56" t="s">
        <v>1718</v>
      </c>
      <c r="C470" s="56" t="s">
        <v>2623</v>
      </c>
      <c r="D470" s="56" t="s">
        <v>1186</v>
      </c>
      <c r="E470" s="56" t="s">
        <v>1044</v>
      </c>
      <c r="F470" s="56">
        <v>101</v>
      </c>
      <c r="G470" s="56"/>
      <c r="H470" s="56">
        <v>10747</v>
      </c>
      <c r="I470" s="56">
        <v>6</v>
      </c>
      <c r="J470" s="56" t="s">
        <v>1045</v>
      </c>
      <c r="K470" s="56" t="s">
        <v>1079</v>
      </c>
      <c r="L470" s="121">
        <v>46268</v>
      </c>
      <c r="M470" s="122">
        <v>0.86805555555555558</v>
      </c>
      <c r="N470" s="122">
        <v>0.87152777777777779</v>
      </c>
      <c r="O470" s="56" t="s">
        <v>1047</v>
      </c>
      <c r="P470" s="121">
        <v>46268</v>
      </c>
      <c r="Q470" s="122">
        <v>0.93402777777777779</v>
      </c>
      <c r="R470" s="122">
        <v>0.91736111111111107</v>
      </c>
      <c r="S470" s="56" t="s">
        <v>1047</v>
      </c>
      <c r="T470" s="56">
        <v>1</v>
      </c>
      <c r="U470" s="56">
        <v>43</v>
      </c>
      <c r="V470" s="56">
        <v>36.64</v>
      </c>
      <c r="W470" s="56">
        <v>37.729999999999997</v>
      </c>
      <c r="X470" s="56" t="s">
        <v>2624</v>
      </c>
      <c r="Y470" s="56" t="s">
        <v>2624</v>
      </c>
      <c r="Z470" s="56" t="s">
        <v>2624</v>
      </c>
      <c r="AA470" s="56" t="s">
        <v>527</v>
      </c>
      <c r="AB470" s="56">
        <v>14123488</v>
      </c>
      <c r="AC470" s="56" t="s">
        <v>527</v>
      </c>
      <c r="AD470" s="56">
        <v>14123488</v>
      </c>
      <c r="AE470" s="56" t="s">
        <v>2626</v>
      </c>
      <c r="AF470" s="56" t="s">
        <v>2627</v>
      </c>
      <c r="AG470" s="56" t="s">
        <v>2627</v>
      </c>
      <c r="AH470" s="56">
        <v>36</v>
      </c>
      <c r="AI470" s="56" t="s">
        <v>2628</v>
      </c>
      <c r="AJ470" s="56" t="s">
        <v>2629</v>
      </c>
      <c r="AK470" s="56">
        <v>0</v>
      </c>
      <c r="AL470" s="56" t="s">
        <v>2630</v>
      </c>
      <c r="AM470" s="56" t="s">
        <v>2631</v>
      </c>
      <c r="AN470" s="56" t="s">
        <v>2632</v>
      </c>
      <c r="AO470" s="56" t="s">
        <v>2627</v>
      </c>
      <c r="AP470" s="56">
        <v>6</v>
      </c>
      <c r="AQ470" s="123">
        <v>3.4722222222222099E-3</v>
      </c>
      <c r="AR470" s="122">
        <v>-1.6666666666666718E-2</v>
      </c>
      <c r="AS470" s="56" t="s">
        <v>1048</v>
      </c>
      <c r="AT470" s="56" t="s">
        <v>1049</v>
      </c>
      <c r="AU470" s="56" t="s">
        <v>1050</v>
      </c>
      <c r="AV470" s="56">
        <v>36</v>
      </c>
      <c r="AW470" s="56" t="s">
        <v>1051</v>
      </c>
      <c r="AX470" s="56" t="s">
        <v>1188</v>
      </c>
      <c r="AY470" s="56" t="s">
        <v>1081</v>
      </c>
      <c r="AZ470" s="56" t="s">
        <v>1067</v>
      </c>
      <c r="BA470" s="56" t="s">
        <v>1189</v>
      </c>
      <c r="BB470" s="56" t="s">
        <v>1190</v>
      </c>
      <c r="BC470" s="56" t="s">
        <v>1157</v>
      </c>
      <c r="BD470" s="56" t="s">
        <v>1719</v>
      </c>
    </row>
    <row r="471" spans="1:56" x14ac:dyDescent="0.2">
      <c r="A471" s="56">
        <v>176675882</v>
      </c>
      <c r="B471" s="56" t="s">
        <v>2264</v>
      </c>
      <c r="C471" s="56" t="s">
        <v>2623</v>
      </c>
      <c r="D471" s="56" t="s">
        <v>1173</v>
      </c>
      <c r="E471" s="56" t="s">
        <v>1044</v>
      </c>
      <c r="F471" s="56">
        <v>7</v>
      </c>
      <c r="G471" s="56"/>
      <c r="H471" s="56">
        <v>13848</v>
      </c>
      <c r="I471" s="56">
        <v>6</v>
      </c>
      <c r="J471" s="56" t="s">
        <v>1045</v>
      </c>
      <c r="K471" s="56" t="s">
        <v>1058</v>
      </c>
      <c r="L471" s="121">
        <v>46268</v>
      </c>
      <c r="M471" s="122">
        <v>0.86805555555555558</v>
      </c>
      <c r="N471" s="122">
        <v>0.87430555555555556</v>
      </c>
      <c r="O471" s="56" t="s">
        <v>1047</v>
      </c>
      <c r="P471" s="121">
        <v>46268</v>
      </c>
      <c r="Q471" s="122">
        <v>0.91666666666666663</v>
      </c>
      <c r="R471" s="122">
        <v>0.91527777777777775</v>
      </c>
      <c r="S471" s="56" t="s">
        <v>1047</v>
      </c>
      <c r="T471" s="56">
        <v>1</v>
      </c>
      <c r="U471" s="56">
        <v>34</v>
      </c>
      <c r="V471" s="56">
        <v>28.36</v>
      </c>
      <c r="W471" s="56">
        <v>26.69</v>
      </c>
      <c r="X471" s="56" t="s">
        <v>2624</v>
      </c>
      <c r="Y471" s="56" t="s">
        <v>2624</v>
      </c>
      <c r="Z471" s="56" t="s">
        <v>2624</v>
      </c>
      <c r="AA471" s="56" t="s">
        <v>1174</v>
      </c>
      <c r="AB471" s="56">
        <v>14113198</v>
      </c>
      <c r="AC471" s="56" t="s">
        <v>1174</v>
      </c>
      <c r="AD471" s="56">
        <v>14113198</v>
      </c>
      <c r="AE471" s="56" t="s">
        <v>2626</v>
      </c>
      <c r="AF471" s="56" t="s">
        <v>2627</v>
      </c>
      <c r="AG471" s="56" t="s">
        <v>2627</v>
      </c>
      <c r="AH471" s="56">
        <v>36</v>
      </c>
      <c r="AI471" s="56" t="s">
        <v>2628</v>
      </c>
      <c r="AJ471" s="56" t="s">
        <v>2629</v>
      </c>
      <c r="AK471" s="56">
        <v>842</v>
      </c>
      <c r="AL471" s="56" t="s">
        <v>2630</v>
      </c>
      <c r="AM471" s="56" t="s">
        <v>2631</v>
      </c>
      <c r="AN471" s="56" t="s">
        <v>2632</v>
      </c>
      <c r="AO471" s="56" t="s">
        <v>2627</v>
      </c>
      <c r="AP471" s="56" t="s">
        <v>2624</v>
      </c>
      <c r="AQ471" s="123">
        <v>6.2499999999999778E-3</v>
      </c>
      <c r="AR471" s="122">
        <v>-1.388888888888884E-3</v>
      </c>
      <c r="AS471" s="56" t="s">
        <v>1048</v>
      </c>
      <c r="AT471" s="56" t="s">
        <v>1049</v>
      </c>
      <c r="AU471" s="56" t="s">
        <v>1050</v>
      </c>
      <c r="AV471" s="56">
        <v>36</v>
      </c>
      <c r="AW471" s="56" t="s">
        <v>1051</v>
      </c>
      <c r="AX471" s="56" t="s">
        <v>1175</v>
      </c>
      <c r="AY471" s="56" t="s">
        <v>1061</v>
      </c>
      <c r="AZ471" s="56" t="s">
        <v>1062</v>
      </c>
      <c r="BA471" s="56" t="s">
        <v>1176</v>
      </c>
      <c r="BB471" s="56" t="s">
        <v>1177</v>
      </c>
      <c r="BC471" s="56" t="s">
        <v>1157</v>
      </c>
      <c r="BD471" s="56" t="s">
        <v>2265</v>
      </c>
    </row>
    <row r="472" spans="1:56" x14ac:dyDescent="0.2">
      <c r="A472" s="56">
        <v>176684117</v>
      </c>
      <c r="B472" s="56" t="s">
        <v>2316</v>
      </c>
      <c r="C472" s="56" t="s">
        <v>2623</v>
      </c>
      <c r="D472" s="56" t="s">
        <v>1542</v>
      </c>
      <c r="E472" s="56" t="s">
        <v>1044</v>
      </c>
      <c r="F472" s="56">
        <v>181</v>
      </c>
      <c r="G472" s="56" t="s">
        <v>2670</v>
      </c>
      <c r="H472" s="56">
        <v>15335</v>
      </c>
      <c r="I472" s="56">
        <v>6</v>
      </c>
      <c r="J472" s="56" t="s">
        <v>1045</v>
      </c>
      <c r="K472" s="56" t="s">
        <v>1116</v>
      </c>
      <c r="L472" s="121">
        <v>46268</v>
      </c>
      <c r="M472" s="122">
        <v>0.87013888888888891</v>
      </c>
      <c r="N472" s="122">
        <v>0.87361111111111112</v>
      </c>
      <c r="O472" s="56" t="s">
        <v>1047</v>
      </c>
      <c r="P472" s="121">
        <v>46268</v>
      </c>
      <c r="Q472" s="122">
        <v>0.92708333333333337</v>
      </c>
      <c r="R472" s="122">
        <v>0.92986111111111114</v>
      </c>
      <c r="S472" s="56" t="s">
        <v>1047</v>
      </c>
      <c r="T472" s="56">
        <v>1</v>
      </c>
      <c r="U472" s="56">
        <v>29</v>
      </c>
      <c r="V472" s="56">
        <v>25.13</v>
      </c>
      <c r="W472" s="56">
        <v>25.33</v>
      </c>
      <c r="X472" s="56" t="s">
        <v>2624</v>
      </c>
      <c r="Y472" s="56" t="s">
        <v>2624</v>
      </c>
      <c r="Z472" s="56" t="s">
        <v>2624</v>
      </c>
      <c r="AA472" s="56" t="s">
        <v>501</v>
      </c>
      <c r="AB472" s="56">
        <v>14123273</v>
      </c>
      <c r="AC472" s="56" t="s">
        <v>501</v>
      </c>
      <c r="AD472" s="56">
        <v>14123273</v>
      </c>
      <c r="AE472" s="56" t="s">
        <v>2626</v>
      </c>
      <c r="AF472" s="56" t="s">
        <v>2627</v>
      </c>
      <c r="AG472" s="56" t="s">
        <v>2627</v>
      </c>
      <c r="AH472" s="56">
        <v>36</v>
      </c>
      <c r="AI472" s="56" t="s">
        <v>2628</v>
      </c>
      <c r="AJ472" s="56" t="s">
        <v>2640</v>
      </c>
      <c r="AK472" s="56">
        <v>0</v>
      </c>
      <c r="AL472" s="56" t="s">
        <v>2630</v>
      </c>
      <c r="AM472" s="56" t="s">
        <v>2631</v>
      </c>
      <c r="AN472" s="56" t="s">
        <v>2632</v>
      </c>
      <c r="AO472" s="56" t="s">
        <v>2627</v>
      </c>
      <c r="AP472" s="56" t="s">
        <v>2624</v>
      </c>
      <c r="AQ472" s="123">
        <v>3.4722222222222099E-3</v>
      </c>
      <c r="AR472" s="122">
        <v>2.7777777777777679E-3</v>
      </c>
      <c r="AS472" s="56" t="s">
        <v>1048</v>
      </c>
      <c r="AT472" s="56" t="s">
        <v>1049</v>
      </c>
      <c r="AU472" s="56" t="s">
        <v>1050</v>
      </c>
      <c r="AV472" s="56">
        <v>36</v>
      </c>
      <c r="AW472" s="56" t="s">
        <v>1051</v>
      </c>
      <c r="AX472" s="56" t="s">
        <v>1543</v>
      </c>
      <c r="AY472" s="56" t="s">
        <v>1118</v>
      </c>
      <c r="AZ472" s="56" t="s">
        <v>1054</v>
      </c>
      <c r="BA472" s="56" t="s">
        <v>1544</v>
      </c>
      <c r="BB472" s="56" t="s">
        <v>1545</v>
      </c>
      <c r="BC472" s="56" t="s">
        <v>1157</v>
      </c>
      <c r="BD472" s="56" t="s">
        <v>2317</v>
      </c>
    </row>
    <row r="473" spans="1:56" x14ac:dyDescent="0.2">
      <c r="A473" s="56">
        <v>176675888</v>
      </c>
      <c r="B473" s="56" t="s">
        <v>3512</v>
      </c>
      <c r="C473" s="56" t="s">
        <v>2623</v>
      </c>
      <c r="D473" s="56" t="s">
        <v>3513</v>
      </c>
      <c r="E473" s="56" t="s">
        <v>1044</v>
      </c>
      <c r="F473" s="56">
        <v>9</v>
      </c>
      <c r="G473" s="56"/>
      <c r="H473" s="56">
        <v>15760</v>
      </c>
      <c r="I473" s="56">
        <v>6</v>
      </c>
      <c r="J473" s="56" t="s">
        <v>1045</v>
      </c>
      <c r="K473" s="56" t="s">
        <v>1058</v>
      </c>
      <c r="L473" s="121">
        <v>46268</v>
      </c>
      <c r="M473" s="122">
        <v>0.87430555555555556</v>
      </c>
      <c r="N473" s="122">
        <v>0.87916666666666665</v>
      </c>
      <c r="O473" s="56" t="s">
        <v>1047</v>
      </c>
      <c r="P473" s="121">
        <v>46268</v>
      </c>
      <c r="Q473" s="122">
        <v>0.91666666666666663</v>
      </c>
      <c r="R473" s="122">
        <v>0.92083333333333328</v>
      </c>
      <c r="S473" s="56" t="s">
        <v>1047</v>
      </c>
      <c r="T473" s="56">
        <v>1</v>
      </c>
      <c r="U473" s="56">
        <v>28</v>
      </c>
      <c r="V473" s="56">
        <v>24.22</v>
      </c>
      <c r="W473" s="56">
        <v>23.62</v>
      </c>
      <c r="X473" s="56" t="s">
        <v>2624</v>
      </c>
      <c r="Y473" s="56" t="s">
        <v>2624</v>
      </c>
      <c r="Z473" s="56" t="s">
        <v>2624</v>
      </c>
      <c r="AA473" s="56" t="s">
        <v>966</v>
      </c>
      <c r="AB473" s="56">
        <v>14123808</v>
      </c>
      <c r="AC473" s="56" t="s">
        <v>966</v>
      </c>
      <c r="AD473" s="56">
        <v>14123808</v>
      </c>
      <c r="AE473" s="56" t="s">
        <v>2626</v>
      </c>
      <c r="AF473" s="56" t="s">
        <v>2627</v>
      </c>
      <c r="AG473" s="56" t="s">
        <v>2627</v>
      </c>
      <c r="AH473" s="56">
        <v>36</v>
      </c>
      <c r="AI473" s="56" t="s">
        <v>2628</v>
      </c>
      <c r="AJ473" s="56" t="s">
        <v>2640</v>
      </c>
      <c r="AK473" s="56">
        <v>848</v>
      </c>
      <c r="AL473" s="56" t="s">
        <v>2630</v>
      </c>
      <c r="AM473" s="56" t="s">
        <v>2631</v>
      </c>
      <c r="AN473" s="56" t="s">
        <v>2632</v>
      </c>
      <c r="AO473" s="56" t="s">
        <v>2627</v>
      </c>
      <c r="AP473" s="56" t="s">
        <v>2624</v>
      </c>
      <c r="AQ473" s="123">
        <v>4.8611111111110938E-3</v>
      </c>
      <c r="AR473" s="122">
        <v>4.1666666666666519E-3</v>
      </c>
      <c r="AS473" s="56" t="s">
        <v>1048</v>
      </c>
      <c r="AT473" s="56" t="s">
        <v>1059</v>
      </c>
      <c r="AU473" s="56" t="s">
        <v>1060</v>
      </c>
      <c r="AV473" s="56">
        <v>36</v>
      </c>
      <c r="AW473" s="56" t="s">
        <v>1051</v>
      </c>
      <c r="AX473" s="56" t="s">
        <v>3514</v>
      </c>
      <c r="AY473" s="56" t="s">
        <v>1061</v>
      </c>
      <c r="AZ473" s="56" t="s">
        <v>1062</v>
      </c>
      <c r="BA473" s="56" t="s">
        <v>3515</v>
      </c>
      <c r="BB473" s="56" t="s">
        <v>3516</v>
      </c>
      <c r="BC473" s="56" t="s">
        <v>1157</v>
      </c>
      <c r="BD473" s="56" t="s">
        <v>3517</v>
      </c>
    </row>
    <row r="474" spans="1:56" x14ac:dyDescent="0.2">
      <c r="A474" s="56">
        <v>176664147</v>
      </c>
      <c r="B474" s="56" t="s">
        <v>1546</v>
      </c>
      <c r="C474" s="56" t="s">
        <v>2623</v>
      </c>
      <c r="D474" s="56" t="s">
        <v>1547</v>
      </c>
      <c r="E474" s="56" t="s">
        <v>1044</v>
      </c>
      <c r="F474" s="56">
        <v>61</v>
      </c>
      <c r="G474" s="56"/>
      <c r="H474" s="56">
        <v>16744</v>
      </c>
      <c r="I474" s="56">
        <v>6</v>
      </c>
      <c r="J474" s="56" t="s">
        <v>1045</v>
      </c>
      <c r="K474" s="56" t="s">
        <v>1064</v>
      </c>
      <c r="L474" s="121">
        <v>46268</v>
      </c>
      <c r="M474" s="122">
        <v>0.875</v>
      </c>
      <c r="N474" s="122">
        <v>0.87986111111111109</v>
      </c>
      <c r="O474" s="56" t="s">
        <v>1047</v>
      </c>
      <c r="P474" s="121">
        <v>46268</v>
      </c>
      <c r="Q474" s="122">
        <v>0.93402777777777779</v>
      </c>
      <c r="R474" s="122">
        <v>0.9291666666666667</v>
      </c>
      <c r="S474" s="56" t="s">
        <v>1047</v>
      </c>
      <c r="T474" s="56">
        <v>1</v>
      </c>
      <c r="U474" s="56">
        <v>46</v>
      </c>
      <c r="V474" s="56">
        <v>42.9</v>
      </c>
      <c r="W474" s="56">
        <v>40.39</v>
      </c>
      <c r="X474" s="56" t="s">
        <v>2624</v>
      </c>
      <c r="Y474" s="56" t="s">
        <v>2624</v>
      </c>
      <c r="Z474" s="56" t="s">
        <v>2624</v>
      </c>
      <c r="AA474" s="56" t="s">
        <v>270</v>
      </c>
      <c r="AB474" s="56">
        <v>14119956</v>
      </c>
      <c r="AC474" s="56" t="s">
        <v>270</v>
      </c>
      <c r="AD474" s="56">
        <v>14119956</v>
      </c>
      <c r="AE474" s="56" t="s">
        <v>2626</v>
      </c>
      <c r="AF474" s="56" t="s">
        <v>2627</v>
      </c>
      <c r="AG474" s="56" t="s">
        <v>2627</v>
      </c>
      <c r="AH474" s="56">
        <v>36</v>
      </c>
      <c r="AI474" s="56" t="s">
        <v>2628</v>
      </c>
      <c r="AJ474" s="56" t="s">
        <v>2629</v>
      </c>
      <c r="AK474" s="56">
        <v>530.63</v>
      </c>
      <c r="AL474" s="56" t="s">
        <v>2630</v>
      </c>
      <c r="AM474" s="56" t="s">
        <v>2631</v>
      </c>
      <c r="AN474" s="56" t="s">
        <v>2632</v>
      </c>
      <c r="AO474" s="56" t="s">
        <v>2627</v>
      </c>
      <c r="AP474" s="56" t="s">
        <v>2624</v>
      </c>
      <c r="AQ474" s="123">
        <v>4.8611111111110938E-3</v>
      </c>
      <c r="AR474" s="122">
        <v>-4.8611111111110938E-3</v>
      </c>
      <c r="AS474" s="56" t="s">
        <v>1048</v>
      </c>
      <c r="AT474" s="56" t="s">
        <v>1049</v>
      </c>
      <c r="AU474" s="56" t="s">
        <v>1050</v>
      </c>
      <c r="AV474" s="56">
        <v>36</v>
      </c>
      <c r="AW474" s="56" t="s">
        <v>1051</v>
      </c>
      <c r="AX474" s="56" t="s">
        <v>1548</v>
      </c>
      <c r="AY474" s="56" t="s">
        <v>1066</v>
      </c>
      <c r="AZ474" s="56" t="s">
        <v>1067</v>
      </c>
      <c r="BA474" s="56" t="s">
        <v>1549</v>
      </c>
      <c r="BB474" s="56" t="s">
        <v>1550</v>
      </c>
      <c r="BC474" s="56" t="s">
        <v>1157</v>
      </c>
      <c r="BD474" s="56" t="s">
        <v>1551</v>
      </c>
    </row>
    <row r="475" spans="1:56" x14ac:dyDescent="0.2">
      <c r="A475" s="56">
        <v>176672515</v>
      </c>
      <c r="B475" s="56" t="s">
        <v>1761</v>
      </c>
      <c r="C475" s="56" t="s">
        <v>2623</v>
      </c>
      <c r="D475" s="56" t="s">
        <v>1136</v>
      </c>
      <c r="E475" s="56" t="s">
        <v>1044</v>
      </c>
      <c r="F475" s="56">
        <v>25</v>
      </c>
      <c r="G475" s="56"/>
      <c r="H475" s="56">
        <v>4441</v>
      </c>
      <c r="I475" s="56">
        <v>6</v>
      </c>
      <c r="J475" s="56" t="s">
        <v>1045</v>
      </c>
      <c r="K475" s="56" t="s">
        <v>1091</v>
      </c>
      <c r="L475" s="121">
        <v>46268</v>
      </c>
      <c r="M475" s="122">
        <v>0.875</v>
      </c>
      <c r="N475" s="122">
        <v>0.88124999999999998</v>
      </c>
      <c r="O475" s="56" t="s">
        <v>1047</v>
      </c>
      <c r="P475" s="121">
        <v>46268</v>
      </c>
      <c r="Q475" s="122">
        <v>0.93402777777777779</v>
      </c>
      <c r="R475" s="122">
        <v>0.93958333333333333</v>
      </c>
      <c r="S475" s="56" t="s">
        <v>1047</v>
      </c>
      <c r="T475" s="56">
        <v>1</v>
      </c>
      <c r="U475" s="56">
        <v>24</v>
      </c>
      <c r="V475" s="56">
        <v>19.23</v>
      </c>
      <c r="W475" s="56">
        <v>18.63</v>
      </c>
      <c r="X475" s="56" t="s">
        <v>2624</v>
      </c>
      <c r="Y475" s="56" t="s">
        <v>2624</v>
      </c>
      <c r="Z475" s="56" t="s">
        <v>2624</v>
      </c>
      <c r="AA475" s="56" t="s">
        <v>72</v>
      </c>
      <c r="AB475" s="56">
        <v>14108222</v>
      </c>
      <c r="AC475" s="56" t="s">
        <v>72</v>
      </c>
      <c r="AD475" s="56">
        <v>14108222</v>
      </c>
      <c r="AE475" s="56" t="s">
        <v>2626</v>
      </c>
      <c r="AF475" s="56" t="s">
        <v>2627</v>
      </c>
      <c r="AG475" s="56" t="s">
        <v>2627</v>
      </c>
      <c r="AH475" s="56">
        <v>36</v>
      </c>
      <c r="AI475" s="56" t="s">
        <v>2628</v>
      </c>
      <c r="AJ475" s="56" t="s">
        <v>2640</v>
      </c>
      <c r="AK475" s="56">
        <v>0</v>
      </c>
      <c r="AL475" s="56" t="s">
        <v>2630</v>
      </c>
      <c r="AM475" s="56" t="s">
        <v>2631</v>
      </c>
      <c r="AN475" s="56" t="s">
        <v>2632</v>
      </c>
      <c r="AO475" s="56" t="s">
        <v>2627</v>
      </c>
      <c r="AP475" s="56" t="s">
        <v>2624</v>
      </c>
      <c r="AQ475" s="123">
        <v>6.2499999999999778E-3</v>
      </c>
      <c r="AR475" s="122">
        <v>5.5555555555555358E-3</v>
      </c>
      <c r="AS475" s="56" t="s">
        <v>1048</v>
      </c>
      <c r="AT475" s="56" t="s">
        <v>1059</v>
      </c>
      <c r="AU475" s="56" t="s">
        <v>1060</v>
      </c>
      <c r="AV475" s="56">
        <v>36</v>
      </c>
      <c r="AW475" s="56" t="s">
        <v>1051</v>
      </c>
      <c r="AX475" s="56" t="s">
        <v>1137</v>
      </c>
      <c r="AY475" s="56" t="s">
        <v>1093</v>
      </c>
      <c r="AZ475" s="56" t="s">
        <v>1067</v>
      </c>
      <c r="BA475" s="56" t="s">
        <v>1138</v>
      </c>
      <c r="BB475" s="56" t="s">
        <v>1139</v>
      </c>
      <c r="BC475" s="56" t="s">
        <v>1157</v>
      </c>
      <c r="BD475" s="56" t="s">
        <v>1762</v>
      </c>
    </row>
    <row r="476" spans="1:56" x14ac:dyDescent="0.2">
      <c r="A476" s="56">
        <v>176672709</v>
      </c>
      <c r="B476" s="56" t="s">
        <v>3518</v>
      </c>
      <c r="C476" s="56" t="s">
        <v>2623</v>
      </c>
      <c r="D476" s="56" t="s">
        <v>1278</v>
      </c>
      <c r="E476" s="56" t="s">
        <v>1044</v>
      </c>
      <c r="F476" s="56">
        <v>82</v>
      </c>
      <c r="G476" s="56"/>
      <c r="H476" s="56">
        <v>16736</v>
      </c>
      <c r="I476" s="56">
        <v>6</v>
      </c>
      <c r="J476" s="56" t="s">
        <v>1045</v>
      </c>
      <c r="K476" s="56" t="s">
        <v>1079</v>
      </c>
      <c r="L476" s="121">
        <v>46268</v>
      </c>
      <c r="M476" s="122">
        <v>0.875</v>
      </c>
      <c r="N476" s="122">
        <v>0.88124999999999998</v>
      </c>
      <c r="O476" s="56" t="s">
        <v>1047</v>
      </c>
      <c r="P476" s="121">
        <v>46268</v>
      </c>
      <c r="Q476" s="122">
        <v>0.93402777777777779</v>
      </c>
      <c r="R476" s="122">
        <v>0.9243055555555556</v>
      </c>
      <c r="S476" s="56" t="s">
        <v>1047</v>
      </c>
      <c r="T476" s="56">
        <v>1</v>
      </c>
      <c r="U476" s="56">
        <v>32</v>
      </c>
      <c r="V476" s="56">
        <v>28.63</v>
      </c>
      <c r="W476" s="56">
        <v>26.5</v>
      </c>
      <c r="X476" s="56" t="s">
        <v>2624</v>
      </c>
      <c r="Y476" s="56" t="s">
        <v>2624</v>
      </c>
      <c r="Z476" s="56" t="s">
        <v>2624</v>
      </c>
      <c r="AA476" s="56" t="s">
        <v>19</v>
      </c>
      <c r="AB476" s="56">
        <v>14100740</v>
      </c>
      <c r="AC476" s="56" t="s">
        <v>19</v>
      </c>
      <c r="AD476" s="56">
        <v>14100740</v>
      </c>
      <c r="AE476" s="56" t="s">
        <v>2626</v>
      </c>
      <c r="AF476" s="56" t="s">
        <v>2627</v>
      </c>
      <c r="AG476" s="56" t="s">
        <v>2627</v>
      </c>
      <c r="AH476" s="56">
        <v>36</v>
      </c>
      <c r="AI476" s="56" t="s">
        <v>2628</v>
      </c>
      <c r="AJ476" s="56" t="s">
        <v>2629</v>
      </c>
      <c r="AK476" s="56">
        <v>0</v>
      </c>
      <c r="AL476" s="56" t="s">
        <v>2630</v>
      </c>
      <c r="AM476" s="56" t="s">
        <v>2631</v>
      </c>
      <c r="AN476" s="56" t="s">
        <v>2632</v>
      </c>
      <c r="AO476" s="56" t="s">
        <v>2627</v>
      </c>
      <c r="AP476" s="56" t="s">
        <v>2624</v>
      </c>
      <c r="AQ476" s="123">
        <v>6.2499999999999778E-3</v>
      </c>
      <c r="AR476" s="122">
        <v>-9.7222222222221877E-3</v>
      </c>
      <c r="AS476" s="56" t="s">
        <v>1048</v>
      </c>
      <c r="AT476" s="56" t="s">
        <v>1049</v>
      </c>
      <c r="AU476" s="56" t="s">
        <v>1050</v>
      </c>
      <c r="AV476" s="56">
        <v>36</v>
      </c>
      <c r="AW476" s="56" t="s">
        <v>1051</v>
      </c>
      <c r="AX476" s="56" t="s">
        <v>1279</v>
      </c>
      <c r="AY476" s="56" t="s">
        <v>1081</v>
      </c>
      <c r="AZ476" s="56" t="s">
        <v>1067</v>
      </c>
      <c r="BA476" s="56" t="s">
        <v>1280</v>
      </c>
      <c r="BB476" s="56" t="s">
        <v>1281</v>
      </c>
      <c r="BC476" s="56" t="s">
        <v>1157</v>
      </c>
      <c r="BD476" s="56" t="s">
        <v>3519</v>
      </c>
    </row>
    <row r="477" spans="1:56" x14ac:dyDescent="0.2">
      <c r="A477" s="56">
        <v>176680331</v>
      </c>
      <c r="B477" s="56" t="s">
        <v>3401</v>
      </c>
      <c r="C477" s="56" t="s">
        <v>2623</v>
      </c>
      <c r="D477" s="56" t="s">
        <v>2979</v>
      </c>
      <c r="E477" s="56" t="s">
        <v>1044</v>
      </c>
      <c r="F477" s="56">
        <v>79</v>
      </c>
      <c r="G477" s="56" t="s">
        <v>2670</v>
      </c>
      <c r="H477" s="56">
        <v>10360</v>
      </c>
      <c r="I477" s="56">
        <v>6</v>
      </c>
      <c r="J477" s="56" t="s">
        <v>1045</v>
      </c>
      <c r="K477" s="56" t="s">
        <v>1116</v>
      </c>
      <c r="L477" s="121">
        <v>46268</v>
      </c>
      <c r="M477" s="122">
        <v>0.875</v>
      </c>
      <c r="N477" s="122">
        <v>0.90833333333333333</v>
      </c>
      <c r="O477" s="56" t="s">
        <v>1047</v>
      </c>
      <c r="P477" s="121">
        <v>46268</v>
      </c>
      <c r="Q477" s="122">
        <v>0.92708333333333337</v>
      </c>
      <c r="R477" s="122">
        <v>0.94722222222222219</v>
      </c>
      <c r="S477" s="56" t="s">
        <v>1047</v>
      </c>
      <c r="T477" s="56">
        <v>1</v>
      </c>
      <c r="U477" s="56">
        <v>24</v>
      </c>
      <c r="V477" s="56">
        <v>17.329999999999998</v>
      </c>
      <c r="W477" s="56">
        <v>16.97</v>
      </c>
      <c r="X477" s="56" t="s">
        <v>2624</v>
      </c>
      <c r="Y477" s="56" t="s">
        <v>2624</v>
      </c>
      <c r="Z477" s="56" t="s">
        <v>2624</v>
      </c>
      <c r="AA477" s="56" t="s">
        <v>554</v>
      </c>
      <c r="AB477" s="56">
        <v>14123591</v>
      </c>
      <c r="AC477" s="56" t="s">
        <v>554</v>
      </c>
      <c r="AD477" s="56">
        <v>14123591</v>
      </c>
      <c r="AE477" s="56" t="s">
        <v>2626</v>
      </c>
      <c r="AF477" s="56" t="s">
        <v>2627</v>
      </c>
      <c r="AG477" s="56" t="s">
        <v>2627</v>
      </c>
      <c r="AH477" s="56">
        <v>36</v>
      </c>
      <c r="AI477" s="56" t="s">
        <v>2628</v>
      </c>
      <c r="AJ477" s="56" t="s">
        <v>2640</v>
      </c>
      <c r="AK477" s="56">
        <v>0</v>
      </c>
      <c r="AL477" s="56" t="s">
        <v>2630</v>
      </c>
      <c r="AM477" s="56" t="s">
        <v>2631</v>
      </c>
      <c r="AN477" s="56" t="s">
        <v>2632</v>
      </c>
      <c r="AO477" s="56" t="s">
        <v>2627</v>
      </c>
      <c r="AP477" s="56" t="s">
        <v>2624</v>
      </c>
      <c r="AQ477" s="123">
        <v>3.3333333333333326E-2</v>
      </c>
      <c r="AR477" s="122">
        <v>2.0138888888888817E-2</v>
      </c>
      <c r="AS477" s="56" t="s">
        <v>1048</v>
      </c>
      <c r="AT477" s="56" t="s">
        <v>1059</v>
      </c>
      <c r="AU477" s="56" t="s">
        <v>1060</v>
      </c>
      <c r="AV477" s="56">
        <v>36</v>
      </c>
      <c r="AW477" s="56" t="s">
        <v>1051</v>
      </c>
      <c r="AX477" s="56" t="s">
        <v>2980</v>
      </c>
      <c r="AY477" s="56" t="s">
        <v>1118</v>
      </c>
      <c r="AZ477" s="56" t="s">
        <v>1054</v>
      </c>
      <c r="BA477" s="56" t="s">
        <v>2981</v>
      </c>
      <c r="BB477" s="56" t="s">
        <v>2982</v>
      </c>
      <c r="BC477" s="56" t="s">
        <v>1157</v>
      </c>
      <c r="BD477" s="56" t="s">
        <v>3402</v>
      </c>
    </row>
    <row r="478" spans="1:56" x14ac:dyDescent="0.2">
      <c r="A478" s="56">
        <v>176682590</v>
      </c>
      <c r="B478" s="56" t="s">
        <v>1329</v>
      </c>
      <c r="C478" s="56" t="s">
        <v>2623</v>
      </c>
      <c r="D478" s="56" t="s">
        <v>1330</v>
      </c>
      <c r="E478" s="56" t="s">
        <v>1044</v>
      </c>
      <c r="F478" s="56">
        <v>85</v>
      </c>
      <c r="G478" s="56"/>
      <c r="H478" s="56">
        <v>13844</v>
      </c>
      <c r="I478" s="56">
        <v>6</v>
      </c>
      <c r="J478" s="56" t="s">
        <v>1045</v>
      </c>
      <c r="K478" s="56" t="s">
        <v>1091</v>
      </c>
      <c r="L478" s="121">
        <v>46268</v>
      </c>
      <c r="M478" s="122">
        <v>0.875</v>
      </c>
      <c r="N478" s="122">
        <v>0.87916666666666665</v>
      </c>
      <c r="O478" s="56" t="s">
        <v>1047</v>
      </c>
      <c r="P478" s="121">
        <v>46268</v>
      </c>
      <c r="Q478" s="122">
        <v>0.93402777777777779</v>
      </c>
      <c r="R478" s="122">
        <v>0.92361111111111116</v>
      </c>
      <c r="S478" s="56" t="s">
        <v>1047</v>
      </c>
      <c r="T478" s="56">
        <v>1</v>
      </c>
      <c r="U478" s="56">
        <v>23</v>
      </c>
      <c r="V478" s="56">
        <v>20.16</v>
      </c>
      <c r="W478" s="56">
        <v>19.940000000000001</v>
      </c>
      <c r="X478" s="56" t="s">
        <v>2624</v>
      </c>
      <c r="Y478" s="56" t="s">
        <v>2624</v>
      </c>
      <c r="Z478" s="56" t="s">
        <v>2624</v>
      </c>
      <c r="AA478" s="56" t="s">
        <v>412</v>
      </c>
      <c r="AB478" s="56">
        <v>14122329</v>
      </c>
      <c r="AC478" s="56" t="s">
        <v>412</v>
      </c>
      <c r="AD478" s="56">
        <v>14122329</v>
      </c>
      <c r="AE478" s="56" t="s">
        <v>2626</v>
      </c>
      <c r="AF478" s="56" t="s">
        <v>2627</v>
      </c>
      <c r="AG478" s="56" t="s">
        <v>2627</v>
      </c>
      <c r="AH478" s="56">
        <v>36</v>
      </c>
      <c r="AI478" s="56" t="s">
        <v>2628</v>
      </c>
      <c r="AJ478" s="56" t="s">
        <v>2629</v>
      </c>
      <c r="AK478" s="56">
        <v>0</v>
      </c>
      <c r="AL478" s="56" t="s">
        <v>2630</v>
      </c>
      <c r="AM478" s="56" t="s">
        <v>2631</v>
      </c>
      <c r="AN478" s="56" t="s">
        <v>2632</v>
      </c>
      <c r="AO478" s="56" t="s">
        <v>2627</v>
      </c>
      <c r="AP478" s="56" t="s">
        <v>2624</v>
      </c>
      <c r="AQ478" s="123">
        <v>4.1666666666666519E-3</v>
      </c>
      <c r="AR478" s="122">
        <v>-1.041666666666663E-2</v>
      </c>
      <c r="AS478" s="56" t="s">
        <v>1048</v>
      </c>
      <c r="AT478" s="56" t="s">
        <v>1049</v>
      </c>
      <c r="AU478" s="56" t="s">
        <v>1050</v>
      </c>
      <c r="AV478" s="56">
        <v>36</v>
      </c>
      <c r="AW478" s="56" t="s">
        <v>1051</v>
      </c>
      <c r="AX478" s="56" t="s">
        <v>1331</v>
      </c>
      <c r="AY478" s="56" t="s">
        <v>1093</v>
      </c>
      <c r="AZ478" s="56" t="s">
        <v>1067</v>
      </c>
      <c r="BA478" s="56" t="s">
        <v>1332</v>
      </c>
      <c r="BB478" s="56" t="s">
        <v>1333</v>
      </c>
      <c r="BC478" s="56" t="s">
        <v>1157</v>
      </c>
      <c r="BD478" s="56" t="s">
        <v>1334</v>
      </c>
    </row>
    <row r="479" spans="1:56" x14ac:dyDescent="0.2">
      <c r="A479" s="56">
        <v>176684093</v>
      </c>
      <c r="B479" s="56" t="s">
        <v>1596</v>
      </c>
      <c r="C479" s="56" t="s">
        <v>2623</v>
      </c>
      <c r="D479" s="56" t="s">
        <v>1226</v>
      </c>
      <c r="E479" s="56" t="s">
        <v>1044</v>
      </c>
      <c r="F479" s="56">
        <v>173</v>
      </c>
      <c r="G479" s="56" t="s">
        <v>2670</v>
      </c>
      <c r="H479" s="56">
        <v>2651</v>
      </c>
      <c r="I479" s="56">
        <v>6</v>
      </c>
      <c r="J479" s="56" t="s">
        <v>1045</v>
      </c>
      <c r="K479" s="56" t="s">
        <v>1116</v>
      </c>
      <c r="L479" s="121">
        <v>46268</v>
      </c>
      <c r="M479" s="122">
        <v>0.87638888888888888</v>
      </c>
      <c r="N479" s="122">
        <v>0.89097222222222228</v>
      </c>
      <c r="O479" s="56" t="s">
        <v>1047</v>
      </c>
      <c r="P479" s="121">
        <v>46268</v>
      </c>
      <c r="Q479" s="122">
        <v>0.92708333333333337</v>
      </c>
      <c r="R479" s="122">
        <v>0.94097222222222221</v>
      </c>
      <c r="S479" s="56" t="s">
        <v>1047</v>
      </c>
      <c r="T479" s="56">
        <v>1</v>
      </c>
      <c r="U479" s="56">
        <v>21</v>
      </c>
      <c r="V479" s="56">
        <v>14.72</v>
      </c>
      <c r="W479" s="56">
        <v>16.97</v>
      </c>
      <c r="X479" s="56" t="s">
        <v>2624</v>
      </c>
      <c r="Y479" s="56" t="s">
        <v>2624</v>
      </c>
      <c r="Z479" s="56" t="s">
        <v>2624</v>
      </c>
      <c r="AA479" s="56" t="s">
        <v>207</v>
      </c>
      <c r="AB479" s="56">
        <v>14118622</v>
      </c>
      <c r="AC479" s="56" t="s">
        <v>207</v>
      </c>
      <c r="AD479" s="56">
        <v>14118622</v>
      </c>
      <c r="AE479" s="56" t="s">
        <v>2626</v>
      </c>
      <c r="AF479" s="56" t="s">
        <v>2627</v>
      </c>
      <c r="AG479" s="56" t="s">
        <v>2627</v>
      </c>
      <c r="AH479" s="56">
        <v>36</v>
      </c>
      <c r="AI479" s="56" t="s">
        <v>2628</v>
      </c>
      <c r="AJ479" s="56" t="s">
        <v>2640</v>
      </c>
      <c r="AK479" s="56">
        <v>0</v>
      </c>
      <c r="AL479" s="56" t="s">
        <v>2630</v>
      </c>
      <c r="AM479" s="56" t="s">
        <v>2631</v>
      </c>
      <c r="AN479" s="56" t="s">
        <v>2632</v>
      </c>
      <c r="AO479" s="56" t="s">
        <v>2627</v>
      </c>
      <c r="AP479" s="56" t="s">
        <v>2624</v>
      </c>
      <c r="AQ479" s="123">
        <v>1.4583333333333393E-2</v>
      </c>
      <c r="AR479" s="122">
        <v>1.388888888888884E-2</v>
      </c>
      <c r="AS479" s="56" t="s">
        <v>1048</v>
      </c>
      <c r="AT479" s="56" t="s">
        <v>1059</v>
      </c>
      <c r="AU479" s="56" t="s">
        <v>1060</v>
      </c>
      <c r="AV479" s="56">
        <v>36</v>
      </c>
      <c r="AW479" s="56" t="s">
        <v>1051</v>
      </c>
      <c r="AX479" s="56" t="s">
        <v>1227</v>
      </c>
      <c r="AY479" s="56" t="s">
        <v>1118</v>
      </c>
      <c r="AZ479" s="56" t="s">
        <v>1054</v>
      </c>
      <c r="BA479" s="56" t="s">
        <v>1228</v>
      </c>
      <c r="BB479" s="56" t="s">
        <v>1229</v>
      </c>
      <c r="BC479" s="56" t="s">
        <v>1157</v>
      </c>
      <c r="BD479" s="56" t="s">
        <v>1597</v>
      </c>
    </row>
    <row r="480" spans="1:56" x14ac:dyDescent="0.2">
      <c r="A480" s="56">
        <v>176672862</v>
      </c>
      <c r="B480" s="56" t="s">
        <v>2203</v>
      </c>
      <c r="C480" s="56" t="s">
        <v>2623</v>
      </c>
      <c r="D480" s="56" t="s">
        <v>2204</v>
      </c>
      <c r="E480" s="56" t="s">
        <v>1044</v>
      </c>
      <c r="F480" s="56">
        <v>109</v>
      </c>
      <c r="G480" s="56"/>
      <c r="H480" s="56">
        <v>6473</v>
      </c>
      <c r="I480" s="56">
        <v>6</v>
      </c>
      <c r="J480" s="56" t="s">
        <v>1045</v>
      </c>
      <c r="K480" s="56" t="s">
        <v>1296</v>
      </c>
      <c r="L480" s="121">
        <v>46268</v>
      </c>
      <c r="M480" s="122">
        <v>0.87847222222222221</v>
      </c>
      <c r="N480" s="122">
        <v>0.88194444444444442</v>
      </c>
      <c r="O480" s="56" t="s">
        <v>1047</v>
      </c>
      <c r="P480" s="121">
        <v>46268</v>
      </c>
      <c r="Q480" s="122">
        <v>0.93402777777777779</v>
      </c>
      <c r="R480" s="122">
        <v>0.92361111111111116</v>
      </c>
      <c r="S480" s="56" t="s">
        <v>3469</v>
      </c>
      <c r="T480" s="56">
        <v>1</v>
      </c>
      <c r="U480" s="56">
        <v>45</v>
      </c>
      <c r="V480" s="56">
        <v>43.1</v>
      </c>
      <c r="W480" s="56">
        <v>43.31</v>
      </c>
      <c r="X480" s="56">
        <v>45.7</v>
      </c>
      <c r="Y480" s="56">
        <v>0.31</v>
      </c>
      <c r="Z480" s="56">
        <v>2.08</v>
      </c>
      <c r="AA480" s="56" t="s">
        <v>1598</v>
      </c>
      <c r="AB480" s="56">
        <v>14104932</v>
      </c>
      <c r="AC480" s="56" t="s">
        <v>1598</v>
      </c>
      <c r="AD480" s="56">
        <v>14104932</v>
      </c>
      <c r="AE480" s="56" t="s">
        <v>2626</v>
      </c>
      <c r="AF480" s="56" t="s">
        <v>2627</v>
      </c>
      <c r="AG480" s="56" t="s">
        <v>2627</v>
      </c>
      <c r="AH480" s="56">
        <v>36</v>
      </c>
      <c r="AI480" s="56" t="s">
        <v>2842</v>
      </c>
      <c r="AJ480" s="56" t="s">
        <v>2629</v>
      </c>
      <c r="AK480" s="56">
        <v>0</v>
      </c>
      <c r="AL480" s="56" t="s">
        <v>2630</v>
      </c>
      <c r="AM480" s="56" t="s">
        <v>2631</v>
      </c>
      <c r="AN480" s="56" t="s">
        <v>2632</v>
      </c>
      <c r="AO480" s="56" t="s">
        <v>2627</v>
      </c>
      <c r="AP480" s="56" t="s">
        <v>2624</v>
      </c>
      <c r="AQ480" s="123">
        <v>3.4722222222222099E-3</v>
      </c>
      <c r="AR480" s="122">
        <v>-1.041666666666663E-2</v>
      </c>
      <c r="AS480" s="56" t="s">
        <v>1048</v>
      </c>
      <c r="AT480" s="56" t="s">
        <v>1049</v>
      </c>
      <c r="AU480" s="56" t="s">
        <v>1050</v>
      </c>
      <c r="AV480" s="56">
        <v>36</v>
      </c>
      <c r="AW480" s="56" t="s">
        <v>1051</v>
      </c>
      <c r="AX480" s="56" t="s">
        <v>2205</v>
      </c>
      <c r="AY480" s="56" t="s">
        <v>1297</v>
      </c>
      <c r="AZ480" s="56" t="s">
        <v>1067</v>
      </c>
      <c r="BA480" s="56" t="s">
        <v>2206</v>
      </c>
      <c r="BB480" s="56" t="s">
        <v>2207</v>
      </c>
      <c r="BC480" s="56" t="s">
        <v>1157</v>
      </c>
      <c r="BD480" s="56" t="s">
        <v>2208</v>
      </c>
    </row>
    <row r="481" spans="1:56" x14ac:dyDescent="0.2">
      <c r="A481" s="56">
        <v>176683331</v>
      </c>
      <c r="B481" s="56" t="s">
        <v>3520</v>
      </c>
      <c r="C481" s="56" t="s">
        <v>2623</v>
      </c>
      <c r="D481" s="56" t="s">
        <v>1224</v>
      </c>
      <c r="E481" s="56" t="s">
        <v>1044</v>
      </c>
      <c r="F481" s="56">
        <v>227</v>
      </c>
      <c r="G481" s="56"/>
      <c r="H481" s="56">
        <v>13416</v>
      </c>
      <c r="I481" s="56">
        <v>7</v>
      </c>
      <c r="J481" s="56" t="s">
        <v>1045</v>
      </c>
      <c r="K481" s="56" t="s">
        <v>1079</v>
      </c>
      <c r="L481" s="121">
        <v>46268</v>
      </c>
      <c r="M481" s="122">
        <v>0.87847222222222221</v>
      </c>
      <c r="N481" s="122">
        <v>0.88194444444444442</v>
      </c>
      <c r="O481" s="56" t="s">
        <v>1047</v>
      </c>
      <c r="P481" s="121">
        <v>46268</v>
      </c>
      <c r="Q481" s="122">
        <v>0.93402777777777779</v>
      </c>
      <c r="R481" s="122">
        <v>0.96944444444444444</v>
      </c>
      <c r="S481" s="56" t="s">
        <v>1449</v>
      </c>
      <c r="T481" s="56">
        <v>0</v>
      </c>
      <c r="U481" s="56">
        <v>30</v>
      </c>
      <c r="V481" s="56">
        <v>24.61</v>
      </c>
      <c r="W481" s="56" t="s">
        <v>2624</v>
      </c>
      <c r="X481" s="56" t="s">
        <v>2624</v>
      </c>
      <c r="Y481" s="56" t="s">
        <v>2624</v>
      </c>
      <c r="Z481" s="56" t="s">
        <v>2624</v>
      </c>
      <c r="AA481" s="56"/>
      <c r="AB481" s="56"/>
      <c r="AC481" s="56"/>
      <c r="AD481" s="56"/>
      <c r="AE481" s="56" t="s">
        <v>2626</v>
      </c>
      <c r="AF481" s="56" t="s">
        <v>2627</v>
      </c>
      <c r="AG481" s="56" t="s">
        <v>2627</v>
      </c>
      <c r="AH481" s="56">
        <v>36</v>
      </c>
      <c r="AI481" s="56" t="s">
        <v>2842</v>
      </c>
      <c r="AJ481" s="56" t="s">
        <v>2640</v>
      </c>
      <c r="AK481" s="56">
        <v>0</v>
      </c>
      <c r="AL481" s="56" t="s">
        <v>2630</v>
      </c>
      <c r="AM481" s="56" t="s">
        <v>2631</v>
      </c>
      <c r="AN481" s="56" t="s">
        <v>2632</v>
      </c>
      <c r="AO481" s="56" t="s">
        <v>2627</v>
      </c>
      <c r="AP481" s="56" t="s">
        <v>2624</v>
      </c>
      <c r="AQ481" s="123">
        <v>3.4722222222222099E-3</v>
      </c>
      <c r="AR481" s="122">
        <v>3.5416666666666652E-2</v>
      </c>
      <c r="AS481" s="56" t="s">
        <v>1048</v>
      </c>
      <c r="AT481" s="56" t="s">
        <v>1059</v>
      </c>
      <c r="AU481" s="56" t="s">
        <v>1060</v>
      </c>
      <c r="AV481" s="56">
        <v>36</v>
      </c>
      <c r="AW481" s="56" t="s">
        <v>1051</v>
      </c>
      <c r="AX481" s="56" t="s">
        <v>2664</v>
      </c>
      <c r="AY481" s="56" t="s">
        <v>1081</v>
      </c>
      <c r="AZ481" s="56" t="s">
        <v>1067</v>
      </c>
      <c r="BA481" s="56" t="s">
        <v>2665</v>
      </c>
      <c r="BB481" s="56" t="s">
        <v>2666</v>
      </c>
      <c r="BC481" s="56" t="s">
        <v>1157</v>
      </c>
      <c r="BD481" s="56" t="s">
        <v>3521</v>
      </c>
    </row>
    <row r="482" spans="1:56" x14ac:dyDescent="0.2">
      <c r="A482" s="56">
        <v>176685006</v>
      </c>
      <c r="B482" s="56" t="s">
        <v>3405</v>
      </c>
      <c r="C482" s="56" t="s">
        <v>2623</v>
      </c>
      <c r="D482" s="56" t="s">
        <v>1416</v>
      </c>
      <c r="E482" s="56" t="s">
        <v>1044</v>
      </c>
      <c r="F482" s="56">
        <v>232</v>
      </c>
      <c r="G482" s="56" t="s">
        <v>2670</v>
      </c>
      <c r="H482" s="56">
        <v>15308</v>
      </c>
      <c r="I482" s="56">
        <v>6</v>
      </c>
      <c r="J482" s="56" t="s">
        <v>1045</v>
      </c>
      <c r="K482" s="56" t="s">
        <v>1116</v>
      </c>
      <c r="L482" s="121">
        <v>46268</v>
      </c>
      <c r="M482" s="122">
        <v>0.87847222222222221</v>
      </c>
      <c r="N482" s="122">
        <v>0.88541666666666663</v>
      </c>
      <c r="O482" s="56" t="s">
        <v>1047</v>
      </c>
      <c r="P482" s="121">
        <v>46268</v>
      </c>
      <c r="Q482" s="122">
        <v>0.92708333333333337</v>
      </c>
      <c r="R482" s="122">
        <v>0.92152777777777772</v>
      </c>
      <c r="S482" s="56" t="s">
        <v>1047</v>
      </c>
      <c r="T482" s="56">
        <v>1</v>
      </c>
      <c r="U482" s="56">
        <v>29</v>
      </c>
      <c r="V482" s="56">
        <v>26.35</v>
      </c>
      <c r="W482" s="56">
        <v>26.16</v>
      </c>
      <c r="X482" s="56" t="s">
        <v>2624</v>
      </c>
      <c r="Y482" s="56" t="s">
        <v>2624</v>
      </c>
      <c r="Z482" s="56" t="s">
        <v>2624</v>
      </c>
      <c r="AA482" s="56" t="s">
        <v>1823</v>
      </c>
      <c r="AB482" s="56">
        <v>14123950</v>
      </c>
      <c r="AC482" s="56" t="s">
        <v>1823</v>
      </c>
      <c r="AD482" s="56">
        <v>14123950</v>
      </c>
      <c r="AE482" s="56" t="s">
        <v>2626</v>
      </c>
      <c r="AF482" s="56" t="s">
        <v>2627</v>
      </c>
      <c r="AG482" s="56" t="s">
        <v>2627</v>
      </c>
      <c r="AH482" s="56">
        <v>36</v>
      </c>
      <c r="AI482" s="56" t="s">
        <v>2628</v>
      </c>
      <c r="AJ482" s="56" t="s">
        <v>2629</v>
      </c>
      <c r="AK482" s="56">
        <v>0</v>
      </c>
      <c r="AL482" s="56" t="s">
        <v>2630</v>
      </c>
      <c r="AM482" s="56" t="s">
        <v>2631</v>
      </c>
      <c r="AN482" s="56" t="s">
        <v>2632</v>
      </c>
      <c r="AO482" s="56" t="s">
        <v>2627</v>
      </c>
      <c r="AP482" s="56" t="s">
        <v>2624</v>
      </c>
      <c r="AQ482" s="123">
        <v>6.9444444444444198E-3</v>
      </c>
      <c r="AR482" s="122">
        <v>-5.5555555555556468E-3</v>
      </c>
      <c r="AS482" s="56" t="s">
        <v>1048</v>
      </c>
      <c r="AT482" s="56" t="s">
        <v>1049</v>
      </c>
      <c r="AU482" s="56" t="s">
        <v>1050</v>
      </c>
      <c r="AV482" s="56">
        <v>36</v>
      </c>
      <c r="AW482" s="56" t="s">
        <v>1051</v>
      </c>
      <c r="AX482" s="56" t="s">
        <v>1418</v>
      </c>
      <c r="AY482" s="56" t="s">
        <v>1118</v>
      </c>
      <c r="AZ482" s="56" t="s">
        <v>1054</v>
      </c>
      <c r="BA482" s="56" t="s">
        <v>1419</v>
      </c>
      <c r="BB482" s="56" t="s">
        <v>1420</v>
      </c>
      <c r="BC482" s="56" t="s">
        <v>1157</v>
      </c>
      <c r="BD482" s="56" t="s">
        <v>3406</v>
      </c>
    </row>
    <row r="483" spans="1:56" x14ac:dyDescent="0.2">
      <c r="A483" s="56">
        <v>176685878</v>
      </c>
      <c r="B483" s="56" t="s">
        <v>2869</v>
      </c>
      <c r="C483" s="56" t="s">
        <v>2623</v>
      </c>
      <c r="D483" s="56" t="s">
        <v>2181</v>
      </c>
      <c r="E483" s="56" t="s">
        <v>1044</v>
      </c>
      <c r="F483" s="56">
        <v>254</v>
      </c>
      <c r="G483" s="56" t="s">
        <v>2693</v>
      </c>
      <c r="H483" s="56">
        <v>13850</v>
      </c>
      <c r="I483" s="56">
        <v>6</v>
      </c>
      <c r="J483" s="56" t="s">
        <v>1045</v>
      </c>
      <c r="K483" s="56" t="s">
        <v>1116</v>
      </c>
      <c r="L483" s="121">
        <v>46268</v>
      </c>
      <c r="M483" s="122">
        <v>0.88124999999999998</v>
      </c>
      <c r="N483" s="122">
        <v>0.8930555555555556</v>
      </c>
      <c r="O483" s="56" t="s">
        <v>1047</v>
      </c>
      <c r="P483" s="121">
        <v>46268</v>
      </c>
      <c r="Q483" s="122">
        <v>0.92708333333333337</v>
      </c>
      <c r="R483" s="122">
        <v>0.92569444444444449</v>
      </c>
      <c r="S483" s="56" t="s">
        <v>1047</v>
      </c>
      <c r="T483" s="56">
        <v>1</v>
      </c>
      <c r="U483" s="56">
        <v>47</v>
      </c>
      <c r="V483" s="56">
        <v>42.6</v>
      </c>
      <c r="W483" s="56">
        <v>41.19</v>
      </c>
      <c r="X483" s="56" t="s">
        <v>2624</v>
      </c>
      <c r="Y483" s="56" t="s">
        <v>2624</v>
      </c>
      <c r="Z483" s="56" t="s">
        <v>2624</v>
      </c>
      <c r="AA483" s="56" t="s">
        <v>907</v>
      </c>
      <c r="AB483" s="56">
        <v>14123649</v>
      </c>
      <c r="AC483" s="56" t="s">
        <v>907</v>
      </c>
      <c r="AD483" s="56">
        <v>14123649</v>
      </c>
      <c r="AE483" s="56" t="s">
        <v>2626</v>
      </c>
      <c r="AF483" s="56" t="s">
        <v>2627</v>
      </c>
      <c r="AG483" s="56" t="s">
        <v>2627</v>
      </c>
      <c r="AH483" s="56">
        <v>36</v>
      </c>
      <c r="AI483" s="56" t="s">
        <v>2628</v>
      </c>
      <c r="AJ483" s="56" t="s">
        <v>2629</v>
      </c>
      <c r="AK483" s="56">
        <v>0</v>
      </c>
      <c r="AL483" s="56" t="s">
        <v>2630</v>
      </c>
      <c r="AM483" s="56" t="s">
        <v>2631</v>
      </c>
      <c r="AN483" s="56" t="s">
        <v>2632</v>
      </c>
      <c r="AO483" s="56" t="s">
        <v>2627</v>
      </c>
      <c r="AP483" s="56" t="s">
        <v>2624</v>
      </c>
      <c r="AQ483" s="123">
        <v>1.1805555555555625E-2</v>
      </c>
      <c r="AR483" s="122">
        <v>-1.388888888888884E-3</v>
      </c>
      <c r="AS483" s="56" t="s">
        <v>1048</v>
      </c>
      <c r="AT483" s="56" t="s">
        <v>1049</v>
      </c>
      <c r="AU483" s="56" t="s">
        <v>1050</v>
      </c>
      <c r="AV483" s="56">
        <v>36</v>
      </c>
      <c r="AW483" s="56" t="s">
        <v>1051</v>
      </c>
      <c r="AX483" s="56" t="s">
        <v>2182</v>
      </c>
      <c r="AY483" s="56" t="s">
        <v>1128</v>
      </c>
      <c r="AZ483" s="56" t="s">
        <v>1054</v>
      </c>
      <c r="BA483" s="56" t="s">
        <v>2183</v>
      </c>
      <c r="BB483" s="56" t="s">
        <v>2184</v>
      </c>
      <c r="BC483" s="56" t="s">
        <v>1157</v>
      </c>
      <c r="BD483" s="56" t="s">
        <v>2870</v>
      </c>
    </row>
    <row r="484" spans="1:56" x14ac:dyDescent="0.2">
      <c r="A484" s="56">
        <v>176682416</v>
      </c>
      <c r="B484" s="56" t="s">
        <v>1422</v>
      </c>
      <c r="C484" s="56" t="s">
        <v>2623</v>
      </c>
      <c r="D484" s="56" t="s">
        <v>1115</v>
      </c>
      <c r="E484" s="56" t="s">
        <v>1044</v>
      </c>
      <c r="F484" s="56">
        <v>98</v>
      </c>
      <c r="G484" s="56" t="s">
        <v>2670</v>
      </c>
      <c r="H484" s="56">
        <v>14692</v>
      </c>
      <c r="I484" s="56">
        <v>6</v>
      </c>
      <c r="J484" s="56" t="s">
        <v>1045</v>
      </c>
      <c r="K484" s="56" t="s">
        <v>1116</v>
      </c>
      <c r="L484" s="121">
        <v>46268</v>
      </c>
      <c r="M484" s="122">
        <v>0.88194444444444442</v>
      </c>
      <c r="N484" s="122">
        <v>0.89583333333333337</v>
      </c>
      <c r="O484" s="56" t="s">
        <v>1047</v>
      </c>
      <c r="P484" s="121">
        <v>46268</v>
      </c>
      <c r="Q484" s="122">
        <v>0.92708333333333337</v>
      </c>
      <c r="R484" s="122">
        <v>0.93125000000000002</v>
      </c>
      <c r="S484" s="56" t="s">
        <v>1047</v>
      </c>
      <c r="T484" s="56">
        <v>1</v>
      </c>
      <c r="U484" s="56">
        <v>31</v>
      </c>
      <c r="V484" s="56">
        <v>26.96</v>
      </c>
      <c r="W484" s="56">
        <v>26.73</v>
      </c>
      <c r="X484" s="56" t="s">
        <v>2624</v>
      </c>
      <c r="Y484" s="56" t="s">
        <v>2624</v>
      </c>
      <c r="Z484" s="56" t="s">
        <v>2624</v>
      </c>
      <c r="AA484" s="56" t="s">
        <v>958</v>
      </c>
      <c r="AB484" s="56">
        <v>14123725</v>
      </c>
      <c r="AC484" s="56" t="s">
        <v>958</v>
      </c>
      <c r="AD484" s="56">
        <v>14123725</v>
      </c>
      <c r="AE484" s="56" t="s">
        <v>2626</v>
      </c>
      <c r="AF484" s="56" t="s">
        <v>2627</v>
      </c>
      <c r="AG484" s="56" t="s">
        <v>2627</v>
      </c>
      <c r="AH484" s="56">
        <v>36</v>
      </c>
      <c r="AI484" s="56" t="s">
        <v>2628</v>
      </c>
      <c r="AJ484" s="56" t="s">
        <v>2640</v>
      </c>
      <c r="AK484" s="56">
        <v>0</v>
      </c>
      <c r="AL484" s="56" t="s">
        <v>2630</v>
      </c>
      <c r="AM484" s="56" t="s">
        <v>2631</v>
      </c>
      <c r="AN484" s="56" t="s">
        <v>2632</v>
      </c>
      <c r="AO484" s="56" t="s">
        <v>2627</v>
      </c>
      <c r="AP484" s="56">
        <v>8</v>
      </c>
      <c r="AQ484" s="123">
        <v>1.3888888888888951E-2</v>
      </c>
      <c r="AR484" s="122">
        <v>4.1666666666666519E-3</v>
      </c>
      <c r="AS484" s="56" t="s">
        <v>1048</v>
      </c>
      <c r="AT484" s="56" t="s">
        <v>1059</v>
      </c>
      <c r="AU484" s="56" t="s">
        <v>1060</v>
      </c>
      <c r="AV484" s="56">
        <v>36</v>
      </c>
      <c r="AW484" s="56" t="s">
        <v>1051</v>
      </c>
      <c r="AX484" s="56" t="s">
        <v>1117</v>
      </c>
      <c r="AY484" s="56" t="s">
        <v>1118</v>
      </c>
      <c r="AZ484" s="56" t="s">
        <v>1054</v>
      </c>
      <c r="BA484" s="56" t="s">
        <v>1119</v>
      </c>
      <c r="BB484" s="56" t="s">
        <v>1120</v>
      </c>
      <c r="BC484" s="56" t="s">
        <v>1157</v>
      </c>
      <c r="BD484" s="56" t="s">
        <v>1423</v>
      </c>
    </row>
    <row r="485" spans="1:56" x14ac:dyDescent="0.2">
      <c r="A485" s="56">
        <v>176684475</v>
      </c>
      <c r="B485" s="56" t="s">
        <v>1555</v>
      </c>
      <c r="C485" s="56" t="s">
        <v>2623</v>
      </c>
      <c r="D485" s="56" t="s">
        <v>1556</v>
      </c>
      <c r="E485" s="56" t="s">
        <v>1044</v>
      </c>
      <c r="F485" s="56">
        <v>207</v>
      </c>
      <c r="G485" s="56" t="s">
        <v>2693</v>
      </c>
      <c r="H485" s="56">
        <v>4200</v>
      </c>
      <c r="I485" s="56">
        <v>6</v>
      </c>
      <c r="J485" s="56" t="s">
        <v>1045</v>
      </c>
      <c r="K485" s="56" t="s">
        <v>1116</v>
      </c>
      <c r="L485" s="121">
        <v>46268</v>
      </c>
      <c r="M485" s="122">
        <v>0.8833333333333333</v>
      </c>
      <c r="N485" s="122">
        <v>0.88749999999999996</v>
      </c>
      <c r="O485" s="56" t="s">
        <v>1047</v>
      </c>
      <c r="P485" s="121">
        <v>46268</v>
      </c>
      <c r="Q485" s="122">
        <v>0.92708333333333337</v>
      </c>
      <c r="R485" s="122">
        <v>0.93055555555555558</v>
      </c>
      <c r="S485" s="56" t="s">
        <v>1047</v>
      </c>
      <c r="T485" s="56">
        <v>1</v>
      </c>
      <c r="U485" s="56">
        <v>33</v>
      </c>
      <c r="V485" s="56">
        <v>7.48</v>
      </c>
      <c r="W485" s="56">
        <v>7.71</v>
      </c>
      <c r="X485" s="56" t="s">
        <v>2624</v>
      </c>
      <c r="Y485" s="56" t="s">
        <v>2624</v>
      </c>
      <c r="Z485" s="56" t="s">
        <v>2624</v>
      </c>
      <c r="AA485" s="56" t="s">
        <v>177</v>
      </c>
      <c r="AB485" s="56">
        <v>14117160</v>
      </c>
      <c r="AC485" s="56" t="s">
        <v>177</v>
      </c>
      <c r="AD485" s="56">
        <v>14117160</v>
      </c>
      <c r="AE485" s="56" t="s">
        <v>2626</v>
      </c>
      <c r="AF485" s="56" t="s">
        <v>2627</v>
      </c>
      <c r="AG485" s="56" t="s">
        <v>2627</v>
      </c>
      <c r="AH485" s="56">
        <v>36</v>
      </c>
      <c r="AI485" s="56" t="s">
        <v>2628</v>
      </c>
      <c r="AJ485" s="56" t="s">
        <v>2640</v>
      </c>
      <c r="AK485" s="56">
        <v>0</v>
      </c>
      <c r="AL485" s="56" t="s">
        <v>2630</v>
      </c>
      <c r="AM485" s="56" t="s">
        <v>2631</v>
      </c>
      <c r="AN485" s="56" t="s">
        <v>2632</v>
      </c>
      <c r="AO485" s="56" t="s">
        <v>2627</v>
      </c>
      <c r="AP485" s="56" t="s">
        <v>2624</v>
      </c>
      <c r="AQ485" s="123">
        <v>4.1666666666666519E-3</v>
      </c>
      <c r="AR485" s="122">
        <v>3.4722222222222099E-3</v>
      </c>
      <c r="AS485" s="56" t="s">
        <v>1048</v>
      </c>
      <c r="AT485" s="56" t="s">
        <v>1059</v>
      </c>
      <c r="AU485" s="56" t="s">
        <v>1060</v>
      </c>
      <c r="AV485" s="56">
        <v>36</v>
      </c>
      <c r="AW485" s="56" t="s">
        <v>1051</v>
      </c>
      <c r="AX485" s="56" t="s">
        <v>1557</v>
      </c>
      <c r="AY485" s="56" t="s">
        <v>1246</v>
      </c>
      <c r="AZ485" s="56" t="s">
        <v>1054</v>
      </c>
      <c r="BA485" s="56" t="s">
        <v>1558</v>
      </c>
      <c r="BB485" s="56" t="s">
        <v>1559</v>
      </c>
      <c r="BC485" s="56" t="s">
        <v>1157</v>
      </c>
      <c r="BD485" s="56" t="s">
        <v>1560</v>
      </c>
    </row>
    <row r="486" spans="1:56" x14ac:dyDescent="0.2">
      <c r="A486" s="56">
        <v>176683710</v>
      </c>
      <c r="B486" s="56" t="s">
        <v>2254</v>
      </c>
      <c r="C486" s="56" t="s">
        <v>2623</v>
      </c>
      <c r="D486" s="56" t="s">
        <v>1231</v>
      </c>
      <c r="E486" s="56" t="s">
        <v>1044</v>
      </c>
      <c r="F486" s="56">
        <v>139</v>
      </c>
      <c r="G486" s="56" t="s">
        <v>2693</v>
      </c>
      <c r="H486" s="56">
        <v>10359</v>
      </c>
      <c r="I486" s="56">
        <v>6</v>
      </c>
      <c r="J486" s="56" t="s">
        <v>1045</v>
      </c>
      <c r="K486" s="56" t="s">
        <v>1116</v>
      </c>
      <c r="L486" s="121">
        <v>46268</v>
      </c>
      <c r="M486" s="122">
        <v>0.88611111111111107</v>
      </c>
      <c r="N486" s="122">
        <v>0.89097222222222228</v>
      </c>
      <c r="O486" s="56" t="s">
        <v>1047</v>
      </c>
      <c r="P486" s="121">
        <v>46268</v>
      </c>
      <c r="Q486" s="122">
        <v>0.92708333333333337</v>
      </c>
      <c r="R486" s="122">
        <v>0.92361111111111116</v>
      </c>
      <c r="S486" s="56" t="s">
        <v>1047</v>
      </c>
      <c r="T486" s="56">
        <v>1</v>
      </c>
      <c r="U486" s="56">
        <v>23</v>
      </c>
      <c r="V486" s="56">
        <v>23.94</v>
      </c>
      <c r="W486" s="56">
        <v>21.28</v>
      </c>
      <c r="X486" s="56" t="s">
        <v>2624</v>
      </c>
      <c r="Y486" s="56" t="s">
        <v>2624</v>
      </c>
      <c r="Z486" s="56" t="s">
        <v>2624</v>
      </c>
      <c r="AA486" s="56" t="s">
        <v>1232</v>
      </c>
      <c r="AB486" s="56">
        <v>14112026</v>
      </c>
      <c r="AC486" s="56" t="s">
        <v>1232</v>
      </c>
      <c r="AD486" s="56">
        <v>14112026</v>
      </c>
      <c r="AE486" s="56" t="s">
        <v>2626</v>
      </c>
      <c r="AF486" s="56" t="s">
        <v>2627</v>
      </c>
      <c r="AG486" s="56" t="s">
        <v>2627</v>
      </c>
      <c r="AH486" s="56">
        <v>36</v>
      </c>
      <c r="AI486" s="56" t="s">
        <v>2628</v>
      </c>
      <c r="AJ486" s="56" t="s">
        <v>2629</v>
      </c>
      <c r="AK486" s="56">
        <v>0</v>
      </c>
      <c r="AL486" s="56" t="s">
        <v>2630</v>
      </c>
      <c r="AM486" s="56" t="s">
        <v>2631</v>
      </c>
      <c r="AN486" s="56" t="s">
        <v>2632</v>
      </c>
      <c r="AO486" s="56" t="s">
        <v>2627</v>
      </c>
      <c r="AP486" s="56" t="s">
        <v>2624</v>
      </c>
      <c r="AQ486" s="123">
        <v>4.8611111111112049E-3</v>
      </c>
      <c r="AR486" s="122">
        <v>-3.4722222222222099E-3</v>
      </c>
      <c r="AS486" s="56" t="s">
        <v>1048</v>
      </c>
      <c r="AT486" s="56" t="s">
        <v>1049</v>
      </c>
      <c r="AU486" s="56" t="s">
        <v>1050</v>
      </c>
      <c r="AV486" s="56">
        <v>36</v>
      </c>
      <c r="AW486" s="56" t="s">
        <v>1051</v>
      </c>
      <c r="AX486" s="56" t="s">
        <v>1233</v>
      </c>
      <c r="AY486" s="56" t="s">
        <v>1128</v>
      </c>
      <c r="AZ486" s="56" t="s">
        <v>1054</v>
      </c>
      <c r="BA486" s="56" t="s">
        <v>1234</v>
      </c>
      <c r="BB486" s="56" t="s">
        <v>1235</v>
      </c>
      <c r="BC486" s="56" t="s">
        <v>1157</v>
      </c>
      <c r="BD486" s="56" t="s">
        <v>2255</v>
      </c>
    </row>
    <row r="487" spans="1:56" x14ac:dyDescent="0.2">
      <c r="A487" s="56">
        <v>176678331</v>
      </c>
      <c r="B487" s="56" t="s">
        <v>3522</v>
      </c>
      <c r="C487" s="56" t="s">
        <v>2623</v>
      </c>
      <c r="D487" s="56" t="s">
        <v>3523</v>
      </c>
      <c r="E487" s="56" t="s">
        <v>1044</v>
      </c>
      <c r="F487" s="56">
        <v>59</v>
      </c>
      <c r="G487" s="56" t="s">
        <v>2693</v>
      </c>
      <c r="H487" s="56">
        <v>14694</v>
      </c>
      <c r="I487" s="56">
        <v>6</v>
      </c>
      <c r="J487" s="56" t="s">
        <v>1045</v>
      </c>
      <c r="K487" s="56" t="s">
        <v>1116</v>
      </c>
      <c r="L487" s="121">
        <v>46268</v>
      </c>
      <c r="M487" s="122">
        <v>0.88888888888888884</v>
      </c>
      <c r="N487" s="122">
        <v>0.89444444444444449</v>
      </c>
      <c r="O487" s="56" t="s">
        <v>1047</v>
      </c>
      <c r="P487" s="121">
        <v>46268</v>
      </c>
      <c r="Q487" s="122">
        <v>0.92708333333333337</v>
      </c>
      <c r="R487" s="122">
        <v>0.91527777777777775</v>
      </c>
      <c r="S487" s="56" t="s">
        <v>1047</v>
      </c>
      <c r="T487" s="56">
        <v>1</v>
      </c>
      <c r="U487" s="56">
        <v>12</v>
      </c>
      <c r="V487" s="56">
        <v>7.75</v>
      </c>
      <c r="W487" s="56">
        <v>7.83</v>
      </c>
      <c r="X487" s="56" t="s">
        <v>2624</v>
      </c>
      <c r="Y487" s="56" t="s">
        <v>2624</v>
      </c>
      <c r="Z487" s="56" t="s">
        <v>2624</v>
      </c>
      <c r="AA487" s="56" t="s">
        <v>283</v>
      </c>
      <c r="AB487" s="56">
        <v>14120276</v>
      </c>
      <c r="AC487" s="56" t="s">
        <v>283</v>
      </c>
      <c r="AD487" s="56">
        <v>14120276</v>
      </c>
      <c r="AE487" s="56" t="s">
        <v>2626</v>
      </c>
      <c r="AF487" s="56" t="s">
        <v>2627</v>
      </c>
      <c r="AG487" s="56" t="s">
        <v>2627</v>
      </c>
      <c r="AH487" s="56">
        <v>36</v>
      </c>
      <c r="AI487" s="56" t="s">
        <v>2628</v>
      </c>
      <c r="AJ487" s="56" t="s">
        <v>2629</v>
      </c>
      <c r="AK487" s="56">
        <v>0</v>
      </c>
      <c r="AL487" s="56" t="s">
        <v>2630</v>
      </c>
      <c r="AM487" s="56" t="s">
        <v>2631</v>
      </c>
      <c r="AN487" s="56" t="s">
        <v>2632</v>
      </c>
      <c r="AO487" s="56" t="s">
        <v>2627</v>
      </c>
      <c r="AP487" s="56" t="s">
        <v>2624</v>
      </c>
      <c r="AQ487" s="123">
        <v>5.5555555555556468E-3</v>
      </c>
      <c r="AR487" s="122">
        <v>-1.1805555555555625E-2</v>
      </c>
      <c r="AS487" s="56" t="s">
        <v>1048</v>
      </c>
      <c r="AT487" s="56" t="s">
        <v>1049</v>
      </c>
      <c r="AU487" s="56" t="s">
        <v>1050</v>
      </c>
      <c r="AV487" s="56">
        <v>36</v>
      </c>
      <c r="AW487" s="56" t="s">
        <v>1051</v>
      </c>
      <c r="AX487" s="56" t="s">
        <v>3524</v>
      </c>
      <c r="AY487" s="56" t="s">
        <v>1128</v>
      </c>
      <c r="AZ487" s="56" t="s">
        <v>1054</v>
      </c>
      <c r="BA487" s="56" t="s">
        <v>3525</v>
      </c>
      <c r="BB487" s="56" t="s">
        <v>3526</v>
      </c>
      <c r="BC487" s="56" t="s">
        <v>1157</v>
      </c>
      <c r="BD487" s="56" t="s">
        <v>3527</v>
      </c>
    </row>
    <row r="488" spans="1:56" x14ac:dyDescent="0.2">
      <c r="A488" s="56">
        <v>176678291</v>
      </c>
      <c r="B488" s="56" t="s">
        <v>3528</v>
      </c>
      <c r="C488" s="56" t="s">
        <v>2623</v>
      </c>
      <c r="D488" s="56" t="s">
        <v>2819</v>
      </c>
      <c r="E488" s="56" t="s">
        <v>1044</v>
      </c>
      <c r="F488" s="56">
        <v>56</v>
      </c>
      <c r="G488" s="56" t="s">
        <v>2670</v>
      </c>
      <c r="H488" s="56">
        <v>5434</v>
      </c>
      <c r="I488" s="56">
        <v>6</v>
      </c>
      <c r="J488" s="56" t="s">
        <v>1045</v>
      </c>
      <c r="K488" s="56" t="s">
        <v>1116</v>
      </c>
      <c r="L488" s="121">
        <v>46268</v>
      </c>
      <c r="M488" s="122">
        <v>0.88958333333333328</v>
      </c>
      <c r="N488" s="122">
        <v>0.89513888888888893</v>
      </c>
      <c r="O488" s="56" t="s">
        <v>1047</v>
      </c>
      <c r="P488" s="121">
        <v>46268</v>
      </c>
      <c r="Q488" s="122">
        <v>0.92708333333333337</v>
      </c>
      <c r="R488" s="122">
        <v>0.92083333333333328</v>
      </c>
      <c r="S488" s="56" t="s">
        <v>1047</v>
      </c>
      <c r="T488" s="56">
        <v>1</v>
      </c>
      <c r="U488" s="56">
        <v>29</v>
      </c>
      <c r="V488" s="56">
        <v>20.52</v>
      </c>
      <c r="W488" s="56">
        <v>21.39</v>
      </c>
      <c r="X488" s="56" t="s">
        <v>2624</v>
      </c>
      <c r="Y488" s="56" t="s">
        <v>2624</v>
      </c>
      <c r="Z488" s="56" t="s">
        <v>2624</v>
      </c>
      <c r="AA488" s="56" t="s">
        <v>330</v>
      </c>
      <c r="AB488" s="56">
        <v>14121271</v>
      </c>
      <c r="AC488" s="56" t="s">
        <v>330</v>
      </c>
      <c r="AD488" s="56">
        <v>14121271</v>
      </c>
      <c r="AE488" s="56" t="s">
        <v>2626</v>
      </c>
      <c r="AF488" s="56" t="s">
        <v>2627</v>
      </c>
      <c r="AG488" s="56" t="s">
        <v>2627</v>
      </c>
      <c r="AH488" s="56">
        <v>36</v>
      </c>
      <c r="AI488" s="56" t="s">
        <v>2628</v>
      </c>
      <c r="AJ488" s="56" t="s">
        <v>2629</v>
      </c>
      <c r="AK488" s="56">
        <v>0</v>
      </c>
      <c r="AL488" s="56" t="s">
        <v>2630</v>
      </c>
      <c r="AM488" s="56" t="s">
        <v>2631</v>
      </c>
      <c r="AN488" s="56" t="s">
        <v>2632</v>
      </c>
      <c r="AO488" s="56" t="s">
        <v>2627</v>
      </c>
      <c r="AP488" s="56" t="s">
        <v>2624</v>
      </c>
      <c r="AQ488" s="123">
        <v>5.5555555555556468E-3</v>
      </c>
      <c r="AR488" s="122">
        <v>-6.2500000000000888E-3</v>
      </c>
      <c r="AS488" s="56" t="s">
        <v>1048</v>
      </c>
      <c r="AT488" s="56" t="s">
        <v>1049</v>
      </c>
      <c r="AU488" s="56" t="s">
        <v>1050</v>
      </c>
      <c r="AV488" s="56">
        <v>36</v>
      </c>
      <c r="AW488" s="56" t="s">
        <v>1051</v>
      </c>
      <c r="AX488" s="56" t="s">
        <v>2820</v>
      </c>
      <c r="AY488" s="56" t="s">
        <v>1118</v>
      </c>
      <c r="AZ488" s="56" t="s">
        <v>1054</v>
      </c>
      <c r="BA488" s="56" t="s">
        <v>2821</v>
      </c>
      <c r="BB488" s="56" t="s">
        <v>2822</v>
      </c>
      <c r="BC488" s="56" t="s">
        <v>1157</v>
      </c>
      <c r="BD488" s="56" t="s">
        <v>3529</v>
      </c>
    </row>
    <row r="489" spans="1:56" x14ac:dyDescent="0.2">
      <c r="A489" s="56">
        <v>176685892</v>
      </c>
      <c r="B489" s="56" t="s">
        <v>3530</v>
      </c>
      <c r="C489" s="56" t="s">
        <v>2623</v>
      </c>
      <c r="D489" s="56" t="s">
        <v>3312</v>
      </c>
      <c r="E489" s="56" t="s">
        <v>1044</v>
      </c>
      <c r="F489" s="56">
        <v>258</v>
      </c>
      <c r="G489" s="56" t="s">
        <v>2693</v>
      </c>
      <c r="H489" s="56">
        <v>4539</v>
      </c>
      <c r="I489" s="56">
        <v>6</v>
      </c>
      <c r="J489" s="56" t="s">
        <v>1045</v>
      </c>
      <c r="K489" s="56" t="s">
        <v>1116</v>
      </c>
      <c r="L489" s="121">
        <v>46268</v>
      </c>
      <c r="M489" s="122">
        <v>0.89027777777777772</v>
      </c>
      <c r="N489" s="122">
        <v>0.89652777777777781</v>
      </c>
      <c r="O489" s="56" t="s">
        <v>1047</v>
      </c>
      <c r="P489" s="121">
        <v>46268</v>
      </c>
      <c r="Q489" s="122">
        <v>0.92708333333333337</v>
      </c>
      <c r="R489" s="122">
        <v>0.91736111111111107</v>
      </c>
      <c r="S489" s="56" t="s">
        <v>1047</v>
      </c>
      <c r="T489" s="56">
        <v>1</v>
      </c>
      <c r="U489" s="56">
        <v>15</v>
      </c>
      <c r="V489" s="56">
        <v>9.9499999999999993</v>
      </c>
      <c r="W489" s="56">
        <v>9.75</v>
      </c>
      <c r="X489" s="56" t="s">
        <v>2624</v>
      </c>
      <c r="Y489" s="56" t="s">
        <v>2624</v>
      </c>
      <c r="Z489" s="56" t="s">
        <v>2624</v>
      </c>
      <c r="AA489" s="56" t="s">
        <v>497</v>
      </c>
      <c r="AB489" s="56">
        <v>14123246</v>
      </c>
      <c r="AC489" s="56" t="s">
        <v>497</v>
      </c>
      <c r="AD489" s="56">
        <v>14123246</v>
      </c>
      <c r="AE489" s="56" t="s">
        <v>2626</v>
      </c>
      <c r="AF489" s="56" t="s">
        <v>2627</v>
      </c>
      <c r="AG489" s="56" t="s">
        <v>2627</v>
      </c>
      <c r="AH489" s="56">
        <v>36</v>
      </c>
      <c r="AI489" s="56" t="s">
        <v>2628</v>
      </c>
      <c r="AJ489" s="56" t="s">
        <v>2629</v>
      </c>
      <c r="AK489" s="56">
        <v>0</v>
      </c>
      <c r="AL489" s="56" t="s">
        <v>2630</v>
      </c>
      <c r="AM489" s="56" t="s">
        <v>2631</v>
      </c>
      <c r="AN489" s="56" t="s">
        <v>2632</v>
      </c>
      <c r="AO489" s="56" t="s">
        <v>2627</v>
      </c>
      <c r="AP489" s="56" t="s">
        <v>2624</v>
      </c>
      <c r="AQ489" s="123">
        <v>6.2500000000000888E-3</v>
      </c>
      <c r="AR489" s="122">
        <v>-9.7222222222222987E-3</v>
      </c>
      <c r="AS489" s="56" t="s">
        <v>1048</v>
      </c>
      <c r="AT489" s="56" t="s">
        <v>1049</v>
      </c>
      <c r="AU489" s="56" t="s">
        <v>1050</v>
      </c>
      <c r="AV489" s="56">
        <v>36</v>
      </c>
      <c r="AW489" s="56" t="s">
        <v>1051</v>
      </c>
      <c r="AX489" s="56" t="s">
        <v>3313</v>
      </c>
      <c r="AY489" s="56" t="s">
        <v>1128</v>
      </c>
      <c r="AZ489" s="56" t="s">
        <v>1054</v>
      </c>
      <c r="BA489" s="56" t="s">
        <v>3314</v>
      </c>
      <c r="BB489" s="56" t="s">
        <v>3315</v>
      </c>
      <c r="BC489" s="56" t="s">
        <v>1157</v>
      </c>
      <c r="BD489" s="56" t="s">
        <v>3531</v>
      </c>
    </row>
    <row r="490" spans="1:56" x14ac:dyDescent="0.2">
      <c r="A490" s="56">
        <v>176684933</v>
      </c>
      <c r="B490" s="56" t="s">
        <v>3532</v>
      </c>
      <c r="C490" s="56" t="s">
        <v>2623</v>
      </c>
      <c r="D490" s="56" t="s">
        <v>3533</v>
      </c>
      <c r="E490" s="56" t="s">
        <v>1044</v>
      </c>
      <c r="F490" s="56">
        <v>232</v>
      </c>
      <c r="G490" s="56"/>
      <c r="H490" s="56">
        <v>16731</v>
      </c>
      <c r="I490" s="56">
        <v>6</v>
      </c>
      <c r="J490" s="56" t="s">
        <v>1045</v>
      </c>
      <c r="K490" s="56" t="s">
        <v>1296</v>
      </c>
      <c r="L490" s="121">
        <v>46268</v>
      </c>
      <c r="M490" s="122">
        <v>0.89236111111111116</v>
      </c>
      <c r="N490" s="122">
        <v>0.90763888888888888</v>
      </c>
      <c r="O490" s="56" t="s">
        <v>1047</v>
      </c>
      <c r="P490" s="121">
        <v>46268</v>
      </c>
      <c r="Q490" s="122">
        <v>0.93402777777777779</v>
      </c>
      <c r="R490" s="122">
        <v>0.94236111111111109</v>
      </c>
      <c r="S490" s="56" t="s">
        <v>1047</v>
      </c>
      <c r="T490" s="56">
        <v>1</v>
      </c>
      <c r="U490" s="56">
        <v>22</v>
      </c>
      <c r="V490" s="56">
        <v>18.54</v>
      </c>
      <c r="W490" s="56">
        <v>21.73</v>
      </c>
      <c r="X490" s="56" t="s">
        <v>2624</v>
      </c>
      <c r="Y490" s="56" t="s">
        <v>2624</v>
      </c>
      <c r="Z490" s="56" t="s">
        <v>2624</v>
      </c>
      <c r="AA490" s="56" t="s">
        <v>174</v>
      </c>
      <c r="AB490" s="56">
        <v>14116917</v>
      </c>
      <c r="AC490" s="56" t="s">
        <v>174</v>
      </c>
      <c r="AD490" s="56">
        <v>14116917</v>
      </c>
      <c r="AE490" s="56" t="s">
        <v>2626</v>
      </c>
      <c r="AF490" s="56" t="s">
        <v>2627</v>
      </c>
      <c r="AG490" s="56" t="s">
        <v>2627</v>
      </c>
      <c r="AH490" s="56">
        <v>36</v>
      </c>
      <c r="AI490" s="56" t="s">
        <v>2628</v>
      </c>
      <c r="AJ490" s="56" t="s">
        <v>2640</v>
      </c>
      <c r="AK490" s="56">
        <v>0</v>
      </c>
      <c r="AL490" s="56" t="s">
        <v>2630</v>
      </c>
      <c r="AM490" s="56" t="s">
        <v>2631</v>
      </c>
      <c r="AN490" s="56" t="s">
        <v>2632</v>
      </c>
      <c r="AO490" s="56" t="s">
        <v>2627</v>
      </c>
      <c r="AP490" s="56" t="s">
        <v>2624</v>
      </c>
      <c r="AQ490" s="123">
        <v>1.5277777777777724E-2</v>
      </c>
      <c r="AR490" s="122">
        <v>8.3333333333333037E-3</v>
      </c>
      <c r="AS490" s="56" t="s">
        <v>1048</v>
      </c>
      <c r="AT490" s="56" t="s">
        <v>1059</v>
      </c>
      <c r="AU490" s="56" t="s">
        <v>1060</v>
      </c>
      <c r="AV490" s="56">
        <v>36</v>
      </c>
      <c r="AW490" s="56" t="s">
        <v>1051</v>
      </c>
      <c r="AX490" s="56" t="s">
        <v>3534</v>
      </c>
      <c r="AY490" s="56" t="s">
        <v>1297</v>
      </c>
      <c r="AZ490" s="56" t="s">
        <v>1067</v>
      </c>
      <c r="BA490" s="56" t="s">
        <v>3535</v>
      </c>
      <c r="BB490" s="56" t="s">
        <v>3536</v>
      </c>
      <c r="BC490" s="56" t="s">
        <v>1157</v>
      </c>
      <c r="BD490" s="56" t="s">
        <v>3537</v>
      </c>
    </row>
    <row r="491" spans="1:56" x14ac:dyDescent="0.2">
      <c r="A491" s="56">
        <v>176675894</v>
      </c>
      <c r="B491" s="56" t="s">
        <v>2891</v>
      </c>
      <c r="C491" s="56" t="s">
        <v>2623</v>
      </c>
      <c r="D491" s="56" t="s">
        <v>2688</v>
      </c>
      <c r="E491" s="56" t="s">
        <v>1044</v>
      </c>
      <c r="F491" s="56">
        <v>11</v>
      </c>
      <c r="G491" s="56"/>
      <c r="H491" s="56">
        <v>15185</v>
      </c>
      <c r="I491" s="56">
        <v>6</v>
      </c>
      <c r="J491" s="56" t="s">
        <v>1045</v>
      </c>
      <c r="K491" s="56" t="s">
        <v>1058</v>
      </c>
      <c r="L491" s="121">
        <v>46268</v>
      </c>
      <c r="M491" s="122">
        <v>0.8930555555555556</v>
      </c>
      <c r="N491" s="122">
        <v>0.90069444444444446</v>
      </c>
      <c r="O491" s="56" t="s">
        <v>1047</v>
      </c>
      <c r="P491" s="121">
        <v>46268</v>
      </c>
      <c r="Q491" s="122">
        <v>0.91666666666666663</v>
      </c>
      <c r="R491" s="122">
        <v>0.91805555555555551</v>
      </c>
      <c r="S491" s="56" t="s">
        <v>1047</v>
      </c>
      <c r="T491" s="56">
        <v>1</v>
      </c>
      <c r="U491" s="56">
        <v>14</v>
      </c>
      <c r="V491" s="56">
        <v>9.2899999999999991</v>
      </c>
      <c r="W491" s="56">
        <v>8.4</v>
      </c>
      <c r="X491" s="56" t="s">
        <v>2624</v>
      </c>
      <c r="Y491" s="56" t="s">
        <v>2624</v>
      </c>
      <c r="Z491" s="56" t="s">
        <v>2624</v>
      </c>
      <c r="AA491" s="56" t="s">
        <v>467</v>
      </c>
      <c r="AB491" s="56">
        <v>14122925</v>
      </c>
      <c r="AC491" s="56" t="s">
        <v>467</v>
      </c>
      <c r="AD491" s="56">
        <v>14122925</v>
      </c>
      <c r="AE491" s="56" t="s">
        <v>2626</v>
      </c>
      <c r="AF491" s="56" t="s">
        <v>2627</v>
      </c>
      <c r="AG491" s="56" t="s">
        <v>2627</v>
      </c>
      <c r="AH491" s="56">
        <v>36</v>
      </c>
      <c r="AI491" s="56" t="s">
        <v>2628</v>
      </c>
      <c r="AJ491" s="56" t="s">
        <v>2640</v>
      </c>
      <c r="AK491" s="56">
        <v>730</v>
      </c>
      <c r="AL491" s="56" t="s">
        <v>2630</v>
      </c>
      <c r="AM491" s="56" t="s">
        <v>2631</v>
      </c>
      <c r="AN491" s="56" t="s">
        <v>2632</v>
      </c>
      <c r="AO491" s="56" t="s">
        <v>2627</v>
      </c>
      <c r="AP491" s="56" t="s">
        <v>2624</v>
      </c>
      <c r="AQ491" s="123">
        <v>7.6388888888888618E-3</v>
      </c>
      <c r="AR491" s="122">
        <v>1.388888888888884E-3</v>
      </c>
      <c r="AS491" s="56" t="s">
        <v>1048</v>
      </c>
      <c r="AT491" s="56" t="s">
        <v>1049</v>
      </c>
      <c r="AU491" s="56" t="s">
        <v>1050</v>
      </c>
      <c r="AV491" s="56">
        <v>36</v>
      </c>
      <c r="AW491" s="56" t="s">
        <v>1051</v>
      </c>
      <c r="AX491" s="56" t="s">
        <v>2689</v>
      </c>
      <c r="AY491" s="56" t="s">
        <v>1061</v>
      </c>
      <c r="AZ491" s="56" t="s">
        <v>1062</v>
      </c>
      <c r="BA491" s="56" t="s">
        <v>2690</v>
      </c>
      <c r="BB491" s="56" t="s">
        <v>2691</v>
      </c>
      <c r="BC491" s="56" t="s">
        <v>1157</v>
      </c>
      <c r="BD491" s="56" t="s">
        <v>2892</v>
      </c>
    </row>
    <row r="492" spans="1:56" x14ac:dyDescent="0.2">
      <c r="A492" s="56">
        <v>176683226</v>
      </c>
      <c r="B492" s="56" t="s">
        <v>2900</v>
      </c>
      <c r="C492" s="56" t="s">
        <v>2623</v>
      </c>
      <c r="D492" s="56" t="s">
        <v>2281</v>
      </c>
      <c r="E492" s="56" t="s">
        <v>1044</v>
      </c>
      <c r="F492" s="56">
        <v>112</v>
      </c>
      <c r="G492" s="56" t="s">
        <v>2693</v>
      </c>
      <c r="H492" s="56">
        <v>13374</v>
      </c>
      <c r="I492" s="56">
        <v>6</v>
      </c>
      <c r="J492" s="56" t="s">
        <v>1045</v>
      </c>
      <c r="K492" s="56" t="s">
        <v>1116</v>
      </c>
      <c r="L492" s="121">
        <v>46268</v>
      </c>
      <c r="M492" s="122">
        <v>0.90277777777777779</v>
      </c>
      <c r="N492" s="122">
        <v>0.90625</v>
      </c>
      <c r="O492" s="56" t="s">
        <v>1047</v>
      </c>
      <c r="P492" s="121">
        <v>46268</v>
      </c>
      <c r="Q492" s="122">
        <v>0.92708333333333337</v>
      </c>
      <c r="R492" s="122">
        <v>0.92361111111111116</v>
      </c>
      <c r="S492" s="56" t="s">
        <v>1047</v>
      </c>
      <c r="T492" s="56">
        <v>1</v>
      </c>
      <c r="U492" s="56">
        <v>17</v>
      </c>
      <c r="V492" s="56">
        <v>11.59</v>
      </c>
      <c r="W492" s="56">
        <v>11.1</v>
      </c>
      <c r="X492" s="56" t="s">
        <v>2624</v>
      </c>
      <c r="Y492" s="56" t="s">
        <v>2624</v>
      </c>
      <c r="Z492" s="56" t="s">
        <v>2624</v>
      </c>
      <c r="AA492" s="56" t="s">
        <v>946</v>
      </c>
      <c r="AB492" s="56">
        <v>14123704</v>
      </c>
      <c r="AC492" s="56" t="s">
        <v>946</v>
      </c>
      <c r="AD492" s="56">
        <v>14123704</v>
      </c>
      <c r="AE492" s="56" t="s">
        <v>2626</v>
      </c>
      <c r="AF492" s="56" t="s">
        <v>2627</v>
      </c>
      <c r="AG492" s="56" t="s">
        <v>2627</v>
      </c>
      <c r="AH492" s="56">
        <v>36</v>
      </c>
      <c r="AI492" s="56" t="s">
        <v>2628</v>
      </c>
      <c r="AJ492" s="56" t="s">
        <v>2629</v>
      </c>
      <c r="AK492" s="56">
        <v>0</v>
      </c>
      <c r="AL492" s="56" t="s">
        <v>2630</v>
      </c>
      <c r="AM492" s="56" t="s">
        <v>2631</v>
      </c>
      <c r="AN492" s="56" t="s">
        <v>2632</v>
      </c>
      <c r="AO492" s="56" t="s">
        <v>2627</v>
      </c>
      <c r="AP492" s="56" t="s">
        <v>2624</v>
      </c>
      <c r="AQ492" s="123">
        <v>3.4722222222222099E-3</v>
      </c>
      <c r="AR492" s="122">
        <v>-3.4722222222222099E-3</v>
      </c>
      <c r="AS492" s="56" t="s">
        <v>1048</v>
      </c>
      <c r="AT492" s="56" t="s">
        <v>1049</v>
      </c>
      <c r="AU492" s="56" t="s">
        <v>1050</v>
      </c>
      <c r="AV492" s="56">
        <v>36</v>
      </c>
      <c r="AW492" s="56" t="s">
        <v>1051</v>
      </c>
      <c r="AX492" s="56" t="s">
        <v>2825</v>
      </c>
      <c r="AY492" s="56" t="s">
        <v>1128</v>
      </c>
      <c r="AZ492" s="56" t="s">
        <v>1054</v>
      </c>
      <c r="BA492" s="56" t="s">
        <v>2826</v>
      </c>
      <c r="BB492" s="56" t="s">
        <v>2827</v>
      </c>
      <c r="BC492" s="56" t="s">
        <v>1157</v>
      </c>
      <c r="BD492" s="56" t="s">
        <v>2901</v>
      </c>
    </row>
    <row r="493" spans="1:56" x14ac:dyDescent="0.2">
      <c r="A493" s="56">
        <v>176686822</v>
      </c>
      <c r="B493" s="56" t="s">
        <v>1726</v>
      </c>
      <c r="C493" s="56" t="s">
        <v>2623</v>
      </c>
      <c r="D493" s="56" t="s">
        <v>1244</v>
      </c>
      <c r="E493" s="56" t="s">
        <v>1044</v>
      </c>
      <c r="F493" s="56">
        <v>267</v>
      </c>
      <c r="G493" s="56"/>
      <c r="H493" s="56">
        <v>17094</v>
      </c>
      <c r="I493" s="56">
        <v>6</v>
      </c>
      <c r="J493" s="56" t="s">
        <v>1045</v>
      </c>
      <c r="K493" s="56" t="s">
        <v>1116</v>
      </c>
      <c r="L493" s="121">
        <v>46268</v>
      </c>
      <c r="M493" s="122">
        <v>0.95138888888888884</v>
      </c>
      <c r="N493" s="122">
        <v>0.9555555555555556</v>
      </c>
      <c r="O493" s="56" t="s">
        <v>1047</v>
      </c>
      <c r="P493" s="121">
        <v>46268</v>
      </c>
      <c r="Q493" s="122">
        <v>0.95833333333333337</v>
      </c>
      <c r="R493" s="122">
        <v>0.95625000000000004</v>
      </c>
      <c r="S493" s="56" t="s">
        <v>1047</v>
      </c>
      <c r="T493" s="56">
        <v>1</v>
      </c>
      <c r="U493" s="56">
        <v>2</v>
      </c>
      <c r="V493" s="56">
        <v>0.41</v>
      </c>
      <c r="W493" s="56">
        <v>0.38</v>
      </c>
      <c r="X493" s="56" t="s">
        <v>2624</v>
      </c>
      <c r="Y493" s="56" t="s">
        <v>2624</v>
      </c>
      <c r="Z493" s="56" t="s">
        <v>2624</v>
      </c>
      <c r="AA493" s="56"/>
      <c r="AB493" s="56"/>
      <c r="AC493" s="56"/>
      <c r="AD493" s="56"/>
      <c r="AE493" s="56" t="s">
        <v>2626</v>
      </c>
      <c r="AF493" s="56" t="s">
        <v>2627</v>
      </c>
      <c r="AG493" s="56" t="s">
        <v>2627</v>
      </c>
      <c r="AH493" s="56">
        <v>36</v>
      </c>
      <c r="AI493" s="56" t="s">
        <v>2628</v>
      </c>
      <c r="AJ493" s="56" t="s">
        <v>2629</v>
      </c>
      <c r="AK493" s="56">
        <v>0</v>
      </c>
      <c r="AL493" s="56" t="s">
        <v>2630</v>
      </c>
      <c r="AM493" s="56" t="s">
        <v>2631</v>
      </c>
      <c r="AN493" s="56" t="s">
        <v>2632</v>
      </c>
      <c r="AO493" s="56" t="s">
        <v>2627</v>
      </c>
      <c r="AP493" s="56">
        <v>23</v>
      </c>
      <c r="AQ493" s="123">
        <v>4.1666666666667629E-3</v>
      </c>
      <c r="AR493" s="122">
        <v>-2.0833333333333259E-3</v>
      </c>
      <c r="AS493" s="56" t="s">
        <v>1048</v>
      </c>
      <c r="AT493" s="56" t="s">
        <v>1049</v>
      </c>
      <c r="AU493" s="56" t="s">
        <v>1050</v>
      </c>
      <c r="AV493" s="56">
        <v>36</v>
      </c>
      <c r="AW493" s="56" t="s">
        <v>1051</v>
      </c>
      <c r="AX493" s="56" t="s">
        <v>1245</v>
      </c>
      <c r="AY493" s="56" t="s">
        <v>1246</v>
      </c>
      <c r="AZ493" s="56" t="s">
        <v>1054</v>
      </c>
      <c r="BA493" s="56" t="s">
        <v>1247</v>
      </c>
      <c r="BB493" s="56" t="e">
        <v>#N/A</v>
      </c>
      <c r="BC493" s="56" t="s">
        <v>1157</v>
      </c>
      <c r="BD493" s="56" t="s">
        <v>1727</v>
      </c>
    </row>
    <row r="494" spans="1:56" x14ac:dyDescent="0.2">
      <c r="A494" s="56">
        <v>176633773</v>
      </c>
      <c r="B494" s="56" t="s">
        <v>2146</v>
      </c>
      <c r="C494" s="56" t="s">
        <v>2623</v>
      </c>
      <c r="D494" s="56" t="s">
        <v>1166</v>
      </c>
      <c r="E494" s="56" t="s">
        <v>1044</v>
      </c>
      <c r="F494" s="56">
        <v>15</v>
      </c>
      <c r="G494" s="56"/>
      <c r="H494" s="56">
        <v>15761</v>
      </c>
      <c r="I494" s="56">
        <v>6</v>
      </c>
      <c r="J494" s="56" t="s">
        <v>1045</v>
      </c>
      <c r="K494" s="56" t="s">
        <v>1058</v>
      </c>
      <c r="L494" s="121">
        <v>46267</v>
      </c>
      <c r="M494" s="122">
        <v>0.19375000000000001</v>
      </c>
      <c r="N494" s="122">
        <v>0.19791666666666666</v>
      </c>
      <c r="O494" s="56" t="s">
        <v>1047</v>
      </c>
      <c r="P494" s="121">
        <v>46267</v>
      </c>
      <c r="Q494" s="122">
        <v>0.25</v>
      </c>
      <c r="R494" s="122">
        <v>0.24849537037037037</v>
      </c>
      <c r="S494" s="56" t="s">
        <v>1047</v>
      </c>
      <c r="T494" s="56">
        <v>1</v>
      </c>
      <c r="U494" s="56">
        <v>40</v>
      </c>
      <c r="V494" s="56">
        <v>-1021.53</v>
      </c>
      <c r="W494" s="56">
        <v>32.42</v>
      </c>
      <c r="X494" s="56" t="s">
        <v>2624</v>
      </c>
      <c r="Y494" s="56" t="s">
        <v>2624</v>
      </c>
      <c r="Z494" s="56" t="s">
        <v>2624</v>
      </c>
      <c r="AA494" s="56" t="s">
        <v>979</v>
      </c>
      <c r="AB494" s="56">
        <v>14123885</v>
      </c>
      <c r="AC494" s="56" t="s">
        <v>979</v>
      </c>
      <c r="AD494" s="56">
        <v>14123885</v>
      </c>
      <c r="AE494" s="56" t="s">
        <v>2626</v>
      </c>
      <c r="AF494" s="56" t="s">
        <v>2627</v>
      </c>
      <c r="AG494" s="56" t="s">
        <v>2627</v>
      </c>
      <c r="AH494" s="56">
        <v>36</v>
      </c>
      <c r="AI494" s="56" t="s">
        <v>2628</v>
      </c>
      <c r="AJ494" s="56" t="s">
        <v>2629</v>
      </c>
      <c r="AK494" s="56">
        <v>815</v>
      </c>
      <c r="AL494" s="56" t="s">
        <v>2630</v>
      </c>
      <c r="AM494" s="56" t="s">
        <v>2631</v>
      </c>
      <c r="AN494" s="56" t="s">
        <v>2632</v>
      </c>
      <c r="AO494" s="56" t="s">
        <v>2627</v>
      </c>
      <c r="AP494" s="56" t="s">
        <v>2624</v>
      </c>
      <c r="AQ494" s="123">
        <v>4.1666666666666519E-3</v>
      </c>
      <c r="AR494" s="122">
        <v>-1.5046296296296335E-3</v>
      </c>
      <c r="AS494" s="56" t="s">
        <v>1048</v>
      </c>
      <c r="AT494" s="56" t="s">
        <v>1049</v>
      </c>
      <c r="AU494" s="56" t="s">
        <v>1050</v>
      </c>
      <c r="AV494" s="56">
        <v>36</v>
      </c>
      <c r="AW494" s="56" t="s">
        <v>1051</v>
      </c>
      <c r="AX494" s="56" t="s">
        <v>2147</v>
      </c>
      <c r="AY494" s="56" t="s">
        <v>1061</v>
      </c>
      <c r="AZ494" s="56" t="s">
        <v>1062</v>
      </c>
      <c r="BA494" s="56" t="s">
        <v>2148</v>
      </c>
      <c r="BB494" s="56" t="s">
        <v>2149</v>
      </c>
      <c r="BC494" s="56" t="s">
        <v>1057</v>
      </c>
      <c r="BD494" s="56" t="s">
        <v>2150</v>
      </c>
    </row>
    <row r="495" spans="1:56" x14ac:dyDescent="0.2">
      <c r="A495" s="56">
        <v>176629974</v>
      </c>
      <c r="B495" s="56" t="s">
        <v>1165</v>
      </c>
      <c r="C495" s="56" t="s">
        <v>2623</v>
      </c>
      <c r="D495" s="56" t="s">
        <v>1166</v>
      </c>
      <c r="E495" s="56" t="s">
        <v>1044</v>
      </c>
      <c r="F495" s="56">
        <v>1</v>
      </c>
      <c r="G495" s="56"/>
      <c r="H495" s="56">
        <v>16725</v>
      </c>
      <c r="I495" s="56">
        <v>6</v>
      </c>
      <c r="J495" s="56" t="s">
        <v>1045</v>
      </c>
      <c r="K495" s="56" t="s">
        <v>1167</v>
      </c>
      <c r="L495" s="121">
        <v>46267</v>
      </c>
      <c r="M495" s="122">
        <v>0.19444444444444445</v>
      </c>
      <c r="N495" s="122">
        <v>0.2</v>
      </c>
      <c r="O495" s="56" t="s">
        <v>1047</v>
      </c>
      <c r="P495" s="121">
        <v>46267</v>
      </c>
      <c r="Q495" s="122">
        <v>0.24305555555555555</v>
      </c>
      <c r="R495" s="122">
        <v>0.23443287037037036</v>
      </c>
      <c r="S495" s="56" t="s">
        <v>1047</v>
      </c>
      <c r="T495" s="56">
        <v>1</v>
      </c>
      <c r="U495" s="56">
        <v>26</v>
      </c>
      <c r="V495" s="56">
        <v>19.77</v>
      </c>
      <c r="W495" s="56">
        <v>20.93</v>
      </c>
      <c r="X495" s="56" t="s">
        <v>2624</v>
      </c>
      <c r="Y495" s="56" t="s">
        <v>2624</v>
      </c>
      <c r="Z495" s="56" t="s">
        <v>2624</v>
      </c>
      <c r="AA495" s="56" t="s">
        <v>95</v>
      </c>
      <c r="AB495" s="56">
        <v>14109748</v>
      </c>
      <c r="AC495" s="56" t="s">
        <v>95</v>
      </c>
      <c r="AD495" s="56">
        <v>14109748</v>
      </c>
      <c r="AE495" s="56" t="s">
        <v>2626</v>
      </c>
      <c r="AF495" s="56" t="s">
        <v>2627</v>
      </c>
      <c r="AG495" s="56" t="s">
        <v>2627</v>
      </c>
      <c r="AH495" s="56">
        <v>36</v>
      </c>
      <c r="AI495" s="56" t="s">
        <v>2628</v>
      </c>
      <c r="AJ495" s="56" t="s">
        <v>2629</v>
      </c>
      <c r="AK495" s="56" t="s">
        <v>2624</v>
      </c>
      <c r="AL495" s="56" t="s">
        <v>2630</v>
      </c>
      <c r="AM495" s="56" t="s">
        <v>3258</v>
      </c>
      <c r="AN495" s="56" t="s">
        <v>2632</v>
      </c>
      <c r="AO495" s="56" t="s">
        <v>2627</v>
      </c>
      <c r="AP495" s="56" t="s">
        <v>2624</v>
      </c>
      <c r="AQ495" s="123">
        <v>5.5555555555555636E-3</v>
      </c>
      <c r="AR495" s="122">
        <v>-8.6226851851851916E-3</v>
      </c>
      <c r="AS495" s="56" t="s">
        <v>1048</v>
      </c>
      <c r="AT495" s="56" t="s">
        <v>1049</v>
      </c>
      <c r="AU495" s="56" t="s">
        <v>1050</v>
      </c>
      <c r="AV495" s="56">
        <v>36</v>
      </c>
      <c r="AW495" s="56" t="s">
        <v>1051</v>
      </c>
      <c r="AX495" s="56" t="s">
        <v>1168</v>
      </c>
      <c r="AY495" s="56" t="s">
        <v>1140</v>
      </c>
      <c r="AZ495" s="56" t="s">
        <v>1062</v>
      </c>
      <c r="BA495" s="56" t="s">
        <v>1169</v>
      </c>
      <c r="BB495" s="56" t="s">
        <v>1170</v>
      </c>
      <c r="BC495" s="56" t="s">
        <v>1057</v>
      </c>
      <c r="BD495" s="56" t="s">
        <v>1171</v>
      </c>
    </row>
    <row r="496" spans="1:56" x14ac:dyDescent="0.2">
      <c r="A496" s="56">
        <v>176633779</v>
      </c>
      <c r="B496" s="56" t="s">
        <v>2622</v>
      </c>
      <c r="C496" s="56" t="s">
        <v>2623</v>
      </c>
      <c r="D496" s="56" t="s">
        <v>1070</v>
      </c>
      <c r="E496" s="56" t="s">
        <v>1044</v>
      </c>
      <c r="F496" s="56">
        <v>17</v>
      </c>
      <c r="G496" s="56"/>
      <c r="H496" s="56">
        <v>15192</v>
      </c>
      <c r="I496" s="56">
        <v>6</v>
      </c>
      <c r="J496" s="56" t="s">
        <v>1045</v>
      </c>
      <c r="K496" s="56" t="s">
        <v>1058</v>
      </c>
      <c r="L496" s="121">
        <v>46267</v>
      </c>
      <c r="M496" s="122">
        <v>0.19444444444444445</v>
      </c>
      <c r="N496" s="122">
        <v>0.1986111111111111</v>
      </c>
      <c r="O496" s="56" t="s">
        <v>1047</v>
      </c>
      <c r="P496" s="121">
        <v>46267</v>
      </c>
      <c r="Q496" s="122">
        <v>0.25</v>
      </c>
      <c r="R496" s="122">
        <v>0.24377314814814816</v>
      </c>
      <c r="S496" s="56" t="s">
        <v>1047</v>
      </c>
      <c r="T496" s="56">
        <v>1</v>
      </c>
      <c r="U496" s="56">
        <v>37</v>
      </c>
      <c r="V496" s="56">
        <v>33.01</v>
      </c>
      <c r="W496" s="56">
        <v>34.08</v>
      </c>
      <c r="X496" s="56" t="s">
        <v>2624</v>
      </c>
      <c r="Y496" s="56" t="s">
        <v>2624</v>
      </c>
      <c r="Z496" s="56" t="s">
        <v>2624</v>
      </c>
      <c r="AA496" s="56" t="s">
        <v>2625</v>
      </c>
      <c r="AB496" s="56">
        <v>14122103</v>
      </c>
      <c r="AC496" s="56" t="s">
        <v>2625</v>
      </c>
      <c r="AD496" s="56">
        <v>14122103</v>
      </c>
      <c r="AE496" s="56" t="s">
        <v>2626</v>
      </c>
      <c r="AF496" s="56" t="s">
        <v>2627</v>
      </c>
      <c r="AG496" s="56" t="s">
        <v>2627</v>
      </c>
      <c r="AH496" s="56">
        <v>36</v>
      </c>
      <c r="AI496" s="56" t="s">
        <v>2628</v>
      </c>
      <c r="AJ496" s="56" t="s">
        <v>2629</v>
      </c>
      <c r="AK496" s="56">
        <v>815</v>
      </c>
      <c r="AL496" s="56" t="s">
        <v>2630</v>
      </c>
      <c r="AM496" s="56" t="s">
        <v>2631</v>
      </c>
      <c r="AN496" s="56" t="s">
        <v>2632</v>
      </c>
      <c r="AO496" s="56" t="s">
        <v>2627</v>
      </c>
      <c r="AP496" s="56" t="s">
        <v>2624</v>
      </c>
      <c r="AQ496" s="123">
        <v>4.1666666666666519E-3</v>
      </c>
      <c r="AR496" s="122">
        <v>-6.2268518518518445E-3</v>
      </c>
      <c r="AS496" s="56" t="s">
        <v>1048</v>
      </c>
      <c r="AT496" s="56" t="s">
        <v>1049</v>
      </c>
      <c r="AU496" s="56" t="s">
        <v>1050</v>
      </c>
      <c r="AV496" s="56">
        <v>36</v>
      </c>
      <c r="AW496" s="56" t="s">
        <v>1051</v>
      </c>
      <c r="AX496" s="56" t="s">
        <v>1071</v>
      </c>
      <c r="AY496" s="56" t="s">
        <v>1061</v>
      </c>
      <c r="AZ496" s="56" t="s">
        <v>1062</v>
      </c>
      <c r="BA496" s="56" t="s">
        <v>1072</v>
      </c>
      <c r="BB496" s="56" t="s">
        <v>1073</v>
      </c>
      <c r="BC496" s="56" t="s">
        <v>1057</v>
      </c>
      <c r="BD496" s="56" t="s">
        <v>2633</v>
      </c>
    </row>
    <row r="497" spans="1:56" x14ac:dyDescent="0.2">
      <c r="A497" s="56">
        <v>176631984</v>
      </c>
      <c r="B497" s="56" t="s">
        <v>3538</v>
      </c>
      <c r="C497" s="56" t="s">
        <v>2623</v>
      </c>
      <c r="D497" s="56" t="s">
        <v>3539</v>
      </c>
      <c r="E497" s="56" t="s">
        <v>1044</v>
      </c>
      <c r="F497" s="56">
        <v>9</v>
      </c>
      <c r="G497" s="56"/>
      <c r="H497" s="56">
        <v>13842</v>
      </c>
      <c r="I497" s="56">
        <v>6</v>
      </c>
      <c r="J497" s="56" t="s">
        <v>1045</v>
      </c>
      <c r="K497" s="56" t="s">
        <v>1209</v>
      </c>
      <c r="L497" s="121">
        <v>46267</v>
      </c>
      <c r="M497" s="122">
        <v>0.19583333333333333</v>
      </c>
      <c r="N497" s="122">
        <v>0.20833333333333334</v>
      </c>
      <c r="O497" s="56" t="s">
        <v>1047</v>
      </c>
      <c r="P497" s="121">
        <v>46267</v>
      </c>
      <c r="Q497" s="122">
        <v>0.26041666666666669</v>
      </c>
      <c r="R497" s="122">
        <v>0.26864583333333331</v>
      </c>
      <c r="S497" s="56" t="s">
        <v>1047</v>
      </c>
      <c r="T497" s="56">
        <v>1</v>
      </c>
      <c r="U497" s="56">
        <v>69</v>
      </c>
      <c r="V497" s="56">
        <v>63.67</v>
      </c>
      <c r="W497" s="56">
        <v>64.290000000000006</v>
      </c>
      <c r="X497" s="56" t="s">
        <v>2624</v>
      </c>
      <c r="Y497" s="56" t="s">
        <v>2624</v>
      </c>
      <c r="Z497" s="56" t="s">
        <v>2624</v>
      </c>
      <c r="AA497" s="56" t="s">
        <v>257</v>
      </c>
      <c r="AB497" s="56">
        <v>14119701</v>
      </c>
      <c r="AC497" s="56" t="s">
        <v>257</v>
      </c>
      <c r="AD497" s="56">
        <v>14119701</v>
      </c>
      <c r="AE497" s="56" t="s">
        <v>2626</v>
      </c>
      <c r="AF497" s="56" t="s">
        <v>2627</v>
      </c>
      <c r="AG497" s="56" t="s">
        <v>2627</v>
      </c>
      <c r="AH497" s="56">
        <v>36</v>
      </c>
      <c r="AI497" s="56" t="s">
        <v>2628</v>
      </c>
      <c r="AJ497" s="56" t="s">
        <v>2640</v>
      </c>
      <c r="AK497" s="56">
        <v>970</v>
      </c>
      <c r="AL497" s="56" t="s">
        <v>2630</v>
      </c>
      <c r="AM497" s="56" t="s">
        <v>2631</v>
      </c>
      <c r="AN497" s="56" t="s">
        <v>2632</v>
      </c>
      <c r="AO497" s="56" t="s">
        <v>2627</v>
      </c>
      <c r="AP497" s="56" t="s">
        <v>2624</v>
      </c>
      <c r="AQ497" s="123">
        <v>1.2500000000000011E-2</v>
      </c>
      <c r="AR497" s="122">
        <v>8.2291666666666208E-3</v>
      </c>
      <c r="AS497" s="56" t="s">
        <v>1048</v>
      </c>
      <c r="AT497" s="56" t="s">
        <v>1059</v>
      </c>
      <c r="AU497" s="56" t="s">
        <v>1060</v>
      </c>
      <c r="AV497" s="56">
        <v>36</v>
      </c>
      <c r="AW497" s="56" t="s">
        <v>1051</v>
      </c>
      <c r="AX497" s="56" t="s">
        <v>3540</v>
      </c>
      <c r="AY497" s="56" t="s">
        <v>1061</v>
      </c>
      <c r="AZ497" s="56" t="s">
        <v>1062</v>
      </c>
      <c r="BA497" s="56" t="s">
        <v>3541</v>
      </c>
      <c r="BB497" s="56" t="s">
        <v>3542</v>
      </c>
      <c r="BC497" s="56" t="s">
        <v>1057</v>
      </c>
      <c r="BD497" s="56" t="s">
        <v>3543</v>
      </c>
    </row>
    <row r="498" spans="1:56" x14ac:dyDescent="0.2">
      <c r="A498" s="56">
        <v>176629977</v>
      </c>
      <c r="B498" s="56" t="s">
        <v>3544</v>
      </c>
      <c r="C498" s="56" t="s">
        <v>2623</v>
      </c>
      <c r="D498" s="56" t="s">
        <v>1178</v>
      </c>
      <c r="E498" s="56" t="s">
        <v>1044</v>
      </c>
      <c r="F498" s="56">
        <v>2</v>
      </c>
      <c r="G498" s="56"/>
      <c r="H498" s="56">
        <v>12767</v>
      </c>
      <c r="I498" s="56">
        <v>6</v>
      </c>
      <c r="J498" s="56" t="s">
        <v>1045</v>
      </c>
      <c r="K498" s="56" t="s">
        <v>1167</v>
      </c>
      <c r="L498" s="121">
        <v>46267</v>
      </c>
      <c r="M498" s="122">
        <v>0.19791666666666666</v>
      </c>
      <c r="N498" s="122">
        <v>0.20208333333333334</v>
      </c>
      <c r="O498" s="56" t="s">
        <v>1047</v>
      </c>
      <c r="P498" s="121">
        <v>46267</v>
      </c>
      <c r="Q498" s="122">
        <v>0.23958333333333334</v>
      </c>
      <c r="R498" s="122">
        <v>0.23737268518518517</v>
      </c>
      <c r="S498" s="56" t="s">
        <v>1047</v>
      </c>
      <c r="T498" s="56">
        <v>1</v>
      </c>
      <c r="U498" s="56">
        <v>21</v>
      </c>
      <c r="V498" s="56">
        <v>20.99</v>
      </c>
      <c r="W498" s="56">
        <v>21.59</v>
      </c>
      <c r="X498" s="56" t="s">
        <v>2624</v>
      </c>
      <c r="Y498" s="56" t="s">
        <v>2624</v>
      </c>
      <c r="Z498" s="56" t="s">
        <v>2624</v>
      </c>
      <c r="AA498" s="56" t="s">
        <v>2003</v>
      </c>
      <c r="AB498" s="56">
        <v>14124146</v>
      </c>
      <c r="AC498" s="56" t="s">
        <v>2003</v>
      </c>
      <c r="AD498" s="56">
        <v>14124146</v>
      </c>
      <c r="AE498" s="56" t="s">
        <v>2626</v>
      </c>
      <c r="AF498" s="56" t="s">
        <v>2627</v>
      </c>
      <c r="AG498" s="56" t="s">
        <v>2627</v>
      </c>
      <c r="AH498" s="56">
        <v>36</v>
      </c>
      <c r="AI498" s="56" t="s">
        <v>2628</v>
      </c>
      <c r="AJ498" s="56" t="s">
        <v>2629</v>
      </c>
      <c r="AK498" s="56" t="s">
        <v>2624</v>
      </c>
      <c r="AL498" s="56" t="s">
        <v>2630</v>
      </c>
      <c r="AM498" s="56" t="s">
        <v>3258</v>
      </c>
      <c r="AN498" s="56" t="s">
        <v>2632</v>
      </c>
      <c r="AO498" s="56" t="s">
        <v>2627</v>
      </c>
      <c r="AP498" s="56">
        <v>9</v>
      </c>
      <c r="AQ498" s="123">
        <v>4.1666666666666796E-3</v>
      </c>
      <c r="AR498" s="122">
        <v>-2.2106481481481699E-3</v>
      </c>
      <c r="AS498" s="56" t="s">
        <v>1048</v>
      </c>
      <c r="AT498" s="56" t="s">
        <v>1049</v>
      </c>
      <c r="AU498" s="56" t="s">
        <v>1050</v>
      </c>
      <c r="AV498" s="56">
        <v>36</v>
      </c>
      <c r="AW498" s="56" t="s">
        <v>1051</v>
      </c>
      <c r="AX498" s="56" t="s">
        <v>2171</v>
      </c>
      <c r="AY498" s="56" t="s">
        <v>1140</v>
      </c>
      <c r="AZ498" s="56" t="s">
        <v>1062</v>
      </c>
      <c r="BA498" s="56" t="s">
        <v>2172</v>
      </c>
      <c r="BB498" s="56" t="s">
        <v>2173</v>
      </c>
      <c r="BC498" s="56" t="s">
        <v>1057</v>
      </c>
      <c r="BD498" s="56" t="s">
        <v>3545</v>
      </c>
    </row>
    <row r="499" spans="1:56" x14ac:dyDescent="0.2">
      <c r="A499" s="56">
        <v>176622050</v>
      </c>
      <c r="B499" s="56" t="s">
        <v>3546</v>
      </c>
      <c r="C499" s="56" t="s">
        <v>2623</v>
      </c>
      <c r="D499" s="56" t="s">
        <v>3547</v>
      </c>
      <c r="E499" s="56" t="s">
        <v>1044</v>
      </c>
      <c r="F499" s="56">
        <v>77</v>
      </c>
      <c r="G499" s="56"/>
      <c r="H499" s="56">
        <v>17360</v>
      </c>
      <c r="I499" s="56">
        <v>6</v>
      </c>
      <c r="J499" s="56" t="s">
        <v>1045</v>
      </c>
      <c r="K499" s="56" t="s">
        <v>1064</v>
      </c>
      <c r="L499" s="121">
        <v>46267</v>
      </c>
      <c r="M499" s="122">
        <v>0.2013888888888889</v>
      </c>
      <c r="N499" s="122">
        <v>0.24305555555555555</v>
      </c>
      <c r="O499" s="56" t="s">
        <v>1047</v>
      </c>
      <c r="P499" s="121">
        <v>46267</v>
      </c>
      <c r="Q499" s="122">
        <v>0.2673611111111111</v>
      </c>
      <c r="R499" s="122">
        <v>0.29758101851851854</v>
      </c>
      <c r="S499" s="56" t="s">
        <v>1047</v>
      </c>
      <c r="T499" s="56">
        <v>1</v>
      </c>
      <c r="U499" s="56">
        <v>43</v>
      </c>
      <c r="V499" s="56">
        <v>10.74</v>
      </c>
      <c r="W499" s="56">
        <v>37.42</v>
      </c>
      <c r="X499" s="56" t="s">
        <v>2624</v>
      </c>
      <c r="Y499" s="56" t="s">
        <v>2624</v>
      </c>
      <c r="Z499" s="56" t="s">
        <v>2624</v>
      </c>
      <c r="AA499" s="56" t="s">
        <v>14</v>
      </c>
      <c r="AB499" s="56">
        <v>14100727</v>
      </c>
      <c r="AC499" s="56" t="s">
        <v>14</v>
      </c>
      <c r="AD499" s="56">
        <v>14100727</v>
      </c>
      <c r="AE499" s="56" t="s">
        <v>2626</v>
      </c>
      <c r="AF499" s="56" t="s">
        <v>2627</v>
      </c>
      <c r="AG499" s="56" t="s">
        <v>2627</v>
      </c>
      <c r="AH499" s="56">
        <v>36</v>
      </c>
      <c r="AI499" s="56" t="s">
        <v>2628</v>
      </c>
      <c r="AJ499" s="56" t="s">
        <v>2640</v>
      </c>
      <c r="AK499" s="56">
        <v>530.63</v>
      </c>
      <c r="AL499" s="56" t="s">
        <v>2630</v>
      </c>
      <c r="AM499" s="56" t="s">
        <v>2631</v>
      </c>
      <c r="AN499" s="56" t="s">
        <v>2632</v>
      </c>
      <c r="AO499" s="56" t="s">
        <v>2627</v>
      </c>
      <c r="AP499" s="56">
        <v>444243</v>
      </c>
      <c r="AQ499" s="123">
        <v>4.1666666666666657E-2</v>
      </c>
      <c r="AR499" s="122">
        <v>3.0219907407407431E-2</v>
      </c>
      <c r="AS499" s="56" t="s">
        <v>1048</v>
      </c>
      <c r="AT499" s="56" t="s">
        <v>1059</v>
      </c>
      <c r="AU499" s="56" t="s">
        <v>1060</v>
      </c>
      <c r="AV499" s="56">
        <v>36</v>
      </c>
      <c r="AW499" s="56" t="s">
        <v>1051</v>
      </c>
      <c r="AX499" s="56" t="s">
        <v>3548</v>
      </c>
      <c r="AY499" s="56" t="s">
        <v>1066</v>
      </c>
      <c r="AZ499" s="56" t="s">
        <v>1067</v>
      </c>
      <c r="BA499" s="56" t="s">
        <v>3549</v>
      </c>
      <c r="BB499" s="56" t="s">
        <v>3550</v>
      </c>
      <c r="BC499" s="56" t="s">
        <v>1057</v>
      </c>
      <c r="BD499" s="56" t="s">
        <v>3551</v>
      </c>
    </row>
    <row r="500" spans="1:56" x14ac:dyDescent="0.2">
      <c r="A500" s="56">
        <v>176633749</v>
      </c>
      <c r="B500" s="56" t="s">
        <v>1172</v>
      </c>
      <c r="C500" s="56" t="s">
        <v>2623</v>
      </c>
      <c r="D500" s="56" t="s">
        <v>1173</v>
      </c>
      <c r="E500" s="56" t="s">
        <v>1044</v>
      </c>
      <c r="F500" s="56">
        <v>7</v>
      </c>
      <c r="G500" s="56"/>
      <c r="H500" s="56">
        <v>15765</v>
      </c>
      <c r="I500" s="56">
        <v>6</v>
      </c>
      <c r="J500" s="56" t="s">
        <v>1045</v>
      </c>
      <c r="K500" s="56" t="s">
        <v>1058</v>
      </c>
      <c r="L500" s="121">
        <v>46267</v>
      </c>
      <c r="M500" s="122">
        <v>0.2013888888888889</v>
      </c>
      <c r="N500" s="122">
        <v>0.2048611111111111</v>
      </c>
      <c r="O500" s="56" t="s">
        <v>1047</v>
      </c>
      <c r="P500" s="121">
        <v>46267</v>
      </c>
      <c r="Q500" s="122">
        <v>0.25</v>
      </c>
      <c r="R500" s="122">
        <v>0.23890046296296297</v>
      </c>
      <c r="S500" s="56" t="s">
        <v>1047</v>
      </c>
      <c r="T500" s="56">
        <v>1</v>
      </c>
      <c r="U500" s="56">
        <v>34</v>
      </c>
      <c r="V500" s="56">
        <v>28.35</v>
      </c>
      <c r="W500" s="56">
        <v>29.32</v>
      </c>
      <c r="X500" s="56" t="s">
        <v>2624</v>
      </c>
      <c r="Y500" s="56" t="s">
        <v>2624</v>
      </c>
      <c r="Z500" s="56" t="s">
        <v>2624</v>
      </c>
      <c r="AA500" s="56" t="s">
        <v>1174</v>
      </c>
      <c r="AB500" s="56">
        <v>14113198</v>
      </c>
      <c r="AC500" s="56" t="s">
        <v>1174</v>
      </c>
      <c r="AD500" s="56">
        <v>14113198</v>
      </c>
      <c r="AE500" s="56" t="s">
        <v>2626</v>
      </c>
      <c r="AF500" s="56" t="s">
        <v>2627</v>
      </c>
      <c r="AG500" s="56" t="s">
        <v>2627</v>
      </c>
      <c r="AH500" s="56">
        <v>36</v>
      </c>
      <c r="AI500" s="56" t="s">
        <v>2628</v>
      </c>
      <c r="AJ500" s="56" t="s">
        <v>2629</v>
      </c>
      <c r="AK500" s="56">
        <v>842</v>
      </c>
      <c r="AL500" s="56" t="s">
        <v>2630</v>
      </c>
      <c r="AM500" s="56" t="s">
        <v>2631</v>
      </c>
      <c r="AN500" s="56" t="s">
        <v>2632</v>
      </c>
      <c r="AO500" s="56" t="s">
        <v>2627</v>
      </c>
      <c r="AP500" s="56" t="s">
        <v>2624</v>
      </c>
      <c r="AQ500" s="123">
        <v>3.4722222222222099E-3</v>
      </c>
      <c r="AR500" s="122">
        <v>-1.1099537037037033E-2</v>
      </c>
      <c r="AS500" s="56" t="s">
        <v>1048</v>
      </c>
      <c r="AT500" s="56" t="s">
        <v>1049</v>
      </c>
      <c r="AU500" s="56" t="s">
        <v>1050</v>
      </c>
      <c r="AV500" s="56">
        <v>36</v>
      </c>
      <c r="AW500" s="56" t="s">
        <v>1051</v>
      </c>
      <c r="AX500" s="56" t="s">
        <v>1175</v>
      </c>
      <c r="AY500" s="56" t="s">
        <v>1061</v>
      </c>
      <c r="AZ500" s="56" t="s">
        <v>1062</v>
      </c>
      <c r="BA500" s="56" t="s">
        <v>1176</v>
      </c>
      <c r="BB500" s="56" t="s">
        <v>1177</v>
      </c>
      <c r="BC500" s="56" t="s">
        <v>1057</v>
      </c>
      <c r="BD500" s="56" t="s">
        <v>3552</v>
      </c>
    </row>
    <row r="501" spans="1:56" x14ac:dyDescent="0.2">
      <c r="A501" s="56">
        <v>176622001</v>
      </c>
      <c r="B501" s="56" t="s">
        <v>1752</v>
      </c>
      <c r="C501" s="56" t="s">
        <v>2623</v>
      </c>
      <c r="D501" s="56" t="s">
        <v>1547</v>
      </c>
      <c r="E501" s="56" t="s">
        <v>1044</v>
      </c>
      <c r="F501" s="56">
        <v>61</v>
      </c>
      <c r="G501" s="56"/>
      <c r="H501" s="56">
        <v>16744</v>
      </c>
      <c r="I501" s="56">
        <v>6</v>
      </c>
      <c r="J501" s="56" t="s">
        <v>1045</v>
      </c>
      <c r="K501" s="56" t="s">
        <v>1064</v>
      </c>
      <c r="L501" s="121">
        <v>46267</v>
      </c>
      <c r="M501" s="122">
        <v>0.20833333333333334</v>
      </c>
      <c r="N501" s="122">
        <v>0.21736111111111112</v>
      </c>
      <c r="O501" s="56" t="s">
        <v>1047</v>
      </c>
      <c r="P501" s="121">
        <v>46267</v>
      </c>
      <c r="Q501" s="122">
        <v>0.2673611111111111</v>
      </c>
      <c r="R501" s="122">
        <v>0.25883101851851853</v>
      </c>
      <c r="S501" s="56" t="s">
        <v>1047</v>
      </c>
      <c r="T501" s="56">
        <v>1</v>
      </c>
      <c r="U501" s="56">
        <v>46</v>
      </c>
      <c r="V501" s="56">
        <v>42.88</v>
      </c>
      <c r="W501" s="56">
        <v>40.4</v>
      </c>
      <c r="X501" s="56" t="s">
        <v>2624</v>
      </c>
      <c r="Y501" s="56" t="s">
        <v>2624</v>
      </c>
      <c r="Z501" s="56" t="s">
        <v>2624</v>
      </c>
      <c r="AA501" s="56" t="s">
        <v>270</v>
      </c>
      <c r="AB501" s="56">
        <v>14119956</v>
      </c>
      <c r="AC501" s="56" t="s">
        <v>270</v>
      </c>
      <c r="AD501" s="56">
        <v>14119956</v>
      </c>
      <c r="AE501" s="56" t="s">
        <v>2626</v>
      </c>
      <c r="AF501" s="56" t="s">
        <v>2627</v>
      </c>
      <c r="AG501" s="56" t="s">
        <v>2627</v>
      </c>
      <c r="AH501" s="56">
        <v>36</v>
      </c>
      <c r="AI501" s="56" t="s">
        <v>2628</v>
      </c>
      <c r="AJ501" s="56" t="s">
        <v>2629</v>
      </c>
      <c r="AK501" s="56">
        <v>530.63</v>
      </c>
      <c r="AL501" s="56" t="s">
        <v>2630</v>
      </c>
      <c r="AM501" s="56" t="s">
        <v>2631</v>
      </c>
      <c r="AN501" s="56" t="s">
        <v>2632</v>
      </c>
      <c r="AO501" s="56" t="s">
        <v>2627</v>
      </c>
      <c r="AP501" s="56" t="s">
        <v>2624</v>
      </c>
      <c r="AQ501" s="123">
        <v>9.0277777777777735E-3</v>
      </c>
      <c r="AR501" s="122">
        <v>-8.5300925925925752E-3</v>
      </c>
      <c r="AS501" s="56" t="s">
        <v>1048</v>
      </c>
      <c r="AT501" s="56" t="s">
        <v>1049</v>
      </c>
      <c r="AU501" s="56" t="s">
        <v>1050</v>
      </c>
      <c r="AV501" s="56">
        <v>36</v>
      </c>
      <c r="AW501" s="56" t="s">
        <v>1051</v>
      </c>
      <c r="AX501" s="56" t="s">
        <v>1548</v>
      </c>
      <c r="AY501" s="56" t="s">
        <v>1066</v>
      </c>
      <c r="AZ501" s="56" t="s">
        <v>1067</v>
      </c>
      <c r="BA501" s="56" t="s">
        <v>1549</v>
      </c>
      <c r="BB501" s="56" t="s">
        <v>1550</v>
      </c>
      <c r="BC501" s="56" t="s">
        <v>1057</v>
      </c>
      <c r="BD501" s="56" t="s">
        <v>1753</v>
      </c>
    </row>
    <row r="502" spans="1:56" x14ac:dyDescent="0.2">
      <c r="A502" s="56">
        <v>176630651</v>
      </c>
      <c r="B502" s="56" t="s">
        <v>2266</v>
      </c>
      <c r="C502" s="56" t="s">
        <v>2623</v>
      </c>
      <c r="D502" s="56" t="s">
        <v>2267</v>
      </c>
      <c r="E502" s="56" t="s">
        <v>1044</v>
      </c>
      <c r="F502" s="56">
        <v>108</v>
      </c>
      <c r="G502" s="56"/>
      <c r="H502" s="56">
        <v>5672</v>
      </c>
      <c r="I502" s="56">
        <v>6</v>
      </c>
      <c r="J502" s="56" t="s">
        <v>1045</v>
      </c>
      <c r="K502" s="56" t="s">
        <v>1079</v>
      </c>
      <c r="L502" s="121">
        <v>46267</v>
      </c>
      <c r="M502" s="122">
        <v>0.20833333333333334</v>
      </c>
      <c r="N502" s="122">
        <v>0.21180555555555555</v>
      </c>
      <c r="O502" s="56" t="s">
        <v>1047</v>
      </c>
      <c r="P502" s="121">
        <v>46267</v>
      </c>
      <c r="Q502" s="122">
        <v>0.2673611111111111</v>
      </c>
      <c r="R502" s="122">
        <v>0.25776620370370368</v>
      </c>
      <c r="S502" s="56" t="s">
        <v>1047</v>
      </c>
      <c r="T502" s="56">
        <v>1</v>
      </c>
      <c r="U502" s="56">
        <v>42</v>
      </c>
      <c r="V502" s="56">
        <v>28.23</v>
      </c>
      <c r="W502" s="56">
        <v>28.37</v>
      </c>
      <c r="X502" s="56" t="s">
        <v>2624</v>
      </c>
      <c r="Y502" s="56" t="s">
        <v>2624</v>
      </c>
      <c r="Z502" s="56" t="s">
        <v>2624</v>
      </c>
      <c r="AA502" s="56" t="s">
        <v>1003</v>
      </c>
      <c r="AB502" s="56">
        <v>14124002</v>
      </c>
      <c r="AC502" s="56" t="s">
        <v>1003</v>
      </c>
      <c r="AD502" s="56">
        <v>14124002</v>
      </c>
      <c r="AE502" s="56" t="s">
        <v>2626</v>
      </c>
      <c r="AF502" s="56" t="s">
        <v>2627</v>
      </c>
      <c r="AG502" s="56" t="s">
        <v>2627</v>
      </c>
      <c r="AH502" s="56">
        <v>36</v>
      </c>
      <c r="AI502" s="56" t="s">
        <v>2628</v>
      </c>
      <c r="AJ502" s="56" t="s">
        <v>2629</v>
      </c>
      <c r="AK502" s="56">
        <v>0</v>
      </c>
      <c r="AL502" s="56" t="s">
        <v>2630</v>
      </c>
      <c r="AM502" s="56" t="s">
        <v>2631</v>
      </c>
      <c r="AN502" s="56" t="s">
        <v>2632</v>
      </c>
      <c r="AO502" s="56" t="s">
        <v>2627</v>
      </c>
      <c r="AP502" s="56">
        <v>39</v>
      </c>
      <c r="AQ502" s="123">
        <v>3.4722222222222099E-3</v>
      </c>
      <c r="AR502" s="122">
        <v>-9.594907407407427E-3</v>
      </c>
      <c r="AS502" s="56" t="s">
        <v>1048</v>
      </c>
      <c r="AT502" s="56" t="s">
        <v>1049</v>
      </c>
      <c r="AU502" s="56" t="s">
        <v>1050</v>
      </c>
      <c r="AV502" s="56">
        <v>36</v>
      </c>
      <c r="AW502" s="56" t="s">
        <v>1051</v>
      </c>
      <c r="AX502" s="56" t="s">
        <v>2268</v>
      </c>
      <c r="AY502" s="56" t="s">
        <v>1081</v>
      </c>
      <c r="AZ502" s="56" t="s">
        <v>1067</v>
      </c>
      <c r="BA502" s="56" t="s">
        <v>2269</v>
      </c>
      <c r="BB502" s="56" t="s">
        <v>2270</v>
      </c>
      <c r="BC502" s="56" t="s">
        <v>1057</v>
      </c>
      <c r="BD502" s="56" t="s">
        <v>2271</v>
      </c>
    </row>
    <row r="503" spans="1:56" x14ac:dyDescent="0.2">
      <c r="A503" s="56">
        <v>176630361</v>
      </c>
      <c r="B503" s="56" t="s">
        <v>1097</v>
      </c>
      <c r="C503" s="56" t="s">
        <v>2623</v>
      </c>
      <c r="D503" s="56" t="s">
        <v>1098</v>
      </c>
      <c r="E503" s="56" t="s">
        <v>1044</v>
      </c>
      <c r="F503" s="56">
        <v>15</v>
      </c>
      <c r="G503" s="56"/>
      <c r="H503" s="56">
        <v>13844</v>
      </c>
      <c r="I503" s="56">
        <v>6</v>
      </c>
      <c r="J503" s="56" t="s">
        <v>1045</v>
      </c>
      <c r="K503" s="56" t="s">
        <v>1091</v>
      </c>
      <c r="L503" s="121">
        <v>46267</v>
      </c>
      <c r="M503" s="122">
        <v>0.21180555555555555</v>
      </c>
      <c r="N503" s="122">
        <v>0.23749999999999999</v>
      </c>
      <c r="O503" s="56" t="s">
        <v>1047</v>
      </c>
      <c r="P503" s="121">
        <v>46267</v>
      </c>
      <c r="Q503" s="122">
        <v>0.2673611111111111</v>
      </c>
      <c r="R503" s="122">
        <v>0.29090277777777779</v>
      </c>
      <c r="S503" s="56" t="s">
        <v>1047</v>
      </c>
      <c r="T503" s="56">
        <v>1</v>
      </c>
      <c r="U503" s="56">
        <v>23</v>
      </c>
      <c r="V503" s="56">
        <v>20.16</v>
      </c>
      <c r="W503" s="56">
        <v>19.75</v>
      </c>
      <c r="X503" s="56" t="s">
        <v>2624</v>
      </c>
      <c r="Y503" s="56" t="s">
        <v>2624</v>
      </c>
      <c r="Z503" s="56" t="s">
        <v>2624</v>
      </c>
      <c r="AA503" s="56" t="s">
        <v>412</v>
      </c>
      <c r="AB503" s="56">
        <v>14122329</v>
      </c>
      <c r="AC503" s="56" t="s">
        <v>412</v>
      </c>
      <c r="AD503" s="56">
        <v>14122329</v>
      </c>
      <c r="AE503" s="56" t="s">
        <v>2626</v>
      </c>
      <c r="AF503" s="56" t="s">
        <v>2627</v>
      </c>
      <c r="AG503" s="56" t="s">
        <v>2627</v>
      </c>
      <c r="AH503" s="56">
        <v>36</v>
      </c>
      <c r="AI503" s="56" t="s">
        <v>2628</v>
      </c>
      <c r="AJ503" s="56" t="s">
        <v>2640</v>
      </c>
      <c r="AK503" s="56">
        <v>0</v>
      </c>
      <c r="AL503" s="56" t="s">
        <v>2630</v>
      </c>
      <c r="AM503" s="56" t="s">
        <v>2631</v>
      </c>
      <c r="AN503" s="56" t="s">
        <v>2632</v>
      </c>
      <c r="AO503" s="56" t="s">
        <v>2627</v>
      </c>
      <c r="AP503" s="56" t="s">
        <v>2624</v>
      </c>
      <c r="AQ503" s="123">
        <v>2.5694444444444436E-2</v>
      </c>
      <c r="AR503" s="122">
        <v>2.3541666666666683E-2</v>
      </c>
      <c r="AS503" s="56" t="s">
        <v>1048</v>
      </c>
      <c r="AT503" s="56" t="s">
        <v>1059</v>
      </c>
      <c r="AU503" s="56" t="s">
        <v>1060</v>
      </c>
      <c r="AV503" s="56">
        <v>36</v>
      </c>
      <c r="AW503" s="56" t="s">
        <v>1051</v>
      </c>
      <c r="AX503" s="56" t="s">
        <v>1100</v>
      </c>
      <c r="AY503" s="56" t="s">
        <v>1093</v>
      </c>
      <c r="AZ503" s="56" t="s">
        <v>1067</v>
      </c>
      <c r="BA503" s="56" t="s">
        <v>1101</v>
      </c>
      <c r="BB503" s="56" t="s">
        <v>1102</v>
      </c>
      <c r="BC503" s="56" t="s">
        <v>1057</v>
      </c>
      <c r="BD503" s="56" t="s">
        <v>1103</v>
      </c>
    </row>
    <row r="504" spans="1:56" x14ac:dyDescent="0.2">
      <c r="A504" s="56">
        <v>176630657</v>
      </c>
      <c r="B504" s="56" t="s">
        <v>1193</v>
      </c>
      <c r="C504" s="56" t="s">
        <v>2623</v>
      </c>
      <c r="D504" s="56" t="s">
        <v>1194</v>
      </c>
      <c r="E504" s="56" t="s">
        <v>1044</v>
      </c>
      <c r="F504" s="56">
        <v>112</v>
      </c>
      <c r="G504" s="56"/>
      <c r="H504" s="56">
        <v>15996</v>
      </c>
      <c r="I504" s="56">
        <v>6</v>
      </c>
      <c r="J504" s="56" t="s">
        <v>1045</v>
      </c>
      <c r="K504" s="56" t="s">
        <v>1079</v>
      </c>
      <c r="L504" s="121">
        <v>46267</v>
      </c>
      <c r="M504" s="122">
        <v>0.21180555555555555</v>
      </c>
      <c r="N504" s="122">
        <v>0.21527777777777779</v>
      </c>
      <c r="O504" s="56" t="s">
        <v>1047</v>
      </c>
      <c r="P504" s="121">
        <v>46267</v>
      </c>
      <c r="Q504" s="122">
        <v>0.2673611111111111</v>
      </c>
      <c r="R504" s="122">
        <v>0.24836805555555555</v>
      </c>
      <c r="S504" s="56" t="s">
        <v>1047</v>
      </c>
      <c r="T504" s="56">
        <v>1</v>
      </c>
      <c r="U504" s="56">
        <v>28</v>
      </c>
      <c r="V504" s="56">
        <v>24.61</v>
      </c>
      <c r="W504" s="56">
        <v>27.6</v>
      </c>
      <c r="X504" s="56" t="s">
        <v>2624</v>
      </c>
      <c r="Y504" s="56" t="s">
        <v>2624</v>
      </c>
      <c r="Z504" s="56" t="s">
        <v>2624</v>
      </c>
      <c r="AA504" s="56" t="s">
        <v>62</v>
      </c>
      <c r="AB504" s="56">
        <v>14107393</v>
      </c>
      <c r="AC504" s="56" t="s">
        <v>62</v>
      </c>
      <c r="AD504" s="56">
        <v>14107393</v>
      </c>
      <c r="AE504" s="56" t="s">
        <v>2626</v>
      </c>
      <c r="AF504" s="56" t="s">
        <v>2627</v>
      </c>
      <c r="AG504" s="56" t="s">
        <v>2627</v>
      </c>
      <c r="AH504" s="56">
        <v>36</v>
      </c>
      <c r="AI504" s="56" t="s">
        <v>2628</v>
      </c>
      <c r="AJ504" s="56" t="s">
        <v>2629</v>
      </c>
      <c r="AK504" s="56">
        <v>0</v>
      </c>
      <c r="AL504" s="56" t="s">
        <v>2630</v>
      </c>
      <c r="AM504" s="56" t="s">
        <v>2631</v>
      </c>
      <c r="AN504" s="56" t="s">
        <v>2632</v>
      </c>
      <c r="AO504" s="56" t="s">
        <v>2627</v>
      </c>
      <c r="AP504" s="56" t="s">
        <v>2624</v>
      </c>
      <c r="AQ504" s="123">
        <v>3.4722222222222376E-3</v>
      </c>
      <c r="AR504" s="122">
        <v>-1.8993055555555555E-2</v>
      </c>
      <c r="AS504" s="56" t="s">
        <v>1048</v>
      </c>
      <c r="AT504" s="56" t="s">
        <v>1049</v>
      </c>
      <c r="AU504" s="56" t="s">
        <v>1050</v>
      </c>
      <c r="AV504" s="56">
        <v>36</v>
      </c>
      <c r="AW504" s="56" t="s">
        <v>1051</v>
      </c>
      <c r="AX504" s="56" t="s">
        <v>1195</v>
      </c>
      <c r="AY504" s="56" t="s">
        <v>1081</v>
      </c>
      <c r="AZ504" s="56" t="s">
        <v>1067</v>
      </c>
      <c r="BA504" s="56" t="s">
        <v>1196</v>
      </c>
      <c r="BB504" s="56" t="s">
        <v>1197</v>
      </c>
      <c r="BC504" s="56" t="s">
        <v>1057</v>
      </c>
      <c r="BD504" s="56" t="s">
        <v>1198</v>
      </c>
    </row>
    <row r="505" spans="1:56" x14ac:dyDescent="0.2">
      <c r="A505" s="56">
        <v>176630365</v>
      </c>
      <c r="B505" s="56" t="s">
        <v>3553</v>
      </c>
      <c r="C505" s="56" t="s">
        <v>2623</v>
      </c>
      <c r="D505" s="56" t="s">
        <v>3554</v>
      </c>
      <c r="E505" s="56" t="s">
        <v>1044</v>
      </c>
      <c r="F505" s="56">
        <v>17</v>
      </c>
      <c r="G505" s="56"/>
      <c r="H505" s="56">
        <v>16734</v>
      </c>
      <c r="I505" s="56">
        <v>6</v>
      </c>
      <c r="J505" s="56" t="s">
        <v>1045</v>
      </c>
      <c r="K505" s="56" t="s">
        <v>1091</v>
      </c>
      <c r="L505" s="121">
        <v>46267</v>
      </c>
      <c r="M505" s="122">
        <v>0.21319444444444444</v>
      </c>
      <c r="N505" s="122">
        <v>0.21666666666666667</v>
      </c>
      <c r="O505" s="56" t="s">
        <v>1047</v>
      </c>
      <c r="P505" s="121">
        <v>46267</v>
      </c>
      <c r="Q505" s="122">
        <v>0.2673611111111111</v>
      </c>
      <c r="R505" s="122">
        <v>0.27903935185185186</v>
      </c>
      <c r="S505" s="56" t="s">
        <v>1047</v>
      </c>
      <c r="T505" s="56">
        <v>1</v>
      </c>
      <c r="U505" s="56">
        <v>27</v>
      </c>
      <c r="V505" s="56">
        <v>23.48</v>
      </c>
      <c r="W505" s="56">
        <v>25.2</v>
      </c>
      <c r="X505" s="56" t="s">
        <v>2624</v>
      </c>
      <c r="Y505" s="56" t="s">
        <v>2624</v>
      </c>
      <c r="Z505" s="56" t="s">
        <v>2624</v>
      </c>
      <c r="AA505" s="56" t="s">
        <v>68</v>
      </c>
      <c r="AB505" s="56">
        <v>14107967</v>
      </c>
      <c r="AC505" s="56" t="s">
        <v>68</v>
      </c>
      <c r="AD505" s="56">
        <v>14107967</v>
      </c>
      <c r="AE505" s="56" t="s">
        <v>2626</v>
      </c>
      <c r="AF505" s="56" t="s">
        <v>2627</v>
      </c>
      <c r="AG505" s="56" t="s">
        <v>2627</v>
      </c>
      <c r="AH505" s="56">
        <v>36</v>
      </c>
      <c r="AI505" s="56" t="s">
        <v>2628</v>
      </c>
      <c r="AJ505" s="56" t="s">
        <v>2640</v>
      </c>
      <c r="AK505" s="56">
        <v>0</v>
      </c>
      <c r="AL505" s="56" t="s">
        <v>2630</v>
      </c>
      <c r="AM505" s="56" t="s">
        <v>2631</v>
      </c>
      <c r="AN505" s="56" t="s">
        <v>2632</v>
      </c>
      <c r="AO505" s="56" t="s">
        <v>2627</v>
      </c>
      <c r="AP505" s="56" t="s">
        <v>2624</v>
      </c>
      <c r="AQ505" s="123">
        <v>3.4722222222222376E-3</v>
      </c>
      <c r="AR505" s="122">
        <v>1.1678240740740753E-2</v>
      </c>
      <c r="AS505" s="56" t="s">
        <v>1048</v>
      </c>
      <c r="AT505" s="56" t="s">
        <v>1059</v>
      </c>
      <c r="AU505" s="56" t="s">
        <v>1060</v>
      </c>
      <c r="AV505" s="56">
        <v>36</v>
      </c>
      <c r="AW505" s="56" t="s">
        <v>1051</v>
      </c>
      <c r="AX505" s="56" t="s">
        <v>3555</v>
      </c>
      <c r="AY505" s="56" t="s">
        <v>1093</v>
      </c>
      <c r="AZ505" s="56" t="s">
        <v>1067</v>
      </c>
      <c r="BA505" s="56" t="s">
        <v>3556</v>
      </c>
      <c r="BB505" s="56" t="s">
        <v>3557</v>
      </c>
      <c r="BC505" s="56" t="s">
        <v>1057</v>
      </c>
      <c r="BD505" s="56" t="s">
        <v>3558</v>
      </c>
    </row>
    <row r="506" spans="1:56" x14ac:dyDescent="0.2">
      <c r="A506" s="56">
        <v>176630381</v>
      </c>
      <c r="B506" s="56" t="s">
        <v>2940</v>
      </c>
      <c r="C506" s="56" t="s">
        <v>2623</v>
      </c>
      <c r="D506" s="56" t="s">
        <v>2941</v>
      </c>
      <c r="E506" s="56" t="s">
        <v>1044</v>
      </c>
      <c r="F506" s="56">
        <v>23</v>
      </c>
      <c r="G506" s="56"/>
      <c r="H506" s="56">
        <v>5437</v>
      </c>
      <c r="I506" s="56">
        <v>6</v>
      </c>
      <c r="J506" s="56" t="s">
        <v>1045</v>
      </c>
      <c r="K506" s="56" t="s">
        <v>1091</v>
      </c>
      <c r="L506" s="121">
        <v>46267</v>
      </c>
      <c r="M506" s="122">
        <v>0.21388888888888888</v>
      </c>
      <c r="N506" s="122">
        <v>0.21944444444444444</v>
      </c>
      <c r="O506" s="56" t="s">
        <v>1047</v>
      </c>
      <c r="P506" s="121">
        <v>46267</v>
      </c>
      <c r="Q506" s="122">
        <v>0.2673611111111111</v>
      </c>
      <c r="R506" s="122">
        <v>0.26320601851851849</v>
      </c>
      <c r="S506" s="56" t="s">
        <v>1047</v>
      </c>
      <c r="T506" s="56">
        <v>1</v>
      </c>
      <c r="U506" s="56">
        <v>27</v>
      </c>
      <c r="V506" s="56">
        <v>23.01</v>
      </c>
      <c r="W506" s="56">
        <v>23.6</v>
      </c>
      <c r="X506" s="56" t="s">
        <v>2624</v>
      </c>
      <c r="Y506" s="56" t="s">
        <v>2624</v>
      </c>
      <c r="Z506" s="56" t="s">
        <v>2624</v>
      </c>
      <c r="AA506" s="56" t="s">
        <v>407</v>
      </c>
      <c r="AB506" s="56">
        <v>14122263</v>
      </c>
      <c r="AC506" s="56" t="s">
        <v>407</v>
      </c>
      <c r="AD506" s="56">
        <v>14122263</v>
      </c>
      <c r="AE506" s="56" t="s">
        <v>2626</v>
      </c>
      <c r="AF506" s="56" t="s">
        <v>2627</v>
      </c>
      <c r="AG506" s="56" t="s">
        <v>2627</v>
      </c>
      <c r="AH506" s="56">
        <v>36</v>
      </c>
      <c r="AI506" s="56" t="s">
        <v>2628</v>
      </c>
      <c r="AJ506" s="56" t="s">
        <v>2629</v>
      </c>
      <c r="AK506" s="56">
        <v>0</v>
      </c>
      <c r="AL506" s="56" t="s">
        <v>2630</v>
      </c>
      <c r="AM506" s="56" t="s">
        <v>2631</v>
      </c>
      <c r="AN506" s="56" t="s">
        <v>2632</v>
      </c>
      <c r="AO506" s="56" t="s">
        <v>2627</v>
      </c>
      <c r="AP506" s="56" t="s">
        <v>2624</v>
      </c>
      <c r="AQ506" s="123">
        <v>5.5555555555555636E-3</v>
      </c>
      <c r="AR506" s="122">
        <v>-4.155092592592613E-3</v>
      </c>
      <c r="AS506" s="56" t="s">
        <v>1048</v>
      </c>
      <c r="AT506" s="56" t="s">
        <v>1049</v>
      </c>
      <c r="AU506" s="56" t="s">
        <v>1050</v>
      </c>
      <c r="AV506" s="56">
        <v>36</v>
      </c>
      <c r="AW506" s="56" t="s">
        <v>1051</v>
      </c>
      <c r="AX506" s="56" t="s">
        <v>2942</v>
      </c>
      <c r="AY506" s="56" t="s">
        <v>1093</v>
      </c>
      <c r="AZ506" s="56" t="s">
        <v>1067</v>
      </c>
      <c r="BA506" s="56" t="s">
        <v>2943</v>
      </c>
      <c r="BB506" s="56" t="s">
        <v>2944</v>
      </c>
      <c r="BC506" s="56" t="s">
        <v>1057</v>
      </c>
      <c r="BD506" s="56" t="s">
        <v>2945</v>
      </c>
    </row>
    <row r="507" spans="1:56" x14ac:dyDescent="0.2">
      <c r="A507" s="56">
        <v>176640949</v>
      </c>
      <c r="B507" s="56" t="s">
        <v>1642</v>
      </c>
      <c r="C507" s="56" t="s">
        <v>2623</v>
      </c>
      <c r="D507" s="56" t="s">
        <v>1643</v>
      </c>
      <c r="E507" s="56" t="s">
        <v>1044</v>
      </c>
      <c r="F507" s="56">
        <v>47</v>
      </c>
      <c r="G507" s="56" t="s">
        <v>2833</v>
      </c>
      <c r="H507" s="56">
        <v>4431</v>
      </c>
      <c r="I507" s="56">
        <v>6</v>
      </c>
      <c r="J507" s="56" t="s">
        <v>1045</v>
      </c>
      <c r="K507" s="56" t="s">
        <v>1075</v>
      </c>
      <c r="L507" s="121">
        <v>46267</v>
      </c>
      <c r="M507" s="122">
        <v>0.21527777777777779</v>
      </c>
      <c r="N507" s="122">
        <v>0.21875</v>
      </c>
      <c r="O507" s="56" t="s">
        <v>1047</v>
      </c>
      <c r="P507" s="121">
        <v>46267</v>
      </c>
      <c r="Q507" s="122">
        <v>0.2673611111111111</v>
      </c>
      <c r="R507" s="122">
        <v>0.25612268518518516</v>
      </c>
      <c r="S507" s="56" t="s">
        <v>1047</v>
      </c>
      <c r="T507" s="56">
        <v>1</v>
      </c>
      <c r="U507" s="56">
        <v>33</v>
      </c>
      <c r="V507" s="56">
        <v>24.43</v>
      </c>
      <c r="W507" s="56">
        <v>30.19</v>
      </c>
      <c r="X507" s="56" t="s">
        <v>2624</v>
      </c>
      <c r="Y507" s="56" t="s">
        <v>2624</v>
      </c>
      <c r="Z507" s="56" t="s">
        <v>2624</v>
      </c>
      <c r="AA507" s="56" t="s">
        <v>1149</v>
      </c>
      <c r="AB507" s="56">
        <v>14102875</v>
      </c>
      <c r="AC507" s="56" t="s">
        <v>1149</v>
      </c>
      <c r="AD507" s="56">
        <v>14102875</v>
      </c>
      <c r="AE507" s="56" t="s">
        <v>2626</v>
      </c>
      <c r="AF507" s="56" t="s">
        <v>2627</v>
      </c>
      <c r="AG507" s="56" t="s">
        <v>2627</v>
      </c>
      <c r="AH507" s="56">
        <v>36</v>
      </c>
      <c r="AI507" s="56" t="s">
        <v>2628</v>
      </c>
      <c r="AJ507" s="56" t="s">
        <v>2629</v>
      </c>
      <c r="AK507" s="56">
        <v>0</v>
      </c>
      <c r="AL507" s="56" t="s">
        <v>2630</v>
      </c>
      <c r="AM507" s="56" t="s">
        <v>2631</v>
      </c>
      <c r="AN507" s="56" t="s">
        <v>2632</v>
      </c>
      <c r="AO507" s="56" t="s">
        <v>2627</v>
      </c>
      <c r="AP507" s="56" t="s">
        <v>2624</v>
      </c>
      <c r="AQ507" s="123">
        <v>3.4722222222222099E-3</v>
      </c>
      <c r="AR507" s="122">
        <v>-1.1238425925925943E-2</v>
      </c>
      <c r="AS507" s="56" t="s">
        <v>1048</v>
      </c>
      <c r="AT507" s="56" t="s">
        <v>1049</v>
      </c>
      <c r="AU507" s="56" t="s">
        <v>1050</v>
      </c>
      <c r="AV507" s="56">
        <v>36</v>
      </c>
      <c r="AW507" s="56" t="s">
        <v>1051</v>
      </c>
      <c r="AX507" s="56" t="s">
        <v>1644</v>
      </c>
      <c r="AY507" s="56" t="s">
        <v>1076</v>
      </c>
      <c r="AZ507" s="56" t="s">
        <v>1067</v>
      </c>
      <c r="BA507" s="56" t="s">
        <v>1645</v>
      </c>
      <c r="BB507" s="56" t="s">
        <v>1646</v>
      </c>
      <c r="BC507" s="56" t="s">
        <v>1057</v>
      </c>
      <c r="BD507" s="56" t="s">
        <v>1647</v>
      </c>
    </row>
    <row r="508" spans="1:56" x14ac:dyDescent="0.2">
      <c r="A508" s="56">
        <v>176644849</v>
      </c>
      <c r="B508" s="56" t="s">
        <v>2046</v>
      </c>
      <c r="C508" s="56" t="s">
        <v>2623</v>
      </c>
      <c r="D508" s="56" t="s">
        <v>2047</v>
      </c>
      <c r="E508" s="56" t="s">
        <v>1044</v>
      </c>
      <c r="F508" s="56">
        <v>12</v>
      </c>
      <c r="G508" s="56"/>
      <c r="H508" s="56">
        <v>7345</v>
      </c>
      <c r="I508" s="56">
        <v>6</v>
      </c>
      <c r="J508" s="56" t="s">
        <v>1045</v>
      </c>
      <c r="K508" s="56" t="s">
        <v>2048</v>
      </c>
      <c r="L508" s="121">
        <v>46267</v>
      </c>
      <c r="M508" s="122">
        <v>0.21527777777777779</v>
      </c>
      <c r="N508" s="122">
        <v>0.22152777777777777</v>
      </c>
      <c r="O508" s="56" t="s">
        <v>1047</v>
      </c>
      <c r="P508" s="121">
        <v>46267</v>
      </c>
      <c r="Q508" s="122">
        <v>0.23958333333333334</v>
      </c>
      <c r="R508" s="122">
        <v>0.23828703703703705</v>
      </c>
      <c r="S508" s="56" t="s">
        <v>1047</v>
      </c>
      <c r="T508" s="56">
        <v>1</v>
      </c>
      <c r="U508" s="56">
        <v>17</v>
      </c>
      <c r="V508" s="56">
        <v>14.5</v>
      </c>
      <c r="W508" s="56">
        <v>16</v>
      </c>
      <c r="X508" s="56" t="s">
        <v>2624</v>
      </c>
      <c r="Y508" s="56" t="s">
        <v>2624</v>
      </c>
      <c r="Z508" s="56" t="s">
        <v>2624</v>
      </c>
      <c r="AA508" s="56" t="s">
        <v>180</v>
      </c>
      <c r="AB508" s="56">
        <v>14117542</v>
      </c>
      <c r="AC508" s="56" t="s">
        <v>180</v>
      </c>
      <c r="AD508" s="56">
        <v>14117542</v>
      </c>
      <c r="AE508" s="56" t="s">
        <v>2626</v>
      </c>
      <c r="AF508" s="56" t="s">
        <v>2627</v>
      </c>
      <c r="AG508" s="56" t="s">
        <v>2627</v>
      </c>
      <c r="AH508" s="56">
        <v>36</v>
      </c>
      <c r="AI508" s="56" t="s">
        <v>2628</v>
      </c>
      <c r="AJ508" s="56" t="s">
        <v>2629</v>
      </c>
      <c r="AK508" s="56" t="s">
        <v>2624</v>
      </c>
      <c r="AL508" s="56" t="s">
        <v>2630</v>
      </c>
      <c r="AM508" s="56" t="s">
        <v>2632</v>
      </c>
      <c r="AN508" s="56" t="s">
        <v>2632</v>
      </c>
      <c r="AO508" s="56" t="s">
        <v>2627</v>
      </c>
      <c r="AP508" s="56" t="s">
        <v>2624</v>
      </c>
      <c r="AQ508" s="123">
        <v>6.2499999999999778E-3</v>
      </c>
      <c r="AR508" s="122">
        <v>-1.2962962962962954E-3</v>
      </c>
      <c r="AS508" s="56" t="s">
        <v>1048</v>
      </c>
      <c r="AT508" s="56" t="s">
        <v>1049</v>
      </c>
      <c r="AU508" s="56" t="s">
        <v>1050</v>
      </c>
      <c r="AV508" s="56">
        <v>36</v>
      </c>
      <c r="AW508" s="56" t="s">
        <v>1051</v>
      </c>
      <c r="AX508" s="56" t="s">
        <v>2049</v>
      </c>
      <c r="AY508" s="56" t="s">
        <v>1124</v>
      </c>
      <c r="AZ508" s="56" t="s">
        <v>1054</v>
      </c>
      <c r="BA508" s="56" t="s">
        <v>2050</v>
      </c>
      <c r="BB508" s="56" t="e">
        <v>#N/A</v>
      </c>
      <c r="BC508" s="56" t="s">
        <v>1057</v>
      </c>
      <c r="BD508" s="56" t="s">
        <v>2051</v>
      </c>
    </row>
    <row r="509" spans="1:56" x14ac:dyDescent="0.2">
      <c r="A509" s="56">
        <v>176630644</v>
      </c>
      <c r="B509" s="56" t="s">
        <v>2657</v>
      </c>
      <c r="C509" s="56" t="s">
        <v>2623</v>
      </c>
      <c r="D509" s="56" t="s">
        <v>2658</v>
      </c>
      <c r="E509" s="56" t="s">
        <v>1044</v>
      </c>
      <c r="F509" s="56">
        <v>105</v>
      </c>
      <c r="G509" s="56"/>
      <c r="H509" s="56">
        <v>15993</v>
      </c>
      <c r="I509" s="56">
        <v>6</v>
      </c>
      <c r="J509" s="56" t="s">
        <v>1045</v>
      </c>
      <c r="K509" s="56" t="s">
        <v>1079</v>
      </c>
      <c r="L509" s="121">
        <v>46267</v>
      </c>
      <c r="M509" s="122">
        <v>0.21875</v>
      </c>
      <c r="N509" s="122">
        <v>0.22430555555555556</v>
      </c>
      <c r="O509" s="56" t="s">
        <v>1047</v>
      </c>
      <c r="P509" s="121">
        <v>46267</v>
      </c>
      <c r="Q509" s="122">
        <v>0.2673611111111111</v>
      </c>
      <c r="R509" s="122">
        <v>0.25582175925925926</v>
      </c>
      <c r="S509" s="56" t="s">
        <v>1047</v>
      </c>
      <c r="T509" s="56">
        <v>1</v>
      </c>
      <c r="U509" s="56">
        <v>38</v>
      </c>
      <c r="V509" s="56">
        <v>32.67</v>
      </c>
      <c r="W509" s="56">
        <v>34.520000000000003</v>
      </c>
      <c r="X509" s="56" t="s">
        <v>2624</v>
      </c>
      <c r="Y509" s="56" t="s">
        <v>2624</v>
      </c>
      <c r="Z509" s="56" t="s">
        <v>2624</v>
      </c>
      <c r="AA509" s="56" t="s">
        <v>992</v>
      </c>
      <c r="AB509" s="56">
        <v>14123925</v>
      </c>
      <c r="AC509" s="56" t="s">
        <v>992</v>
      </c>
      <c r="AD509" s="56">
        <v>14123925</v>
      </c>
      <c r="AE509" s="56" t="s">
        <v>2626</v>
      </c>
      <c r="AF509" s="56" t="s">
        <v>2627</v>
      </c>
      <c r="AG509" s="56" t="s">
        <v>2627</v>
      </c>
      <c r="AH509" s="56">
        <v>36</v>
      </c>
      <c r="AI509" s="56" t="s">
        <v>2628</v>
      </c>
      <c r="AJ509" s="56" t="s">
        <v>2629</v>
      </c>
      <c r="AK509" s="56">
        <v>0</v>
      </c>
      <c r="AL509" s="56" t="s">
        <v>2630</v>
      </c>
      <c r="AM509" s="56" t="s">
        <v>2631</v>
      </c>
      <c r="AN509" s="56" t="s">
        <v>2632</v>
      </c>
      <c r="AO509" s="56" t="s">
        <v>2627</v>
      </c>
      <c r="AP509" s="56" t="s">
        <v>2624</v>
      </c>
      <c r="AQ509" s="123">
        <v>5.5555555555555636E-3</v>
      </c>
      <c r="AR509" s="122">
        <v>-1.1539351851851842E-2</v>
      </c>
      <c r="AS509" s="56" t="s">
        <v>1048</v>
      </c>
      <c r="AT509" s="56" t="s">
        <v>1049</v>
      </c>
      <c r="AU509" s="56" t="s">
        <v>1050</v>
      </c>
      <c r="AV509" s="56">
        <v>36</v>
      </c>
      <c r="AW509" s="56" t="s">
        <v>1051</v>
      </c>
      <c r="AX509" s="56" t="s">
        <v>2659</v>
      </c>
      <c r="AY509" s="56" t="s">
        <v>1081</v>
      </c>
      <c r="AZ509" s="56" t="s">
        <v>1067</v>
      </c>
      <c r="BA509" s="56" t="s">
        <v>2660</v>
      </c>
      <c r="BB509" s="56" t="s">
        <v>2661</v>
      </c>
      <c r="BC509" s="56" t="s">
        <v>1057</v>
      </c>
      <c r="BD509" s="56" t="s">
        <v>2662</v>
      </c>
    </row>
    <row r="510" spans="1:56" x14ac:dyDescent="0.2">
      <c r="A510" s="56">
        <v>176638161</v>
      </c>
      <c r="B510" s="56" t="s">
        <v>2668</v>
      </c>
      <c r="C510" s="56" t="s">
        <v>2623</v>
      </c>
      <c r="D510" s="56" t="s">
        <v>2669</v>
      </c>
      <c r="E510" s="56" t="s">
        <v>1044</v>
      </c>
      <c r="F510" s="56">
        <v>77</v>
      </c>
      <c r="G510" s="56" t="s">
        <v>2670</v>
      </c>
      <c r="H510" s="56">
        <v>5527</v>
      </c>
      <c r="I510" s="56">
        <v>6</v>
      </c>
      <c r="J510" s="56" t="s">
        <v>1045</v>
      </c>
      <c r="K510" s="56" t="s">
        <v>1116</v>
      </c>
      <c r="L510" s="121">
        <v>46267</v>
      </c>
      <c r="M510" s="122">
        <v>0.22222222222222221</v>
      </c>
      <c r="N510" s="122">
        <v>0.23194444444444445</v>
      </c>
      <c r="O510" s="56" t="s">
        <v>1047</v>
      </c>
      <c r="P510" s="121">
        <v>46267</v>
      </c>
      <c r="Q510" s="122">
        <v>0.28125</v>
      </c>
      <c r="R510" s="122">
        <v>0.27061342592592591</v>
      </c>
      <c r="S510" s="56" t="s">
        <v>1047</v>
      </c>
      <c r="T510" s="56">
        <v>1</v>
      </c>
      <c r="U510" s="56">
        <v>27</v>
      </c>
      <c r="V510" s="56">
        <v>23.23</v>
      </c>
      <c r="W510" s="56">
        <v>22.75</v>
      </c>
      <c r="X510" s="56" t="s">
        <v>2624</v>
      </c>
      <c r="Y510" s="56" t="s">
        <v>2624</v>
      </c>
      <c r="Z510" s="56" t="s">
        <v>2624</v>
      </c>
      <c r="AA510" s="56" t="s">
        <v>499</v>
      </c>
      <c r="AB510" s="56">
        <v>14123254</v>
      </c>
      <c r="AC510" s="56" t="s">
        <v>499</v>
      </c>
      <c r="AD510" s="56">
        <v>14123254</v>
      </c>
      <c r="AE510" s="56" t="s">
        <v>2626</v>
      </c>
      <c r="AF510" s="56" t="s">
        <v>2627</v>
      </c>
      <c r="AG510" s="56" t="s">
        <v>2627</v>
      </c>
      <c r="AH510" s="56">
        <v>36</v>
      </c>
      <c r="AI510" s="56" t="s">
        <v>2628</v>
      </c>
      <c r="AJ510" s="56" t="s">
        <v>2629</v>
      </c>
      <c r="AK510" s="56">
        <v>0</v>
      </c>
      <c r="AL510" s="56" t="s">
        <v>2630</v>
      </c>
      <c r="AM510" s="56" t="s">
        <v>2631</v>
      </c>
      <c r="AN510" s="56" t="s">
        <v>2632</v>
      </c>
      <c r="AO510" s="56" t="s">
        <v>2627</v>
      </c>
      <c r="AP510" s="56" t="s">
        <v>2624</v>
      </c>
      <c r="AQ510" s="123">
        <v>9.7222222222222432E-3</v>
      </c>
      <c r="AR510" s="122">
        <v>-1.063657407407409E-2</v>
      </c>
      <c r="AS510" s="56" t="s">
        <v>1048</v>
      </c>
      <c r="AT510" s="56" t="s">
        <v>1049</v>
      </c>
      <c r="AU510" s="56" t="s">
        <v>1050</v>
      </c>
      <c r="AV510" s="56">
        <v>36</v>
      </c>
      <c r="AW510" s="56" t="s">
        <v>1051</v>
      </c>
      <c r="AX510" s="56" t="s">
        <v>2671</v>
      </c>
      <c r="AY510" s="56" t="s">
        <v>1118</v>
      </c>
      <c r="AZ510" s="56" t="s">
        <v>1054</v>
      </c>
      <c r="BA510" s="56" t="s">
        <v>2672</v>
      </c>
      <c r="BB510" s="56" t="s">
        <v>2673</v>
      </c>
      <c r="BC510" s="56" t="s">
        <v>1057</v>
      </c>
      <c r="BD510" s="56" t="s">
        <v>2674</v>
      </c>
    </row>
    <row r="511" spans="1:56" x14ac:dyDescent="0.2">
      <c r="A511" s="56">
        <v>176641475</v>
      </c>
      <c r="B511" s="56" t="s">
        <v>3304</v>
      </c>
      <c r="C511" s="56" t="s">
        <v>2623</v>
      </c>
      <c r="D511" s="56" t="s">
        <v>1217</v>
      </c>
      <c r="E511" s="56" t="s">
        <v>1044</v>
      </c>
      <c r="F511" s="56">
        <v>91</v>
      </c>
      <c r="G511" s="56" t="s">
        <v>2833</v>
      </c>
      <c r="H511" s="56">
        <v>4532</v>
      </c>
      <c r="I511" s="56">
        <v>7</v>
      </c>
      <c r="J511" s="56" t="s">
        <v>1045</v>
      </c>
      <c r="K511" s="56" t="s">
        <v>1075</v>
      </c>
      <c r="L511" s="121">
        <v>46267</v>
      </c>
      <c r="M511" s="122">
        <v>0.22569444444444445</v>
      </c>
      <c r="N511" s="122">
        <v>0.22916666666666666</v>
      </c>
      <c r="O511" s="56" t="s">
        <v>1047</v>
      </c>
      <c r="P511" s="121">
        <v>46267</v>
      </c>
      <c r="Q511" s="122">
        <v>0.2673611111111111</v>
      </c>
      <c r="R511" s="122">
        <v>0.25069444444444444</v>
      </c>
      <c r="S511" s="56" t="s">
        <v>1449</v>
      </c>
      <c r="T511" s="56">
        <v>0</v>
      </c>
      <c r="U511" s="56">
        <v>19</v>
      </c>
      <c r="V511" s="56">
        <v>18.52</v>
      </c>
      <c r="W511" s="56">
        <v>18.5</v>
      </c>
      <c r="X511" s="56">
        <v>19.440000000000001</v>
      </c>
      <c r="Y511" s="56">
        <v>0.94</v>
      </c>
      <c r="Z511" s="56">
        <v>0</v>
      </c>
      <c r="AA511" s="56" t="s">
        <v>322</v>
      </c>
      <c r="AB511" s="56">
        <v>14121158</v>
      </c>
      <c r="AC511" s="56" t="s">
        <v>322</v>
      </c>
      <c r="AD511" s="56">
        <v>14121158</v>
      </c>
      <c r="AE511" s="56" t="s">
        <v>2626</v>
      </c>
      <c r="AF511" s="56" t="s">
        <v>2627</v>
      </c>
      <c r="AG511" s="56" t="s">
        <v>2627</v>
      </c>
      <c r="AH511" s="56">
        <v>36</v>
      </c>
      <c r="AI511" s="56" t="s">
        <v>2842</v>
      </c>
      <c r="AJ511" s="56" t="s">
        <v>2629</v>
      </c>
      <c r="AK511" s="56">
        <v>0</v>
      </c>
      <c r="AL511" s="56" t="s">
        <v>2630</v>
      </c>
      <c r="AM511" s="56" t="s">
        <v>2631</v>
      </c>
      <c r="AN511" s="56" t="s">
        <v>2632</v>
      </c>
      <c r="AO511" s="56" t="s">
        <v>2627</v>
      </c>
      <c r="AP511" s="56" t="s">
        <v>2624</v>
      </c>
      <c r="AQ511" s="123">
        <v>3.4722222222222099E-3</v>
      </c>
      <c r="AR511" s="122">
        <v>-1.6666666666666663E-2</v>
      </c>
      <c r="AS511" s="56" t="s">
        <v>1048</v>
      </c>
      <c r="AT511" s="56" t="s">
        <v>1049</v>
      </c>
      <c r="AU511" s="56" t="s">
        <v>1050</v>
      </c>
      <c r="AV511" s="56">
        <v>36</v>
      </c>
      <c r="AW511" s="56" t="s">
        <v>1051</v>
      </c>
      <c r="AX511" s="56" t="s">
        <v>3305</v>
      </c>
      <c r="AY511" s="56" t="s">
        <v>1076</v>
      </c>
      <c r="AZ511" s="56" t="s">
        <v>1067</v>
      </c>
      <c r="BA511" s="56" t="s">
        <v>3306</v>
      </c>
      <c r="BB511" s="56" t="s">
        <v>3307</v>
      </c>
      <c r="BC511" s="56" t="s">
        <v>1057</v>
      </c>
      <c r="BD511" s="56" t="s">
        <v>3308</v>
      </c>
    </row>
    <row r="512" spans="1:56" x14ac:dyDescent="0.2">
      <c r="A512" s="56">
        <v>176633761</v>
      </c>
      <c r="B512" s="56" t="s">
        <v>2687</v>
      </c>
      <c r="C512" s="56" t="s">
        <v>2623</v>
      </c>
      <c r="D512" s="56" t="s">
        <v>2688</v>
      </c>
      <c r="E512" s="56" t="s">
        <v>1044</v>
      </c>
      <c r="F512" s="56">
        <v>11</v>
      </c>
      <c r="G512" s="56"/>
      <c r="H512" s="56">
        <v>15185</v>
      </c>
      <c r="I512" s="56">
        <v>6</v>
      </c>
      <c r="J512" s="56" t="s">
        <v>1045</v>
      </c>
      <c r="K512" s="56" t="s">
        <v>1058</v>
      </c>
      <c r="L512" s="121">
        <v>46267</v>
      </c>
      <c r="M512" s="122">
        <v>0.22638888888888889</v>
      </c>
      <c r="N512" s="122">
        <v>0.2326388888888889</v>
      </c>
      <c r="O512" s="56" t="s">
        <v>1047</v>
      </c>
      <c r="P512" s="121">
        <v>46267</v>
      </c>
      <c r="Q512" s="122">
        <v>0.25</v>
      </c>
      <c r="R512" s="122">
        <v>0.24578703703703703</v>
      </c>
      <c r="S512" s="56" t="s">
        <v>1047</v>
      </c>
      <c r="T512" s="56">
        <v>1</v>
      </c>
      <c r="U512" s="56">
        <v>14</v>
      </c>
      <c r="V512" s="56">
        <v>9.49</v>
      </c>
      <c r="W512" s="56">
        <v>8.43</v>
      </c>
      <c r="X512" s="56" t="s">
        <v>2624</v>
      </c>
      <c r="Y512" s="56" t="s">
        <v>2624</v>
      </c>
      <c r="Z512" s="56" t="s">
        <v>2624</v>
      </c>
      <c r="AA512" s="56" t="s">
        <v>467</v>
      </c>
      <c r="AB512" s="56">
        <v>14122925</v>
      </c>
      <c r="AC512" s="56" t="s">
        <v>467</v>
      </c>
      <c r="AD512" s="56">
        <v>14122925</v>
      </c>
      <c r="AE512" s="56" t="s">
        <v>2626</v>
      </c>
      <c r="AF512" s="56" t="s">
        <v>2627</v>
      </c>
      <c r="AG512" s="56" t="s">
        <v>2627</v>
      </c>
      <c r="AH512" s="56">
        <v>36</v>
      </c>
      <c r="AI512" s="56" t="s">
        <v>2628</v>
      </c>
      <c r="AJ512" s="56" t="s">
        <v>2629</v>
      </c>
      <c r="AK512" s="56">
        <v>730</v>
      </c>
      <c r="AL512" s="56" t="s">
        <v>2630</v>
      </c>
      <c r="AM512" s="56" t="s">
        <v>2631</v>
      </c>
      <c r="AN512" s="56" t="s">
        <v>2632</v>
      </c>
      <c r="AO512" s="56" t="s">
        <v>2627</v>
      </c>
      <c r="AP512" s="56" t="s">
        <v>2624</v>
      </c>
      <c r="AQ512" s="123">
        <v>6.2500000000000056E-3</v>
      </c>
      <c r="AR512" s="122">
        <v>-4.2129629629629739E-3</v>
      </c>
      <c r="AS512" s="56" t="s">
        <v>1048</v>
      </c>
      <c r="AT512" s="56" t="s">
        <v>1049</v>
      </c>
      <c r="AU512" s="56" t="s">
        <v>1050</v>
      </c>
      <c r="AV512" s="56">
        <v>36</v>
      </c>
      <c r="AW512" s="56" t="s">
        <v>1051</v>
      </c>
      <c r="AX512" s="56" t="s">
        <v>2689</v>
      </c>
      <c r="AY512" s="56" t="s">
        <v>1061</v>
      </c>
      <c r="AZ512" s="56" t="s">
        <v>1062</v>
      </c>
      <c r="BA512" s="56" t="s">
        <v>2690</v>
      </c>
      <c r="BB512" s="56" t="s">
        <v>2691</v>
      </c>
      <c r="BC512" s="56" t="s">
        <v>1057</v>
      </c>
      <c r="BD512" s="56" t="s">
        <v>2692</v>
      </c>
    </row>
    <row r="513" spans="1:56" x14ac:dyDescent="0.2">
      <c r="A513" s="56">
        <v>176634752</v>
      </c>
      <c r="B513" s="56" t="s">
        <v>1218</v>
      </c>
      <c r="C513" s="56" t="s">
        <v>2623</v>
      </c>
      <c r="D513" s="56" t="s">
        <v>1219</v>
      </c>
      <c r="E513" s="56" t="s">
        <v>1044</v>
      </c>
      <c r="F513" s="56">
        <v>22</v>
      </c>
      <c r="G513" s="56" t="s">
        <v>2670</v>
      </c>
      <c r="H513" s="56">
        <v>15320</v>
      </c>
      <c r="I513" s="56">
        <v>6</v>
      </c>
      <c r="J513" s="56" t="s">
        <v>1045</v>
      </c>
      <c r="K513" s="56" t="s">
        <v>1116</v>
      </c>
      <c r="L513" s="121">
        <v>46267</v>
      </c>
      <c r="M513" s="122">
        <v>0.22916666666666666</v>
      </c>
      <c r="N513" s="122">
        <v>0.2326388888888889</v>
      </c>
      <c r="O513" s="56" t="s">
        <v>1047</v>
      </c>
      <c r="P513" s="121">
        <v>46267</v>
      </c>
      <c r="Q513" s="122">
        <v>0.28125</v>
      </c>
      <c r="R513" s="122">
        <v>0.26931712962962961</v>
      </c>
      <c r="S513" s="56" t="s">
        <v>1047</v>
      </c>
      <c r="T513" s="56">
        <v>1</v>
      </c>
      <c r="U513" s="56">
        <v>36</v>
      </c>
      <c r="V513" s="56">
        <v>26.99</v>
      </c>
      <c r="W513" s="56">
        <v>26.88</v>
      </c>
      <c r="X513" s="56" t="s">
        <v>2624</v>
      </c>
      <c r="Y513" s="56" t="s">
        <v>2624</v>
      </c>
      <c r="Z513" s="56" t="s">
        <v>2624</v>
      </c>
      <c r="AA513" s="56"/>
      <c r="AB513" s="56"/>
      <c r="AC513" s="56" t="s">
        <v>1187</v>
      </c>
      <c r="AD513" s="56"/>
      <c r="AE513" s="56" t="s">
        <v>2626</v>
      </c>
      <c r="AF513" s="56" t="s">
        <v>2627</v>
      </c>
      <c r="AG513" s="56" t="s">
        <v>2627</v>
      </c>
      <c r="AH513" s="56">
        <v>36</v>
      </c>
      <c r="AI513" s="56" t="s">
        <v>2628</v>
      </c>
      <c r="AJ513" s="56" t="s">
        <v>2629</v>
      </c>
      <c r="AK513" s="56">
        <v>0</v>
      </c>
      <c r="AL513" s="56" t="s">
        <v>2630</v>
      </c>
      <c r="AM513" s="56" t="s">
        <v>2631</v>
      </c>
      <c r="AN513" s="56" t="s">
        <v>2632</v>
      </c>
      <c r="AO513" s="56" t="s">
        <v>2627</v>
      </c>
      <c r="AP513" s="56">
        <v>17</v>
      </c>
      <c r="AQ513" s="123">
        <v>3.4722222222222376E-3</v>
      </c>
      <c r="AR513" s="122">
        <v>-1.1932870370370385E-2</v>
      </c>
      <c r="AS513" s="56" t="s">
        <v>1048</v>
      </c>
      <c r="AT513" s="56" t="s">
        <v>1049</v>
      </c>
      <c r="AU513" s="56" t="s">
        <v>1050</v>
      </c>
      <c r="AV513" s="56">
        <v>36</v>
      </c>
      <c r="AW513" s="56" t="s">
        <v>1051</v>
      </c>
      <c r="AX513" s="56" t="s">
        <v>1220</v>
      </c>
      <c r="AY513" s="56" t="s">
        <v>1118</v>
      </c>
      <c r="AZ513" s="56" t="s">
        <v>1054</v>
      </c>
      <c r="BA513" s="56" t="s">
        <v>1221</v>
      </c>
      <c r="BB513" s="56" t="s">
        <v>1222</v>
      </c>
      <c r="BC513" s="56" t="s">
        <v>1057</v>
      </c>
      <c r="BD513" s="56" t="s">
        <v>1223</v>
      </c>
    </row>
    <row r="514" spans="1:56" x14ac:dyDescent="0.2">
      <c r="A514" s="56">
        <v>176640249</v>
      </c>
      <c r="B514" s="56" t="s">
        <v>1114</v>
      </c>
      <c r="C514" s="56" t="s">
        <v>2623</v>
      </c>
      <c r="D514" s="56" t="s">
        <v>1115</v>
      </c>
      <c r="E514" s="56" t="s">
        <v>1044</v>
      </c>
      <c r="F514" s="56">
        <v>98</v>
      </c>
      <c r="G514" s="56" t="s">
        <v>2670</v>
      </c>
      <c r="H514" s="56">
        <v>14692</v>
      </c>
      <c r="I514" s="56">
        <v>6</v>
      </c>
      <c r="J514" s="56" t="s">
        <v>1045</v>
      </c>
      <c r="K514" s="56" t="s">
        <v>1116</v>
      </c>
      <c r="L514" s="121">
        <v>46267</v>
      </c>
      <c r="M514" s="122">
        <v>0.22916666666666666</v>
      </c>
      <c r="N514" s="122">
        <v>0.24027777777777778</v>
      </c>
      <c r="O514" s="56" t="s">
        <v>1047</v>
      </c>
      <c r="P514" s="121">
        <v>46267</v>
      </c>
      <c r="Q514" s="122">
        <v>0.28125</v>
      </c>
      <c r="R514" s="122">
        <v>0.27706018518518516</v>
      </c>
      <c r="S514" s="56" t="s">
        <v>1047</v>
      </c>
      <c r="T514" s="56">
        <v>1</v>
      </c>
      <c r="U514" s="56">
        <v>31</v>
      </c>
      <c r="V514" s="56">
        <v>26.97</v>
      </c>
      <c r="W514" s="56">
        <v>26.95</v>
      </c>
      <c r="X514" s="56" t="s">
        <v>2624</v>
      </c>
      <c r="Y514" s="56" t="s">
        <v>2624</v>
      </c>
      <c r="Z514" s="56" t="s">
        <v>2624</v>
      </c>
      <c r="AA514" s="56" t="s">
        <v>958</v>
      </c>
      <c r="AB514" s="56">
        <v>14123725</v>
      </c>
      <c r="AC514" s="56" t="s">
        <v>958</v>
      </c>
      <c r="AD514" s="56">
        <v>14123725</v>
      </c>
      <c r="AE514" s="56" t="s">
        <v>2626</v>
      </c>
      <c r="AF514" s="56" t="s">
        <v>2627</v>
      </c>
      <c r="AG514" s="56" t="s">
        <v>2627</v>
      </c>
      <c r="AH514" s="56">
        <v>36</v>
      </c>
      <c r="AI514" s="56" t="s">
        <v>2628</v>
      </c>
      <c r="AJ514" s="56" t="s">
        <v>2629</v>
      </c>
      <c r="AK514" s="56">
        <v>0</v>
      </c>
      <c r="AL514" s="56" t="s">
        <v>2630</v>
      </c>
      <c r="AM514" s="56" t="s">
        <v>2631</v>
      </c>
      <c r="AN514" s="56" t="s">
        <v>2632</v>
      </c>
      <c r="AO514" s="56" t="s">
        <v>2627</v>
      </c>
      <c r="AP514" s="56" t="s">
        <v>2624</v>
      </c>
      <c r="AQ514" s="123">
        <v>1.1111111111111127E-2</v>
      </c>
      <c r="AR514" s="122">
        <v>-4.1898148148148406E-3</v>
      </c>
      <c r="AS514" s="56" t="s">
        <v>1048</v>
      </c>
      <c r="AT514" s="56" t="s">
        <v>1049</v>
      </c>
      <c r="AU514" s="56" t="s">
        <v>1050</v>
      </c>
      <c r="AV514" s="56">
        <v>36</v>
      </c>
      <c r="AW514" s="56" t="s">
        <v>1051</v>
      </c>
      <c r="AX514" s="56" t="s">
        <v>1117</v>
      </c>
      <c r="AY514" s="56" t="s">
        <v>1118</v>
      </c>
      <c r="AZ514" s="56" t="s">
        <v>1054</v>
      </c>
      <c r="BA514" s="56" t="s">
        <v>1119</v>
      </c>
      <c r="BB514" s="56" t="s">
        <v>1120</v>
      </c>
      <c r="BC514" s="56" t="s">
        <v>1057</v>
      </c>
      <c r="BD514" s="56" t="s">
        <v>1121</v>
      </c>
    </row>
    <row r="515" spans="1:56" x14ac:dyDescent="0.2">
      <c r="A515" s="56">
        <v>176642008</v>
      </c>
      <c r="B515" s="56" t="s">
        <v>1736</v>
      </c>
      <c r="C515" s="56" t="s">
        <v>2623</v>
      </c>
      <c r="D515" s="56" t="s">
        <v>1737</v>
      </c>
      <c r="E515" s="56" t="s">
        <v>1044</v>
      </c>
      <c r="F515" s="56">
        <v>237</v>
      </c>
      <c r="G515" s="56"/>
      <c r="H515" s="56">
        <v>5530</v>
      </c>
      <c r="I515" s="56">
        <v>6</v>
      </c>
      <c r="J515" s="56" t="s">
        <v>1045</v>
      </c>
      <c r="K515" s="56" t="s">
        <v>1079</v>
      </c>
      <c r="L515" s="121">
        <v>46267</v>
      </c>
      <c r="M515" s="122">
        <v>0.22916666666666666</v>
      </c>
      <c r="N515" s="122">
        <v>0.23541666666666666</v>
      </c>
      <c r="O515" s="56" t="s">
        <v>1047</v>
      </c>
      <c r="P515" s="121">
        <v>46267</v>
      </c>
      <c r="Q515" s="122">
        <v>0.2673611111111111</v>
      </c>
      <c r="R515" s="122">
        <v>0.26003472222222224</v>
      </c>
      <c r="S515" s="56" t="s">
        <v>1047</v>
      </c>
      <c r="T515" s="56">
        <v>1</v>
      </c>
      <c r="U515" s="56">
        <v>19</v>
      </c>
      <c r="V515" s="56">
        <v>17.47</v>
      </c>
      <c r="W515" s="56">
        <v>18.829999999999998</v>
      </c>
      <c r="X515" s="56" t="s">
        <v>2624</v>
      </c>
      <c r="Y515" s="56" t="s">
        <v>2624</v>
      </c>
      <c r="Z515" s="56" t="s">
        <v>2624</v>
      </c>
      <c r="AA515" s="56" t="s">
        <v>309</v>
      </c>
      <c r="AB515" s="56">
        <v>14120925</v>
      </c>
      <c r="AC515" s="56" t="s">
        <v>309</v>
      </c>
      <c r="AD515" s="56">
        <v>14120925</v>
      </c>
      <c r="AE515" s="56" t="s">
        <v>2626</v>
      </c>
      <c r="AF515" s="56" t="s">
        <v>2627</v>
      </c>
      <c r="AG515" s="56" t="s">
        <v>2627</v>
      </c>
      <c r="AH515" s="56">
        <v>36</v>
      </c>
      <c r="AI515" s="56" t="s">
        <v>2628</v>
      </c>
      <c r="AJ515" s="56" t="s">
        <v>2629</v>
      </c>
      <c r="AK515" s="56">
        <v>0</v>
      </c>
      <c r="AL515" s="56" t="s">
        <v>2630</v>
      </c>
      <c r="AM515" s="56" t="s">
        <v>2631</v>
      </c>
      <c r="AN515" s="56" t="s">
        <v>2632</v>
      </c>
      <c r="AO515" s="56" t="s">
        <v>2627</v>
      </c>
      <c r="AP515" s="56" t="s">
        <v>2624</v>
      </c>
      <c r="AQ515" s="123">
        <v>6.2500000000000056E-3</v>
      </c>
      <c r="AR515" s="122">
        <v>-7.3263888888888684E-3</v>
      </c>
      <c r="AS515" s="56" t="s">
        <v>1048</v>
      </c>
      <c r="AT515" s="56" t="s">
        <v>1049</v>
      </c>
      <c r="AU515" s="56" t="s">
        <v>1050</v>
      </c>
      <c r="AV515" s="56">
        <v>36</v>
      </c>
      <c r="AW515" s="56" t="s">
        <v>1051</v>
      </c>
      <c r="AX515" s="56" t="s">
        <v>1738</v>
      </c>
      <c r="AY515" s="56" t="s">
        <v>1081</v>
      </c>
      <c r="AZ515" s="56" t="s">
        <v>1067</v>
      </c>
      <c r="BA515" s="56" t="s">
        <v>1739</v>
      </c>
      <c r="BB515" s="56" t="s">
        <v>1740</v>
      </c>
      <c r="BC515" s="56" t="s">
        <v>1057</v>
      </c>
      <c r="BD515" s="56" t="s">
        <v>1741</v>
      </c>
    </row>
    <row r="516" spans="1:56" x14ac:dyDescent="0.2">
      <c r="A516" s="56">
        <v>176635518</v>
      </c>
      <c r="B516" s="56" t="s">
        <v>2111</v>
      </c>
      <c r="C516" s="56" t="s">
        <v>2623</v>
      </c>
      <c r="D516" s="56" t="s">
        <v>1650</v>
      </c>
      <c r="E516" s="56" t="s">
        <v>1044</v>
      </c>
      <c r="F516" s="56">
        <v>44</v>
      </c>
      <c r="G516" s="56" t="s">
        <v>2670</v>
      </c>
      <c r="H516" s="56">
        <v>4985</v>
      </c>
      <c r="I516" s="56">
        <v>6</v>
      </c>
      <c r="J516" s="56" t="s">
        <v>1045</v>
      </c>
      <c r="K516" s="56" t="s">
        <v>1116</v>
      </c>
      <c r="L516" s="121">
        <v>46267</v>
      </c>
      <c r="M516" s="122">
        <v>0.2326388888888889</v>
      </c>
      <c r="N516" s="122">
        <v>0.23958333333333334</v>
      </c>
      <c r="O516" s="56" t="s">
        <v>1047</v>
      </c>
      <c r="P516" s="121">
        <v>46267</v>
      </c>
      <c r="Q516" s="122">
        <v>0.28125</v>
      </c>
      <c r="R516" s="122">
        <v>0.27605324074074072</v>
      </c>
      <c r="S516" s="56" t="s">
        <v>1047</v>
      </c>
      <c r="T516" s="56">
        <v>1</v>
      </c>
      <c r="U516" s="56">
        <v>27</v>
      </c>
      <c r="V516" s="56">
        <v>22.25</v>
      </c>
      <c r="W516" s="56">
        <v>22.73</v>
      </c>
      <c r="X516" s="56" t="s">
        <v>2624</v>
      </c>
      <c r="Y516" s="56" t="s">
        <v>2624</v>
      </c>
      <c r="Z516" s="56" t="s">
        <v>2624</v>
      </c>
      <c r="AA516" s="56" t="s">
        <v>983</v>
      </c>
      <c r="AB516" s="56">
        <v>14110336</v>
      </c>
      <c r="AC516" s="56" t="s">
        <v>983</v>
      </c>
      <c r="AD516" s="56">
        <v>14110336</v>
      </c>
      <c r="AE516" s="56" t="s">
        <v>2626</v>
      </c>
      <c r="AF516" s="56" t="s">
        <v>2627</v>
      </c>
      <c r="AG516" s="56" t="s">
        <v>2627</v>
      </c>
      <c r="AH516" s="56">
        <v>36</v>
      </c>
      <c r="AI516" s="56" t="s">
        <v>2628</v>
      </c>
      <c r="AJ516" s="56" t="s">
        <v>2629</v>
      </c>
      <c r="AK516" s="56">
        <v>0</v>
      </c>
      <c r="AL516" s="56" t="s">
        <v>2630</v>
      </c>
      <c r="AM516" s="56" t="s">
        <v>2631</v>
      </c>
      <c r="AN516" s="56" t="s">
        <v>2632</v>
      </c>
      <c r="AO516" s="56" t="s">
        <v>2627</v>
      </c>
      <c r="AP516" s="56">
        <v>39</v>
      </c>
      <c r="AQ516" s="123">
        <v>6.9444444444444475E-3</v>
      </c>
      <c r="AR516" s="122">
        <v>-5.196759259259276E-3</v>
      </c>
      <c r="AS516" s="56" t="s">
        <v>1048</v>
      </c>
      <c r="AT516" s="56" t="s">
        <v>1049</v>
      </c>
      <c r="AU516" s="56" t="s">
        <v>1050</v>
      </c>
      <c r="AV516" s="56">
        <v>36</v>
      </c>
      <c r="AW516" s="56" t="s">
        <v>1051</v>
      </c>
      <c r="AX516" s="56" t="s">
        <v>1651</v>
      </c>
      <c r="AY516" s="56" t="s">
        <v>1118</v>
      </c>
      <c r="AZ516" s="56" t="s">
        <v>1054</v>
      </c>
      <c r="BA516" s="56" t="s">
        <v>1652</v>
      </c>
      <c r="BB516" s="56" t="s">
        <v>1653</v>
      </c>
      <c r="BC516" s="56" t="s">
        <v>1057</v>
      </c>
      <c r="BD516" s="56" t="s">
        <v>3451</v>
      </c>
    </row>
    <row r="517" spans="1:56" x14ac:dyDescent="0.2">
      <c r="A517" s="56">
        <v>176630786</v>
      </c>
      <c r="B517" s="56" t="s">
        <v>1430</v>
      </c>
      <c r="C517" s="56" t="s">
        <v>2623</v>
      </c>
      <c r="D517" s="56" t="s">
        <v>1431</v>
      </c>
      <c r="E517" s="56" t="s">
        <v>1044</v>
      </c>
      <c r="F517" s="56">
        <v>1</v>
      </c>
      <c r="G517" s="56"/>
      <c r="H517" s="56">
        <v>7943</v>
      </c>
      <c r="I517" s="56">
        <v>6</v>
      </c>
      <c r="J517" s="56" t="s">
        <v>1045</v>
      </c>
      <c r="K517" s="56" t="s">
        <v>1428</v>
      </c>
      <c r="L517" s="121">
        <v>46267</v>
      </c>
      <c r="M517" s="122">
        <v>0.2361111111111111</v>
      </c>
      <c r="N517" s="122">
        <v>0.24236111111111111</v>
      </c>
      <c r="O517" s="56" t="s">
        <v>1047</v>
      </c>
      <c r="P517" s="121">
        <v>46267</v>
      </c>
      <c r="Q517" s="122">
        <v>0.33333333333333331</v>
      </c>
      <c r="R517" s="122">
        <v>0.25486111111111109</v>
      </c>
      <c r="S517" s="56" t="s">
        <v>1047</v>
      </c>
      <c r="T517" s="56">
        <v>1</v>
      </c>
      <c r="U517" s="56">
        <v>29</v>
      </c>
      <c r="V517" s="56">
        <v>4.32</v>
      </c>
      <c r="W517" s="56">
        <v>12</v>
      </c>
      <c r="X517" s="56" t="s">
        <v>2624</v>
      </c>
      <c r="Y517" s="56" t="s">
        <v>2624</v>
      </c>
      <c r="Z517" s="56" t="s">
        <v>2624</v>
      </c>
      <c r="AA517" s="56" t="s">
        <v>76</v>
      </c>
      <c r="AB517" s="56">
        <v>14108382</v>
      </c>
      <c r="AC517" s="56" t="s">
        <v>76</v>
      </c>
      <c r="AD517" s="56">
        <v>14108382</v>
      </c>
      <c r="AE517" s="56" t="s">
        <v>2626</v>
      </c>
      <c r="AF517" s="56" t="s">
        <v>2627</v>
      </c>
      <c r="AG517" s="56" t="s">
        <v>2627</v>
      </c>
      <c r="AH517" s="56">
        <v>36</v>
      </c>
      <c r="AI517" s="56" t="s">
        <v>2628</v>
      </c>
      <c r="AJ517" s="56" t="s">
        <v>2629</v>
      </c>
      <c r="AK517" s="56" t="s">
        <v>2624</v>
      </c>
      <c r="AL517" s="56">
        <v>0</v>
      </c>
      <c r="AM517" s="56" t="s">
        <v>2694</v>
      </c>
      <c r="AN517" s="56" t="s">
        <v>2632</v>
      </c>
      <c r="AO517" s="56" t="s">
        <v>2627</v>
      </c>
      <c r="AP517" s="56" t="s">
        <v>2624</v>
      </c>
      <c r="AQ517" s="123">
        <v>6.2500000000000056E-3</v>
      </c>
      <c r="AR517" s="122">
        <v>-7.8472222222222221E-2</v>
      </c>
      <c r="AS517" s="56" t="s">
        <v>1048</v>
      </c>
      <c r="AT517" s="56" t="s">
        <v>1049</v>
      </c>
      <c r="AU517" s="56" t="s">
        <v>1050</v>
      </c>
      <c r="AV517" s="56">
        <v>36</v>
      </c>
      <c r="AW517" s="56" t="s">
        <v>1051</v>
      </c>
      <c r="AX517" s="56" t="s">
        <v>1432</v>
      </c>
      <c r="AY517" s="56" t="s">
        <v>1159</v>
      </c>
      <c r="AZ517" s="56" t="s">
        <v>1062</v>
      </c>
      <c r="BA517" s="56" t="s">
        <v>1433</v>
      </c>
      <c r="BB517" s="56" t="s">
        <v>1434</v>
      </c>
      <c r="BC517" s="56" t="s">
        <v>1057</v>
      </c>
      <c r="BD517" s="56" t="s">
        <v>1758</v>
      </c>
    </row>
    <row r="518" spans="1:56" x14ac:dyDescent="0.2">
      <c r="A518" s="56">
        <v>176641540</v>
      </c>
      <c r="B518" s="56" t="s">
        <v>1230</v>
      </c>
      <c r="C518" s="56" t="s">
        <v>2623</v>
      </c>
      <c r="D518" s="56" t="s">
        <v>1231</v>
      </c>
      <c r="E518" s="56" t="s">
        <v>1044</v>
      </c>
      <c r="F518" s="56">
        <v>139</v>
      </c>
      <c r="G518" s="56" t="s">
        <v>2693</v>
      </c>
      <c r="H518" s="56">
        <v>10359</v>
      </c>
      <c r="I518" s="56">
        <v>6</v>
      </c>
      <c r="J518" s="56" t="s">
        <v>1045</v>
      </c>
      <c r="K518" s="56" t="s">
        <v>1116</v>
      </c>
      <c r="L518" s="121">
        <v>46267</v>
      </c>
      <c r="M518" s="122">
        <v>0.2361111111111111</v>
      </c>
      <c r="N518" s="122">
        <v>0.24236111111111111</v>
      </c>
      <c r="O518" s="56" t="s">
        <v>1047</v>
      </c>
      <c r="P518" s="121">
        <v>46267</v>
      </c>
      <c r="Q518" s="122">
        <v>0.28125</v>
      </c>
      <c r="R518" s="122">
        <v>0.28268518518518521</v>
      </c>
      <c r="S518" s="56" t="s">
        <v>1047</v>
      </c>
      <c r="T518" s="56">
        <v>1</v>
      </c>
      <c r="U518" s="56">
        <v>23</v>
      </c>
      <c r="V518" s="56">
        <v>23.89</v>
      </c>
      <c r="W518" s="56">
        <v>21.25</v>
      </c>
      <c r="X518" s="56" t="s">
        <v>2624</v>
      </c>
      <c r="Y518" s="56" t="s">
        <v>2624</v>
      </c>
      <c r="Z518" s="56" t="s">
        <v>2624</v>
      </c>
      <c r="AA518" s="56" t="s">
        <v>1232</v>
      </c>
      <c r="AB518" s="56">
        <v>14112026</v>
      </c>
      <c r="AC518" s="56" t="s">
        <v>1232</v>
      </c>
      <c r="AD518" s="56">
        <v>14112026</v>
      </c>
      <c r="AE518" s="56" t="s">
        <v>2626</v>
      </c>
      <c r="AF518" s="56" t="s">
        <v>2627</v>
      </c>
      <c r="AG518" s="56" t="s">
        <v>2627</v>
      </c>
      <c r="AH518" s="56">
        <v>36</v>
      </c>
      <c r="AI518" s="56" t="s">
        <v>2628</v>
      </c>
      <c r="AJ518" s="56" t="s">
        <v>2640</v>
      </c>
      <c r="AK518" s="56">
        <v>0</v>
      </c>
      <c r="AL518" s="56" t="s">
        <v>2630</v>
      </c>
      <c r="AM518" s="56" t="s">
        <v>2631</v>
      </c>
      <c r="AN518" s="56" t="s">
        <v>2632</v>
      </c>
      <c r="AO518" s="56" t="s">
        <v>2627</v>
      </c>
      <c r="AP518" s="56">
        <v>2</v>
      </c>
      <c r="AQ518" s="123">
        <v>6.2500000000000056E-3</v>
      </c>
      <c r="AR518" s="122">
        <v>1.435185185185206E-3</v>
      </c>
      <c r="AS518" s="56" t="s">
        <v>1048</v>
      </c>
      <c r="AT518" s="56" t="s">
        <v>1049</v>
      </c>
      <c r="AU518" s="56" t="s">
        <v>1050</v>
      </c>
      <c r="AV518" s="56">
        <v>36</v>
      </c>
      <c r="AW518" s="56" t="s">
        <v>1051</v>
      </c>
      <c r="AX518" s="56" t="s">
        <v>1233</v>
      </c>
      <c r="AY518" s="56" t="s">
        <v>1128</v>
      </c>
      <c r="AZ518" s="56" t="s">
        <v>1054</v>
      </c>
      <c r="BA518" s="56" t="s">
        <v>1234</v>
      </c>
      <c r="BB518" s="56" t="s">
        <v>1235</v>
      </c>
      <c r="BC518" s="56" t="s">
        <v>1057</v>
      </c>
      <c r="BD518" s="56" t="s">
        <v>1236</v>
      </c>
    </row>
    <row r="519" spans="1:56" x14ac:dyDescent="0.2">
      <c r="A519" s="56">
        <v>176634996</v>
      </c>
      <c r="B519" s="56" t="s">
        <v>2272</v>
      </c>
      <c r="C519" s="56" t="s">
        <v>2623</v>
      </c>
      <c r="D519" s="56" t="s">
        <v>1536</v>
      </c>
      <c r="E519" s="56" t="s">
        <v>1044</v>
      </c>
      <c r="F519" s="56">
        <v>30</v>
      </c>
      <c r="G519" s="56" t="s">
        <v>2670</v>
      </c>
      <c r="H519" s="56">
        <v>15317</v>
      </c>
      <c r="I519" s="56">
        <v>6</v>
      </c>
      <c r="J519" s="56" t="s">
        <v>1045</v>
      </c>
      <c r="K519" s="56" t="s">
        <v>1116</v>
      </c>
      <c r="L519" s="121">
        <v>46267</v>
      </c>
      <c r="M519" s="122">
        <v>0.23680555555555555</v>
      </c>
      <c r="N519" s="122">
        <v>0.24652777777777779</v>
      </c>
      <c r="O519" s="56" t="s">
        <v>1047</v>
      </c>
      <c r="P519" s="121">
        <v>46267</v>
      </c>
      <c r="Q519" s="122">
        <v>0.28125</v>
      </c>
      <c r="R519" s="122">
        <v>0.29099537037037038</v>
      </c>
      <c r="S519" s="56" t="s">
        <v>1047</v>
      </c>
      <c r="T519" s="56">
        <v>1</v>
      </c>
      <c r="U519" s="56">
        <v>36</v>
      </c>
      <c r="V519" s="56">
        <v>30.96</v>
      </c>
      <c r="W519" s="56">
        <v>30.1</v>
      </c>
      <c r="X519" s="56" t="s">
        <v>2624</v>
      </c>
      <c r="Y519" s="56" t="s">
        <v>2624</v>
      </c>
      <c r="Z519" s="56" t="s">
        <v>2624</v>
      </c>
      <c r="AA519" s="56" t="s">
        <v>195</v>
      </c>
      <c r="AB519" s="56">
        <v>14112292</v>
      </c>
      <c r="AC519" s="56" t="s">
        <v>195</v>
      </c>
      <c r="AD519" s="56">
        <v>14112292</v>
      </c>
      <c r="AE519" s="56" t="s">
        <v>2626</v>
      </c>
      <c r="AF519" s="56" t="s">
        <v>2627</v>
      </c>
      <c r="AG519" s="56" t="s">
        <v>2627</v>
      </c>
      <c r="AH519" s="56">
        <v>36</v>
      </c>
      <c r="AI519" s="56" t="s">
        <v>2628</v>
      </c>
      <c r="AJ519" s="56" t="s">
        <v>2640</v>
      </c>
      <c r="AK519" s="56">
        <v>0</v>
      </c>
      <c r="AL519" s="56" t="s">
        <v>2630</v>
      </c>
      <c r="AM519" s="56" t="s">
        <v>2631</v>
      </c>
      <c r="AN519" s="56" t="s">
        <v>2632</v>
      </c>
      <c r="AO519" s="56" t="s">
        <v>2627</v>
      </c>
      <c r="AP519" s="56" t="s">
        <v>2624</v>
      </c>
      <c r="AQ519" s="123">
        <v>9.7222222222222432E-3</v>
      </c>
      <c r="AR519" s="122">
        <v>9.7453703703703765E-3</v>
      </c>
      <c r="AS519" s="56" t="s">
        <v>1048</v>
      </c>
      <c r="AT519" s="56" t="s">
        <v>1059</v>
      </c>
      <c r="AU519" s="56" t="s">
        <v>1060</v>
      </c>
      <c r="AV519" s="56">
        <v>36</v>
      </c>
      <c r="AW519" s="56" t="s">
        <v>1051</v>
      </c>
      <c r="AX519" s="56" t="s">
        <v>1537</v>
      </c>
      <c r="AY519" s="56" t="s">
        <v>1118</v>
      </c>
      <c r="AZ519" s="56" t="s">
        <v>1054</v>
      </c>
      <c r="BA519" s="56" t="s">
        <v>1538</v>
      </c>
      <c r="BB519" s="56" t="s">
        <v>1539</v>
      </c>
      <c r="BC519" s="56" t="s">
        <v>1057</v>
      </c>
      <c r="BD519" s="56" t="s">
        <v>2273</v>
      </c>
    </row>
    <row r="520" spans="1:56" x14ac:dyDescent="0.2">
      <c r="A520" s="56">
        <v>176641067</v>
      </c>
      <c r="B520" s="56" t="s">
        <v>2062</v>
      </c>
      <c r="C520" s="56" t="s">
        <v>2623</v>
      </c>
      <c r="D520" s="56" t="s">
        <v>1317</v>
      </c>
      <c r="E520" s="56" t="s">
        <v>1044</v>
      </c>
      <c r="F520" s="56">
        <v>114</v>
      </c>
      <c r="G520" s="56" t="s">
        <v>2670</v>
      </c>
      <c r="H520" s="56">
        <v>13289</v>
      </c>
      <c r="I520" s="56">
        <v>6</v>
      </c>
      <c r="J520" s="56" t="s">
        <v>1045</v>
      </c>
      <c r="K520" s="56" t="s">
        <v>1116</v>
      </c>
      <c r="L520" s="121">
        <v>46267</v>
      </c>
      <c r="M520" s="122">
        <v>0.24166666666666667</v>
      </c>
      <c r="N520" s="122">
        <v>0.24652777777777779</v>
      </c>
      <c r="O520" s="56" t="s">
        <v>1047</v>
      </c>
      <c r="P520" s="121">
        <v>46267</v>
      </c>
      <c r="Q520" s="122">
        <v>0.28125</v>
      </c>
      <c r="R520" s="122">
        <v>0.2754050925925926</v>
      </c>
      <c r="S520" s="56" t="s">
        <v>1047</v>
      </c>
      <c r="T520" s="56">
        <v>1</v>
      </c>
      <c r="U520" s="56">
        <v>26</v>
      </c>
      <c r="V520" s="56">
        <v>20.89</v>
      </c>
      <c r="W520" s="56">
        <v>20.27</v>
      </c>
      <c r="X520" s="56" t="s">
        <v>2624</v>
      </c>
      <c r="Y520" s="56" t="s">
        <v>2624</v>
      </c>
      <c r="Z520" s="56" t="s">
        <v>2624</v>
      </c>
      <c r="AA520" s="56" t="s">
        <v>224</v>
      </c>
      <c r="AB520" s="56">
        <v>14118956</v>
      </c>
      <c r="AC520" s="56" t="s">
        <v>224</v>
      </c>
      <c r="AD520" s="56">
        <v>14118956</v>
      </c>
      <c r="AE520" s="56" t="s">
        <v>2626</v>
      </c>
      <c r="AF520" s="56" t="s">
        <v>2627</v>
      </c>
      <c r="AG520" s="56" t="s">
        <v>2627</v>
      </c>
      <c r="AH520" s="56">
        <v>36</v>
      </c>
      <c r="AI520" s="56" t="s">
        <v>2628</v>
      </c>
      <c r="AJ520" s="56" t="s">
        <v>2629</v>
      </c>
      <c r="AK520" s="56">
        <v>0</v>
      </c>
      <c r="AL520" s="56" t="s">
        <v>2630</v>
      </c>
      <c r="AM520" s="56" t="s">
        <v>2631</v>
      </c>
      <c r="AN520" s="56" t="s">
        <v>2632</v>
      </c>
      <c r="AO520" s="56" t="s">
        <v>2627</v>
      </c>
      <c r="AP520" s="56" t="s">
        <v>2624</v>
      </c>
      <c r="AQ520" s="123">
        <v>4.8611111111111216E-3</v>
      </c>
      <c r="AR520" s="122">
        <v>-5.8449074074073959E-3</v>
      </c>
      <c r="AS520" s="56" t="s">
        <v>1048</v>
      </c>
      <c r="AT520" s="56" t="s">
        <v>1049</v>
      </c>
      <c r="AU520" s="56" t="s">
        <v>1050</v>
      </c>
      <c r="AV520" s="56">
        <v>36</v>
      </c>
      <c r="AW520" s="56" t="s">
        <v>1051</v>
      </c>
      <c r="AX520" s="56" t="s">
        <v>1318</v>
      </c>
      <c r="AY520" s="56" t="s">
        <v>1118</v>
      </c>
      <c r="AZ520" s="56" t="s">
        <v>1054</v>
      </c>
      <c r="BA520" s="56" t="s">
        <v>1319</v>
      </c>
      <c r="BB520" s="56" t="s">
        <v>1320</v>
      </c>
      <c r="BC520" s="56" t="s">
        <v>1057</v>
      </c>
      <c r="BD520" s="56" t="s">
        <v>2063</v>
      </c>
    </row>
    <row r="521" spans="1:56" x14ac:dyDescent="0.2">
      <c r="A521" s="56">
        <v>176638913</v>
      </c>
      <c r="B521" s="56" t="s">
        <v>1763</v>
      </c>
      <c r="C521" s="56" t="s">
        <v>2623</v>
      </c>
      <c r="D521" s="56" t="s">
        <v>1111</v>
      </c>
      <c r="E521" s="56" t="s">
        <v>1044</v>
      </c>
      <c r="F521" s="56">
        <v>88</v>
      </c>
      <c r="G521" s="56" t="s">
        <v>2670</v>
      </c>
      <c r="H521" s="56">
        <v>13755</v>
      </c>
      <c r="I521" s="56">
        <v>6</v>
      </c>
      <c r="J521" s="56" t="s">
        <v>1045</v>
      </c>
      <c r="K521" s="56" t="s">
        <v>1116</v>
      </c>
      <c r="L521" s="121">
        <v>46267</v>
      </c>
      <c r="M521" s="122">
        <v>0.25486111111111109</v>
      </c>
      <c r="N521" s="122">
        <v>0.2590277777777778</v>
      </c>
      <c r="O521" s="56" t="s">
        <v>1047</v>
      </c>
      <c r="P521" s="121">
        <v>46267</v>
      </c>
      <c r="Q521" s="122">
        <v>0.28125</v>
      </c>
      <c r="R521" s="122">
        <v>0.28050925925925924</v>
      </c>
      <c r="S521" s="56" t="s">
        <v>1047</v>
      </c>
      <c r="T521" s="56">
        <v>1</v>
      </c>
      <c r="U521" s="56">
        <v>24</v>
      </c>
      <c r="V521" s="56">
        <v>18.93</v>
      </c>
      <c r="W521" s="56">
        <v>19.78</v>
      </c>
      <c r="X521" s="56" t="s">
        <v>2624</v>
      </c>
      <c r="Y521" s="56" t="s">
        <v>2624</v>
      </c>
      <c r="Z521" s="56" t="s">
        <v>2624</v>
      </c>
      <c r="AA521" s="56" t="s">
        <v>2031</v>
      </c>
      <c r="AB521" s="56">
        <v>14124161</v>
      </c>
      <c r="AC521" s="56" t="s">
        <v>2031</v>
      </c>
      <c r="AD521" s="56">
        <v>14124161</v>
      </c>
      <c r="AE521" s="56" t="s">
        <v>2626</v>
      </c>
      <c r="AF521" s="56" t="s">
        <v>2627</v>
      </c>
      <c r="AG521" s="56" t="s">
        <v>2627</v>
      </c>
      <c r="AH521" s="56">
        <v>36</v>
      </c>
      <c r="AI521" s="56" t="s">
        <v>2628</v>
      </c>
      <c r="AJ521" s="56" t="s">
        <v>2629</v>
      </c>
      <c r="AK521" s="56">
        <v>0</v>
      </c>
      <c r="AL521" s="56" t="s">
        <v>2630</v>
      </c>
      <c r="AM521" s="56" t="s">
        <v>2631</v>
      </c>
      <c r="AN521" s="56" t="s">
        <v>2632</v>
      </c>
      <c r="AO521" s="56" t="s">
        <v>2627</v>
      </c>
      <c r="AP521" s="56" t="s">
        <v>2624</v>
      </c>
      <c r="AQ521" s="123">
        <v>4.1666666666667074E-3</v>
      </c>
      <c r="AR521" s="122">
        <v>-7.4074074074076401E-4</v>
      </c>
      <c r="AS521" s="56" t="s">
        <v>1048</v>
      </c>
      <c r="AT521" s="56" t="s">
        <v>1049</v>
      </c>
      <c r="AU521" s="56" t="s">
        <v>1050</v>
      </c>
      <c r="AV521" s="56">
        <v>36</v>
      </c>
      <c r="AW521" s="56" t="s">
        <v>1051</v>
      </c>
      <c r="AX521" s="56" t="s">
        <v>1764</v>
      </c>
      <c r="AY521" s="56" t="s">
        <v>1118</v>
      </c>
      <c r="AZ521" s="56" t="s">
        <v>1054</v>
      </c>
      <c r="BA521" s="56" t="s">
        <v>1765</v>
      </c>
      <c r="BB521" s="56" t="s">
        <v>1766</v>
      </c>
      <c r="BC521" s="56" t="s">
        <v>1057</v>
      </c>
      <c r="BD521" s="56" t="s">
        <v>1767</v>
      </c>
    </row>
    <row r="522" spans="1:56" x14ac:dyDescent="0.2">
      <c r="A522" s="56">
        <v>176635853</v>
      </c>
      <c r="B522" s="56" t="s">
        <v>1361</v>
      </c>
      <c r="C522" s="56" t="s">
        <v>2623</v>
      </c>
      <c r="D522" s="56" t="s">
        <v>1362</v>
      </c>
      <c r="E522" s="56" t="s">
        <v>1044</v>
      </c>
      <c r="F522" s="56">
        <v>28</v>
      </c>
      <c r="G522" s="56"/>
      <c r="H522" s="56">
        <v>15485</v>
      </c>
      <c r="I522" s="56">
        <v>6</v>
      </c>
      <c r="J522" s="56" t="s">
        <v>1045</v>
      </c>
      <c r="K522" s="56" t="s">
        <v>1046</v>
      </c>
      <c r="L522" s="121">
        <v>46267</v>
      </c>
      <c r="M522" s="122">
        <v>0.26041666666666669</v>
      </c>
      <c r="N522" s="122">
        <v>0.26527777777777778</v>
      </c>
      <c r="O522" s="56" t="s">
        <v>1047</v>
      </c>
      <c r="P522" s="121">
        <v>46267</v>
      </c>
      <c r="Q522" s="122">
        <v>0.3125</v>
      </c>
      <c r="R522" s="122">
        <v>0.30464120370370368</v>
      </c>
      <c r="S522" s="56" t="s">
        <v>1047</v>
      </c>
      <c r="T522" s="56">
        <v>1</v>
      </c>
      <c r="U522" s="56">
        <v>62</v>
      </c>
      <c r="V522" s="56">
        <v>58.76</v>
      </c>
      <c r="W522" s="56">
        <v>58.63</v>
      </c>
      <c r="X522" s="56" t="s">
        <v>2624</v>
      </c>
      <c r="Y522" s="56" t="s">
        <v>2624</v>
      </c>
      <c r="Z522" s="56" t="s">
        <v>2624</v>
      </c>
      <c r="AA522" s="56"/>
      <c r="AB522" s="56"/>
      <c r="AC522" s="56" t="s">
        <v>1187</v>
      </c>
      <c r="AD522" s="56"/>
      <c r="AE522" s="56" t="s">
        <v>2626</v>
      </c>
      <c r="AF522" s="56" t="s">
        <v>2627</v>
      </c>
      <c r="AG522" s="56" t="s">
        <v>2627</v>
      </c>
      <c r="AH522" s="56">
        <v>36</v>
      </c>
      <c r="AI522" s="56" t="s">
        <v>2628</v>
      </c>
      <c r="AJ522" s="56" t="s">
        <v>2629</v>
      </c>
      <c r="AK522" s="56">
        <v>0</v>
      </c>
      <c r="AL522" s="56" t="s">
        <v>2630</v>
      </c>
      <c r="AM522" s="56" t="s">
        <v>2631</v>
      </c>
      <c r="AN522" s="56" t="s">
        <v>2632</v>
      </c>
      <c r="AO522" s="56" t="s">
        <v>2627</v>
      </c>
      <c r="AP522" s="56" t="s">
        <v>2624</v>
      </c>
      <c r="AQ522" s="123">
        <v>4.8611111111110938E-3</v>
      </c>
      <c r="AR522" s="122">
        <v>-7.858796296296322E-3</v>
      </c>
      <c r="AS522" s="56" t="s">
        <v>1048</v>
      </c>
      <c r="AT522" s="56" t="s">
        <v>1049</v>
      </c>
      <c r="AU522" s="56" t="s">
        <v>1050</v>
      </c>
      <c r="AV522" s="56">
        <v>36</v>
      </c>
      <c r="AW522" s="56" t="s">
        <v>1051</v>
      </c>
      <c r="AX522" s="56" t="s">
        <v>1363</v>
      </c>
      <c r="AY522" s="56" t="s">
        <v>1053</v>
      </c>
      <c r="AZ522" s="56" t="s">
        <v>1054</v>
      </c>
      <c r="BA522" s="56" t="s">
        <v>1364</v>
      </c>
      <c r="BB522" s="56" t="s">
        <v>1365</v>
      </c>
      <c r="BC522" s="56" t="s">
        <v>1057</v>
      </c>
      <c r="BD522" s="56" t="s">
        <v>1366</v>
      </c>
    </row>
    <row r="523" spans="1:56" x14ac:dyDescent="0.2">
      <c r="A523" s="56">
        <v>176637407</v>
      </c>
      <c r="B523" s="56" t="s">
        <v>3317</v>
      </c>
      <c r="C523" s="56" t="s">
        <v>2623</v>
      </c>
      <c r="D523" s="56" t="s">
        <v>3318</v>
      </c>
      <c r="E523" s="56" t="s">
        <v>1044</v>
      </c>
      <c r="F523" s="56">
        <v>96</v>
      </c>
      <c r="G523" s="56" t="s">
        <v>2714</v>
      </c>
      <c r="H523" s="56">
        <v>5035</v>
      </c>
      <c r="I523" s="56">
        <v>6</v>
      </c>
      <c r="J523" s="56" t="s">
        <v>1045</v>
      </c>
      <c r="K523" s="56" t="s">
        <v>1374</v>
      </c>
      <c r="L523" s="121">
        <v>46267</v>
      </c>
      <c r="M523" s="122">
        <v>0.27083333333333331</v>
      </c>
      <c r="N523" s="122">
        <v>0.27708333333333335</v>
      </c>
      <c r="O523" s="56" t="s">
        <v>1047</v>
      </c>
      <c r="P523" s="121">
        <v>46267</v>
      </c>
      <c r="Q523" s="122">
        <v>0.34722222222222221</v>
      </c>
      <c r="R523" s="122">
        <v>0.32430555555555557</v>
      </c>
      <c r="S523" s="56" t="s">
        <v>1047</v>
      </c>
      <c r="T523" s="56">
        <v>1</v>
      </c>
      <c r="U523" s="56">
        <v>67</v>
      </c>
      <c r="V523" s="56">
        <v>64.94</v>
      </c>
      <c r="W523" s="56">
        <v>62.54</v>
      </c>
      <c r="X523" s="56" t="s">
        <v>2624</v>
      </c>
      <c r="Y523" s="56" t="s">
        <v>2624</v>
      </c>
      <c r="Z523" s="56" t="s">
        <v>2624</v>
      </c>
      <c r="AA523" s="56" t="s">
        <v>1460</v>
      </c>
      <c r="AB523" s="56">
        <v>14122035</v>
      </c>
      <c r="AC523" s="56" t="s">
        <v>1460</v>
      </c>
      <c r="AD523" s="56">
        <v>14122035</v>
      </c>
      <c r="AE523" s="56" t="s">
        <v>2626</v>
      </c>
      <c r="AF523" s="56" t="s">
        <v>2627</v>
      </c>
      <c r="AG523" s="56" t="s">
        <v>2627</v>
      </c>
      <c r="AH523" s="56">
        <v>36</v>
      </c>
      <c r="AI523" s="56" t="s">
        <v>2628</v>
      </c>
      <c r="AJ523" s="56" t="s">
        <v>2629</v>
      </c>
      <c r="AK523" s="56">
        <v>0</v>
      </c>
      <c r="AL523" s="56" t="s">
        <v>2630</v>
      </c>
      <c r="AM523" s="56" t="s">
        <v>2631</v>
      </c>
      <c r="AN523" s="56" t="s">
        <v>2632</v>
      </c>
      <c r="AO523" s="56" t="s">
        <v>2627</v>
      </c>
      <c r="AP523" s="56">
        <v>38</v>
      </c>
      <c r="AQ523" s="123">
        <v>6.2500000000000333E-3</v>
      </c>
      <c r="AR523" s="122">
        <v>-2.2916666666666641E-2</v>
      </c>
      <c r="AS523" s="56" t="s">
        <v>1048</v>
      </c>
      <c r="AT523" s="56" t="s">
        <v>1049</v>
      </c>
      <c r="AU523" s="56" t="s">
        <v>1050</v>
      </c>
      <c r="AV523" s="56">
        <v>36</v>
      </c>
      <c r="AW523" s="56" t="s">
        <v>1051</v>
      </c>
      <c r="AX523" s="56" t="s">
        <v>3319</v>
      </c>
      <c r="AY523" s="56" t="s">
        <v>1375</v>
      </c>
      <c r="AZ523" s="56" t="s">
        <v>1067</v>
      </c>
      <c r="BA523" s="56" t="s">
        <v>3320</v>
      </c>
      <c r="BB523" s="56" t="s">
        <v>3321</v>
      </c>
      <c r="BC523" s="56" t="s">
        <v>1057</v>
      </c>
      <c r="BD523" s="56" t="s">
        <v>3322</v>
      </c>
    </row>
    <row r="524" spans="1:56" x14ac:dyDescent="0.2">
      <c r="A524" s="56">
        <v>176637445</v>
      </c>
      <c r="B524" s="56" t="s">
        <v>3559</v>
      </c>
      <c r="C524" s="56" t="s">
        <v>2623</v>
      </c>
      <c r="D524" s="56" t="s">
        <v>3560</v>
      </c>
      <c r="E524" s="56" t="s">
        <v>1044</v>
      </c>
      <c r="F524" s="56">
        <v>135</v>
      </c>
      <c r="G524" s="56" t="s">
        <v>3329</v>
      </c>
      <c r="H524" s="56">
        <v>6979</v>
      </c>
      <c r="I524" s="56">
        <v>7</v>
      </c>
      <c r="J524" s="56" t="s">
        <v>1045</v>
      </c>
      <c r="K524" s="56" t="s">
        <v>1374</v>
      </c>
      <c r="L524" s="121">
        <v>46267</v>
      </c>
      <c r="M524" s="122">
        <v>0.27083333333333331</v>
      </c>
      <c r="N524" s="122">
        <v>0.33263888888888887</v>
      </c>
      <c r="O524" s="56" t="s">
        <v>1047</v>
      </c>
      <c r="P524" s="121">
        <v>46267</v>
      </c>
      <c r="Q524" s="122">
        <v>0.34722222222222221</v>
      </c>
      <c r="R524" s="122">
        <v>0.39652777777777776</v>
      </c>
      <c r="S524" s="56" t="s">
        <v>1163</v>
      </c>
      <c r="T524" s="56">
        <v>0</v>
      </c>
      <c r="U524" s="56">
        <v>59</v>
      </c>
      <c r="V524" s="56">
        <v>55.24</v>
      </c>
      <c r="W524" s="56">
        <v>58.56</v>
      </c>
      <c r="X524" s="56">
        <v>74.37</v>
      </c>
      <c r="Y524" s="56">
        <v>2.25</v>
      </c>
      <c r="Z524" s="56">
        <v>13.56</v>
      </c>
      <c r="AA524" s="56" t="s">
        <v>442</v>
      </c>
      <c r="AB524" s="56">
        <v>14122685</v>
      </c>
      <c r="AC524" s="56" t="s">
        <v>442</v>
      </c>
      <c r="AD524" s="56">
        <v>14122685</v>
      </c>
      <c r="AE524" s="56" t="s">
        <v>2626</v>
      </c>
      <c r="AF524" s="56" t="s">
        <v>2627</v>
      </c>
      <c r="AG524" s="56" t="s">
        <v>2627</v>
      </c>
      <c r="AH524" s="56">
        <v>36</v>
      </c>
      <c r="AI524" s="56" t="s">
        <v>2880</v>
      </c>
      <c r="AJ524" s="56" t="s">
        <v>2640</v>
      </c>
      <c r="AK524" s="56">
        <v>0</v>
      </c>
      <c r="AL524" s="56" t="s">
        <v>2630</v>
      </c>
      <c r="AM524" s="56" t="s">
        <v>2631</v>
      </c>
      <c r="AN524" s="56" t="s">
        <v>2632</v>
      </c>
      <c r="AO524" s="56" t="s">
        <v>2627</v>
      </c>
      <c r="AP524" s="56" t="s">
        <v>2624</v>
      </c>
      <c r="AQ524" s="123">
        <v>6.1805555555555558E-2</v>
      </c>
      <c r="AR524" s="122">
        <v>4.9305555555555547E-2</v>
      </c>
      <c r="AS524" s="56" t="s">
        <v>1048</v>
      </c>
      <c r="AT524" s="56" t="s">
        <v>1059</v>
      </c>
      <c r="AU524" s="56" t="s">
        <v>1060</v>
      </c>
      <c r="AV524" s="56">
        <v>36</v>
      </c>
      <c r="AW524" s="56" t="s">
        <v>1051</v>
      </c>
      <c r="AX524" s="56" t="s">
        <v>3561</v>
      </c>
      <c r="AY524" s="56" t="s">
        <v>1375</v>
      </c>
      <c r="AZ524" s="56" t="s">
        <v>1067</v>
      </c>
      <c r="BA524" s="56" t="s">
        <v>3562</v>
      </c>
      <c r="BB524" s="56" t="s">
        <v>3563</v>
      </c>
      <c r="BC524" s="56" t="s">
        <v>1057</v>
      </c>
      <c r="BD524" s="56" t="s">
        <v>3564</v>
      </c>
    </row>
    <row r="525" spans="1:56" x14ac:dyDescent="0.2">
      <c r="A525" s="56">
        <v>176630337</v>
      </c>
      <c r="B525" s="56" t="s">
        <v>1367</v>
      </c>
      <c r="C525" s="56" t="s">
        <v>2623</v>
      </c>
      <c r="D525" s="56" t="s">
        <v>1368</v>
      </c>
      <c r="E525" s="56" t="s">
        <v>1044</v>
      </c>
      <c r="F525" s="56">
        <v>1</v>
      </c>
      <c r="G525" s="56" t="s">
        <v>2713</v>
      </c>
      <c r="H525" s="56">
        <v>16783</v>
      </c>
      <c r="I525" s="56">
        <v>6</v>
      </c>
      <c r="J525" s="56" t="s">
        <v>1045</v>
      </c>
      <c r="K525" s="56" t="s">
        <v>1091</v>
      </c>
      <c r="L525" s="121">
        <v>46267</v>
      </c>
      <c r="M525" s="122">
        <v>0.27430555555555558</v>
      </c>
      <c r="N525" s="122">
        <v>0.28888888888888886</v>
      </c>
      <c r="O525" s="56" t="s">
        <v>1047</v>
      </c>
      <c r="P525" s="121">
        <v>46267</v>
      </c>
      <c r="Q525" s="122">
        <v>0.33333333333333331</v>
      </c>
      <c r="R525" s="122">
        <v>0.33825231481481483</v>
      </c>
      <c r="S525" s="56" t="s">
        <v>1047</v>
      </c>
      <c r="T525" s="56">
        <v>1</v>
      </c>
      <c r="U525" s="56">
        <v>28</v>
      </c>
      <c r="V525" s="56">
        <v>24.62</v>
      </c>
      <c r="W525" s="56">
        <v>25.09</v>
      </c>
      <c r="X525" s="56" t="s">
        <v>2624</v>
      </c>
      <c r="Y525" s="56" t="s">
        <v>2624</v>
      </c>
      <c r="Z525" s="56" t="s">
        <v>2624</v>
      </c>
      <c r="AA525" s="56" t="s">
        <v>1805</v>
      </c>
      <c r="AB525" s="56">
        <v>14122067</v>
      </c>
      <c r="AC525" s="56" t="s">
        <v>1805</v>
      </c>
      <c r="AD525" s="56">
        <v>14122067</v>
      </c>
      <c r="AE525" s="56" t="s">
        <v>2626</v>
      </c>
      <c r="AF525" s="56" t="s">
        <v>2627</v>
      </c>
      <c r="AG525" s="56" t="s">
        <v>2627</v>
      </c>
      <c r="AH525" s="56">
        <v>36</v>
      </c>
      <c r="AI525" s="56" t="s">
        <v>2628</v>
      </c>
      <c r="AJ525" s="56" t="s">
        <v>2640</v>
      </c>
      <c r="AK525" s="56">
        <v>0</v>
      </c>
      <c r="AL525" s="56" t="s">
        <v>2630</v>
      </c>
      <c r="AM525" s="56" t="s">
        <v>2631</v>
      </c>
      <c r="AN525" s="56" t="s">
        <v>2632</v>
      </c>
      <c r="AO525" s="56" t="s">
        <v>2627</v>
      </c>
      <c r="AP525" s="56" t="s">
        <v>2624</v>
      </c>
      <c r="AQ525" s="123">
        <v>1.4583333333333282E-2</v>
      </c>
      <c r="AR525" s="122">
        <v>4.9189814814815103E-3</v>
      </c>
      <c r="AS525" s="56" t="s">
        <v>1048</v>
      </c>
      <c r="AT525" s="56" t="s">
        <v>1059</v>
      </c>
      <c r="AU525" s="56" t="s">
        <v>1060</v>
      </c>
      <c r="AV525" s="56">
        <v>36</v>
      </c>
      <c r="AW525" s="56" t="s">
        <v>1051</v>
      </c>
      <c r="AX525" s="56" t="s">
        <v>1370</v>
      </c>
      <c r="AY525" s="56" t="s">
        <v>1093</v>
      </c>
      <c r="AZ525" s="56" t="s">
        <v>1067</v>
      </c>
      <c r="BA525" s="56" t="s">
        <v>1371</v>
      </c>
      <c r="BB525" s="56" t="s">
        <v>1372</v>
      </c>
      <c r="BC525" s="56" t="s">
        <v>1057</v>
      </c>
      <c r="BD525" s="56" t="s">
        <v>1373</v>
      </c>
    </row>
    <row r="526" spans="1:56" x14ac:dyDescent="0.2">
      <c r="A526" s="56">
        <v>176637427</v>
      </c>
      <c r="B526" s="56" t="s">
        <v>1563</v>
      </c>
      <c r="C526" s="56" t="s">
        <v>2623</v>
      </c>
      <c r="D526" s="56" t="s">
        <v>1509</v>
      </c>
      <c r="E526" s="56" t="s">
        <v>1044</v>
      </c>
      <c r="F526" s="56">
        <v>116</v>
      </c>
      <c r="G526" s="56" t="s">
        <v>2727</v>
      </c>
      <c r="H526" s="56">
        <v>16768</v>
      </c>
      <c r="I526" s="56">
        <v>6</v>
      </c>
      <c r="J526" s="56" t="s">
        <v>1045</v>
      </c>
      <c r="K526" s="56" t="s">
        <v>1374</v>
      </c>
      <c r="L526" s="121">
        <v>46267</v>
      </c>
      <c r="M526" s="122">
        <v>0.28125</v>
      </c>
      <c r="N526" s="122">
        <v>0.28819444444444442</v>
      </c>
      <c r="O526" s="56" t="s">
        <v>1047</v>
      </c>
      <c r="P526" s="121">
        <v>46267</v>
      </c>
      <c r="Q526" s="122">
        <v>0.34722222222222221</v>
      </c>
      <c r="R526" s="122">
        <v>0.3333564814814815</v>
      </c>
      <c r="S526" s="56" t="s">
        <v>1047</v>
      </c>
      <c r="T526" s="56">
        <v>1</v>
      </c>
      <c r="U526" s="56">
        <v>43</v>
      </c>
      <c r="V526" s="56">
        <v>41.12</v>
      </c>
      <c r="W526" s="56">
        <v>41.15</v>
      </c>
      <c r="X526" s="56" t="s">
        <v>2624</v>
      </c>
      <c r="Y526" s="56" t="s">
        <v>2624</v>
      </c>
      <c r="Z526" s="56" t="s">
        <v>2624</v>
      </c>
      <c r="AA526" s="56" t="s">
        <v>15</v>
      </c>
      <c r="AB526" s="56">
        <v>14100729</v>
      </c>
      <c r="AC526" s="56" t="s">
        <v>15</v>
      </c>
      <c r="AD526" s="56">
        <v>14100729</v>
      </c>
      <c r="AE526" s="56" t="s">
        <v>2626</v>
      </c>
      <c r="AF526" s="56" t="s">
        <v>2627</v>
      </c>
      <c r="AG526" s="56" t="s">
        <v>2627</v>
      </c>
      <c r="AH526" s="56">
        <v>36</v>
      </c>
      <c r="AI526" s="56" t="s">
        <v>2628</v>
      </c>
      <c r="AJ526" s="56" t="s">
        <v>2629</v>
      </c>
      <c r="AK526" s="56">
        <v>0</v>
      </c>
      <c r="AL526" s="56" t="s">
        <v>2630</v>
      </c>
      <c r="AM526" s="56" t="s">
        <v>2631</v>
      </c>
      <c r="AN526" s="56" t="s">
        <v>2632</v>
      </c>
      <c r="AO526" s="56" t="s">
        <v>2627</v>
      </c>
      <c r="AP526" s="56">
        <v>40</v>
      </c>
      <c r="AQ526" s="123">
        <v>6.9444444444444198E-3</v>
      </c>
      <c r="AR526" s="122">
        <v>-1.3865740740740706E-2</v>
      </c>
      <c r="AS526" s="56" t="s">
        <v>1048</v>
      </c>
      <c r="AT526" s="56" t="s">
        <v>1049</v>
      </c>
      <c r="AU526" s="56" t="s">
        <v>1050</v>
      </c>
      <c r="AV526" s="56">
        <v>36</v>
      </c>
      <c r="AW526" s="56" t="s">
        <v>1051</v>
      </c>
      <c r="AX526" s="56" t="s">
        <v>1564</v>
      </c>
      <c r="AY526" s="56" t="s">
        <v>1375</v>
      </c>
      <c r="AZ526" s="56" t="s">
        <v>1067</v>
      </c>
      <c r="BA526" s="56" t="s">
        <v>1565</v>
      </c>
      <c r="BB526" s="56" t="s">
        <v>1566</v>
      </c>
      <c r="BC526" s="56" t="s">
        <v>1057</v>
      </c>
      <c r="BD526" s="56" t="s">
        <v>1567</v>
      </c>
    </row>
    <row r="527" spans="1:56" x14ac:dyDescent="0.2">
      <c r="A527" s="56">
        <v>176637387</v>
      </c>
      <c r="B527" s="56" t="s">
        <v>1387</v>
      </c>
      <c r="C527" s="56" t="s">
        <v>2623</v>
      </c>
      <c r="D527" s="56" t="s">
        <v>1388</v>
      </c>
      <c r="E527" s="56" t="s">
        <v>1044</v>
      </c>
      <c r="F527" s="56">
        <v>76</v>
      </c>
      <c r="G527" s="56" t="s">
        <v>2714</v>
      </c>
      <c r="H527" s="56">
        <v>13408</v>
      </c>
      <c r="I527" s="56">
        <v>6</v>
      </c>
      <c r="J527" s="56" t="s">
        <v>1045</v>
      </c>
      <c r="K527" s="56" t="s">
        <v>1374</v>
      </c>
      <c r="L527" s="121">
        <v>46267</v>
      </c>
      <c r="M527" s="122">
        <v>0.28472222222222221</v>
      </c>
      <c r="N527" s="122">
        <v>0.30277777777777776</v>
      </c>
      <c r="O527" s="56" t="s">
        <v>1047</v>
      </c>
      <c r="P527" s="121">
        <v>46267</v>
      </c>
      <c r="Q527" s="122">
        <v>0.34722222222222221</v>
      </c>
      <c r="R527" s="122">
        <v>0.3344212962962963</v>
      </c>
      <c r="S527" s="56" t="s">
        <v>1047</v>
      </c>
      <c r="T527" s="56">
        <v>1</v>
      </c>
      <c r="U527" s="56">
        <v>35</v>
      </c>
      <c r="V527" s="56">
        <v>33.72</v>
      </c>
      <c r="W527" s="56">
        <v>33.81</v>
      </c>
      <c r="X527" s="56" t="s">
        <v>2624</v>
      </c>
      <c r="Y527" s="56" t="s">
        <v>2624</v>
      </c>
      <c r="Z527" s="56" t="s">
        <v>2624</v>
      </c>
      <c r="AA527" s="56" t="s">
        <v>545</v>
      </c>
      <c r="AB527" s="56">
        <v>14123559</v>
      </c>
      <c r="AC527" s="56" t="s">
        <v>545</v>
      </c>
      <c r="AD527" s="56">
        <v>14123559</v>
      </c>
      <c r="AE527" s="56" t="s">
        <v>2626</v>
      </c>
      <c r="AF527" s="56" t="s">
        <v>2627</v>
      </c>
      <c r="AG527" s="56" t="s">
        <v>2627</v>
      </c>
      <c r="AH527" s="56">
        <v>36</v>
      </c>
      <c r="AI527" s="56" t="s">
        <v>2628</v>
      </c>
      <c r="AJ527" s="56" t="s">
        <v>2629</v>
      </c>
      <c r="AK527" s="56">
        <v>0</v>
      </c>
      <c r="AL527" s="56" t="s">
        <v>2630</v>
      </c>
      <c r="AM527" s="56" t="s">
        <v>2631</v>
      </c>
      <c r="AN527" s="56" t="s">
        <v>2632</v>
      </c>
      <c r="AO527" s="56" t="s">
        <v>2627</v>
      </c>
      <c r="AP527" s="56" t="s">
        <v>2624</v>
      </c>
      <c r="AQ527" s="123">
        <v>1.8055555555555547E-2</v>
      </c>
      <c r="AR527" s="122">
        <v>-1.280092592592591E-2</v>
      </c>
      <c r="AS527" s="56" t="s">
        <v>1048</v>
      </c>
      <c r="AT527" s="56" t="s">
        <v>1049</v>
      </c>
      <c r="AU527" s="56" t="s">
        <v>1050</v>
      </c>
      <c r="AV527" s="56">
        <v>36</v>
      </c>
      <c r="AW527" s="56" t="s">
        <v>1051</v>
      </c>
      <c r="AX527" s="56" t="s">
        <v>1389</v>
      </c>
      <c r="AY527" s="56" t="s">
        <v>1375</v>
      </c>
      <c r="AZ527" s="56" t="s">
        <v>1067</v>
      </c>
      <c r="BA527" s="56" t="s">
        <v>1390</v>
      </c>
      <c r="BB527" s="56" t="s">
        <v>1391</v>
      </c>
      <c r="BC527" s="56" t="s">
        <v>1057</v>
      </c>
      <c r="BD527" s="56" t="s">
        <v>1392</v>
      </c>
    </row>
    <row r="528" spans="1:56" x14ac:dyDescent="0.2">
      <c r="A528" s="56">
        <v>176637406</v>
      </c>
      <c r="B528" s="56" t="s">
        <v>2165</v>
      </c>
      <c r="C528" s="56" t="s">
        <v>2623</v>
      </c>
      <c r="D528" s="56" t="s">
        <v>2166</v>
      </c>
      <c r="E528" s="56" t="s">
        <v>1044</v>
      </c>
      <c r="F528" s="56">
        <v>95</v>
      </c>
      <c r="G528" s="56" t="s">
        <v>2727</v>
      </c>
      <c r="H528" s="56">
        <v>16766</v>
      </c>
      <c r="I528" s="56">
        <v>6</v>
      </c>
      <c r="J528" s="56" t="s">
        <v>1045</v>
      </c>
      <c r="K528" s="56" t="s">
        <v>1374</v>
      </c>
      <c r="L528" s="121">
        <v>46267</v>
      </c>
      <c r="M528" s="122">
        <v>0.28472222222222221</v>
      </c>
      <c r="N528" s="122">
        <v>0.28819444444444442</v>
      </c>
      <c r="O528" s="56" t="s">
        <v>1047</v>
      </c>
      <c r="P528" s="121">
        <v>46267</v>
      </c>
      <c r="Q528" s="122">
        <v>0.34722222222222221</v>
      </c>
      <c r="R528" s="122">
        <v>0.31975694444444447</v>
      </c>
      <c r="S528" s="56" t="s">
        <v>1047</v>
      </c>
      <c r="T528" s="56">
        <v>1</v>
      </c>
      <c r="U528" s="56">
        <v>30</v>
      </c>
      <c r="V528" s="56">
        <v>27.27</v>
      </c>
      <c r="W528" s="56">
        <v>27.68</v>
      </c>
      <c r="X528" s="56" t="s">
        <v>2624</v>
      </c>
      <c r="Y528" s="56" t="s">
        <v>2624</v>
      </c>
      <c r="Z528" s="56" t="s">
        <v>2624</v>
      </c>
      <c r="AA528" s="56" t="s">
        <v>263</v>
      </c>
      <c r="AB528" s="56">
        <v>14119825</v>
      </c>
      <c r="AC528" s="56" t="s">
        <v>263</v>
      </c>
      <c r="AD528" s="56">
        <v>14119825</v>
      </c>
      <c r="AE528" s="56" t="s">
        <v>2626</v>
      </c>
      <c r="AF528" s="56" t="s">
        <v>2627</v>
      </c>
      <c r="AG528" s="56" t="s">
        <v>2627</v>
      </c>
      <c r="AH528" s="56">
        <v>36</v>
      </c>
      <c r="AI528" s="56" t="s">
        <v>2628</v>
      </c>
      <c r="AJ528" s="56" t="s">
        <v>2629</v>
      </c>
      <c r="AK528" s="56">
        <v>0</v>
      </c>
      <c r="AL528" s="56" t="s">
        <v>2630</v>
      </c>
      <c r="AM528" s="56" t="s">
        <v>2631</v>
      </c>
      <c r="AN528" s="56" t="s">
        <v>2632</v>
      </c>
      <c r="AO528" s="56" t="s">
        <v>2627</v>
      </c>
      <c r="AP528" s="56" t="s">
        <v>2624</v>
      </c>
      <c r="AQ528" s="123">
        <v>3.4722222222222099E-3</v>
      </c>
      <c r="AR528" s="122">
        <v>-2.7465277777777741E-2</v>
      </c>
      <c r="AS528" s="56" t="s">
        <v>1048</v>
      </c>
      <c r="AT528" s="56" t="s">
        <v>1049</v>
      </c>
      <c r="AU528" s="56" t="s">
        <v>1050</v>
      </c>
      <c r="AV528" s="56">
        <v>36</v>
      </c>
      <c r="AW528" s="56" t="s">
        <v>1051</v>
      </c>
      <c r="AX528" s="56" t="s">
        <v>2167</v>
      </c>
      <c r="AY528" s="56" t="s">
        <v>1375</v>
      </c>
      <c r="AZ528" s="56" t="s">
        <v>1067</v>
      </c>
      <c r="BA528" s="56" t="s">
        <v>2168</v>
      </c>
      <c r="BB528" s="56" t="s">
        <v>2169</v>
      </c>
      <c r="BC528" s="56" t="s">
        <v>1057</v>
      </c>
      <c r="BD528" s="56" t="s">
        <v>2170</v>
      </c>
    </row>
    <row r="529" spans="1:56" x14ac:dyDescent="0.2">
      <c r="A529" s="56">
        <v>176637417</v>
      </c>
      <c r="B529" s="56" t="s">
        <v>1691</v>
      </c>
      <c r="C529" s="56" t="s">
        <v>2623</v>
      </c>
      <c r="D529" s="56" t="s">
        <v>1692</v>
      </c>
      <c r="E529" s="56" t="s">
        <v>1044</v>
      </c>
      <c r="F529" s="56">
        <v>106</v>
      </c>
      <c r="G529" s="56" t="s">
        <v>2727</v>
      </c>
      <c r="H529" s="56">
        <v>17352</v>
      </c>
      <c r="I529" s="56">
        <v>6</v>
      </c>
      <c r="J529" s="56" t="s">
        <v>1045</v>
      </c>
      <c r="K529" s="56" t="s">
        <v>1374</v>
      </c>
      <c r="L529" s="121">
        <v>46267</v>
      </c>
      <c r="M529" s="122">
        <v>0.28472222222222221</v>
      </c>
      <c r="N529" s="122">
        <v>0.29722222222222222</v>
      </c>
      <c r="O529" s="56" t="s">
        <v>1047</v>
      </c>
      <c r="P529" s="121">
        <v>46267</v>
      </c>
      <c r="Q529" s="122">
        <v>0.34722222222222221</v>
      </c>
      <c r="R529" s="122">
        <v>0.34427083333333336</v>
      </c>
      <c r="S529" s="56" t="s">
        <v>1047</v>
      </c>
      <c r="T529" s="56">
        <v>1</v>
      </c>
      <c r="U529" s="56">
        <v>28</v>
      </c>
      <c r="V529" s="56">
        <v>-13805.89</v>
      </c>
      <c r="W529" s="56">
        <v>23.75</v>
      </c>
      <c r="X529" s="56" t="s">
        <v>2624</v>
      </c>
      <c r="Y529" s="56" t="s">
        <v>2624</v>
      </c>
      <c r="Z529" s="56" t="s">
        <v>2624</v>
      </c>
      <c r="AA529" s="56" t="s">
        <v>265</v>
      </c>
      <c r="AB529" s="56">
        <v>14119837</v>
      </c>
      <c r="AC529" s="56" t="s">
        <v>265</v>
      </c>
      <c r="AD529" s="56">
        <v>14119837</v>
      </c>
      <c r="AE529" s="56" t="s">
        <v>2626</v>
      </c>
      <c r="AF529" s="56" t="s">
        <v>2627</v>
      </c>
      <c r="AG529" s="56" t="s">
        <v>2627</v>
      </c>
      <c r="AH529" s="56">
        <v>36</v>
      </c>
      <c r="AI529" s="56" t="s">
        <v>2628</v>
      </c>
      <c r="AJ529" s="56" t="s">
        <v>2629</v>
      </c>
      <c r="AK529" s="56">
        <v>0</v>
      </c>
      <c r="AL529" s="56" t="s">
        <v>2630</v>
      </c>
      <c r="AM529" s="56" t="s">
        <v>2631</v>
      </c>
      <c r="AN529" s="56" t="s">
        <v>2632</v>
      </c>
      <c r="AO529" s="56" t="s">
        <v>2627</v>
      </c>
      <c r="AP529" s="56" t="s">
        <v>2624</v>
      </c>
      <c r="AQ529" s="123">
        <v>1.2500000000000011E-2</v>
      </c>
      <c r="AR529" s="122">
        <v>-2.9513888888888506E-3</v>
      </c>
      <c r="AS529" s="56" t="s">
        <v>1048</v>
      </c>
      <c r="AT529" s="56" t="s">
        <v>1049</v>
      </c>
      <c r="AU529" s="56" t="s">
        <v>1050</v>
      </c>
      <c r="AV529" s="56">
        <v>36</v>
      </c>
      <c r="AW529" s="56" t="s">
        <v>1051</v>
      </c>
      <c r="AX529" s="56" t="s">
        <v>1693</v>
      </c>
      <c r="AY529" s="56" t="s">
        <v>1375</v>
      </c>
      <c r="AZ529" s="56" t="s">
        <v>1067</v>
      </c>
      <c r="BA529" s="56" t="s">
        <v>1694</v>
      </c>
      <c r="BB529" s="56" t="s">
        <v>1695</v>
      </c>
      <c r="BC529" s="56" t="s">
        <v>1057</v>
      </c>
      <c r="BD529" s="56" t="s">
        <v>1696</v>
      </c>
    </row>
    <row r="530" spans="1:56" x14ac:dyDescent="0.2">
      <c r="A530" s="56">
        <v>176637436</v>
      </c>
      <c r="B530" s="56" t="s">
        <v>1393</v>
      </c>
      <c r="C530" s="56" t="s">
        <v>2623</v>
      </c>
      <c r="D530" s="56" t="s">
        <v>1308</v>
      </c>
      <c r="E530" s="56" t="s">
        <v>1044</v>
      </c>
      <c r="F530" s="56">
        <v>126</v>
      </c>
      <c r="G530" s="56" t="s">
        <v>3329</v>
      </c>
      <c r="H530" s="56">
        <v>17362</v>
      </c>
      <c r="I530" s="56">
        <v>6</v>
      </c>
      <c r="J530" s="56" t="s">
        <v>1045</v>
      </c>
      <c r="K530" s="56" t="s">
        <v>1374</v>
      </c>
      <c r="L530" s="121">
        <v>46267</v>
      </c>
      <c r="M530" s="122">
        <v>0.28472222222222221</v>
      </c>
      <c r="N530" s="122">
        <v>0.30625000000000002</v>
      </c>
      <c r="O530" s="56" t="s">
        <v>1047</v>
      </c>
      <c r="P530" s="121">
        <v>46267</v>
      </c>
      <c r="Q530" s="122">
        <v>0.34722222222222221</v>
      </c>
      <c r="R530" s="122">
        <v>0.35063657407407406</v>
      </c>
      <c r="S530" s="56" t="s">
        <v>1047</v>
      </c>
      <c r="T530" s="56">
        <v>1</v>
      </c>
      <c r="U530" s="56">
        <v>32</v>
      </c>
      <c r="V530" s="56">
        <v>28.9</v>
      </c>
      <c r="W530" s="56">
        <v>29.07</v>
      </c>
      <c r="X530" s="56" t="s">
        <v>2624</v>
      </c>
      <c r="Y530" s="56" t="s">
        <v>2624</v>
      </c>
      <c r="Z530" s="56" t="s">
        <v>2624</v>
      </c>
      <c r="AA530" s="56" t="s">
        <v>310</v>
      </c>
      <c r="AB530" s="56">
        <v>14121013</v>
      </c>
      <c r="AC530" s="56" t="s">
        <v>310</v>
      </c>
      <c r="AD530" s="56">
        <v>14121013</v>
      </c>
      <c r="AE530" s="56" t="s">
        <v>2626</v>
      </c>
      <c r="AF530" s="56" t="s">
        <v>2627</v>
      </c>
      <c r="AG530" s="56" t="s">
        <v>2627</v>
      </c>
      <c r="AH530" s="56">
        <v>36</v>
      </c>
      <c r="AI530" s="56" t="s">
        <v>2628</v>
      </c>
      <c r="AJ530" s="56" t="s">
        <v>2640</v>
      </c>
      <c r="AK530" s="56">
        <v>0</v>
      </c>
      <c r="AL530" s="56" t="s">
        <v>2630</v>
      </c>
      <c r="AM530" s="56" t="s">
        <v>2631</v>
      </c>
      <c r="AN530" s="56" t="s">
        <v>2632</v>
      </c>
      <c r="AO530" s="56" t="s">
        <v>2627</v>
      </c>
      <c r="AP530" s="56" t="s">
        <v>2624</v>
      </c>
      <c r="AQ530" s="123">
        <v>2.1527777777777812E-2</v>
      </c>
      <c r="AR530" s="122">
        <v>3.414351851851849E-3</v>
      </c>
      <c r="AS530" s="56" t="s">
        <v>1048</v>
      </c>
      <c r="AT530" s="56" t="s">
        <v>1049</v>
      </c>
      <c r="AU530" s="56" t="s">
        <v>1050</v>
      </c>
      <c r="AV530" s="56">
        <v>36</v>
      </c>
      <c r="AW530" s="56" t="s">
        <v>1051</v>
      </c>
      <c r="AX530" s="56" t="s">
        <v>1394</v>
      </c>
      <c r="AY530" s="56" t="s">
        <v>1375</v>
      </c>
      <c r="AZ530" s="56" t="s">
        <v>1067</v>
      </c>
      <c r="BA530" s="56" t="s">
        <v>1395</v>
      </c>
      <c r="BB530" s="56" t="s">
        <v>1396</v>
      </c>
      <c r="BC530" s="56" t="s">
        <v>1057</v>
      </c>
      <c r="BD530" s="56" t="s">
        <v>1397</v>
      </c>
    </row>
    <row r="531" spans="1:56" x14ac:dyDescent="0.2">
      <c r="A531" s="56">
        <v>176637439</v>
      </c>
      <c r="B531" s="56" t="s">
        <v>3458</v>
      </c>
      <c r="C531" s="56" t="s">
        <v>2623</v>
      </c>
      <c r="D531" s="56" t="s">
        <v>3459</v>
      </c>
      <c r="E531" s="56" t="s">
        <v>1044</v>
      </c>
      <c r="F531" s="56">
        <v>129</v>
      </c>
      <c r="G531" s="56" t="s">
        <v>2727</v>
      </c>
      <c r="H531" s="56">
        <v>14689</v>
      </c>
      <c r="I531" s="56">
        <v>6</v>
      </c>
      <c r="J531" s="56" t="s">
        <v>1045</v>
      </c>
      <c r="K531" s="56" t="s">
        <v>1374</v>
      </c>
      <c r="L531" s="121">
        <v>46267</v>
      </c>
      <c r="M531" s="122">
        <v>0.28680555555555554</v>
      </c>
      <c r="N531" s="122">
        <v>0.2902777777777778</v>
      </c>
      <c r="O531" s="56" t="s">
        <v>1047</v>
      </c>
      <c r="P531" s="121">
        <v>46267</v>
      </c>
      <c r="Q531" s="122">
        <v>0.34722222222222221</v>
      </c>
      <c r="R531" s="122">
        <v>0.32476851851851851</v>
      </c>
      <c r="S531" s="56" t="s">
        <v>1047</v>
      </c>
      <c r="T531" s="56">
        <v>1</v>
      </c>
      <c r="U531" s="56">
        <v>32</v>
      </c>
      <c r="V531" s="56">
        <v>30.53</v>
      </c>
      <c r="W531" s="56">
        <v>29.69</v>
      </c>
      <c r="X531" s="56" t="s">
        <v>2624</v>
      </c>
      <c r="Y531" s="56" t="s">
        <v>2624</v>
      </c>
      <c r="Z531" s="56" t="s">
        <v>2624</v>
      </c>
      <c r="AA531" s="56" t="s">
        <v>524</v>
      </c>
      <c r="AB531" s="56">
        <v>14123463</v>
      </c>
      <c r="AC531" s="56" t="s">
        <v>524</v>
      </c>
      <c r="AD531" s="56">
        <v>14123463</v>
      </c>
      <c r="AE531" s="56" t="s">
        <v>2626</v>
      </c>
      <c r="AF531" s="56" t="s">
        <v>2627</v>
      </c>
      <c r="AG531" s="56" t="s">
        <v>2627</v>
      </c>
      <c r="AH531" s="56">
        <v>36</v>
      </c>
      <c r="AI531" s="56" t="s">
        <v>2628</v>
      </c>
      <c r="AJ531" s="56" t="s">
        <v>2629</v>
      </c>
      <c r="AK531" s="56">
        <v>0</v>
      </c>
      <c r="AL531" s="56" t="s">
        <v>2630</v>
      </c>
      <c r="AM531" s="56" t="s">
        <v>2631</v>
      </c>
      <c r="AN531" s="56" t="s">
        <v>2632</v>
      </c>
      <c r="AO531" s="56" t="s">
        <v>2627</v>
      </c>
      <c r="AP531" s="56" t="s">
        <v>2624</v>
      </c>
      <c r="AQ531" s="123">
        <v>3.4722222222222654E-3</v>
      </c>
      <c r="AR531" s="122">
        <v>-2.2453703703703698E-2</v>
      </c>
      <c r="AS531" s="56" t="s">
        <v>1048</v>
      </c>
      <c r="AT531" s="56" t="s">
        <v>1049</v>
      </c>
      <c r="AU531" s="56" t="s">
        <v>1050</v>
      </c>
      <c r="AV531" s="56">
        <v>36</v>
      </c>
      <c r="AW531" s="56" t="s">
        <v>1051</v>
      </c>
      <c r="AX531" s="56" t="s">
        <v>3460</v>
      </c>
      <c r="AY531" s="56" t="s">
        <v>1375</v>
      </c>
      <c r="AZ531" s="56" t="s">
        <v>1067</v>
      </c>
      <c r="BA531" s="56" t="s">
        <v>3461</v>
      </c>
      <c r="BB531" s="56" t="s">
        <v>3462</v>
      </c>
      <c r="BC531" s="56" t="s">
        <v>1057</v>
      </c>
      <c r="BD531" s="56" t="s">
        <v>3463</v>
      </c>
    </row>
    <row r="532" spans="1:56" x14ac:dyDescent="0.2">
      <c r="A532" s="56">
        <v>176637432</v>
      </c>
      <c r="B532" s="56" t="s">
        <v>3330</v>
      </c>
      <c r="C532" s="56" t="s">
        <v>2623</v>
      </c>
      <c r="D532" s="56" t="s">
        <v>3331</v>
      </c>
      <c r="E532" s="56" t="s">
        <v>1044</v>
      </c>
      <c r="F532" s="56">
        <v>121</v>
      </c>
      <c r="G532" s="56" t="s">
        <v>3329</v>
      </c>
      <c r="H532" s="56">
        <v>16004</v>
      </c>
      <c r="I532" s="56">
        <v>6</v>
      </c>
      <c r="J532" s="56" t="s">
        <v>1045</v>
      </c>
      <c r="K532" s="56" t="s">
        <v>1374</v>
      </c>
      <c r="L532" s="121">
        <v>46267</v>
      </c>
      <c r="M532" s="122">
        <v>0.28819444444444442</v>
      </c>
      <c r="N532" s="122">
        <v>0.29305555555555557</v>
      </c>
      <c r="O532" s="56" t="s">
        <v>1047</v>
      </c>
      <c r="P532" s="121">
        <v>46267</v>
      </c>
      <c r="Q532" s="122">
        <v>0.34722222222222221</v>
      </c>
      <c r="R532" s="122">
        <v>0.33643518518518517</v>
      </c>
      <c r="S532" s="56" t="s">
        <v>1047</v>
      </c>
      <c r="T532" s="56">
        <v>1</v>
      </c>
      <c r="U532" s="56">
        <v>29</v>
      </c>
      <c r="V532" s="56">
        <v>29.81</v>
      </c>
      <c r="W532" s="56">
        <v>34.42</v>
      </c>
      <c r="X532" s="56" t="s">
        <v>2624</v>
      </c>
      <c r="Y532" s="56" t="s">
        <v>2624</v>
      </c>
      <c r="Z532" s="56" t="s">
        <v>2624</v>
      </c>
      <c r="AA532" s="56" t="s">
        <v>541</v>
      </c>
      <c r="AB532" s="56">
        <v>14123530</v>
      </c>
      <c r="AC532" s="56" t="s">
        <v>541</v>
      </c>
      <c r="AD532" s="56">
        <v>14123530</v>
      </c>
      <c r="AE532" s="56" t="s">
        <v>2626</v>
      </c>
      <c r="AF532" s="56" t="s">
        <v>2627</v>
      </c>
      <c r="AG532" s="56" t="s">
        <v>2627</v>
      </c>
      <c r="AH532" s="56">
        <v>36</v>
      </c>
      <c r="AI532" s="56" t="s">
        <v>2628</v>
      </c>
      <c r="AJ532" s="56" t="s">
        <v>2629</v>
      </c>
      <c r="AK532" s="56">
        <v>0</v>
      </c>
      <c r="AL532" s="56" t="s">
        <v>2630</v>
      </c>
      <c r="AM532" s="56" t="s">
        <v>2631</v>
      </c>
      <c r="AN532" s="56" t="s">
        <v>2632</v>
      </c>
      <c r="AO532" s="56" t="s">
        <v>2627</v>
      </c>
      <c r="AP532" s="56">
        <v>38</v>
      </c>
      <c r="AQ532" s="123">
        <v>4.8611111111111494E-3</v>
      </c>
      <c r="AR532" s="122">
        <v>-1.0787037037037039E-2</v>
      </c>
      <c r="AS532" s="56" t="s">
        <v>1048</v>
      </c>
      <c r="AT532" s="56" t="s">
        <v>1049</v>
      </c>
      <c r="AU532" s="56" t="s">
        <v>1050</v>
      </c>
      <c r="AV532" s="56">
        <v>36</v>
      </c>
      <c r="AW532" s="56" t="s">
        <v>1051</v>
      </c>
      <c r="AX532" s="56" t="s">
        <v>3332</v>
      </c>
      <c r="AY532" s="56" t="s">
        <v>1375</v>
      </c>
      <c r="AZ532" s="56" t="s">
        <v>1067</v>
      </c>
      <c r="BA532" s="56" t="s">
        <v>3333</v>
      </c>
      <c r="BB532" s="56" t="s">
        <v>3334</v>
      </c>
      <c r="BC532" s="56" t="s">
        <v>1057</v>
      </c>
      <c r="BD532" s="56" t="s">
        <v>3335</v>
      </c>
    </row>
    <row r="533" spans="1:56" x14ac:dyDescent="0.2">
      <c r="A533" s="56">
        <v>176637396</v>
      </c>
      <c r="B533" s="56" t="s">
        <v>3565</v>
      </c>
      <c r="C533" s="56" t="s">
        <v>2623</v>
      </c>
      <c r="D533" s="56" t="s">
        <v>3566</v>
      </c>
      <c r="E533" s="56" t="s">
        <v>1044</v>
      </c>
      <c r="F533" s="56">
        <v>85</v>
      </c>
      <c r="G533" s="56" t="s">
        <v>2714</v>
      </c>
      <c r="H533" s="56">
        <v>15999</v>
      </c>
      <c r="I533" s="56">
        <v>6</v>
      </c>
      <c r="J533" s="56" t="s">
        <v>1045</v>
      </c>
      <c r="K533" s="56" t="s">
        <v>1374</v>
      </c>
      <c r="L533" s="121">
        <v>46267</v>
      </c>
      <c r="M533" s="122">
        <v>0.29166666666666669</v>
      </c>
      <c r="N533" s="122">
        <v>0.30138888888888887</v>
      </c>
      <c r="O533" s="56" t="s">
        <v>1047</v>
      </c>
      <c r="P533" s="121">
        <v>46267</v>
      </c>
      <c r="Q533" s="122">
        <v>0.34722222222222221</v>
      </c>
      <c r="R533" s="122">
        <v>0.33303240740740742</v>
      </c>
      <c r="S533" s="56" t="s">
        <v>1047</v>
      </c>
      <c r="T533" s="56">
        <v>1</v>
      </c>
      <c r="U533" s="56">
        <v>19</v>
      </c>
      <c r="V533" s="56">
        <v>15.61</v>
      </c>
      <c r="W533" s="56">
        <v>16.100000000000001</v>
      </c>
      <c r="X533" s="56" t="s">
        <v>2624</v>
      </c>
      <c r="Y533" s="56" t="s">
        <v>2624</v>
      </c>
      <c r="Z533" s="56" t="s">
        <v>2624</v>
      </c>
      <c r="AA533" s="56" t="s">
        <v>1972</v>
      </c>
      <c r="AB533" s="56">
        <v>14124160</v>
      </c>
      <c r="AC533" s="56" t="s">
        <v>1972</v>
      </c>
      <c r="AD533" s="56">
        <v>14124160</v>
      </c>
      <c r="AE533" s="56" t="s">
        <v>2626</v>
      </c>
      <c r="AF533" s="56" t="s">
        <v>2627</v>
      </c>
      <c r="AG533" s="56" t="s">
        <v>2627</v>
      </c>
      <c r="AH533" s="56">
        <v>36</v>
      </c>
      <c r="AI533" s="56" t="s">
        <v>2628</v>
      </c>
      <c r="AJ533" s="56" t="s">
        <v>2629</v>
      </c>
      <c r="AK533" s="56">
        <v>0</v>
      </c>
      <c r="AL533" s="56" t="s">
        <v>2630</v>
      </c>
      <c r="AM533" s="56" t="s">
        <v>2631</v>
      </c>
      <c r="AN533" s="56" t="s">
        <v>2632</v>
      </c>
      <c r="AO533" s="56" t="s">
        <v>2627</v>
      </c>
      <c r="AP533" s="56" t="s">
        <v>2624</v>
      </c>
      <c r="AQ533" s="123">
        <v>9.7222222222221877E-3</v>
      </c>
      <c r="AR533" s="122">
        <v>-1.4189814814814794E-2</v>
      </c>
      <c r="AS533" s="56" t="s">
        <v>1048</v>
      </c>
      <c r="AT533" s="56" t="s">
        <v>1049</v>
      </c>
      <c r="AU533" s="56" t="s">
        <v>1050</v>
      </c>
      <c r="AV533" s="56">
        <v>36</v>
      </c>
      <c r="AW533" s="56" t="s">
        <v>1051</v>
      </c>
      <c r="AX533" s="56" t="s">
        <v>3567</v>
      </c>
      <c r="AY533" s="56" t="s">
        <v>1375</v>
      </c>
      <c r="AZ533" s="56" t="s">
        <v>1067</v>
      </c>
      <c r="BA533" s="56" t="s">
        <v>3568</v>
      </c>
      <c r="BB533" s="56" t="s">
        <v>3569</v>
      </c>
      <c r="BC533" s="56" t="s">
        <v>1057</v>
      </c>
      <c r="BD533" s="56" t="s">
        <v>3570</v>
      </c>
    </row>
    <row r="534" spans="1:56" x14ac:dyDescent="0.2">
      <c r="A534" s="56">
        <v>176637400</v>
      </c>
      <c r="B534" s="56" t="s">
        <v>3571</v>
      </c>
      <c r="C534" s="56" t="s">
        <v>2623</v>
      </c>
      <c r="D534" s="56" t="s">
        <v>3572</v>
      </c>
      <c r="E534" s="56" t="s">
        <v>1044</v>
      </c>
      <c r="F534" s="56">
        <v>89</v>
      </c>
      <c r="G534" s="56" t="s">
        <v>2714</v>
      </c>
      <c r="H534" s="56">
        <v>17341</v>
      </c>
      <c r="I534" s="56">
        <v>6</v>
      </c>
      <c r="J534" s="56" t="s">
        <v>1045</v>
      </c>
      <c r="K534" s="56" t="s">
        <v>1374</v>
      </c>
      <c r="L534" s="121">
        <v>46267</v>
      </c>
      <c r="M534" s="122">
        <v>0.29166666666666669</v>
      </c>
      <c r="N534" s="122">
        <v>0.3</v>
      </c>
      <c r="O534" s="56" t="s">
        <v>1047</v>
      </c>
      <c r="P534" s="121">
        <v>46267</v>
      </c>
      <c r="Q534" s="122">
        <v>0.34722222222222221</v>
      </c>
      <c r="R534" s="122">
        <v>0.32993055555555556</v>
      </c>
      <c r="S534" s="56" t="s">
        <v>1047</v>
      </c>
      <c r="T534" s="56">
        <v>1</v>
      </c>
      <c r="U534" s="56">
        <v>34</v>
      </c>
      <c r="V534" s="56">
        <v>32.85</v>
      </c>
      <c r="W534" s="56">
        <v>33.57</v>
      </c>
      <c r="X534" s="56" t="s">
        <v>2624</v>
      </c>
      <c r="Y534" s="56" t="s">
        <v>2624</v>
      </c>
      <c r="Z534" s="56" t="s">
        <v>2624</v>
      </c>
      <c r="AA534" s="56" t="s">
        <v>167</v>
      </c>
      <c r="AB534" s="56">
        <v>14116564</v>
      </c>
      <c r="AC534" s="56" t="s">
        <v>167</v>
      </c>
      <c r="AD534" s="56">
        <v>14116564</v>
      </c>
      <c r="AE534" s="56" t="s">
        <v>2626</v>
      </c>
      <c r="AF534" s="56" t="s">
        <v>2627</v>
      </c>
      <c r="AG534" s="56" t="s">
        <v>2627</v>
      </c>
      <c r="AH534" s="56">
        <v>36</v>
      </c>
      <c r="AI534" s="56" t="s">
        <v>2628</v>
      </c>
      <c r="AJ534" s="56" t="s">
        <v>2629</v>
      </c>
      <c r="AK534" s="56">
        <v>0</v>
      </c>
      <c r="AL534" s="56" t="s">
        <v>2630</v>
      </c>
      <c r="AM534" s="56" t="s">
        <v>2631</v>
      </c>
      <c r="AN534" s="56" t="s">
        <v>2632</v>
      </c>
      <c r="AO534" s="56" t="s">
        <v>2627</v>
      </c>
      <c r="AP534" s="56" t="s">
        <v>2624</v>
      </c>
      <c r="AQ534" s="123">
        <v>8.3333333333333037E-3</v>
      </c>
      <c r="AR534" s="122">
        <v>-1.729166666666665E-2</v>
      </c>
      <c r="AS534" s="56" t="s">
        <v>1048</v>
      </c>
      <c r="AT534" s="56" t="s">
        <v>1049</v>
      </c>
      <c r="AU534" s="56" t="s">
        <v>1050</v>
      </c>
      <c r="AV534" s="56">
        <v>36</v>
      </c>
      <c r="AW534" s="56" t="s">
        <v>1051</v>
      </c>
      <c r="AX534" s="56" t="s">
        <v>3573</v>
      </c>
      <c r="AY534" s="56" t="s">
        <v>1375</v>
      </c>
      <c r="AZ534" s="56" t="s">
        <v>1067</v>
      </c>
      <c r="BA534" s="56" t="s">
        <v>3574</v>
      </c>
      <c r="BB534" s="56" t="s">
        <v>3575</v>
      </c>
      <c r="BC534" s="56" t="s">
        <v>1057</v>
      </c>
      <c r="BD534" s="56" t="s">
        <v>3576</v>
      </c>
    </row>
    <row r="535" spans="1:56" x14ac:dyDescent="0.2">
      <c r="A535" s="56">
        <v>176637434</v>
      </c>
      <c r="B535" s="56" t="s">
        <v>1720</v>
      </c>
      <c r="C535" s="56" t="s">
        <v>2623</v>
      </c>
      <c r="D535" s="56" t="s">
        <v>1721</v>
      </c>
      <c r="E535" s="56" t="s">
        <v>1044</v>
      </c>
      <c r="F535" s="56">
        <v>123</v>
      </c>
      <c r="G535" s="56" t="s">
        <v>3329</v>
      </c>
      <c r="H535" s="56">
        <v>16767</v>
      </c>
      <c r="I535" s="56">
        <v>6</v>
      </c>
      <c r="J535" s="56" t="s">
        <v>1045</v>
      </c>
      <c r="K535" s="56" t="s">
        <v>1374</v>
      </c>
      <c r="L535" s="121">
        <v>46267</v>
      </c>
      <c r="M535" s="122">
        <v>0.29166666666666669</v>
      </c>
      <c r="N535" s="122">
        <v>0.29930555555555555</v>
      </c>
      <c r="O535" s="56" t="s">
        <v>1047</v>
      </c>
      <c r="P535" s="121">
        <v>46267</v>
      </c>
      <c r="Q535" s="122">
        <v>0.34722222222222221</v>
      </c>
      <c r="R535" s="122">
        <v>0.33074074074074072</v>
      </c>
      <c r="S535" s="56" t="s">
        <v>1047</v>
      </c>
      <c r="T535" s="56">
        <v>1</v>
      </c>
      <c r="U535" s="56">
        <v>24</v>
      </c>
      <c r="V535" s="56">
        <v>25.12</v>
      </c>
      <c r="W535" s="56">
        <v>25.36</v>
      </c>
      <c r="X535" s="56" t="s">
        <v>2624</v>
      </c>
      <c r="Y535" s="56" t="s">
        <v>2624</v>
      </c>
      <c r="Z535" s="56" t="s">
        <v>2624</v>
      </c>
      <c r="AA535" s="56" t="s">
        <v>441</v>
      </c>
      <c r="AB535" s="56">
        <v>14122683</v>
      </c>
      <c r="AC535" s="56" t="s">
        <v>441</v>
      </c>
      <c r="AD535" s="56">
        <v>14122683</v>
      </c>
      <c r="AE535" s="56" t="s">
        <v>2626</v>
      </c>
      <c r="AF535" s="56" t="s">
        <v>2627</v>
      </c>
      <c r="AG535" s="56" t="s">
        <v>2627</v>
      </c>
      <c r="AH535" s="56">
        <v>36</v>
      </c>
      <c r="AI535" s="56" t="s">
        <v>2628</v>
      </c>
      <c r="AJ535" s="56" t="s">
        <v>2629</v>
      </c>
      <c r="AK535" s="56">
        <v>0</v>
      </c>
      <c r="AL535" s="56" t="s">
        <v>2630</v>
      </c>
      <c r="AM535" s="56" t="s">
        <v>2631</v>
      </c>
      <c r="AN535" s="56" t="s">
        <v>2632</v>
      </c>
      <c r="AO535" s="56" t="s">
        <v>2627</v>
      </c>
      <c r="AP535" s="56" t="s">
        <v>2624</v>
      </c>
      <c r="AQ535" s="123">
        <v>7.6388888888888618E-3</v>
      </c>
      <c r="AR535" s="122">
        <v>-1.6481481481481486E-2</v>
      </c>
      <c r="AS535" s="56" t="s">
        <v>1048</v>
      </c>
      <c r="AT535" s="56" t="s">
        <v>1049</v>
      </c>
      <c r="AU535" s="56" t="s">
        <v>1050</v>
      </c>
      <c r="AV535" s="56">
        <v>36</v>
      </c>
      <c r="AW535" s="56" t="s">
        <v>1051</v>
      </c>
      <c r="AX535" s="56" t="s">
        <v>1722</v>
      </c>
      <c r="AY535" s="56" t="s">
        <v>1375</v>
      </c>
      <c r="AZ535" s="56" t="s">
        <v>1067</v>
      </c>
      <c r="BA535" s="56" t="s">
        <v>1723</v>
      </c>
      <c r="BB535" s="56" t="s">
        <v>1724</v>
      </c>
      <c r="BC535" s="56" t="s">
        <v>1057</v>
      </c>
      <c r="BD535" s="56" t="s">
        <v>1725</v>
      </c>
    </row>
    <row r="536" spans="1:56" x14ac:dyDescent="0.2">
      <c r="A536" s="56">
        <v>176637442</v>
      </c>
      <c r="B536" s="56" t="s">
        <v>1706</v>
      </c>
      <c r="C536" s="56" t="s">
        <v>2623</v>
      </c>
      <c r="D536" s="56" t="s">
        <v>1707</v>
      </c>
      <c r="E536" s="56" t="s">
        <v>1044</v>
      </c>
      <c r="F536" s="56">
        <v>132</v>
      </c>
      <c r="G536" s="56" t="s">
        <v>3329</v>
      </c>
      <c r="H536" s="56">
        <v>16002</v>
      </c>
      <c r="I536" s="56">
        <v>6</v>
      </c>
      <c r="J536" s="56" t="s">
        <v>1045</v>
      </c>
      <c r="K536" s="56" t="s">
        <v>1374</v>
      </c>
      <c r="L536" s="121">
        <v>46267</v>
      </c>
      <c r="M536" s="122">
        <v>0.29166666666666669</v>
      </c>
      <c r="N536" s="122">
        <v>0.30486111111111114</v>
      </c>
      <c r="O536" s="56" t="s">
        <v>1047</v>
      </c>
      <c r="P536" s="121">
        <v>46267</v>
      </c>
      <c r="Q536" s="122">
        <v>0.34722222222222221</v>
      </c>
      <c r="R536" s="122">
        <v>0.33884259259259258</v>
      </c>
      <c r="S536" s="56" t="s">
        <v>1047</v>
      </c>
      <c r="T536" s="56">
        <v>1</v>
      </c>
      <c r="U536" s="56">
        <v>37</v>
      </c>
      <c r="V536" s="56">
        <v>36.299999999999997</v>
      </c>
      <c r="W536" s="56">
        <v>36.82</v>
      </c>
      <c r="X536" s="56" t="s">
        <v>2624</v>
      </c>
      <c r="Y536" s="56" t="s">
        <v>2624</v>
      </c>
      <c r="Z536" s="56" t="s">
        <v>2624</v>
      </c>
      <c r="AA536" s="56" t="s">
        <v>105</v>
      </c>
      <c r="AB536" s="56">
        <v>14110761</v>
      </c>
      <c r="AC536" s="56" t="s">
        <v>105</v>
      </c>
      <c r="AD536" s="56">
        <v>14110761</v>
      </c>
      <c r="AE536" s="56" t="s">
        <v>2626</v>
      </c>
      <c r="AF536" s="56" t="s">
        <v>2627</v>
      </c>
      <c r="AG536" s="56" t="s">
        <v>2627</v>
      </c>
      <c r="AH536" s="56">
        <v>36</v>
      </c>
      <c r="AI536" s="56" t="s">
        <v>2628</v>
      </c>
      <c r="AJ536" s="56" t="s">
        <v>2629</v>
      </c>
      <c r="AK536" s="56">
        <v>0</v>
      </c>
      <c r="AL536" s="56" t="s">
        <v>2630</v>
      </c>
      <c r="AM536" s="56" t="s">
        <v>2631</v>
      </c>
      <c r="AN536" s="56" t="s">
        <v>2632</v>
      </c>
      <c r="AO536" s="56" t="s">
        <v>2627</v>
      </c>
      <c r="AP536" s="56">
        <v>42</v>
      </c>
      <c r="AQ536" s="123">
        <v>1.3194444444444453E-2</v>
      </c>
      <c r="AR536" s="122">
        <v>-8.3796296296296258E-3</v>
      </c>
      <c r="AS536" s="56" t="s">
        <v>1048</v>
      </c>
      <c r="AT536" s="56" t="s">
        <v>1049</v>
      </c>
      <c r="AU536" s="56" t="s">
        <v>1050</v>
      </c>
      <c r="AV536" s="56">
        <v>36</v>
      </c>
      <c r="AW536" s="56" t="s">
        <v>1051</v>
      </c>
      <c r="AX536" s="56" t="s">
        <v>1708</v>
      </c>
      <c r="AY536" s="56" t="s">
        <v>1375</v>
      </c>
      <c r="AZ536" s="56" t="s">
        <v>1067</v>
      </c>
      <c r="BA536" s="56" t="s">
        <v>1709</v>
      </c>
      <c r="BB536" s="56" t="s">
        <v>1710</v>
      </c>
      <c r="BC536" s="56" t="s">
        <v>1057</v>
      </c>
      <c r="BD536" s="56" t="s">
        <v>1711</v>
      </c>
    </row>
    <row r="537" spans="1:56" x14ac:dyDescent="0.2">
      <c r="A537" s="56">
        <v>176637405</v>
      </c>
      <c r="B537" s="56" t="s">
        <v>2298</v>
      </c>
      <c r="C537" s="56" t="s">
        <v>2623</v>
      </c>
      <c r="D537" s="56" t="s">
        <v>2223</v>
      </c>
      <c r="E537" s="56" t="s">
        <v>1044</v>
      </c>
      <c r="F537" s="56">
        <v>94</v>
      </c>
      <c r="G537" s="56" t="s">
        <v>2714</v>
      </c>
      <c r="H537" s="56">
        <v>13432</v>
      </c>
      <c r="I537" s="56">
        <v>6</v>
      </c>
      <c r="J537" s="56" t="s">
        <v>1045</v>
      </c>
      <c r="K537" s="56" t="s">
        <v>1374</v>
      </c>
      <c r="L537" s="121">
        <v>46267</v>
      </c>
      <c r="M537" s="122">
        <v>0.2951388888888889</v>
      </c>
      <c r="N537" s="122">
        <v>0.30069444444444443</v>
      </c>
      <c r="O537" s="56" t="s">
        <v>1047</v>
      </c>
      <c r="P537" s="121">
        <v>46267</v>
      </c>
      <c r="Q537" s="122">
        <v>0.34722222222222221</v>
      </c>
      <c r="R537" s="122">
        <v>0.3339699074074074</v>
      </c>
      <c r="S537" s="56" t="s">
        <v>1047</v>
      </c>
      <c r="T537" s="56">
        <v>1</v>
      </c>
      <c r="U537" s="56">
        <v>30</v>
      </c>
      <c r="V537" s="56">
        <v>22.74</v>
      </c>
      <c r="W537" s="56">
        <v>24.97</v>
      </c>
      <c r="X537" s="56" t="s">
        <v>2624</v>
      </c>
      <c r="Y537" s="56" t="s">
        <v>2624</v>
      </c>
      <c r="Z537" s="56" t="s">
        <v>2624</v>
      </c>
      <c r="AA537" s="56" t="s">
        <v>178</v>
      </c>
      <c r="AB537" s="56">
        <v>14117297</v>
      </c>
      <c r="AC537" s="56" t="s">
        <v>178</v>
      </c>
      <c r="AD537" s="56">
        <v>14117297</v>
      </c>
      <c r="AE537" s="56" t="s">
        <v>2626</v>
      </c>
      <c r="AF537" s="56" t="s">
        <v>2627</v>
      </c>
      <c r="AG537" s="56" t="s">
        <v>2627</v>
      </c>
      <c r="AH537" s="56">
        <v>36</v>
      </c>
      <c r="AI537" s="56" t="s">
        <v>2628</v>
      </c>
      <c r="AJ537" s="56" t="s">
        <v>2629</v>
      </c>
      <c r="AK537" s="56">
        <v>0</v>
      </c>
      <c r="AL537" s="56" t="s">
        <v>2630</v>
      </c>
      <c r="AM537" s="56" t="s">
        <v>2631</v>
      </c>
      <c r="AN537" s="56" t="s">
        <v>2632</v>
      </c>
      <c r="AO537" s="56" t="s">
        <v>2627</v>
      </c>
      <c r="AP537" s="56" t="s">
        <v>2624</v>
      </c>
      <c r="AQ537" s="123">
        <v>5.5555555555555358E-3</v>
      </c>
      <c r="AR537" s="122">
        <v>-1.3252314814814814E-2</v>
      </c>
      <c r="AS537" s="56" t="s">
        <v>1048</v>
      </c>
      <c r="AT537" s="56" t="s">
        <v>1049</v>
      </c>
      <c r="AU537" s="56" t="s">
        <v>1050</v>
      </c>
      <c r="AV537" s="56">
        <v>36</v>
      </c>
      <c r="AW537" s="56" t="s">
        <v>1051</v>
      </c>
      <c r="AX537" s="56" t="s">
        <v>2299</v>
      </c>
      <c r="AY537" s="56" t="s">
        <v>1375</v>
      </c>
      <c r="AZ537" s="56" t="s">
        <v>1067</v>
      </c>
      <c r="BA537" s="56" t="s">
        <v>2300</v>
      </c>
      <c r="BB537" s="56" t="s">
        <v>2301</v>
      </c>
      <c r="BC537" s="56" t="s">
        <v>1057</v>
      </c>
      <c r="BD537" s="56" t="s">
        <v>2302</v>
      </c>
    </row>
    <row r="538" spans="1:56" x14ac:dyDescent="0.2">
      <c r="A538" s="56">
        <v>176637420</v>
      </c>
      <c r="B538" s="56" t="s">
        <v>1398</v>
      </c>
      <c r="C538" s="56" t="s">
        <v>2623</v>
      </c>
      <c r="D538" s="56" t="s">
        <v>1399</v>
      </c>
      <c r="E538" s="56" t="s">
        <v>1044</v>
      </c>
      <c r="F538" s="56">
        <v>109</v>
      </c>
      <c r="G538" s="56" t="s">
        <v>2727</v>
      </c>
      <c r="H538" s="56">
        <v>15995</v>
      </c>
      <c r="I538" s="56">
        <v>6</v>
      </c>
      <c r="J538" s="56" t="s">
        <v>1045</v>
      </c>
      <c r="K538" s="56" t="s">
        <v>1374</v>
      </c>
      <c r="L538" s="121">
        <v>46267</v>
      </c>
      <c r="M538" s="122">
        <v>0.2951388888888889</v>
      </c>
      <c r="N538" s="122">
        <v>0.30208333333333331</v>
      </c>
      <c r="O538" s="56" t="s">
        <v>1047</v>
      </c>
      <c r="P538" s="121">
        <v>46267</v>
      </c>
      <c r="Q538" s="122">
        <v>0.34722222222222221</v>
      </c>
      <c r="R538" s="122">
        <v>0.33825231481481483</v>
      </c>
      <c r="S538" s="56" t="s">
        <v>1047</v>
      </c>
      <c r="T538" s="56">
        <v>1</v>
      </c>
      <c r="U538" s="56">
        <v>22</v>
      </c>
      <c r="V538" s="56">
        <v>18.23</v>
      </c>
      <c r="W538" s="56">
        <v>16.29</v>
      </c>
      <c r="X538" s="56" t="s">
        <v>2624</v>
      </c>
      <c r="Y538" s="56" t="s">
        <v>2624</v>
      </c>
      <c r="Z538" s="56" t="s">
        <v>2624</v>
      </c>
      <c r="AA538" s="56" t="s">
        <v>311</v>
      </c>
      <c r="AB538" s="56">
        <v>14121015</v>
      </c>
      <c r="AC538" s="56" t="s">
        <v>311</v>
      </c>
      <c r="AD538" s="56">
        <v>14121015</v>
      </c>
      <c r="AE538" s="56" t="s">
        <v>2626</v>
      </c>
      <c r="AF538" s="56" t="s">
        <v>2627</v>
      </c>
      <c r="AG538" s="56" t="s">
        <v>2627</v>
      </c>
      <c r="AH538" s="56">
        <v>36</v>
      </c>
      <c r="AI538" s="56" t="s">
        <v>2628</v>
      </c>
      <c r="AJ538" s="56" t="s">
        <v>2629</v>
      </c>
      <c r="AK538" s="56">
        <v>0</v>
      </c>
      <c r="AL538" s="56" t="s">
        <v>2630</v>
      </c>
      <c r="AM538" s="56" t="s">
        <v>2631</v>
      </c>
      <c r="AN538" s="56" t="s">
        <v>2632</v>
      </c>
      <c r="AO538" s="56" t="s">
        <v>2627</v>
      </c>
      <c r="AP538" s="56" t="s">
        <v>2624</v>
      </c>
      <c r="AQ538" s="123">
        <v>6.9444444444444198E-3</v>
      </c>
      <c r="AR538" s="122">
        <v>-8.9699074074073848E-3</v>
      </c>
      <c r="AS538" s="56" t="s">
        <v>1048</v>
      </c>
      <c r="AT538" s="56" t="s">
        <v>1049</v>
      </c>
      <c r="AU538" s="56" t="s">
        <v>1050</v>
      </c>
      <c r="AV538" s="56">
        <v>36</v>
      </c>
      <c r="AW538" s="56" t="s">
        <v>1051</v>
      </c>
      <c r="AX538" s="56" t="s">
        <v>1400</v>
      </c>
      <c r="AY538" s="56" t="s">
        <v>1375</v>
      </c>
      <c r="AZ538" s="56" t="s">
        <v>1067</v>
      </c>
      <c r="BA538" s="56" t="s">
        <v>1401</v>
      </c>
      <c r="BB538" s="56" t="s">
        <v>1402</v>
      </c>
      <c r="BC538" s="56" t="s">
        <v>1057</v>
      </c>
      <c r="BD538" s="56" t="s">
        <v>1403</v>
      </c>
    </row>
    <row r="539" spans="1:56" x14ac:dyDescent="0.2">
      <c r="A539" s="56">
        <v>176637392</v>
      </c>
      <c r="B539" s="56" t="s">
        <v>2235</v>
      </c>
      <c r="C539" s="56" t="s">
        <v>2623</v>
      </c>
      <c r="D539" s="56" t="s">
        <v>1180</v>
      </c>
      <c r="E539" s="56" t="s">
        <v>1044</v>
      </c>
      <c r="F539" s="56">
        <v>81</v>
      </c>
      <c r="G539" s="56" t="s">
        <v>2727</v>
      </c>
      <c r="H539" s="56">
        <v>13375</v>
      </c>
      <c r="I539" s="56">
        <v>6</v>
      </c>
      <c r="J539" s="56" t="s">
        <v>1045</v>
      </c>
      <c r="K539" s="56" t="s">
        <v>1374</v>
      </c>
      <c r="L539" s="121">
        <v>46267</v>
      </c>
      <c r="M539" s="122">
        <v>0.2986111111111111</v>
      </c>
      <c r="N539" s="122">
        <v>0.31041666666666667</v>
      </c>
      <c r="O539" s="56" t="s">
        <v>1047</v>
      </c>
      <c r="P539" s="121">
        <v>46267</v>
      </c>
      <c r="Q539" s="122">
        <v>0.34722222222222221</v>
      </c>
      <c r="R539" s="122">
        <v>0.35144675925925928</v>
      </c>
      <c r="S539" s="56" t="s">
        <v>1047</v>
      </c>
      <c r="T539" s="56">
        <v>1</v>
      </c>
      <c r="U539" s="56">
        <v>29</v>
      </c>
      <c r="V539" s="56">
        <v>16.809999999999999</v>
      </c>
      <c r="W539" s="56">
        <v>16.95</v>
      </c>
      <c r="X539" s="56" t="s">
        <v>2624</v>
      </c>
      <c r="Y539" s="56" t="s">
        <v>2624</v>
      </c>
      <c r="Z539" s="56" t="s">
        <v>2624</v>
      </c>
      <c r="AA539" s="56" t="s">
        <v>460</v>
      </c>
      <c r="AB539" s="56">
        <v>14122873</v>
      </c>
      <c r="AC539" s="56" t="s">
        <v>460</v>
      </c>
      <c r="AD539" s="56">
        <v>14122873</v>
      </c>
      <c r="AE539" s="56" t="s">
        <v>2626</v>
      </c>
      <c r="AF539" s="56" t="s">
        <v>2627</v>
      </c>
      <c r="AG539" s="56" t="s">
        <v>2627</v>
      </c>
      <c r="AH539" s="56">
        <v>36</v>
      </c>
      <c r="AI539" s="56" t="s">
        <v>2628</v>
      </c>
      <c r="AJ539" s="56" t="s">
        <v>2640</v>
      </c>
      <c r="AK539" s="56">
        <v>0</v>
      </c>
      <c r="AL539" s="56" t="s">
        <v>2630</v>
      </c>
      <c r="AM539" s="56" t="s">
        <v>2631</v>
      </c>
      <c r="AN539" s="56" t="s">
        <v>2632</v>
      </c>
      <c r="AO539" s="56" t="s">
        <v>2627</v>
      </c>
      <c r="AP539" s="56" t="s">
        <v>2624</v>
      </c>
      <c r="AQ539" s="123">
        <v>1.1805555555555569E-2</v>
      </c>
      <c r="AR539" s="122">
        <v>4.2245370370370683E-3</v>
      </c>
      <c r="AS539" s="56" t="s">
        <v>1048</v>
      </c>
      <c r="AT539" s="56" t="s">
        <v>1059</v>
      </c>
      <c r="AU539" s="56" t="s">
        <v>1060</v>
      </c>
      <c r="AV539" s="56">
        <v>36</v>
      </c>
      <c r="AW539" s="56" t="s">
        <v>1051</v>
      </c>
      <c r="AX539" s="56" t="s">
        <v>2236</v>
      </c>
      <c r="AY539" s="56" t="s">
        <v>1375</v>
      </c>
      <c r="AZ539" s="56" t="s">
        <v>1067</v>
      </c>
      <c r="BA539" s="56" t="s">
        <v>2237</v>
      </c>
      <c r="BB539" s="56" t="s">
        <v>2238</v>
      </c>
      <c r="BC539" s="56" t="s">
        <v>1057</v>
      </c>
      <c r="BD539" s="56" t="s">
        <v>2239</v>
      </c>
    </row>
    <row r="540" spans="1:56" x14ac:dyDescent="0.2">
      <c r="A540" s="56">
        <v>176637401</v>
      </c>
      <c r="B540" s="56" t="s">
        <v>3577</v>
      </c>
      <c r="C540" s="56" t="s">
        <v>2623</v>
      </c>
      <c r="D540" s="56" t="s">
        <v>3578</v>
      </c>
      <c r="E540" s="56" t="s">
        <v>1044</v>
      </c>
      <c r="F540" s="56">
        <v>90</v>
      </c>
      <c r="G540" s="56" t="s">
        <v>2727</v>
      </c>
      <c r="H540" s="56">
        <v>15994</v>
      </c>
      <c r="I540" s="56">
        <v>6</v>
      </c>
      <c r="J540" s="56" t="s">
        <v>1045</v>
      </c>
      <c r="K540" s="56" t="s">
        <v>1374</v>
      </c>
      <c r="L540" s="121">
        <v>46267</v>
      </c>
      <c r="M540" s="122">
        <v>0.2986111111111111</v>
      </c>
      <c r="N540" s="122">
        <v>0.3263888888888889</v>
      </c>
      <c r="O540" s="56" t="s">
        <v>1047</v>
      </c>
      <c r="P540" s="121">
        <v>46267</v>
      </c>
      <c r="Q540" s="122">
        <v>0.34722222222222221</v>
      </c>
      <c r="R540" s="122">
        <v>0.35187499999999999</v>
      </c>
      <c r="S540" s="56" t="s">
        <v>1047</v>
      </c>
      <c r="T540" s="56">
        <v>1</v>
      </c>
      <c r="U540" s="56">
        <v>31</v>
      </c>
      <c r="V540" s="56">
        <v>27.22</v>
      </c>
      <c r="W540" s="56">
        <v>25.79</v>
      </c>
      <c r="X540" s="56" t="s">
        <v>2624</v>
      </c>
      <c r="Y540" s="56" t="s">
        <v>2624</v>
      </c>
      <c r="Z540" s="56" t="s">
        <v>2624</v>
      </c>
      <c r="AA540" s="56" t="s">
        <v>313</v>
      </c>
      <c r="AB540" s="56">
        <v>14121104</v>
      </c>
      <c r="AC540" s="56" t="s">
        <v>313</v>
      </c>
      <c r="AD540" s="56">
        <v>14121104</v>
      </c>
      <c r="AE540" s="56" t="s">
        <v>2626</v>
      </c>
      <c r="AF540" s="56" t="s">
        <v>2627</v>
      </c>
      <c r="AG540" s="56" t="s">
        <v>2627</v>
      </c>
      <c r="AH540" s="56">
        <v>36</v>
      </c>
      <c r="AI540" s="56" t="s">
        <v>2628</v>
      </c>
      <c r="AJ540" s="56" t="s">
        <v>2640</v>
      </c>
      <c r="AK540" s="56">
        <v>0</v>
      </c>
      <c r="AL540" s="56" t="s">
        <v>2630</v>
      </c>
      <c r="AM540" s="56" t="s">
        <v>2631</v>
      </c>
      <c r="AN540" s="56" t="s">
        <v>2632</v>
      </c>
      <c r="AO540" s="56" t="s">
        <v>2627</v>
      </c>
      <c r="AP540" s="56" t="s">
        <v>2624</v>
      </c>
      <c r="AQ540" s="123">
        <v>2.777777777777779E-2</v>
      </c>
      <c r="AR540" s="122">
        <v>4.6527777777777835E-3</v>
      </c>
      <c r="AS540" s="56" t="s">
        <v>1048</v>
      </c>
      <c r="AT540" s="56" t="s">
        <v>1059</v>
      </c>
      <c r="AU540" s="56" t="s">
        <v>1060</v>
      </c>
      <c r="AV540" s="56">
        <v>36</v>
      </c>
      <c r="AW540" s="56" t="s">
        <v>1051</v>
      </c>
      <c r="AX540" s="56" t="s">
        <v>3579</v>
      </c>
      <c r="AY540" s="56" t="s">
        <v>1375</v>
      </c>
      <c r="AZ540" s="56" t="s">
        <v>1067</v>
      </c>
      <c r="BA540" s="56" t="s">
        <v>3580</v>
      </c>
      <c r="BB540" s="56" t="s">
        <v>3581</v>
      </c>
      <c r="BC540" s="56" t="s">
        <v>1057</v>
      </c>
      <c r="BD540" s="56" t="s">
        <v>3582</v>
      </c>
    </row>
    <row r="541" spans="1:56" x14ac:dyDescent="0.2">
      <c r="A541" s="56">
        <v>176642301</v>
      </c>
      <c r="B541" s="56" t="s">
        <v>2743</v>
      </c>
      <c r="C541" s="56" t="s">
        <v>2623</v>
      </c>
      <c r="D541" s="56" t="s">
        <v>2744</v>
      </c>
      <c r="E541" s="56" t="s">
        <v>1044</v>
      </c>
      <c r="F541" s="56">
        <v>203</v>
      </c>
      <c r="G541" s="56" t="s">
        <v>2670</v>
      </c>
      <c r="H541" s="56">
        <v>13502</v>
      </c>
      <c r="I541" s="56">
        <v>6</v>
      </c>
      <c r="J541" s="56" t="s">
        <v>1045</v>
      </c>
      <c r="K541" s="56" t="s">
        <v>1116</v>
      </c>
      <c r="L541" s="121">
        <v>46267</v>
      </c>
      <c r="M541" s="122">
        <v>0.3</v>
      </c>
      <c r="N541" s="122">
        <v>0.30763888888888891</v>
      </c>
      <c r="O541" s="56" t="s">
        <v>1047</v>
      </c>
      <c r="P541" s="121">
        <v>46267</v>
      </c>
      <c r="Q541" s="122">
        <v>0.34722222222222221</v>
      </c>
      <c r="R541" s="122">
        <v>0.34021990740740743</v>
      </c>
      <c r="S541" s="56" t="s">
        <v>1047</v>
      </c>
      <c r="T541" s="56">
        <v>1</v>
      </c>
      <c r="U541" s="56">
        <v>24</v>
      </c>
      <c r="V541" s="56">
        <v>19.149999999999999</v>
      </c>
      <c r="W541" s="56">
        <v>18.91</v>
      </c>
      <c r="X541" s="56" t="s">
        <v>2624</v>
      </c>
      <c r="Y541" s="56" t="s">
        <v>2624</v>
      </c>
      <c r="Z541" s="56" t="s">
        <v>2624</v>
      </c>
      <c r="AA541" s="56" t="s">
        <v>554</v>
      </c>
      <c r="AB541" s="56">
        <v>14123591</v>
      </c>
      <c r="AC541" s="56" t="s">
        <v>554</v>
      </c>
      <c r="AD541" s="56">
        <v>14123591</v>
      </c>
      <c r="AE541" s="56" t="s">
        <v>2626</v>
      </c>
      <c r="AF541" s="56" t="s">
        <v>2627</v>
      </c>
      <c r="AG541" s="56" t="s">
        <v>2627</v>
      </c>
      <c r="AH541" s="56">
        <v>36</v>
      </c>
      <c r="AI541" s="56" t="s">
        <v>2628</v>
      </c>
      <c r="AJ541" s="56" t="s">
        <v>2629</v>
      </c>
      <c r="AK541" s="56">
        <v>0</v>
      </c>
      <c r="AL541" s="56" t="s">
        <v>2630</v>
      </c>
      <c r="AM541" s="56" t="s">
        <v>2631</v>
      </c>
      <c r="AN541" s="56" t="s">
        <v>2632</v>
      </c>
      <c r="AO541" s="56" t="s">
        <v>2627</v>
      </c>
      <c r="AP541" s="56" t="s">
        <v>2624</v>
      </c>
      <c r="AQ541" s="123">
        <v>7.6388888888889173E-3</v>
      </c>
      <c r="AR541" s="122">
        <v>-7.0023148148147807E-3</v>
      </c>
      <c r="AS541" s="56" t="s">
        <v>1048</v>
      </c>
      <c r="AT541" s="56" t="s">
        <v>1049</v>
      </c>
      <c r="AU541" s="56" t="s">
        <v>1050</v>
      </c>
      <c r="AV541" s="56">
        <v>36</v>
      </c>
      <c r="AW541" s="56" t="s">
        <v>1051</v>
      </c>
      <c r="AX541" s="56" t="s">
        <v>2745</v>
      </c>
      <c r="AY541" s="56" t="s">
        <v>1118</v>
      </c>
      <c r="AZ541" s="56" t="s">
        <v>1054</v>
      </c>
      <c r="BA541" s="56" t="s">
        <v>2746</v>
      </c>
      <c r="BB541" s="56" t="s">
        <v>2747</v>
      </c>
      <c r="BC541" s="56" t="s">
        <v>1057</v>
      </c>
      <c r="BD541" s="56" t="s">
        <v>2748</v>
      </c>
    </row>
    <row r="542" spans="1:56" x14ac:dyDescent="0.2">
      <c r="A542" s="56">
        <v>176630319</v>
      </c>
      <c r="B542" s="56" t="s">
        <v>2290</v>
      </c>
      <c r="C542" s="56" t="s">
        <v>2623</v>
      </c>
      <c r="D542" s="56" t="s">
        <v>1472</v>
      </c>
      <c r="E542" s="56" t="s">
        <v>1044</v>
      </c>
      <c r="F542" s="56">
        <v>9</v>
      </c>
      <c r="G542" s="56"/>
      <c r="H542" s="56">
        <v>7005</v>
      </c>
      <c r="I542" s="56">
        <v>6</v>
      </c>
      <c r="J542" s="56" t="s">
        <v>1045</v>
      </c>
      <c r="K542" s="56" t="s">
        <v>1125</v>
      </c>
      <c r="L542" s="121">
        <v>46267</v>
      </c>
      <c r="M542" s="122">
        <v>0.32291666666666669</v>
      </c>
      <c r="N542" s="122">
        <v>0.32777777777777778</v>
      </c>
      <c r="O542" s="56" t="s">
        <v>1047</v>
      </c>
      <c r="P542" s="121">
        <v>46267</v>
      </c>
      <c r="Q542" s="122">
        <v>0.375</v>
      </c>
      <c r="R542" s="122">
        <v>0.36403935185185188</v>
      </c>
      <c r="S542" s="56" t="s">
        <v>1047</v>
      </c>
      <c r="T542" s="56">
        <v>1</v>
      </c>
      <c r="U542" s="56">
        <v>27</v>
      </c>
      <c r="V542" s="56">
        <v>-4042.68</v>
      </c>
      <c r="W542" s="56">
        <v>23.93</v>
      </c>
      <c r="X542" s="56" t="s">
        <v>2624</v>
      </c>
      <c r="Y542" s="56" t="s">
        <v>2624</v>
      </c>
      <c r="Z542" s="56" t="s">
        <v>2624</v>
      </c>
      <c r="AA542" s="56" t="s">
        <v>52</v>
      </c>
      <c r="AB542" s="56">
        <v>14106438</v>
      </c>
      <c r="AC542" s="56" t="s">
        <v>52</v>
      </c>
      <c r="AD542" s="56">
        <v>14106438</v>
      </c>
      <c r="AE542" s="56" t="s">
        <v>2626</v>
      </c>
      <c r="AF542" s="56" t="s">
        <v>2627</v>
      </c>
      <c r="AG542" s="56" t="s">
        <v>2627</v>
      </c>
      <c r="AH542" s="56">
        <v>36</v>
      </c>
      <c r="AI542" s="56" t="s">
        <v>2628</v>
      </c>
      <c r="AJ542" s="56" t="s">
        <v>2629</v>
      </c>
      <c r="AK542" s="56">
        <v>1242</v>
      </c>
      <c r="AL542" s="56">
        <v>0</v>
      </c>
      <c r="AM542" s="56" t="s">
        <v>2694</v>
      </c>
      <c r="AN542" s="56" t="s">
        <v>2702</v>
      </c>
      <c r="AO542" s="56" t="s">
        <v>2627</v>
      </c>
      <c r="AP542" s="56" t="s">
        <v>2624</v>
      </c>
      <c r="AQ542" s="123">
        <v>4.8611111111110938E-3</v>
      </c>
      <c r="AR542" s="122">
        <v>-1.0960648148148122E-2</v>
      </c>
      <c r="AS542" s="56" t="s">
        <v>1048</v>
      </c>
      <c r="AT542" s="56" t="s">
        <v>1049</v>
      </c>
      <c r="AU542" s="56" t="s">
        <v>1050</v>
      </c>
      <c r="AV542" s="56">
        <v>36</v>
      </c>
      <c r="AW542" s="56" t="s">
        <v>1051</v>
      </c>
      <c r="AX542" s="56" t="s">
        <v>2703</v>
      </c>
      <c r="AY542" s="56" t="s">
        <v>1127</v>
      </c>
      <c r="AZ542" s="56" t="s">
        <v>1054</v>
      </c>
      <c r="BA542" s="56" t="s">
        <v>2704</v>
      </c>
      <c r="BB542" s="56" t="s">
        <v>2291</v>
      </c>
      <c r="BC542" s="56" t="s">
        <v>1057</v>
      </c>
      <c r="BD542" s="56" t="s">
        <v>3343</v>
      </c>
    </row>
    <row r="543" spans="1:56" x14ac:dyDescent="0.2">
      <c r="A543" s="56">
        <v>176637743</v>
      </c>
      <c r="B543" s="56" t="s">
        <v>2304</v>
      </c>
      <c r="C543" s="56" t="s">
        <v>2623</v>
      </c>
      <c r="D543" s="56" t="s">
        <v>2305</v>
      </c>
      <c r="E543" s="56" t="s">
        <v>1044</v>
      </c>
      <c r="F543" s="56">
        <v>33</v>
      </c>
      <c r="G543" s="56"/>
      <c r="H543" s="56">
        <v>13011</v>
      </c>
      <c r="I543" s="56">
        <v>6</v>
      </c>
      <c r="J543" s="56" t="s">
        <v>1045</v>
      </c>
      <c r="K543" s="56" t="s">
        <v>1125</v>
      </c>
      <c r="L543" s="121">
        <v>46267</v>
      </c>
      <c r="M543" s="122">
        <v>0.32500000000000001</v>
      </c>
      <c r="N543" s="122">
        <v>0.33055555555555555</v>
      </c>
      <c r="O543" s="56" t="s">
        <v>1047</v>
      </c>
      <c r="P543" s="121">
        <v>46267</v>
      </c>
      <c r="Q543" s="122">
        <v>0.375</v>
      </c>
      <c r="R543" s="122">
        <v>0.40106481481481482</v>
      </c>
      <c r="S543" s="56" t="s">
        <v>1047</v>
      </c>
      <c r="T543" s="56">
        <v>1</v>
      </c>
      <c r="U543" s="56">
        <v>38</v>
      </c>
      <c r="V543" s="56">
        <v>30.83</v>
      </c>
      <c r="W543" s="56">
        <v>30.61</v>
      </c>
      <c r="X543" s="56" t="s">
        <v>2624</v>
      </c>
      <c r="Y543" s="56" t="s">
        <v>2624</v>
      </c>
      <c r="Z543" s="56" t="s">
        <v>2624</v>
      </c>
      <c r="AA543" s="56" t="s">
        <v>320</v>
      </c>
      <c r="AB543" s="56">
        <v>14121152</v>
      </c>
      <c r="AC543" s="56" t="s">
        <v>320</v>
      </c>
      <c r="AD543" s="56">
        <v>14121152</v>
      </c>
      <c r="AE543" s="56" t="s">
        <v>2626</v>
      </c>
      <c r="AF543" s="56" t="s">
        <v>2627</v>
      </c>
      <c r="AG543" s="56" t="s">
        <v>2627</v>
      </c>
      <c r="AH543" s="56">
        <v>36</v>
      </c>
      <c r="AI543" s="56" t="s">
        <v>2628</v>
      </c>
      <c r="AJ543" s="56" t="s">
        <v>2640</v>
      </c>
      <c r="AK543" s="56">
        <v>1748</v>
      </c>
      <c r="AL543" s="56">
        <v>0</v>
      </c>
      <c r="AM543" s="56" t="s">
        <v>2694</v>
      </c>
      <c r="AN543" s="56" t="s">
        <v>2702</v>
      </c>
      <c r="AO543" s="56" t="s">
        <v>2627</v>
      </c>
      <c r="AP543" s="56" t="s">
        <v>2624</v>
      </c>
      <c r="AQ543" s="123">
        <v>5.5555555555555358E-3</v>
      </c>
      <c r="AR543" s="122">
        <v>2.6064814814814818E-2</v>
      </c>
      <c r="AS543" s="56" t="s">
        <v>1048</v>
      </c>
      <c r="AT543" s="56" t="s">
        <v>1059</v>
      </c>
      <c r="AU543" s="56" t="s">
        <v>1060</v>
      </c>
      <c r="AV543" s="56">
        <v>36</v>
      </c>
      <c r="AW543" s="56" t="s">
        <v>1051</v>
      </c>
      <c r="AX543" s="56" t="s">
        <v>2306</v>
      </c>
      <c r="AY543" s="56" t="s">
        <v>1127</v>
      </c>
      <c r="AZ543" s="56" t="s">
        <v>1054</v>
      </c>
      <c r="BA543" s="56" t="s">
        <v>2307</v>
      </c>
      <c r="BB543" s="56" t="e">
        <v>#N/A</v>
      </c>
      <c r="BC543" s="56" t="s">
        <v>1133</v>
      </c>
      <c r="BD543" s="56" t="s">
        <v>2308</v>
      </c>
    </row>
    <row r="544" spans="1:56" x14ac:dyDescent="0.2">
      <c r="A544" s="56">
        <v>176643558</v>
      </c>
      <c r="B544" s="56" t="s">
        <v>3583</v>
      </c>
      <c r="C544" s="56" t="s">
        <v>2623</v>
      </c>
      <c r="D544" s="56" t="s">
        <v>3584</v>
      </c>
      <c r="E544" s="56" t="s">
        <v>1044</v>
      </c>
      <c r="F544" s="56">
        <v>15</v>
      </c>
      <c r="G544" s="56"/>
      <c r="H544" s="56">
        <v>5442</v>
      </c>
      <c r="I544" s="56">
        <v>6</v>
      </c>
      <c r="J544" s="56" t="s">
        <v>1045</v>
      </c>
      <c r="K544" s="56" t="s">
        <v>2112</v>
      </c>
      <c r="L544" s="121">
        <v>46267</v>
      </c>
      <c r="M544" s="122">
        <v>0.38194444444444442</v>
      </c>
      <c r="N544" s="122">
        <v>0.41041666666666665</v>
      </c>
      <c r="O544" s="56" t="s">
        <v>1047</v>
      </c>
      <c r="P544" s="121">
        <v>46267</v>
      </c>
      <c r="Q544" s="122">
        <v>0.40972222222222221</v>
      </c>
      <c r="R544" s="122">
        <v>0.44670138888888888</v>
      </c>
      <c r="S544" s="56" t="s">
        <v>1047</v>
      </c>
      <c r="T544" s="56">
        <v>1</v>
      </c>
      <c r="U544" s="56">
        <v>33</v>
      </c>
      <c r="V544" s="56">
        <v>21.06</v>
      </c>
      <c r="W544" s="56">
        <v>21.69</v>
      </c>
      <c r="X544" s="56" t="s">
        <v>2624</v>
      </c>
      <c r="Y544" s="56" t="s">
        <v>2624</v>
      </c>
      <c r="Z544" s="56" t="s">
        <v>2624</v>
      </c>
      <c r="AA544" s="56"/>
      <c r="AB544" s="56"/>
      <c r="AC544" s="56" t="s">
        <v>1187</v>
      </c>
      <c r="AD544" s="56"/>
      <c r="AE544" s="56" t="s">
        <v>2626</v>
      </c>
      <c r="AF544" s="56" t="s">
        <v>2627</v>
      </c>
      <c r="AG544" s="56" t="s">
        <v>2627</v>
      </c>
      <c r="AH544" s="56">
        <v>36</v>
      </c>
      <c r="AI544" s="56" t="s">
        <v>2628</v>
      </c>
      <c r="AJ544" s="56" t="s">
        <v>2640</v>
      </c>
      <c r="AK544" s="56">
        <v>0</v>
      </c>
      <c r="AL544" s="56" t="s">
        <v>2630</v>
      </c>
      <c r="AM544" s="56" t="s">
        <v>2631</v>
      </c>
      <c r="AN544" s="56" t="s">
        <v>2632</v>
      </c>
      <c r="AO544" s="56" t="s">
        <v>2627</v>
      </c>
      <c r="AP544" s="56" t="s">
        <v>2624</v>
      </c>
      <c r="AQ544" s="123">
        <v>2.8472222222222232E-2</v>
      </c>
      <c r="AR544" s="122">
        <v>3.6979166666666674E-2</v>
      </c>
      <c r="AS544" s="56" t="s">
        <v>1048</v>
      </c>
      <c r="AT544" s="56" t="s">
        <v>1059</v>
      </c>
      <c r="AU544" s="56" t="s">
        <v>1060</v>
      </c>
      <c r="AV544" s="56">
        <v>36</v>
      </c>
      <c r="AW544" s="56" t="s">
        <v>1051</v>
      </c>
      <c r="AX544" s="56" t="s">
        <v>3585</v>
      </c>
      <c r="AY544" s="56" t="s">
        <v>3586</v>
      </c>
      <c r="AZ544" s="56" t="s">
        <v>1054</v>
      </c>
      <c r="BA544" s="56" t="s">
        <v>3587</v>
      </c>
      <c r="BB544" s="56" t="s">
        <v>3588</v>
      </c>
      <c r="BC544" s="56" t="s">
        <v>1133</v>
      </c>
      <c r="BD544" s="56" t="s">
        <v>3589</v>
      </c>
    </row>
    <row r="545" spans="1:56" x14ac:dyDescent="0.2">
      <c r="A545" s="56">
        <v>176626942</v>
      </c>
      <c r="B545" s="56" t="s">
        <v>3017</v>
      </c>
      <c r="C545" s="56" t="s">
        <v>2623</v>
      </c>
      <c r="D545" s="56" t="s">
        <v>2082</v>
      </c>
      <c r="E545" s="56" t="s">
        <v>1044</v>
      </c>
      <c r="F545" s="56">
        <v>40</v>
      </c>
      <c r="G545" s="56"/>
      <c r="H545" s="56">
        <v>5364</v>
      </c>
      <c r="I545" s="56">
        <v>6</v>
      </c>
      <c r="J545" s="56" t="s">
        <v>1045</v>
      </c>
      <c r="K545" s="56" t="s">
        <v>1123</v>
      </c>
      <c r="L545" s="121">
        <v>46267</v>
      </c>
      <c r="M545" s="122">
        <v>0.51875000000000004</v>
      </c>
      <c r="N545" s="122">
        <v>0.52361111111111114</v>
      </c>
      <c r="O545" s="56" t="s">
        <v>1047</v>
      </c>
      <c r="P545" s="121">
        <v>46267</v>
      </c>
      <c r="Q545" s="122">
        <v>0.60416666666666663</v>
      </c>
      <c r="R545" s="122">
        <v>0.58156249999999998</v>
      </c>
      <c r="S545" s="56" t="s">
        <v>1047</v>
      </c>
      <c r="T545" s="56">
        <v>1</v>
      </c>
      <c r="U545" s="56">
        <v>39</v>
      </c>
      <c r="V545" s="56">
        <v>33.47</v>
      </c>
      <c r="W545" s="56">
        <v>34.78</v>
      </c>
      <c r="X545" s="56" t="s">
        <v>2624</v>
      </c>
      <c r="Y545" s="56" t="s">
        <v>2624</v>
      </c>
      <c r="Z545" s="56" t="s">
        <v>2624</v>
      </c>
      <c r="AA545" s="56" t="s">
        <v>230</v>
      </c>
      <c r="AB545" s="56">
        <v>14119018</v>
      </c>
      <c r="AC545" s="56" t="s">
        <v>230</v>
      </c>
      <c r="AD545" s="56">
        <v>14119018</v>
      </c>
      <c r="AE545" s="56" t="s">
        <v>2626</v>
      </c>
      <c r="AF545" s="56" t="s">
        <v>2627</v>
      </c>
      <c r="AG545" s="56" t="s">
        <v>2627</v>
      </c>
      <c r="AH545" s="56">
        <v>36</v>
      </c>
      <c r="AI545" s="56" t="s">
        <v>2628</v>
      </c>
      <c r="AJ545" s="56" t="s">
        <v>2629</v>
      </c>
      <c r="AK545" s="56">
        <v>714.73</v>
      </c>
      <c r="AL545" s="56" t="s">
        <v>2630</v>
      </c>
      <c r="AM545" s="56" t="s">
        <v>2631</v>
      </c>
      <c r="AN545" s="56" t="s">
        <v>2632</v>
      </c>
      <c r="AO545" s="56" t="s">
        <v>2627</v>
      </c>
      <c r="AP545" s="56" t="s">
        <v>2624</v>
      </c>
      <c r="AQ545" s="123">
        <v>4.8611111111110938E-3</v>
      </c>
      <c r="AR545" s="122">
        <v>-2.2604166666666647E-2</v>
      </c>
      <c r="AS545" s="56" t="s">
        <v>1048</v>
      </c>
      <c r="AT545" s="56" t="s">
        <v>1049</v>
      </c>
      <c r="AU545" s="56" t="s">
        <v>1050</v>
      </c>
      <c r="AV545" s="56">
        <v>36</v>
      </c>
      <c r="AW545" s="56" t="s">
        <v>1051</v>
      </c>
      <c r="AX545" s="56" t="s">
        <v>2083</v>
      </c>
      <c r="AY545" s="56" t="s">
        <v>1124</v>
      </c>
      <c r="AZ545" s="56" t="s">
        <v>1054</v>
      </c>
      <c r="BA545" s="56" t="s">
        <v>2084</v>
      </c>
      <c r="BB545" s="56" t="s">
        <v>2085</v>
      </c>
      <c r="BC545" s="56" t="s">
        <v>1133</v>
      </c>
      <c r="BD545" s="56" t="s">
        <v>3018</v>
      </c>
    </row>
    <row r="546" spans="1:56" x14ac:dyDescent="0.2">
      <c r="A546" s="56">
        <v>176632373</v>
      </c>
      <c r="B546" s="56" t="s">
        <v>1404</v>
      </c>
      <c r="C546" s="56" t="s">
        <v>2623</v>
      </c>
      <c r="D546" s="56" t="s">
        <v>1405</v>
      </c>
      <c r="E546" s="56" t="s">
        <v>1044</v>
      </c>
      <c r="F546" s="56">
        <v>33</v>
      </c>
      <c r="G546" s="56"/>
      <c r="H546" s="56">
        <v>11387</v>
      </c>
      <c r="I546" s="56">
        <v>6</v>
      </c>
      <c r="J546" s="56" t="s">
        <v>1045</v>
      </c>
      <c r="K546" s="56" t="s">
        <v>1406</v>
      </c>
      <c r="L546" s="121">
        <v>46267</v>
      </c>
      <c r="M546" s="122">
        <v>0.52083333333333337</v>
      </c>
      <c r="N546" s="122">
        <v>0.52638888888888891</v>
      </c>
      <c r="O546" s="56" t="s">
        <v>1047</v>
      </c>
      <c r="P546" s="121">
        <v>46267</v>
      </c>
      <c r="Q546" s="122">
        <v>0.57291666666666663</v>
      </c>
      <c r="R546" s="122">
        <v>0.5756944444444444</v>
      </c>
      <c r="S546" s="56" t="s">
        <v>1047</v>
      </c>
      <c r="T546" s="56">
        <v>1</v>
      </c>
      <c r="U546" s="56">
        <v>32</v>
      </c>
      <c r="V546" s="56">
        <v>27.86</v>
      </c>
      <c r="W546" s="56">
        <v>28.1</v>
      </c>
      <c r="X546" s="56" t="s">
        <v>2624</v>
      </c>
      <c r="Y546" s="56" t="s">
        <v>2624</v>
      </c>
      <c r="Z546" s="56" t="s">
        <v>2624</v>
      </c>
      <c r="AA546" s="56" t="s">
        <v>409</v>
      </c>
      <c r="AB546" s="56">
        <v>14122293</v>
      </c>
      <c r="AC546" s="56" t="s">
        <v>409</v>
      </c>
      <c r="AD546" s="56">
        <v>14122293</v>
      </c>
      <c r="AE546" s="56" t="s">
        <v>2626</v>
      </c>
      <c r="AF546" s="56" t="s">
        <v>2627</v>
      </c>
      <c r="AG546" s="56" t="s">
        <v>2627</v>
      </c>
      <c r="AH546" s="56">
        <v>36</v>
      </c>
      <c r="AI546" s="56" t="s">
        <v>2628</v>
      </c>
      <c r="AJ546" s="56" t="s">
        <v>2640</v>
      </c>
      <c r="AK546" s="56">
        <v>0</v>
      </c>
      <c r="AL546" s="56" t="s">
        <v>2630</v>
      </c>
      <c r="AM546" s="56" t="s">
        <v>2631</v>
      </c>
      <c r="AN546" s="56" t="s">
        <v>2632</v>
      </c>
      <c r="AO546" s="56" t="s">
        <v>2627</v>
      </c>
      <c r="AP546" s="56" t="s">
        <v>2624</v>
      </c>
      <c r="AQ546" s="123">
        <v>5.5555555555555358E-3</v>
      </c>
      <c r="AR546" s="122">
        <v>2.7777777777777679E-3</v>
      </c>
      <c r="AS546" s="56" t="s">
        <v>1048</v>
      </c>
      <c r="AT546" s="56" t="s">
        <v>1049</v>
      </c>
      <c r="AU546" s="56" t="s">
        <v>1050</v>
      </c>
      <c r="AV546" s="56">
        <v>36</v>
      </c>
      <c r="AW546" s="56" t="s">
        <v>1051</v>
      </c>
      <c r="AX546" s="56" t="s">
        <v>1407</v>
      </c>
      <c r="AY546" s="56" t="s">
        <v>1259</v>
      </c>
      <c r="AZ546" s="56" t="s">
        <v>1062</v>
      </c>
      <c r="BA546" s="56" t="s">
        <v>1408</v>
      </c>
      <c r="BB546" s="56" t="s">
        <v>1409</v>
      </c>
      <c r="BC546" s="56" t="s">
        <v>1133</v>
      </c>
      <c r="BD546" s="56" t="s">
        <v>1410</v>
      </c>
    </row>
    <row r="547" spans="1:56" x14ac:dyDescent="0.2">
      <c r="A547" s="56">
        <v>176626397</v>
      </c>
      <c r="B547" s="56" t="s">
        <v>2227</v>
      </c>
      <c r="C547" s="56" t="s">
        <v>2623</v>
      </c>
      <c r="D547" s="56" t="s">
        <v>1411</v>
      </c>
      <c r="E547" s="56" t="s">
        <v>1044</v>
      </c>
      <c r="F547" s="56">
        <v>38</v>
      </c>
      <c r="G547" s="56"/>
      <c r="H547" s="56">
        <v>5720</v>
      </c>
      <c r="I547" s="56">
        <v>6</v>
      </c>
      <c r="J547" s="56" t="s">
        <v>1045</v>
      </c>
      <c r="K547" s="56" t="s">
        <v>1123</v>
      </c>
      <c r="L547" s="121">
        <v>46267</v>
      </c>
      <c r="M547" s="122">
        <v>0.52777777777777779</v>
      </c>
      <c r="N547" s="122">
        <v>0.54513888888888884</v>
      </c>
      <c r="O547" s="56" t="s">
        <v>1047</v>
      </c>
      <c r="P547" s="121">
        <v>46267</v>
      </c>
      <c r="Q547" s="122">
        <v>0.60416666666666663</v>
      </c>
      <c r="R547" s="122">
        <v>0.60277777777777775</v>
      </c>
      <c r="S547" s="56" t="s">
        <v>1047</v>
      </c>
      <c r="T547" s="56">
        <v>1</v>
      </c>
      <c r="U547" s="56">
        <v>26</v>
      </c>
      <c r="V547" s="56">
        <v>23.09</v>
      </c>
      <c r="W547" s="56">
        <v>23.1</v>
      </c>
      <c r="X547" s="56" t="s">
        <v>2624</v>
      </c>
      <c r="Y547" s="56" t="s">
        <v>2624</v>
      </c>
      <c r="Z547" s="56" t="s">
        <v>2624</v>
      </c>
      <c r="AA547" s="56" t="s">
        <v>1562</v>
      </c>
      <c r="AB547" s="56">
        <v>14102701</v>
      </c>
      <c r="AC547" s="56" t="s">
        <v>1562</v>
      </c>
      <c r="AD547" s="56">
        <v>14102701</v>
      </c>
      <c r="AE547" s="56" t="s">
        <v>2626</v>
      </c>
      <c r="AF547" s="56" t="s">
        <v>2627</v>
      </c>
      <c r="AG547" s="56" t="s">
        <v>2627</v>
      </c>
      <c r="AH547" s="56">
        <v>36</v>
      </c>
      <c r="AI547" s="56" t="s">
        <v>2628</v>
      </c>
      <c r="AJ547" s="56" t="s">
        <v>2629</v>
      </c>
      <c r="AK547" s="56">
        <v>483.41</v>
      </c>
      <c r="AL547" s="56" t="s">
        <v>2630</v>
      </c>
      <c r="AM547" s="56" t="s">
        <v>2631</v>
      </c>
      <c r="AN547" s="56" t="s">
        <v>2632</v>
      </c>
      <c r="AO547" s="56" t="s">
        <v>2627</v>
      </c>
      <c r="AP547" s="56">
        <v>10</v>
      </c>
      <c r="AQ547" s="123">
        <v>1.7361111111111049E-2</v>
      </c>
      <c r="AR547" s="122">
        <v>-1.388888888888884E-3</v>
      </c>
      <c r="AS547" s="56" t="s">
        <v>1048</v>
      </c>
      <c r="AT547" s="56" t="s">
        <v>1049</v>
      </c>
      <c r="AU547" s="56" t="s">
        <v>1050</v>
      </c>
      <c r="AV547" s="56">
        <v>36</v>
      </c>
      <c r="AW547" s="56" t="s">
        <v>1051</v>
      </c>
      <c r="AX547" s="56" t="s">
        <v>1412</v>
      </c>
      <c r="AY547" s="56" t="s">
        <v>1124</v>
      </c>
      <c r="AZ547" s="56" t="s">
        <v>1054</v>
      </c>
      <c r="BA547" s="56" t="s">
        <v>1413</v>
      </c>
      <c r="BB547" s="56" t="s">
        <v>1414</v>
      </c>
      <c r="BC547" s="56" t="s">
        <v>1133</v>
      </c>
      <c r="BD547" s="56" t="s">
        <v>2228</v>
      </c>
    </row>
    <row r="548" spans="1:56" x14ac:dyDescent="0.2">
      <c r="A548" s="56">
        <v>176622002</v>
      </c>
      <c r="B548" s="56" t="s">
        <v>2766</v>
      </c>
      <c r="C548" s="56" t="s">
        <v>2623</v>
      </c>
      <c r="D548" s="56" t="s">
        <v>1547</v>
      </c>
      <c r="E548" s="56" t="s">
        <v>1044</v>
      </c>
      <c r="F548" s="56">
        <v>61</v>
      </c>
      <c r="G548" s="56"/>
      <c r="H548" s="56">
        <v>16744</v>
      </c>
      <c r="I548" s="56">
        <v>6</v>
      </c>
      <c r="J548" s="56" t="s">
        <v>1045</v>
      </c>
      <c r="K548" s="56" t="s">
        <v>1064</v>
      </c>
      <c r="L548" s="121">
        <v>46267</v>
      </c>
      <c r="M548" s="122">
        <v>0.53472222222222221</v>
      </c>
      <c r="N548" s="122">
        <v>0.53888888888888886</v>
      </c>
      <c r="O548" s="56" t="s">
        <v>1047</v>
      </c>
      <c r="P548" s="121">
        <v>46267</v>
      </c>
      <c r="Q548" s="122">
        <v>0.60069444444444442</v>
      </c>
      <c r="R548" s="122">
        <v>0.58408564814814812</v>
      </c>
      <c r="S548" s="56" t="s">
        <v>1047</v>
      </c>
      <c r="T548" s="56">
        <v>1</v>
      </c>
      <c r="U548" s="56">
        <v>46</v>
      </c>
      <c r="V548" s="56">
        <v>42.88</v>
      </c>
      <c r="W548" s="56">
        <v>45.67</v>
      </c>
      <c r="X548" s="56" t="s">
        <v>2624</v>
      </c>
      <c r="Y548" s="56" t="s">
        <v>2624</v>
      </c>
      <c r="Z548" s="56" t="s">
        <v>2624</v>
      </c>
      <c r="AA548" s="56" t="s">
        <v>270</v>
      </c>
      <c r="AB548" s="56">
        <v>14119956</v>
      </c>
      <c r="AC548" s="56" t="s">
        <v>270</v>
      </c>
      <c r="AD548" s="56">
        <v>14119956</v>
      </c>
      <c r="AE548" s="56" t="s">
        <v>2626</v>
      </c>
      <c r="AF548" s="56" t="s">
        <v>2627</v>
      </c>
      <c r="AG548" s="56" t="s">
        <v>2627</v>
      </c>
      <c r="AH548" s="56">
        <v>36</v>
      </c>
      <c r="AI548" s="56" t="s">
        <v>2628</v>
      </c>
      <c r="AJ548" s="56" t="s">
        <v>2629</v>
      </c>
      <c r="AK548" s="56">
        <v>530.63</v>
      </c>
      <c r="AL548" s="56" t="s">
        <v>2630</v>
      </c>
      <c r="AM548" s="56" t="s">
        <v>2631</v>
      </c>
      <c r="AN548" s="56" t="s">
        <v>2632</v>
      </c>
      <c r="AO548" s="56" t="s">
        <v>2627</v>
      </c>
      <c r="AP548" s="56" t="s">
        <v>2624</v>
      </c>
      <c r="AQ548" s="123">
        <v>4.1666666666666519E-3</v>
      </c>
      <c r="AR548" s="122">
        <v>-1.6608796296296302E-2</v>
      </c>
      <c r="AS548" s="56" t="s">
        <v>1048</v>
      </c>
      <c r="AT548" s="56" t="s">
        <v>1049</v>
      </c>
      <c r="AU548" s="56" t="s">
        <v>1050</v>
      </c>
      <c r="AV548" s="56">
        <v>36</v>
      </c>
      <c r="AW548" s="56" t="s">
        <v>1051</v>
      </c>
      <c r="AX548" s="56" t="s">
        <v>1548</v>
      </c>
      <c r="AY548" s="56" t="s">
        <v>1066</v>
      </c>
      <c r="AZ548" s="56" t="s">
        <v>1067</v>
      </c>
      <c r="BA548" s="56" t="s">
        <v>1549</v>
      </c>
      <c r="BB548" s="56" t="s">
        <v>1550</v>
      </c>
      <c r="BC548" s="56" t="s">
        <v>1133</v>
      </c>
      <c r="BD548" s="56" t="s">
        <v>2767</v>
      </c>
    </row>
    <row r="549" spans="1:56" x14ac:dyDescent="0.2">
      <c r="A549" s="56">
        <v>176622025</v>
      </c>
      <c r="B549" s="56" t="s">
        <v>1272</v>
      </c>
      <c r="C549" s="56" t="s">
        <v>2623</v>
      </c>
      <c r="D549" s="56" t="s">
        <v>1273</v>
      </c>
      <c r="E549" s="56" t="s">
        <v>1044</v>
      </c>
      <c r="F549" s="56">
        <v>71</v>
      </c>
      <c r="G549" s="56"/>
      <c r="H549" s="56">
        <v>16003</v>
      </c>
      <c r="I549" s="56">
        <v>6</v>
      </c>
      <c r="J549" s="56" t="s">
        <v>1045</v>
      </c>
      <c r="K549" s="56" t="s">
        <v>1064</v>
      </c>
      <c r="L549" s="121">
        <v>46267</v>
      </c>
      <c r="M549" s="122">
        <v>0.53472222222222221</v>
      </c>
      <c r="N549" s="122">
        <v>0.57013888888888886</v>
      </c>
      <c r="O549" s="56" t="s">
        <v>1047</v>
      </c>
      <c r="P549" s="121">
        <v>46267</v>
      </c>
      <c r="Q549" s="122">
        <v>0.60069444444444442</v>
      </c>
      <c r="R549" s="122">
        <v>0.63194444444444442</v>
      </c>
      <c r="S549" s="56" t="s">
        <v>1047</v>
      </c>
      <c r="T549" s="56">
        <v>1</v>
      </c>
      <c r="U549" s="56">
        <v>34</v>
      </c>
      <c r="V549" s="56">
        <v>30.53</v>
      </c>
      <c r="W549" s="56">
        <v>31.65</v>
      </c>
      <c r="X549" s="56" t="s">
        <v>2624</v>
      </c>
      <c r="Y549" s="56" t="s">
        <v>2624</v>
      </c>
      <c r="Z549" s="56" t="s">
        <v>2624</v>
      </c>
      <c r="AA549" s="56" t="s">
        <v>2022</v>
      </c>
      <c r="AB549" s="56">
        <v>14124187</v>
      </c>
      <c r="AC549" s="56" t="s">
        <v>2022</v>
      </c>
      <c r="AD549" s="56">
        <v>14124187</v>
      </c>
      <c r="AE549" s="56" t="s">
        <v>2626</v>
      </c>
      <c r="AF549" s="56" t="s">
        <v>2627</v>
      </c>
      <c r="AG549" s="56" t="s">
        <v>2627</v>
      </c>
      <c r="AH549" s="56">
        <v>36</v>
      </c>
      <c r="AI549" s="56" t="s">
        <v>2628</v>
      </c>
      <c r="AJ549" s="56" t="s">
        <v>2640</v>
      </c>
      <c r="AK549" s="56">
        <v>530.63</v>
      </c>
      <c r="AL549" s="56" t="s">
        <v>2630</v>
      </c>
      <c r="AM549" s="56" t="s">
        <v>2631</v>
      </c>
      <c r="AN549" s="56" t="s">
        <v>2632</v>
      </c>
      <c r="AO549" s="56" t="s">
        <v>2627</v>
      </c>
      <c r="AP549" s="56" t="s">
        <v>2624</v>
      </c>
      <c r="AQ549" s="123">
        <v>3.5416666666666652E-2</v>
      </c>
      <c r="AR549" s="122">
        <v>3.125E-2</v>
      </c>
      <c r="AS549" s="56" t="s">
        <v>1048</v>
      </c>
      <c r="AT549" s="56" t="s">
        <v>1059</v>
      </c>
      <c r="AU549" s="56" t="s">
        <v>1060</v>
      </c>
      <c r="AV549" s="56">
        <v>36</v>
      </c>
      <c r="AW549" s="56" t="s">
        <v>1051</v>
      </c>
      <c r="AX549" s="56" t="s">
        <v>1274</v>
      </c>
      <c r="AY549" s="56" t="s">
        <v>1066</v>
      </c>
      <c r="AZ549" s="56" t="s">
        <v>1067</v>
      </c>
      <c r="BA549" s="56" t="s">
        <v>1275</v>
      </c>
      <c r="BB549" s="56" t="s">
        <v>1276</v>
      </c>
      <c r="BC549" s="56" t="s">
        <v>1133</v>
      </c>
      <c r="BD549" s="56" t="s">
        <v>1277</v>
      </c>
    </row>
    <row r="550" spans="1:56" x14ac:dyDescent="0.2">
      <c r="A550" s="56">
        <v>176630658</v>
      </c>
      <c r="B550" s="56" t="s">
        <v>3354</v>
      </c>
      <c r="C550" s="56" t="s">
        <v>2623</v>
      </c>
      <c r="D550" s="56" t="s">
        <v>1194</v>
      </c>
      <c r="E550" s="56" t="s">
        <v>1044</v>
      </c>
      <c r="F550" s="56">
        <v>112</v>
      </c>
      <c r="G550" s="56"/>
      <c r="H550" s="56">
        <v>15996</v>
      </c>
      <c r="I550" s="56">
        <v>6</v>
      </c>
      <c r="J550" s="56" t="s">
        <v>1045</v>
      </c>
      <c r="K550" s="56" t="s">
        <v>1079</v>
      </c>
      <c r="L550" s="121">
        <v>46267</v>
      </c>
      <c r="M550" s="122">
        <v>0.53472222222222221</v>
      </c>
      <c r="N550" s="122">
        <v>0.53819444444444442</v>
      </c>
      <c r="O550" s="56" t="s">
        <v>1047</v>
      </c>
      <c r="P550" s="121">
        <v>46267</v>
      </c>
      <c r="Q550" s="122">
        <v>0.60069444444444442</v>
      </c>
      <c r="R550" s="122">
        <v>0.59094907407407404</v>
      </c>
      <c r="S550" s="56" t="s">
        <v>1047</v>
      </c>
      <c r="T550" s="56">
        <v>1</v>
      </c>
      <c r="U550" s="56">
        <v>28</v>
      </c>
      <c r="V550" s="56">
        <v>24.61</v>
      </c>
      <c r="W550" s="56">
        <v>26.9</v>
      </c>
      <c r="X550" s="56" t="s">
        <v>2624</v>
      </c>
      <c r="Y550" s="56" t="s">
        <v>2624</v>
      </c>
      <c r="Z550" s="56" t="s">
        <v>2624</v>
      </c>
      <c r="AA550" s="56" t="s">
        <v>62</v>
      </c>
      <c r="AB550" s="56">
        <v>14107393</v>
      </c>
      <c r="AC550" s="56" t="s">
        <v>62</v>
      </c>
      <c r="AD550" s="56">
        <v>14107393</v>
      </c>
      <c r="AE550" s="56" t="s">
        <v>2626</v>
      </c>
      <c r="AF550" s="56" t="s">
        <v>2627</v>
      </c>
      <c r="AG550" s="56" t="s">
        <v>2627</v>
      </c>
      <c r="AH550" s="56">
        <v>36</v>
      </c>
      <c r="AI550" s="56" t="s">
        <v>2628</v>
      </c>
      <c r="AJ550" s="56" t="s">
        <v>2629</v>
      </c>
      <c r="AK550" s="56">
        <v>0</v>
      </c>
      <c r="AL550" s="56" t="s">
        <v>2630</v>
      </c>
      <c r="AM550" s="56" t="s">
        <v>2631</v>
      </c>
      <c r="AN550" s="56" t="s">
        <v>2632</v>
      </c>
      <c r="AO550" s="56" t="s">
        <v>2627</v>
      </c>
      <c r="AP550" s="56" t="s">
        <v>2624</v>
      </c>
      <c r="AQ550" s="123">
        <v>3.4722222222222099E-3</v>
      </c>
      <c r="AR550" s="122">
        <v>-9.7453703703703765E-3</v>
      </c>
      <c r="AS550" s="56" t="s">
        <v>1048</v>
      </c>
      <c r="AT550" s="56" t="s">
        <v>1049</v>
      </c>
      <c r="AU550" s="56" t="s">
        <v>1050</v>
      </c>
      <c r="AV550" s="56">
        <v>36</v>
      </c>
      <c r="AW550" s="56" t="s">
        <v>1051</v>
      </c>
      <c r="AX550" s="56" t="s">
        <v>1195</v>
      </c>
      <c r="AY550" s="56" t="s">
        <v>1081</v>
      </c>
      <c r="AZ550" s="56" t="s">
        <v>1067</v>
      </c>
      <c r="BA550" s="56" t="s">
        <v>1196</v>
      </c>
      <c r="BB550" s="56" t="s">
        <v>1197</v>
      </c>
      <c r="BC550" s="56" t="s">
        <v>1133</v>
      </c>
      <c r="BD550" s="56" t="s">
        <v>3355</v>
      </c>
    </row>
    <row r="551" spans="1:56" x14ac:dyDescent="0.2">
      <c r="A551" s="56">
        <v>176637038</v>
      </c>
      <c r="B551" s="56" t="s">
        <v>2770</v>
      </c>
      <c r="C551" s="56" t="s">
        <v>2623</v>
      </c>
      <c r="D551" s="56" t="s">
        <v>2771</v>
      </c>
      <c r="E551" s="56" t="s">
        <v>1044</v>
      </c>
      <c r="F551" s="56">
        <v>142</v>
      </c>
      <c r="G551" s="56"/>
      <c r="H551" s="56">
        <v>15993</v>
      </c>
      <c r="I551" s="56">
        <v>6</v>
      </c>
      <c r="J551" s="56" t="s">
        <v>1045</v>
      </c>
      <c r="K551" s="56" t="s">
        <v>1079</v>
      </c>
      <c r="L551" s="121">
        <v>46267</v>
      </c>
      <c r="M551" s="122">
        <v>0.53472222222222221</v>
      </c>
      <c r="N551" s="122">
        <v>0.54652777777777772</v>
      </c>
      <c r="O551" s="56" t="s">
        <v>1047</v>
      </c>
      <c r="P551" s="121">
        <v>46267</v>
      </c>
      <c r="Q551" s="122">
        <v>0.60069444444444442</v>
      </c>
      <c r="R551" s="122">
        <v>0.59520833333333334</v>
      </c>
      <c r="S551" s="56" t="s">
        <v>1047</v>
      </c>
      <c r="T551" s="56">
        <v>1</v>
      </c>
      <c r="U551" s="56">
        <v>38</v>
      </c>
      <c r="V551" s="56">
        <v>30.61</v>
      </c>
      <c r="W551" s="56">
        <v>33.549999999999997</v>
      </c>
      <c r="X551" s="56" t="s">
        <v>2624</v>
      </c>
      <c r="Y551" s="56" t="s">
        <v>2624</v>
      </c>
      <c r="Z551" s="56" t="s">
        <v>2624</v>
      </c>
      <c r="AA551" s="56" t="s">
        <v>992</v>
      </c>
      <c r="AB551" s="56">
        <v>14123925</v>
      </c>
      <c r="AC551" s="56" t="s">
        <v>992</v>
      </c>
      <c r="AD551" s="56">
        <v>14123925</v>
      </c>
      <c r="AE551" s="56" t="s">
        <v>2626</v>
      </c>
      <c r="AF551" s="56" t="s">
        <v>2627</v>
      </c>
      <c r="AG551" s="56" t="s">
        <v>2627</v>
      </c>
      <c r="AH551" s="56">
        <v>36</v>
      </c>
      <c r="AI551" s="56" t="s">
        <v>2628</v>
      </c>
      <c r="AJ551" s="56" t="s">
        <v>2629</v>
      </c>
      <c r="AK551" s="56">
        <v>0</v>
      </c>
      <c r="AL551" s="56" t="s">
        <v>2630</v>
      </c>
      <c r="AM551" s="56" t="s">
        <v>2631</v>
      </c>
      <c r="AN551" s="56" t="s">
        <v>2632</v>
      </c>
      <c r="AO551" s="56" t="s">
        <v>2627</v>
      </c>
      <c r="AP551" s="56" t="s">
        <v>2624</v>
      </c>
      <c r="AQ551" s="123">
        <v>1.1805555555555514E-2</v>
      </c>
      <c r="AR551" s="122">
        <v>-5.4861111111110805E-3</v>
      </c>
      <c r="AS551" s="56" t="s">
        <v>1048</v>
      </c>
      <c r="AT551" s="56" t="s">
        <v>1049</v>
      </c>
      <c r="AU551" s="56" t="s">
        <v>1050</v>
      </c>
      <c r="AV551" s="56">
        <v>36</v>
      </c>
      <c r="AW551" s="56" t="s">
        <v>1051</v>
      </c>
      <c r="AX551" s="56" t="s">
        <v>2772</v>
      </c>
      <c r="AY551" s="56" t="s">
        <v>1081</v>
      </c>
      <c r="AZ551" s="56" t="s">
        <v>1067</v>
      </c>
      <c r="BA551" s="56" t="s">
        <v>2773</v>
      </c>
      <c r="BB551" s="56" t="s">
        <v>2774</v>
      </c>
      <c r="BC551" s="56" t="s">
        <v>1133</v>
      </c>
      <c r="BD551" s="56" t="s">
        <v>2775</v>
      </c>
    </row>
    <row r="552" spans="1:56" x14ac:dyDescent="0.2">
      <c r="A552" s="56">
        <v>176621378</v>
      </c>
      <c r="B552" s="56" t="s">
        <v>2128</v>
      </c>
      <c r="C552" s="56" t="s">
        <v>2623</v>
      </c>
      <c r="D552" s="56" t="s">
        <v>1632</v>
      </c>
      <c r="E552" s="56" t="s">
        <v>1044</v>
      </c>
      <c r="F552" s="56">
        <v>9</v>
      </c>
      <c r="G552" s="56"/>
      <c r="H552" s="56">
        <v>6900</v>
      </c>
      <c r="I552" s="56">
        <v>6</v>
      </c>
      <c r="J552" s="56" t="s">
        <v>1045</v>
      </c>
      <c r="K552" s="56" t="s">
        <v>1123</v>
      </c>
      <c r="L552" s="121">
        <v>46267</v>
      </c>
      <c r="M552" s="122">
        <v>0.53819444444444442</v>
      </c>
      <c r="N552" s="122">
        <v>0.54166666666666663</v>
      </c>
      <c r="O552" s="56" t="s">
        <v>1047</v>
      </c>
      <c r="P552" s="121">
        <v>46267</v>
      </c>
      <c r="Q552" s="122">
        <v>0.60416666666666663</v>
      </c>
      <c r="R552" s="122">
        <v>0.583587962962963</v>
      </c>
      <c r="S552" s="56" t="s">
        <v>1047</v>
      </c>
      <c r="T552" s="56">
        <v>1</v>
      </c>
      <c r="U552" s="56">
        <v>22</v>
      </c>
      <c r="V552" s="56">
        <v>12.76</v>
      </c>
      <c r="W552" s="56">
        <v>8.6199999999999992</v>
      </c>
      <c r="X552" s="56" t="s">
        <v>2624</v>
      </c>
      <c r="Y552" s="56" t="s">
        <v>2624</v>
      </c>
      <c r="Z552" s="56" t="s">
        <v>2624</v>
      </c>
      <c r="AA552" s="56" t="s">
        <v>201</v>
      </c>
      <c r="AB552" s="56">
        <v>14118440</v>
      </c>
      <c r="AC552" s="56" t="s">
        <v>201</v>
      </c>
      <c r="AD552" s="56">
        <v>14118440</v>
      </c>
      <c r="AE552" s="56" t="s">
        <v>2626</v>
      </c>
      <c r="AF552" s="56" t="s">
        <v>2627</v>
      </c>
      <c r="AG552" s="56" t="s">
        <v>2627</v>
      </c>
      <c r="AH552" s="56">
        <v>36</v>
      </c>
      <c r="AI552" s="56" t="s">
        <v>2628</v>
      </c>
      <c r="AJ552" s="56" t="s">
        <v>2629</v>
      </c>
      <c r="AK552" s="56">
        <v>544.9</v>
      </c>
      <c r="AL552" s="56" t="s">
        <v>2630</v>
      </c>
      <c r="AM552" s="56" t="s">
        <v>2631</v>
      </c>
      <c r="AN552" s="56" t="s">
        <v>2632</v>
      </c>
      <c r="AO552" s="56" t="s">
        <v>2627</v>
      </c>
      <c r="AP552" s="56" t="s">
        <v>2624</v>
      </c>
      <c r="AQ552" s="123">
        <v>3.4722222222222099E-3</v>
      </c>
      <c r="AR552" s="122">
        <v>-2.0578703703703627E-2</v>
      </c>
      <c r="AS552" s="56" t="s">
        <v>1048</v>
      </c>
      <c r="AT552" s="56" t="s">
        <v>1049</v>
      </c>
      <c r="AU552" s="56" t="s">
        <v>1050</v>
      </c>
      <c r="AV552" s="56">
        <v>36</v>
      </c>
      <c r="AW552" s="56" t="s">
        <v>1051</v>
      </c>
      <c r="AX552" s="56" t="s">
        <v>1633</v>
      </c>
      <c r="AY552" s="56" t="s">
        <v>1124</v>
      </c>
      <c r="AZ552" s="56" t="s">
        <v>1054</v>
      </c>
      <c r="BA552" s="56" t="s">
        <v>1634</v>
      </c>
      <c r="BB552" s="56" t="s">
        <v>1635</v>
      </c>
      <c r="BC552" s="56" t="s">
        <v>1133</v>
      </c>
      <c r="BD552" s="56" t="s">
        <v>2129</v>
      </c>
    </row>
    <row r="553" spans="1:56" x14ac:dyDescent="0.2">
      <c r="A553" s="56">
        <v>176630652</v>
      </c>
      <c r="B553" s="56" t="s">
        <v>1282</v>
      </c>
      <c r="C553" s="56" t="s">
        <v>2623</v>
      </c>
      <c r="D553" s="56" t="s">
        <v>1283</v>
      </c>
      <c r="E553" s="56" t="s">
        <v>1044</v>
      </c>
      <c r="F553" s="56">
        <v>109</v>
      </c>
      <c r="G553" s="56"/>
      <c r="H553" s="56">
        <v>5672</v>
      </c>
      <c r="I553" s="56">
        <v>6</v>
      </c>
      <c r="J553" s="56" t="s">
        <v>1045</v>
      </c>
      <c r="K553" s="56" t="s">
        <v>1079</v>
      </c>
      <c r="L553" s="121">
        <v>46267</v>
      </c>
      <c r="M553" s="122">
        <v>0.53819444444444442</v>
      </c>
      <c r="N553" s="122">
        <v>0.54374999999999996</v>
      </c>
      <c r="O553" s="56" t="s">
        <v>1047</v>
      </c>
      <c r="P553" s="121">
        <v>46267</v>
      </c>
      <c r="Q553" s="122">
        <v>0.60069444444444442</v>
      </c>
      <c r="R553" s="122">
        <v>0.58107638888888891</v>
      </c>
      <c r="S553" s="56" t="s">
        <v>1047</v>
      </c>
      <c r="T553" s="56">
        <v>1</v>
      </c>
      <c r="U553" s="56">
        <v>42</v>
      </c>
      <c r="V553" s="56">
        <v>25.28</v>
      </c>
      <c r="W553" s="56">
        <v>25.9</v>
      </c>
      <c r="X553" s="56" t="s">
        <v>2624</v>
      </c>
      <c r="Y553" s="56" t="s">
        <v>2624</v>
      </c>
      <c r="Z553" s="56" t="s">
        <v>2624</v>
      </c>
      <c r="AA553" s="56" t="s">
        <v>1003</v>
      </c>
      <c r="AB553" s="56">
        <v>14124002</v>
      </c>
      <c r="AC553" s="56" t="s">
        <v>1003</v>
      </c>
      <c r="AD553" s="56">
        <v>14124002</v>
      </c>
      <c r="AE553" s="56" t="s">
        <v>2626</v>
      </c>
      <c r="AF553" s="56" t="s">
        <v>2627</v>
      </c>
      <c r="AG553" s="56" t="s">
        <v>2627</v>
      </c>
      <c r="AH553" s="56">
        <v>36</v>
      </c>
      <c r="AI553" s="56" t="s">
        <v>2628</v>
      </c>
      <c r="AJ553" s="56" t="s">
        <v>2629</v>
      </c>
      <c r="AK553" s="56">
        <v>0</v>
      </c>
      <c r="AL553" s="56" t="s">
        <v>2630</v>
      </c>
      <c r="AM553" s="56" t="s">
        <v>2631</v>
      </c>
      <c r="AN553" s="56" t="s">
        <v>2632</v>
      </c>
      <c r="AO553" s="56" t="s">
        <v>2627</v>
      </c>
      <c r="AP553" s="56">
        <v>49</v>
      </c>
      <c r="AQ553" s="123">
        <v>5.5555555555555358E-3</v>
      </c>
      <c r="AR553" s="122">
        <v>-1.9618055555555514E-2</v>
      </c>
      <c r="AS553" s="56" t="s">
        <v>1048</v>
      </c>
      <c r="AT553" s="56" t="s">
        <v>1049</v>
      </c>
      <c r="AU553" s="56" t="s">
        <v>1050</v>
      </c>
      <c r="AV553" s="56">
        <v>36</v>
      </c>
      <c r="AW553" s="56" t="s">
        <v>1051</v>
      </c>
      <c r="AX553" s="56" t="s">
        <v>1284</v>
      </c>
      <c r="AY553" s="56" t="s">
        <v>1081</v>
      </c>
      <c r="AZ553" s="56" t="s">
        <v>1067</v>
      </c>
      <c r="BA553" s="56" t="s">
        <v>1285</v>
      </c>
      <c r="BB553" s="56" t="s">
        <v>1286</v>
      </c>
      <c r="BC553" s="56" t="s">
        <v>1133</v>
      </c>
      <c r="BD553" s="56" t="s">
        <v>1287</v>
      </c>
    </row>
    <row r="554" spans="1:56" x14ac:dyDescent="0.2">
      <c r="A554" s="56">
        <v>176630395</v>
      </c>
      <c r="B554" s="56" t="s">
        <v>3201</v>
      </c>
      <c r="C554" s="56" t="s">
        <v>2623</v>
      </c>
      <c r="D554" s="56" t="s">
        <v>1090</v>
      </c>
      <c r="E554" s="56" t="s">
        <v>1044</v>
      </c>
      <c r="F554" s="56">
        <v>28</v>
      </c>
      <c r="G554" s="56"/>
      <c r="H554" s="56">
        <v>16733</v>
      </c>
      <c r="I554" s="56">
        <v>6</v>
      </c>
      <c r="J554" s="56" t="s">
        <v>1045</v>
      </c>
      <c r="K554" s="56" t="s">
        <v>1091</v>
      </c>
      <c r="L554" s="121">
        <v>46267</v>
      </c>
      <c r="M554" s="122">
        <v>0.5395833333333333</v>
      </c>
      <c r="N554" s="122">
        <v>0.5444444444444444</v>
      </c>
      <c r="O554" s="56" t="s">
        <v>1047</v>
      </c>
      <c r="P554" s="121">
        <v>46267</v>
      </c>
      <c r="Q554" s="122">
        <v>0.60069444444444442</v>
      </c>
      <c r="R554" s="122">
        <v>0.5891319444444445</v>
      </c>
      <c r="S554" s="56" t="s">
        <v>1047</v>
      </c>
      <c r="T554" s="56">
        <v>1</v>
      </c>
      <c r="U554" s="56">
        <v>28</v>
      </c>
      <c r="V554" s="56">
        <v>23.52</v>
      </c>
      <c r="W554" s="56">
        <v>23.48</v>
      </c>
      <c r="X554" s="56" t="s">
        <v>2624</v>
      </c>
      <c r="Y554" s="56" t="s">
        <v>2624</v>
      </c>
      <c r="Z554" s="56" t="s">
        <v>2624</v>
      </c>
      <c r="AA554" s="56" t="s">
        <v>35</v>
      </c>
      <c r="AB554" s="56">
        <v>14103106</v>
      </c>
      <c r="AC554" s="56" t="s">
        <v>35</v>
      </c>
      <c r="AD554" s="56">
        <v>14103106</v>
      </c>
      <c r="AE554" s="56" t="s">
        <v>2626</v>
      </c>
      <c r="AF554" s="56" t="s">
        <v>2627</v>
      </c>
      <c r="AG554" s="56" t="s">
        <v>2627</v>
      </c>
      <c r="AH554" s="56">
        <v>36</v>
      </c>
      <c r="AI554" s="56" t="s">
        <v>2628</v>
      </c>
      <c r="AJ554" s="56" t="s">
        <v>2629</v>
      </c>
      <c r="AK554" s="56">
        <v>0</v>
      </c>
      <c r="AL554" s="56" t="s">
        <v>2630</v>
      </c>
      <c r="AM554" s="56" t="s">
        <v>2631</v>
      </c>
      <c r="AN554" s="56" t="s">
        <v>2632</v>
      </c>
      <c r="AO554" s="56" t="s">
        <v>2627</v>
      </c>
      <c r="AP554" s="56" t="s">
        <v>2624</v>
      </c>
      <c r="AQ554" s="123">
        <v>4.8611111111110938E-3</v>
      </c>
      <c r="AR554" s="122">
        <v>-1.156249999999992E-2</v>
      </c>
      <c r="AS554" s="56" t="s">
        <v>1048</v>
      </c>
      <c r="AT554" s="56" t="s">
        <v>1049</v>
      </c>
      <c r="AU554" s="56" t="s">
        <v>1050</v>
      </c>
      <c r="AV554" s="56">
        <v>36</v>
      </c>
      <c r="AW554" s="56" t="s">
        <v>1051</v>
      </c>
      <c r="AX554" s="56" t="s">
        <v>1092</v>
      </c>
      <c r="AY554" s="56" t="s">
        <v>1093</v>
      </c>
      <c r="AZ554" s="56" t="s">
        <v>1067</v>
      </c>
      <c r="BA554" s="56" t="s">
        <v>1094</v>
      </c>
      <c r="BB554" s="56" t="s">
        <v>1095</v>
      </c>
      <c r="BC554" s="56" t="s">
        <v>1133</v>
      </c>
      <c r="BD554" s="56" t="s">
        <v>3202</v>
      </c>
    </row>
    <row r="555" spans="1:56" x14ac:dyDescent="0.2">
      <c r="A555" s="56">
        <v>176640393</v>
      </c>
      <c r="B555" s="56" t="s">
        <v>1142</v>
      </c>
      <c r="C555" s="56" t="s">
        <v>2623</v>
      </c>
      <c r="D555" s="56" t="s">
        <v>1143</v>
      </c>
      <c r="E555" s="56" t="s">
        <v>1044</v>
      </c>
      <c r="F555" s="56">
        <v>79</v>
      </c>
      <c r="G555" s="56"/>
      <c r="H555" s="56">
        <v>16734</v>
      </c>
      <c r="I555" s="56">
        <v>6</v>
      </c>
      <c r="J555" s="56" t="s">
        <v>1045</v>
      </c>
      <c r="K555" s="56" t="s">
        <v>1091</v>
      </c>
      <c r="L555" s="121">
        <v>46267</v>
      </c>
      <c r="M555" s="122">
        <v>0.54166666666666663</v>
      </c>
      <c r="N555" s="122">
        <v>0.54722222222222228</v>
      </c>
      <c r="O555" s="56" t="s">
        <v>1047</v>
      </c>
      <c r="P555" s="121">
        <v>46267</v>
      </c>
      <c r="Q555" s="122">
        <v>0.60069444444444442</v>
      </c>
      <c r="R555" s="122">
        <v>0.5909375</v>
      </c>
      <c r="S555" s="56" t="s">
        <v>1047</v>
      </c>
      <c r="T555" s="56">
        <v>1</v>
      </c>
      <c r="U555" s="56">
        <v>27</v>
      </c>
      <c r="V555" s="56">
        <v>24.36</v>
      </c>
      <c r="W555" s="56">
        <v>24.56</v>
      </c>
      <c r="X555" s="56" t="s">
        <v>2624</v>
      </c>
      <c r="Y555" s="56" t="s">
        <v>2624</v>
      </c>
      <c r="Z555" s="56" t="s">
        <v>2624</v>
      </c>
      <c r="AA555" s="56" t="s">
        <v>68</v>
      </c>
      <c r="AB555" s="56">
        <v>14107967</v>
      </c>
      <c r="AC555" s="56" t="s">
        <v>68</v>
      </c>
      <c r="AD555" s="56">
        <v>14107967</v>
      </c>
      <c r="AE555" s="56" t="s">
        <v>2626</v>
      </c>
      <c r="AF555" s="56" t="s">
        <v>2627</v>
      </c>
      <c r="AG555" s="56" t="s">
        <v>2627</v>
      </c>
      <c r="AH555" s="56">
        <v>36</v>
      </c>
      <c r="AI555" s="56" t="s">
        <v>2628</v>
      </c>
      <c r="AJ555" s="56" t="s">
        <v>2629</v>
      </c>
      <c r="AK555" s="56">
        <v>0</v>
      </c>
      <c r="AL555" s="56" t="s">
        <v>2630</v>
      </c>
      <c r="AM555" s="56" t="s">
        <v>2631</v>
      </c>
      <c r="AN555" s="56" t="s">
        <v>2632</v>
      </c>
      <c r="AO555" s="56" t="s">
        <v>2627</v>
      </c>
      <c r="AP555" s="56" t="s">
        <v>2624</v>
      </c>
      <c r="AQ555" s="123">
        <v>5.5555555555556468E-3</v>
      </c>
      <c r="AR555" s="122">
        <v>-9.7569444444444153E-3</v>
      </c>
      <c r="AS555" s="56" t="s">
        <v>1048</v>
      </c>
      <c r="AT555" s="56" t="s">
        <v>1049</v>
      </c>
      <c r="AU555" s="56" t="s">
        <v>1050</v>
      </c>
      <c r="AV555" s="56">
        <v>36</v>
      </c>
      <c r="AW555" s="56" t="s">
        <v>1051</v>
      </c>
      <c r="AX555" s="56" t="s">
        <v>1144</v>
      </c>
      <c r="AY555" s="56" t="s">
        <v>1093</v>
      </c>
      <c r="AZ555" s="56" t="s">
        <v>1067</v>
      </c>
      <c r="BA555" s="56" t="s">
        <v>1145</v>
      </c>
      <c r="BB555" s="56" t="s">
        <v>1146</v>
      </c>
      <c r="BC555" s="56" t="s">
        <v>1133</v>
      </c>
      <c r="BD555" s="56" t="s">
        <v>1147</v>
      </c>
    </row>
    <row r="556" spans="1:56" x14ac:dyDescent="0.2">
      <c r="A556" s="56">
        <v>176630574</v>
      </c>
      <c r="B556" s="56" t="s">
        <v>2786</v>
      </c>
      <c r="C556" s="56" t="s">
        <v>2623</v>
      </c>
      <c r="D556" s="56" t="s">
        <v>1532</v>
      </c>
      <c r="E556" s="56" t="s">
        <v>1044</v>
      </c>
      <c r="F556" s="56">
        <v>80</v>
      </c>
      <c r="G556" s="56"/>
      <c r="H556" s="56">
        <v>13375</v>
      </c>
      <c r="I556" s="56">
        <v>6</v>
      </c>
      <c r="J556" s="56" t="s">
        <v>1045</v>
      </c>
      <c r="K556" s="56" t="s">
        <v>1079</v>
      </c>
      <c r="L556" s="121">
        <v>46267</v>
      </c>
      <c r="M556" s="122">
        <v>0.54513888888888884</v>
      </c>
      <c r="N556" s="122">
        <v>0.54861111111111116</v>
      </c>
      <c r="O556" s="56" t="s">
        <v>1047</v>
      </c>
      <c r="P556" s="121">
        <v>46267</v>
      </c>
      <c r="Q556" s="122">
        <v>0.60069444444444442</v>
      </c>
      <c r="R556" s="122">
        <v>0.59266203703703701</v>
      </c>
      <c r="S556" s="56" t="s">
        <v>1047</v>
      </c>
      <c r="T556" s="56">
        <v>1</v>
      </c>
      <c r="U556" s="56">
        <v>36</v>
      </c>
      <c r="V556" s="56">
        <v>21.95</v>
      </c>
      <c r="W556" s="56">
        <v>31.84</v>
      </c>
      <c r="X556" s="56" t="s">
        <v>2624</v>
      </c>
      <c r="Y556" s="56" t="s">
        <v>2624</v>
      </c>
      <c r="Z556" s="56" t="s">
        <v>2624</v>
      </c>
      <c r="AA556" s="56" t="s">
        <v>460</v>
      </c>
      <c r="AB556" s="56">
        <v>14122873</v>
      </c>
      <c r="AC556" s="56" t="s">
        <v>460</v>
      </c>
      <c r="AD556" s="56">
        <v>14122873</v>
      </c>
      <c r="AE556" s="56" t="s">
        <v>2626</v>
      </c>
      <c r="AF556" s="56" t="s">
        <v>2627</v>
      </c>
      <c r="AG556" s="56" t="s">
        <v>2627</v>
      </c>
      <c r="AH556" s="56">
        <v>36</v>
      </c>
      <c r="AI556" s="56" t="s">
        <v>2628</v>
      </c>
      <c r="AJ556" s="56" t="s">
        <v>2629</v>
      </c>
      <c r="AK556" s="56">
        <v>0</v>
      </c>
      <c r="AL556" s="56" t="s">
        <v>2630</v>
      </c>
      <c r="AM556" s="56" t="s">
        <v>2631</v>
      </c>
      <c r="AN556" s="56" t="s">
        <v>2632</v>
      </c>
      <c r="AO556" s="56" t="s">
        <v>2627</v>
      </c>
      <c r="AP556" s="56" t="s">
        <v>2624</v>
      </c>
      <c r="AQ556" s="123">
        <v>3.4722222222223209E-3</v>
      </c>
      <c r="AR556" s="122">
        <v>-8.0324074074074048E-3</v>
      </c>
      <c r="AS556" s="56" t="s">
        <v>1048</v>
      </c>
      <c r="AT556" s="56" t="s">
        <v>1049</v>
      </c>
      <c r="AU556" s="56" t="s">
        <v>1050</v>
      </c>
      <c r="AV556" s="56">
        <v>36</v>
      </c>
      <c r="AW556" s="56" t="s">
        <v>1051</v>
      </c>
      <c r="AX556" s="56" t="s">
        <v>1533</v>
      </c>
      <c r="AY556" s="56" t="s">
        <v>1081</v>
      </c>
      <c r="AZ556" s="56" t="s">
        <v>1067</v>
      </c>
      <c r="BA556" s="56" t="s">
        <v>1534</v>
      </c>
      <c r="BB556" s="56" t="s">
        <v>1535</v>
      </c>
      <c r="BC556" s="56" t="s">
        <v>1133</v>
      </c>
      <c r="BD556" s="56" t="s">
        <v>2787</v>
      </c>
    </row>
    <row r="557" spans="1:56" x14ac:dyDescent="0.2">
      <c r="A557" s="56">
        <v>176630733</v>
      </c>
      <c r="B557" s="56" t="s">
        <v>2274</v>
      </c>
      <c r="C557" s="56" t="s">
        <v>2623</v>
      </c>
      <c r="D557" s="56" t="s">
        <v>2204</v>
      </c>
      <c r="E557" s="56" t="s">
        <v>1044</v>
      </c>
      <c r="F557" s="56">
        <v>109</v>
      </c>
      <c r="G557" s="56"/>
      <c r="H557" s="56">
        <v>6473</v>
      </c>
      <c r="I557" s="56">
        <v>6</v>
      </c>
      <c r="J557" s="56" t="s">
        <v>1045</v>
      </c>
      <c r="K557" s="56" t="s">
        <v>1296</v>
      </c>
      <c r="L557" s="121">
        <v>46267</v>
      </c>
      <c r="M557" s="122">
        <v>0.54861111111111116</v>
      </c>
      <c r="N557" s="122">
        <v>0.55277777777777781</v>
      </c>
      <c r="O557" s="56" t="s">
        <v>1047</v>
      </c>
      <c r="P557" s="121">
        <v>46267</v>
      </c>
      <c r="Q557" s="122">
        <v>0.60069444444444442</v>
      </c>
      <c r="R557" s="122">
        <v>0.59791666666666665</v>
      </c>
      <c r="S557" s="56" t="s">
        <v>1047</v>
      </c>
      <c r="T557" s="56">
        <v>1</v>
      </c>
      <c r="U557" s="56">
        <v>45</v>
      </c>
      <c r="V557" s="56">
        <v>43.12</v>
      </c>
      <c r="W557" s="56">
        <v>43.64</v>
      </c>
      <c r="X557" s="56" t="s">
        <v>2624</v>
      </c>
      <c r="Y557" s="56" t="s">
        <v>2624</v>
      </c>
      <c r="Z557" s="56" t="s">
        <v>2624</v>
      </c>
      <c r="AA557" s="56" t="s">
        <v>1598</v>
      </c>
      <c r="AB557" s="56">
        <v>14104932</v>
      </c>
      <c r="AC557" s="56" t="s">
        <v>1598</v>
      </c>
      <c r="AD557" s="56">
        <v>14104932</v>
      </c>
      <c r="AE557" s="56" t="s">
        <v>2626</v>
      </c>
      <c r="AF557" s="56" t="s">
        <v>2627</v>
      </c>
      <c r="AG557" s="56" t="s">
        <v>2627</v>
      </c>
      <c r="AH557" s="56">
        <v>36</v>
      </c>
      <c r="AI557" s="56" t="s">
        <v>2628</v>
      </c>
      <c r="AJ557" s="56" t="s">
        <v>2629</v>
      </c>
      <c r="AK557" s="56">
        <v>0</v>
      </c>
      <c r="AL557" s="56" t="s">
        <v>2630</v>
      </c>
      <c r="AM557" s="56" t="s">
        <v>2631</v>
      </c>
      <c r="AN557" s="56" t="s">
        <v>2632</v>
      </c>
      <c r="AO557" s="56" t="s">
        <v>2627</v>
      </c>
      <c r="AP557" s="56" t="s">
        <v>2624</v>
      </c>
      <c r="AQ557" s="123">
        <v>4.1666666666666519E-3</v>
      </c>
      <c r="AR557" s="122">
        <v>-2.7777777777777679E-3</v>
      </c>
      <c r="AS557" s="56" t="s">
        <v>1048</v>
      </c>
      <c r="AT557" s="56" t="s">
        <v>1049</v>
      </c>
      <c r="AU557" s="56" t="s">
        <v>1050</v>
      </c>
      <c r="AV557" s="56">
        <v>36</v>
      </c>
      <c r="AW557" s="56" t="s">
        <v>1051</v>
      </c>
      <c r="AX557" s="56" t="s">
        <v>2205</v>
      </c>
      <c r="AY557" s="56" t="s">
        <v>1297</v>
      </c>
      <c r="AZ557" s="56" t="s">
        <v>1067</v>
      </c>
      <c r="BA557" s="56" t="s">
        <v>2206</v>
      </c>
      <c r="BB557" s="56" t="s">
        <v>2207</v>
      </c>
      <c r="BC557" s="56" t="s">
        <v>1133</v>
      </c>
      <c r="BD557" s="56" t="s">
        <v>2275</v>
      </c>
    </row>
    <row r="558" spans="1:56" x14ac:dyDescent="0.2">
      <c r="A558" s="56">
        <v>176641571</v>
      </c>
      <c r="B558" s="56" t="s">
        <v>2788</v>
      </c>
      <c r="C558" s="56" t="s">
        <v>2623</v>
      </c>
      <c r="D558" s="56" t="s">
        <v>1504</v>
      </c>
      <c r="E558" s="56" t="s">
        <v>1044</v>
      </c>
      <c r="F558" s="56">
        <v>149</v>
      </c>
      <c r="G558" s="56" t="s">
        <v>2693</v>
      </c>
      <c r="H558" s="56">
        <v>5525</v>
      </c>
      <c r="I558" s="56">
        <v>8</v>
      </c>
      <c r="J558" s="56" t="s">
        <v>1045</v>
      </c>
      <c r="K558" s="56" t="s">
        <v>1116</v>
      </c>
      <c r="L558" s="121">
        <v>46267</v>
      </c>
      <c r="M558" s="122">
        <v>0.55000000000000004</v>
      </c>
      <c r="N558" s="122">
        <v>0.55902777777777779</v>
      </c>
      <c r="O558" s="56" t="s">
        <v>1047</v>
      </c>
      <c r="P558" s="121">
        <v>46267</v>
      </c>
      <c r="Q558" s="122">
        <v>0.61458333333333337</v>
      </c>
      <c r="R558" s="122">
        <v>0.6028472222222222</v>
      </c>
      <c r="S558" s="56" t="s">
        <v>1047</v>
      </c>
      <c r="T558" s="56">
        <v>0</v>
      </c>
      <c r="U558" s="56">
        <v>20</v>
      </c>
      <c r="V558" s="56">
        <v>21.01</v>
      </c>
      <c r="W558" s="56">
        <v>17.899999999999999</v>
      </c>
      <c r="X558" s="56" t="s">
        <v>2624</v>
      </c>
      <c r="Y558" s="56" t="s">
        <v>2624</v>
      </c>
      <c r="Z558" s="56" t="s">
        <v>2624</v>
      </c>
      <c r="AA558" s="56" t="s">
        <v>957</v>
      </c>
      <c r="AB558" s="56">
        <v>14123720</v>
      </c>
      <c r="AC558" s="56" t="s">
        <v>957</v>
      </c>
      <c r="AD558" s="56">
        <v>14123720</v>
      </c>
      <c r="AE558" s="56" t="s">
        <v>2626</v>
      </c>
      <c r="AF558" s="56" t="s">
        <v>2627</v>
      </c>
      <c r="AG558" s="56" t="s">
        <v>2627</v>
      </c>
      <c r="AH558" s="56">
        <v>36</v>
      </c>
      <c r="AI558" s="56" t="s">
        <v>2628</v>
      </c>
      <c r="AJ558" s="56" t="s">
        <v>2629</v>
      </c>
      <c r="AK558" s="56">
        <v>0</v>
      </c>
      <c r="AL558" s="56" t="s">
        <v>2630</v>
      </c>
      <c r="AM558" s="56" t="s">
        <v>2631</v>
      </c>
      <c r="AN558" s="56" t="s">
        <v>2632</v>
      </c>
      <c r="AO558" s="56" t="s">
        <v>2627</v>
      </c>
      <c r="AP558" s="56" t="s">
        <v>2624</v>
      </c>
      <c r="AQ558" s="123">
        <v>9.0277777777777457E-3</v>
      </c>
      <c r="AR558" s="122">
        <v>-1.1736111111111169E-2</v>
      </c>
      <c r="AS558" s="56" t="s">
        <v>1048</v>
      </c>
      <c r="AT558" s="56" t="s">
        <v>1049</v>
      </c>
      <c r="AU558" s="56" t="s">
        <v>1050</v>
      </c>
      <c r="AV558" s="56">
        <v>36</v>
      </c>
      <c r="AW558" s="56" t="s">
        <v>1051</v>
      </c>
      <c r="AX558" s="56" t="s">
        <v>1505</v>
      </c>
      <c r="AY558" s="56" t="s">
        <v>1128</v>
      </c>
      <c r="AZ558" s="56" t="s">
        <v>1054</v>
      </c>
      <c r="BA558" s="56" t="s">
        <v>1506</v>
      </c>
      <c r="BB558" s="56" t="s">
        <v>1507</v>
      </c>
      <c r="BC558" s="56" t="s">
        <v>1133</v>
      </c>
      <c r="BD558" s="56" t="s">
        <v>2789</v>
      </c>
    </row>
    <row r="559" spans="1:56" x14ac:dyDescent="0.2">
      <c r="A559" s="56">
        <v>176630717</v>
      </c>
      <c r="B559" s="56" t="s">
        <v>2130</v>
      </c>
      <c r="C559" s="56" t="s">
        <v>2623</v>
      </c>
      <c r="D559" s="56" t="s">
        <v>2131</v>
      </c>
      <c r="E559" s="56" t="s">
        <v>1044</v>
      </c>
      <c r="F559" s="56">
        <v>100</v>
      </c>
      <c r="G559" s="56"/>
      <c r="H559" s="56">
        <v>15997</v>
      </c>
      <c r="I559" s="56">
        <v>6</v>
      </c>
      <c r="J559" s="56" t="s">
        <v>1045</v>
      </c>
      <c r="K559" s="56" t="s">
        <v>1296</v>
      </c>
      <c r="L559" s="121">
        <v>46267</v>
      </c>
      <c r="M559" s="122">
        <v>0.55208333333333337</v>
      </c>
      <c r="N559" s="122">
        <v>0.55694444444444446</v>
      </c>
      <c r="O559" s="56" t="s">
        <v>1047</v>
      </c>
      <c r="P559" s="121">
        <v>46267</v>
      </c>
      <c r="Q559" s="122">
        <v>0.60069444444444442</v>
      </c>
      <c r="R559" s="122">
        <v>0.59174768518518517</v>
      </c>
      <c r="S559" s="56" t="s">
        <v>1047</v>
      </c>
      <c r="T559" s="56">
        <v>1</v>
      </c>
      <c r="U559" s="56">
        <v>29</v>
      </c>
      <c r="V559" s="56">
        <v>25.94</v>
      </c>
      <c r="W559" s="56">
        <v>27.49</v>
      </c>
      <c r="X559" s="56" t="s">
        <v>2624</v>
      </c>
      <c r="Y559" s="56" t="s">
        <v>2624</v>
      </c>
      <c r="Z559" s="56" t="s">
        <v>2624</v>
      </c>
      <c r="AA559" s="56" t="s">
        <v>547</v>
      </c>
      <c r="AB559" s="56">
        <v>14123568</v>
      </c>
      <c r="AC559" s="56" t="s">
        <v>547</v>
      </c>
      <c r="AD559" s="56">
        <v>14123568</v>
      </c>
      <c r="AE559" s="56" t="s">
        <v>2626</v>
      </c>
      <c r="AF559" s="56" t="s">
        <v>2627</v>
      </c>
      <c r="AG559" s="56" t="s">
        <v>2627</v>
      </c>
      <c r="AH559" s="56">
        <v>36</v>
      </c>
      <c r="AI559" s="56" t="s">
        <v>2628</v>
      </c>
      <c r="AJ559" s="56" t="s">
        <v>2629</v>
      </c>
      <c r="AK559" s="56">
        <v>0</v>
      </c>
      <c r="AL559" s="56" t="s">
        <v>2630</v>
      </c>
      <c r="AM559" s="56" t="s">
        <v>2631</v>
      </c>
      <c r="AN559" s="56" t="s">
        <v>2632</v>
      </c>
      <c r="AO559" s="56" t="s">
        <v>2627</v>
      </c>
      <c r="AP559" s="56" t="s">
        <v>2624</v>
      </c>
      <c r="AQ559" s="123">
        <v>4.8611111111110938E-3</v>
      </c>
      <c r="AR559" s="122">
        <v>-8.9467592592592515E-3</v>
      </c>
      <c r="AS559" s="56" t="s">
        <v>1048</v>
      </c>
      <c r="AT559" s="56" t="s">
        <v>1049</v>
      </c>
      <c r="AU559" s="56" t="s">
        <v>1050</v>
      </c>
      <c r="AV559" s="56">
        <v>36</v>
      </c>
      <c r="AW559" s="56" t="s">
        <v>1051</v>
      </c>
      <c r="AX559" s="56" t="s">
        <v>2132</v>
      </c>
      <c r="AY559" s="56" t="s">
        <v>1297</v>
      </c>
      <c r="AZ559" s="56" t="s">
        <v>1067</v>
      </c>
      <c r="BA559" s="56" t="s">
        <v>2133</v>
      </c>
      <c r="BB559" s="56" t="s">
        <v>2134</v>
      </c>
      <c r="BC559" s="56" t="s">
        <v>1133</v>
      </c>
      <c r="BD559" s="56" t="s">
        <v>2135</v>
      </c>
    </row>
    <row r="560" spans="1:56" x14ac:dyDescent="0.2">
      <c r="A560" s="56">
        <v>176640250</v>
      </c>
      <c r="B560" s="56" t="s">
        <v>1309</v>
      </c>
      <c r="C560" s="56" t="s">
        <v>2623</v>
      </c>
      <c r="D560" s="56" t="s">
        <v>1115</v>
      </c>
      <c r="E560" s="56" t="s">
        <v>1044</v>
      </c>
      <c r="F560" s="56">
        <v>98</v>
      </c>
      <c r="G560" s="56" t="s">
        <v>2670</v>
      </c>
      <c r="H560" s="56">
        <v>14692</v>
      </c>
      <c r="I560" s="56">
        <v>6</v>
      </c>
      <c r="J560" s="56" t="s">
        <v>1045</v>
      </c>
      <c r="K560" s="56" t="s">
        <v>1116</v>
      </c>
      <c r="L560" s="121">
        <v>46267</v>
      </c>
      <c r="M560" s="122">
        <v>0.55208333333333337</v>
      </c>
      <c r="N560" s="122">
        <v>0.57013888888888886</v>
      </c>
      <c r="O560" s="56" t="s">
        <v>1047</v>
      </c>
      <c r="P560" s="121">
        <v>46267</v>
      </c>
      <c r="Q560" s="122">
        <v>0.61458333333333337</v>
      </c>
      <c r="R560" s="122">
        <v>0.62262731481481481</v>
      </c>
      <c r="S560" s="56" t="s">
        <v>1047</v>
      </c>
      <c r="T560" s="56">
        <v>1</v>
      </c>
      <c r="U560" s="56">
        <v>31</v>
      </c>
      <c r="V560" s="56">
        <v>26.97</v>
      </c>
      <c r="W560" s="56">
        <v>26.78</v>
      </c>
      <c r="X560" s="56" t="s">
        <v>2624</v>
      </c>
      <c r="Y560" s="56" t="s">
        <v>2624</v>
      </c>
      <c r="Z560" s="56" t="s">
        <v>2624</v>
      </c>
      <c r="AA560" s="56" t="s">
        <v>958</v>
      </c>
      <c r="AB560" s="56">
        <v>14123725</v>
      </c>
      <c r="AC560" s="56" t="s">
        <v>958</v>
      </c>
      <c r="AD560" s="56">
        <v>14123725</v>
      </c>
      <c r="AE560" s="56" t="s">
        <v>2626</v>
      </c>
      <c r="AF560" s="56" t="s">
        <v>2627</v>
      </c>
      <c r="AG560" s="56" t="s">
        <v>2627</v>
      </c>
      <c r="AH560" s="56">
        <v>36</v>
      </c>
      <c r="AI560" s="56" t="s">
        <v>2628</v>
      </c>
      <c r="AJ560" s="56" t="s">
        <v>2640</v>
      </c>
      <c r="AK560" s="56">
        <v>0</v>
      </c>
      <c r="AL560" s="56" t="s">
        <v>2630</v>
      </c>
      <c r="AM560" s="56" t="s">
        <v>2631</v>
      </c>
      <c r="AN560" s="56" t="s">
        <v>2632</v>
      </c>
      <c r="AO560" s="56" t="s">
        <v>2627</v>
      </c>
      <c r="AP560" s="56" t="s">
        <v>2624</v>
      </c>
      <c r="AQ560" s="123">
        <v>1.8055555555555491E-2</v>
      </c>
      <c r="AR560" s="122">
        <v>8.0439814814814437E-3</v>
      </c>
      <c r="AS560" s="56" t="s">
        <v>1048</v>
      </c>
      <c r="AT560" s="56" t="s">
        <v>1059</v>
      </c>
      <c r="AU560" s="56" t="s">
        <v>1060</v>
      </c>
      <c r="AV560" s="56">
        <v>36</v>
      </c>
      <c r="AW560" s="56" t="s">
        <v>1051</v>
      </c>
      <c r="AX560" s="56" t="s">
        <v>1117</v>
      </c>
      <c r="AY560" s="56" t="s">
        <v>1118</v>
      </c>
      <c r="AZ560" s="56" t="s">
        <v>1054</v>
      </c>
      <c r="BA560" s="56" t="s">
        <v>1119</v>
      </c>
      <c r="BB560" s="56" t="s">
        <v>1120</v>
      </c>
      <c r="BC560" s="56" t="s">
        <v>1133</v>
      </c>
      <c r="BD560" s="56" t="s">
        <v>1310</v>
      </c>
    </row>
    <row r="561" spans="1:56" x14ac:dyDescent="0.2">
      <c r="A561" s="56">
        <v>176636314</v>
      </c>
      <c r="B561" s="56" t="s">
        <v>3590</v>
      </c>
      <c r="C561" s="56" t="s">
        <v>2623</v>
      </c>
      <c r="D561" s="56" t="s">
        <v>3238</v>
      </c>
      <c r="E561" s="56" t="s">
        <v>1044</v>
      </c>
      <c r="F561" s="56">
        <v>65</v>
      </c>
      <c r="G561" s="56" t="s">
        <v>2693</v>
      </c>
      <c r="H561" s="56">
        <v>5524</v>
      </c>
      <c r="I561" s="56">
        <v>6</v>
      </c>
      <c r="J561" s="56" t="s">
        <v>1045</v>
      </c>
      <c r="K561" s="56" t="s">
        <v>1116</v>
      </c>
      <c r="L561" s="121">
        <v>46267</v>
      </c>
      <c r="M561" s="122">
        <v>0.5625</v>
      </c>
      <c r="N561" s="122">
        <v>0.56666666666666665</v>
      </c>
      <c r="O561" s="56" t="s">
        <v>1047</v>
      </c>
      <c r="P561" s="121">
        <v>46267</v>
      </c>
      <c r="Q561" s="122">
        <v>0.61458333333333337</v>
      </c>
      <c r="R561" s="122">
        <v>0.60556712962962966</v>
      </c>
      <c r="S561" s="56" t="s">
        <v>1047</v>
      </c>
      <c r="T561" s="56">
        <v>1</v>
      </c>
      <c r="U561" s="56">
        <v>21</v>
      </c>
      <c r="V561" s="56">
        <v>18.690000000000001</v>
      </c>
      <c r="W561" s="56">
        <v>18.62</v>
      </c>
      <c r="X561" s="56" t="s">
        <v>2624</v>
      </c>
      <c r="Y561" s="56" t="s">
        <v>2624</v>
      </c>
      <c r="Z561" s="56" t="s">
        <v>2624</v>
      </c>
      <c r="AA561" s="56" t="s">
        <v>1369</v>
      </c>
      <c r="AB561" s="56">
        <v>14119271</v>
      </c>
      <c r="AC561" s="56" t="s">
        <v>1369</v>
      </c>
      <c r="AD561" s="56">
        <v>14119271</v>
      </c>
      <c r="AE561" s="56" t="s">
        <v>2626</v>
      </c>
      <c r="AF561" s="56" t="s">
        <v>2627</v>
      </c>
      <c r="AG561" s="56" t="s">
        <v>2627</v>
      </c>
      <c r="AH561" s="56">
        <v>36</v>
      </c>
      <c r="AI561" s="56" t="s">
        <v>2628</v>
      </c>
      <c r="AJ561" s="56" t="s">
        <v>2629</v>
      </c>
      <c r="AK561" s="56">
        <v>0</v>
      </c>
      <c r="AL561" s="56" t="s">
        <v>2630</v>
      </c>
      <c r="AM561" s="56" t="s">
        <v>2631</v>
      </c>
      <c r="AN561" s="56" t="s">
        <v>2632</v>
      </c>
      <c r="AO561" s="56" t="s">
        <v>2627</v>
      </c>
      <c r="AP561" s="56" t="s">
        <v>2624</v>
      </c>
      <c r="AQ561" s="123">
        <v>4.1666666666666519E-3</v>
      </c>
      <c r="AR561" s="122">
        <v>-9.0162037037037068E-3</v>
      </c>
      <c r="AS561" s="56" t="s">
        <v>1048</v>
      </c>
      <c r="AT561" s="56" t="s">
        <v>1049</v>
      </c>
      <c r="AU561" s="56" t="s">
        <v>1050</v>
      </c>
      <c r="AV561" s="56">
        <v>36</v>
      </c>
      <c r="AW561" s="56" t="s">
        <v>1051</v>
      </c>
      <c r="AX561" s="56" t="s">
        <v>3591</v>
      </c>
      <c r="AY561" s="56" t="s">
        <v>1128</v>
      </c>
      <c r="AZ561" s="56" t="s">
        <v>1054</v>
      </c>
      <c r="BA561" s="56" t="s">
        <v>3592</v>
      </c>
      <c r="BB561" s="56" t="s">
        <v>3593</v>
      </c>
      <c r="BC561" s="56" t="s">
        <v>1133</v>
      </c>
      <c r="BD561" s="56" t="s">
        <v>3594</v>
      </c>
    </row>
    <row r="562" spans="1:56" x14ac:dyDescent="0.2">
      <c r="A562" s="56">
        <v>176636513</v>
      </c>
      <c r="B562" s="56" t="s">
        <v>3090</v>
      </c>
      <c r="C562" s="56" t="s">
        <v>2623</v>
      </c>
      <c r="D562" s="56" t="s">
        <v>2696</v>
      </c>
      <c r="E562" s="56" t="s">
        <v>1044</v>
      </c>
      <c r="F562" s="56">
        <v>69</v>
      </c>
      <c r="G562" s="56" t="s">
        <v>2693</v>
      </c>
      <c r="H562" s="56">
        <v>4982</v>
      </c>
      <c r="I562" s="56">
        <v>6</v>
      </c>
      <c r="J562" s="56" t="s">
        <v>1045</v>
      </c>
      <c r="K562" s="56" t="s">
        <v>1116</v>
      </c>
      <c r="L562" s="121">
        <v>46267</v>
      </c>
      <c r="M562" s="122">
        <v>0.5625</v>
      </c>
      <c r="N562" s="122">
        <v>0.58611111111111114</v>
      </c>
      <c r="O562" s="56" t="s">
        <v>1047</v>
      </c>
      <c r="P562" s="121">
        <v>46267</v>
      </c>
      <c r="Q562" s="122">
        <v>0.61458333333333337</v>
      </c>
      <c r="R562" s="122">
        <v>0.6240162037037037</v>
      </c>
      <c r="S562" s="56" t="s">
        <v>1047</v>
      </c>
      <c r="T562" s="56">
        <v>1</v>
      </c>
      <c r="U562" s="56">
        <v>28</v>
      </c>
      <c r="V562" s="56">
        <v>23.19</v>
      </c>
      <c r="W562" s="56">
        <v>24.97</v>
      </c>
      <c r="X562" s="56" t="s">
        <v>2624</v>
      </c>
      <c r="Y562" s="56" t="s">
        <v>2624</v>
      </c>
      <c r="Z562" s="56" t="s">
        <v>2624</v>
      </c>
      <c r="AA562" s="56" t="s">
        <v>284</v>
      </c>
      <c r="AB562" s="56">
        <v>14111678</v>
      </c>
      <c r="AC562" s="56" t="s">
        <v>284</v>
      </c>
      <c r="AD562" s="56">
        <v>14111678</v>
      </c>
      <c r="AE562" s="56" t="s">
        <v>2626</v>
      </c>
      <c r="AF562" s="56" t="s">
        <v>2627</v>
      </c>
      <c r="AG562" s="56" t="s">
        <v>2627</v>
      </c>
      <c r="AH562" s="56">
        <v>36</v>
      </c>
      <c r="AI562" s="56" t="s">
        <v>2628</v>
      </c>
      <c r="AJ562" s="56" t="s">
        <v>2640</v>
      </c>
      <c r="AK562" s="56">
        <v>0</v>
      </c>
      <c r="AL562" s="56" t="s">
        <v>2630</v>
      </c>
      <c r="AM562" s="56" t="s">
        <v>2631</v>
      </c>
      <c r="AN562" s="56" t="s">
        <v>2632</v>
      </c>
      <c r="AO562" s="56" t="s">
        <v>2627</v>
      </c>
      <c r="AP562" s="56" t="s">
        <v>2624</v>
      </c>
      <c r="AQ562" s="123">
        <v>2.3611111111111138E-2</v>
      </c>
      <c r="AR562" s="122">
        <v>9.4328703703703276E-3</v>
      </c>
      <c r="AS562" s="56" t="s">
        <v>1048</v>
      </c>
      <c r="AT562" s="56" t="s">
        <v>1059</v>
      </c>
      <c r="AU562" s="56" t="s">
        <v>1060</v>
      </c>
      <c r="AV562" s="56">
        <v>36</v>
      </c>
      <c r="AW562" s="56" t="s">
        <v>1051</v>
      </c>
      <c r="AX562" s="56" t="s">
        <v>2697</v>
      </c>
      <c r="AY562" s="56" t="s">
        <v>1128</v>
      </c>
      <c r="AZ562" s="56" t="s">
        <v>1054</v>
      </c>
      <c r="BA562" s="56" t="s">
        <v>2698</v>
      </c>
      <c r="BB562" s="56" t="s">
        <v>2699</v>
      </c>
      <c r="BC562" s="56" t="s">
        <v>1133</v>
      </c>
      <c r="BD562" s="56" t="s">
        <v>3091</v>
      </c>
    </row>
    <row r="563" spans="1:56" x14ac:dyDescent="0.2">
      <c r="A563" s="56">
        <v>176635519</v>
      </c>
      <c r="B563" s="56" t="s">
        <v>3365</v>
      </c>
      <c r="C563" s="56" t="s">
        <v>2623</v>
      </c>
      <c r="D563" s="56" t="s">
        <v>1650</v>
      </c>
      <c r="E563" s="56" t="s">
        <v>1044</v>
      </c>
      <c r="F563" s="56">
        <v>44</v>
      </c>
      <c r="G563" s="56" t="s">
        <v>2670</v>
      </c>
      <c r="H563" s="56">
        <v>4985</v>
      </c>
      <c r="I563" s="56">
        <v>6</v>
      </c>
      <c r="J563" s="56" t="s">
        <v>1045</v>
      </c>
      <c r="K563" s="56" t="s">
        <v>1116</v>
      </c>
      <c r="L563" s="121">
        <v>46267</v>
      </c>
      <c r="M563" s="122">
        <v>0.56597222222222221</v>
      </c>
      <c r="N563" s="122">
        <v>0.57152777777777775</v>
      </c>
      <c r="O563" s="56" t="s">
        <v>1047</v>
      </c>
      <c r="P563" s="121">
        <v>46267</v>
      </c>
      <c r="Q563" s="122">
        <v>0.61458333333333337</v>
      </c>
      <c r="R563" s="122">
        <v>0.60994212962962968</v>
      </c>
      <c r="S563" s="56" t="s">
        <v>1047</v>
      </c>
      <c r="T563" s="56">
        <v>1</v>
      </c>
      <c r="U563" s="56">
        <v>27</v>
      </c>
      <c r="V563" s="56">
        <v>22.25</v>
      </c>
      <c r="W563" s="56">
        <v>22.76</v>
      </c>
      <c r="X563" s="56" t="s">
        <v>2624</v>
      </c>
      <c r="Y563" s="56" t="s">
        <v>2624</v>
      </c>
      <c r="Z563" s="56" t="s">
        <v>2624</v>
      </c>
      <c r="AA563" s="56" t="s">
        <v>983</v>
      </c>
      <c r="AB563" s="56">
        <v>14110336</v>
      </c>
      <c r="AC563" s="56" t="s">
        <v>983</v>
      </c>
      <c r="AD563" s="56">
        <v>14110336</v>
      </c>
      <c r="AE563" s="56" t="s">
        <v>2626</v>
      </c>
      <c r="AF563" s="56" t="s">
        <v>2627</v>
      </c>
      <c r="AG563" s="56" t="s">
        <v>2627</v>
      </c>
      <c r="AH563" s="56">
        <v>36</v>
      </c>
      <c r="AI563" s="56" t="s">
        <v>2628</v>
      </c>
      <c r="AJ563" s="56" t="s">
        <v>2629</v>
      </c>
      <c r="AK563" s="56">
        <v>0</v>
      </c>
      <c r="AL563" s="56" t="s">
        <v>2630</v>
      </c>
      <c r="AM563" s="56" t="s">
        <v>2631</v>
      </c>
      <c r="AN563" s="56" t="s">
        <v>2632</v>
      </c>
      <c r="AO563" s="56" t="s">
        <v>2627</v>
      </c>
      <c r="AP563" s="56">
        <v>39</v>
      </c>
      <c r="AQ563" s="123">
        <v>5.5555555555555358E-3</v>
      </c>
      <c r="AR563" s="122">
        <v>-4.6412037037036891E-3</v>
      </c>
      <c r="AS563" s="56" t="s">
        <v>1048</v>
      </c>
      <c r="AT563" s="56" t="s">
        <v>1049</v>
      </c>
      <c r="AU563" s="56" t="s">
        <v>1050</v>
      </c>
      <c r="AV563" s="56">
        <v>36</v>
      </c>
      <c r="AW563" s="56" t="s">
        <v>1051</v>
      </c>
      <c r="AX563" s="56" t="s">
        <v>1651</v>
      </c>
      <c r="AY563" s="56" t="s">
        <v>1118</v>
      </c>
      <c r="AZ563" s="56" t="s">
        <v>1054</v>
      </c>
      <c r="BA563" s="56" t="s">
        <v>1652</v>
      </c>
      <c r="BB563" s="56" t="s">
        <v>1653</v>
      </c>
      <c r="BC563" s="56" t="s">
        <v>1133</v>
      </c>
      <c r="BD563" s="56" t="s">
        <v>3366</v>
      </c>
    </row>
    <row r="564" spans="1:56" x14ac:dyDescent="0.2">
      <c r="A564" s="56">
        <v>176630597</v>
      </c>
      <c r="B564" s="56" t="s">
        <v>3595</v>
      </c>
      <c r="C564" s="56" t="s">
        <v>2623</v>
      </c>
      <c r="D564" s="56" t="s">
        <v>3140</v>
      </c>
      <c r="E564" s="56" t="s">
        <v>1044</v>
      </c>
      <c r="F564" s="56">
        <v>86</v>
      </c>
      <c r="G564" s="56"/>
      <c r="H564" s="56">
        <v>6353</v>
      </c>
      <c r="I564" s="56">
        <v>6</v>
      </c>
      <c r="J564" s="56" t="s">
        <v>1045</v>
      </c>
      <c r="K564" s="56" t="s">
        <v>1079</v>
      </c>
      <c r="L564" s="121">
        <v>46267</v>
      </c>
      <c r="M564" s="122">
        <v>0.56944444444444442</v>
      </c>
      <c r="N564" s="122">
        <v>0.58402777777777781</v>
      </c>
      <c r="O564" s="56" t="s">
        <v>1047</v>
      </c>
      <c r="P564" s="121">
        <v>46267</v>
      </c>
      <c r="Q564" s="122">
        <v>0.60069444444444442</v>
      </c>
      <c r="R564" s="122">
        <v>0.60347222222222219</v>
      </c>
      <c r="S564" s="56" t="s">
        <v>1047</v>
      </c>
      <c r="T564" s="56">
        <v>1</v>
      </c>
      <c r="U564" s="56">
        <v>16</v>
      </c>
      <c r="V564" s="56">
        <v>-3934.14</v>
      </c>
      <c r="W564" s="56">
        <v>-134211.1</v>
      </c>
      <c r="X564" s="56">
        <v>23.88</v>
      </c>
      <c r="Y564" s="56">
        <v>134234.98000000001</v>
      </c>
      <c r="Z564" s="56">
        <v>0</v>
      </c>
      <c r="AA564" s="56" t="s">
        <v>1637</v>
      </c>
      <c r="AB564" s="56">
        <v>14121860</v>
      </c>
      <c r="AC564" s="56" t="s">
        <v>1637</v>
      </c>
      <c r="AD564" s="56">
        <v>14121860</v>
      </c>
      <c r="AE564" s="56" t="s">
        <v>2626</v>
      </c>
      <c r="AF564" s="56" t="s">
        <v>2627</v>
      </c>
      <c r="AG564" s="56" t="s">
        <v>2627</v>
      </c>
      <c r="AH564" s="56">
        <v>36</v>
      </c>
      <c r="AI564" s="56" t="s">
        <v>2628</v>
      </c>
      <c r="AJ564" s="56" t="s">
        <v>2640</v>
      </c>
      <c r="AK564" s="56">
        <v>0</v>
      </c>
      <c r="AL564" s="56" t="s">
        <v>2630</v>
      </c>
      <c r="AM564" s="56" t="s">
        <v>2631</v>
      </c>
      <c r="AN564" s="56" t="s">
        <v>2632</v>
      </c>
      <c r="AO564" s="56" t="s">
        <v>2627</v>
      </c>
      <c r="AP564" s="56" t="s">
        <v>2624</v>
      </c>
      <c r="AQ564" s="123">
        <v>1.4583333333333393E-2</v>
      </c>
      <c r="AR564" s="122">
        <v>2.7777777777777679E-3</v>
      </c>
      <c r="AS564" s="56" t="s">
        <v>1048</v>
      </c>
      <c r="AT564" s="56" t="s">
        <v>1049</v>
      </c>
      <c r="AU564" s="56" t="s">
        <v>1050</v>
      </c>
      <c r="AV564" s="56">
        <v>36</v>
      </c>
      <c r="AW564" s="56" t="s">
        <v>1051</v>
      </c>
      <c r="AX564" s="56" t="s">
        <v>3142</v>
      </c>
      <c r="AY564" s="56" t="s">
        <v>1081</v>
      </c>
      <c r="AZ564" s="56" t="s">
        <v>1067</v>
      </c>
      <c r="BA564" s="56" t="s">
        <v>3143</v>
      </c>
      <c r="BB564" s="56" t="s">
        <v>3144</v>
      </c>
      <c r="BC564" s="56" t="s">
        <v>1133</v>
      </c>
      <c r="BD564" s="56" t="s">
        <v>3596</v>
      </c>
    </row>
    <row r="565" spans="1:56" x14ac:dyDescent="0.2">
      <c r="A565" s="56">
        <v>176641056</v>
      </c>
      <c r="B565" s="56" t="s">
        <v>3597</v>
      </c>
      <c r="C565" s="56" t="s">
        <v>2623</v>
      </c>
      <c r="D565" s="56" t="s">
        <v>2990</v>
      </c>
      <c r="E565" s="56" t="s">
        <v>1044</v>
      </c>
      <c r="F565" s="56">
        <v>110</v>
      </c>
      <c r="G565" s="56" t="s">
        <v>2670</v>
      </c>
      <c r="H565" s="56">
        <v>15314</v>
      </c>
      <c r="I565" s="56">
        <v>6</v>
      </c>
      <c r="J565" s="56" t="s">
        <v>1045</v>
      </c>
      <c r="K565" s="56" t="s">
        <v>1116</v>
      </c>
      <c r="L565" s="121">
        <v>46267</v>
      </c>
      <c r="M565" s="122">
        <v>0.56944444444444442</v>
      </c>
      <c r="N565" s="122">
        <v>0.57638888888888884</v>
      </c>
      <c r="O565" s="56" t="s">
        <v>1047</v>
      </c>
      <c r="P565" s="121">
        <v>46267</v>
      </c>
      <c r="Q565" s="122">
        <v>0.61458333333333337</v>
      </c>
      <c r="R565" s="122">
        <v>0.59930555555555554</v>
      </c>
      <c r="S565" s="56" t="s">
        <v>1047</v>
      </c>
      <c r="T565" s="56">
        <v>1</v>
      </c>
      <c r="U565" s="56">
        <v>22</v>
      </c>
      <c r="V565" s="56">
        <v>17.149999999999999</v>
      </c>
      <c r="W565" s="56">
        <v>16.38</v>
      </c>
      <c r="X565" s="56" t="s">
        <v>2624</v>
      </c>
      <c r="Y565" s="56" t="s">
        <v>2624</v>
      </c>
      <c r="Z565" s="56" t="s">
        <v>2624</v>
      </c>
      <c r="AA565" s="56"/>
      <c r="AB565" s="56"/>
      <c r="AC565" s="56" t="s">
        <v>1187</v>
      </c>
      <c r="AD565" s="56"/>
      <c r="AE565" s="56" t="s">
        <v>2626</v>
      </c>
      <c r="AF565" s="56" t="s">
        <v>2627</v>
      </c>
      <c r="AG565" s="56" t="s">
        <v>2627</v>
      </c>
      <c r="AH565" s="56">
        <v>36</v>
      </c>
      <c r="AI565" s="56" t="s">
        <v>2628</v>
      </c>
      <c r="AJ565" s="56" t="s">
        <v>2629</v>
      </c>
      <c r="AK565" s="56">
        <v>0</v>
      </c>
      <c r="AL565" s="56" t="s">
        <v>2630</v>
      </c>
      <c r="AM565" s="56" t="s">
        <v>2631</v>
      </c>
      <c r="AN565" s="56" t="s">
        <v>2632</v>
      </c>
      <c r="AO565" s="56" t="s">
        <v>2627</v>
      </c>
      <c r="AP565" s="56" t="s">
        <v>2624</v>
      </c>
      <c r="AQ565" s="123">
        <v>6.9444444444444198E-3</v>
      </c>
      <c r="AR565" s="122">
        <v>-1.5277777777777835E-2</v>
      </c>
      <c r="AS565" s="56" t="s">
        <v>1048</v>
      </c>
      <c r="AT565" s="56" t="s">
        <v>1049</v>
      </c>
      <c r="AU565" s="56" t="s">
        <v>1050</v>
      </c>
      <c r="AV565" s="56">
        <v>36</v>
      </c>
      <c r="AW565" s="56" t="s">
        <v>1051</v>
      </c>
      <c r="AX565" s="56" t="s">
        <v>2991</v>
      </c>
      <c r="AY565" s="56" t="s">
        <v>1128</v>
      </c>
      <c r="AZ565" s="56" t="s">
        <v>1054</v>
      </c>
      <c r="BA565" s="56" t="s">
        <v>2992</v>
      </c>
      <c r="BB565" s="56" t="s">
        <v>2993</v>
      </c>
      <c r="BC565" s="56" t="s">
        <v>1133</v>
      </c>
      <c r="BD565" s="56" t="s">
        <v>3598</v>
      </c>
    </row>
    <row r="566" spans="1:56" x14ac:dyDescent="0.2">
      <c r="A566" s="56">
        <v>176633762</v>
      </c>
      <c r="B566" s="56" t="s">
        <v>2816</v>
      </c>
      <c r="C566" s="56" t="s">
        <v>2623</v>
      </c>
      <c r="D566" s="56" t="s">
        <v>2688</v>
      </c>
      <c r="E566" s="56" t="s">
        <v>1044</v>
      </c>
      <c r="F566" s="56">
        <v>11</v>
      </c>
      <c r="G566" s="56"/>
      <c r="H566" s="56">
        <v>15185</v>
      </c>
      <c r="I566" s="56">
        <v>6</v>
      </c>
      <c r="J566" s="56" t="s">
        <v>1045</v>
      </c>
      <c r="K566" s="56" t="s">
        <v>1058</v>
      </c>
      <c r="L566" s="121">
        <v>46267</v>
      </c>
      <c r="M566" s="122">
        <v>0.57361111111111107</v>
      </c>
      <c r="N566" s="122">
        <v>0.5805555555555556</v>
      </c>
      <c r="O566" s="56" t="s">
        <v>1047</v>
      </c>
      <c r="P566" s="121">
        <v>46267</v>
      </c>
      <c r="Q566" s="122">
        <v>0.60416666666666663</v>
      </c>
      <c r="R566" s="122">
        <v>0.59502314814814816</v>
      </c>
      <c r="S566" s="56" t="s">
        <v>1047</v>
      </c>
      <c r="T566" s="56">
        <v>1</v>
      </c>
      <c r="U566" s="56">
        <v>14</v>
      </c>
      <c r="V566" s="56">
        <v>9.49</v>
      </c>
      <c r="W566" s="56">
        <v>8.42</v>
      </c>
      <c r="X566" s="56" t="s">
        <v>2624</v>
      </c>
      <c r="Y566" s="56" t="s">
        <v>2624</v>
      </c>
      <c r="Z566" s="56" t="s">
        <v>2624</v>
      </c>
      <c r="AA566" s="56" t="s">
        <v>467</v>
      </c>
      <c r="AB566" s="56">
        <v>14122925</v>
      </c>
      <c r="AC566" s="56" t="s">
        <v>467</v>
      </c>
      <c r="AD566" s="56">
        <v>14122925</v>
      </c>
      <c r="AE566" s="56" t="s">
        <v>2626</v>
      </c>
      <c r="AF566" s="56" t="s">
        <v>2627</v>
      </c>
      <c r="AG566" s="56" t="s">
        <v>2627</v>
      </c>
      <c r="AH566" s="56">
        <v>36</v>
      </c>
      <c r="AI566" s="56" t="s">
        <v>2628</v>
      </c>
      <c r="AJ566" s="56" t="s">
        <v>2629</v>
      </c>
      <c r="AK566" s="56">
        <v>730</v>
      </c>
      <c r="AL566" s="56" t="s">
        <v>2630</v>
      </c>
      <c r="AM566" s="56" t="s">
        <v>2631</v>
      </c>
      <c r="AN566" s="56" t="s">
        <v>2632</v>
      </c>
      <c r="AO566" s="56" t="s">
        <v>2627</v>
      </c>
      <c r="AP566" s="56" t="s">
        <v>2624</v>
      </c>
      <c r="AQ566" s="123">
        <v>6.9444444444445308E-3</v>
      </c>
      <c r="AR566" s="122">
        <v>-9.1435185185184675E-3</v>
      </c>
      <c r="AS566" s="56" t="s">
        <v>1048</v>
      </c>
      <c r="AT566" s="56" t="s">
        <v>1049</v>
      </c>
      <c r="AU566" s="56" t="s">
        <v>1050</v>
      </c>
      <c r="AV566" s="56">
        <v>36</v>
      </c>
      <c r="AW566" s="56" t="s">
        <v>1051</v>
      </c>
      <c r="AX566" s="56" t="s">
        <v>2689</v>
      </c>
      <c r="AY566" s="56" t="s">
        <v>1061</v>
      </c>
      <c r="AZ566" s="56" t="s">
        <v>1062</v>
      </c>
      <c r="BA566" s="56" t="s">
        <v>2690</v>
      </c>
      <c r="BB566" s="56" t="s">
        <v>2691</v>
      </c>
      <c r="BC566" s="56" t="s">
        <v>1133</v>
      </c>
      <c r="BD566" s="56" t="s">
        <v>2817</v>
      </c>
    </row>
    <row r="567" spans="1:56" x14ac:dyDescent="0.2">
      <c r="A567" s="56">
        <v>176641062</v>
      </c>
      <c r="B567" s="56" t="s">
        <v>2824</v>
      </c>
      <c r="C567" s="56" t="s">
        <v>2623</v>
      </c>
      <c r="D567" s="56" t="s">
        <v>2281</v>
      </c>
      <c r="E567" s="56" t="s">
        <v>1044</v>
      </c>
      <c r="F567" s="56">
        <v>112</v>
      </c>
      <c r="G567" s="56" t="s">
        <v>2693</v>
      </c>
      <c r="H567" s="56">
        <v>13374</v>
      </c>
      <c r="I567" s="56">
        <v>6</v>
      </c>
      <c r="J567" s="56" t="s">
        <v>1045</v>
      </c>
      <c r="K567" s="56" t="s">
        <v>1116</v>
      </c>
      <c r="L567" s="121">
        <v>46267</v>
      </c>
      <c r="M567" s="122">
        <v>0.57986111111111116</v>
      </c>
      <c r="N567" s="122">
        <v>0.58680555555555558</v>
      </c>
      <c r="O567" s="56" t="s">
        <v>1047</v>
      </c>
      <c r="P567" s="121">
        <v>46267</v>
      </c>
      <c r="Q567" s="122">
        <v>0.61458333333333337</v>
      </c>
      <c r="R567" s="122">
        <v>0.60533564814814811</v>
      </c>
      <c r="S567" s="56" t="s">
        <v>1047</v>
      </c>
      <c r="T567" s="56">
        <v>1</v>
      </c>
      <c r="U567" s="56">
        <v>17</v>
      </c>
      <c r="V567" s="56">
        <v>11.67</v>
      </c>
      <c r="W567" s="56">
        <v>11.06</v>
      </c>
      <c r="X567" s="56" t="s">
        <v>2624</v>
      </c>
      <c r="Y567" s="56" t="s">
        <v>2624</v>
      </c>
      <c r="Z567" s="56" t="s">
        <v>2624</v>
      </c>
      <c r="AA567" s="56" t="s">
        <v>247</v>
      </c>
      <c r="AB567" s="56">
        <v>14119437</v>
      </c>
      <c r="AC567" s="56" t="s">
        <v>247</v>
      </c>
      <c r="AD567" s="56">
        <v>14119437</v>
      </c>
      <c r="AE567" s="56" t="s">
        <v>2626</v>
      </c>
      <c r="AF567" s="56" t="s">
        <v>2627</v>
      </c>
      <c r="AG567" s="56" t="s">
        <v>2627</v>
      </c>
      <c r="AH567" s="56">
        <v>36</v>
      </c>
      <c r="AI567" s="56" t="s">
        <v>2628</v>
      </c>
      <c r="AJ567" s="56" t="s">
        <v>2629</v>
      </c>
      <c r="AK567" s="56">
        <v>0</v>
      </c>
      <c r="AL567" s="56" t="s">
        <v>2630</v>
      </c>
      <c r="AM567" s="56" t="s">
        <v>2631</v>
      </c>
      <c r="AN567" s="56" t="s">
        <v>2632</v>
      </c>
      <c r="AO567" s="56" t="s">
        <v>2627</v>
      </c>
      <c r="AP567" s="56" t="s">
        <v>2624</v>
      </c>
      <c r="AQ567" s="123">
        <v>6.9444444444444198E-3</v>
      </c>
      <c r="AR567" s="122">
        <v>-9.2476851851852615E-3</v>
      </c>
      <c r="AS567" s="56" t="s">
        <v>1048</v>
      </c>
      <c r="AT567" s="56" t="s">
        <v>1049</v>
      </c>
      <c r="AU567" s="56" t="s">
        <v>1050</v>
      </c>
      <c r="AV567" s="56">
        <v>36</v>
      </c>
      <c r="AW567" s="56" t="s">
        <v>1051</v>
      </c>
      <c r="AX567" s="56" t="s">
        <v>2825</v>
      </c>
      <c r="AY567" s="56" t="s">
        <v>1128</v>
      </c>
      <c r="AZ567" s="56" t="s">
        <v>1054</v>
      </c>
      <c r="BA567" s="56" t="s">
        <v>2826</v>
      </c>
      <c r="BB567" s="56" t="s">
        <v>2827</v>
      </c>
      <c r="BC567" s="56" t="s">
        <v>1133</v>
      </c>
      <c r="BD567" s="56" t="s">
        <v>2828</v>
      </c>
    </row>
    <row r="568" spans="1:56" x14ac:dyDescent="0.2">
      <c r="A568" s="56">
        <v>176622374</v>
      </c>
      <c r="B568" s="56" t="s">
        <v>1474</v>
      </c>
      <c r="C568" s="56" t="s">
        <v>2623</v>
      </c>
      <c r="D568" s="56" t="s">
        <v>1475</v>
      </c>
      <c r="E568" s="56" t="s">
        <v>1044</v>
      </c>
      <c r="F568" s="56">
        <v>3</v>
      </c>
      <c r="G568" s="56"/>
      <c r="H568" s="56">
        <v>6384</v>
      </c>
      <c r="I568" s="56">
        <v>6</v>
      </c>
      <c r="J568" s="56" t="s">
        <v>1045</v>
      </c>
      <c r="K568" s="56" t="s">
        <v>1181</v>
      </c>
      <c r="L568" s="121">
        <v>46267</v>
      </c>
      <c r="M568" s="122">
        <v>0.69097222222222221</v>
      </c>
      <c r="N568" s="122">
        <v>0.71805555555555556</v>
      </c>
      <c r="O568" s="56" t="s">
        <v>1047</v>
      </c>
      <c r="P568" s="121">
        <v>46267</v>
      </c>
      <c r="Q568" s="122">
        <v>0.74305555555555558</v>
      </c>
      <c r="R568" s="122">
        <v>0.77222222222222225</v>
      </c>
      <c r="S568" s="56" t="s">
        <v>1047</v>
      </c>
      <c r="T568" s="56">
        <v>1</v>
      </c>
      <c r="U568" s="56">
        <v>24</v>
      </c>
      <c r="V568" s="56">
        <v>21.48</v>
      </c>
      <c r="W568" s="56">
        <v>20.94</v>
      </c>
      <c r="X568" s="56">
        <v>25.19</v>
      </c>
      <c r="Y568" s="56">
        <v>0.96</v>
      </c>
      <c r="Z568" s="56">
        <v>3.29</v>
      </c>
      <c r="AA568" s="56" t="s">
        <v>459</v>
      </c>
      <c r="AB568" s="56">
        <v>14122871</v>
      </c>
      <c r="AC568" s="56" t="s">
        <v>459</v>
      </c>
      <c r="AD568" s="56">
        <v>14122871</v>
      </c>
      <c r="AE568" s="56" t="s">
        <v>2626</v>
      </c>
      <c r="AF568" s="56" t="s">
        <v>2627</v>
      </c>
      <c r="AG568" s="56" t="s">
        <v>2627</v>
      </c>
      <c r="AH568" s="56">
        <v>36</v>
      </c>
      <c r="AI568" s="56" t="s">
        <v>2628</v>
      </c>
      <c r="AJ568" s="56" t="s">
        <v>2640</v>
      </c>
      <c r="AK568" s="56">
        <v>522.74</v>
      </c>
      <c r="AL568" s="56" t="s">
        <v>2630</v>
      </c>
      <c r="AM568" s="56" t="s">
        <v>2631</v>
      </c>
      <c r="AN568" s="56" t="s">
        <v>2632</v>
      </c>
      <c r="AO568" s="56" t="s">
        <v>2627</v>
      </c>
      <c r="AP568" s="56" t="s">
        <v>2624</v>
      </c>
      <c r="AQ568" s="123">
        <v>2.7083333333333348E-2</v>
      </c>
      <c r="AR568" s="122">
        <v>2.9166666666666674E-2</v>
      </c>
      <c r="AS568" s="56" t="s">
        <v>1048</v>
      </c>
      <c r="AT568" s="56" t="s">
        <v>1059</v>
      </c>
      <c r="AU568" s="56" t="s">
        <v>1060</v>
      </c>
      <c r="AV568" s="56">
        <v>36</v>
      </c>
      <c r="AW568" s="56" t="s">
        <v>1051</v>
      </c>
      <c r="AX568" s="56" t="s">
        <v>1476</v>
      </c>
      <c r="AY568" s="56" t="s">
        <v>1140</v>
      </c>
      <c r="AZ568" s="56" t="s">
        <v>1062</v>
      </c>
      <c r="BA568" s="56" t="s">
        <v>1477</v>
      </c>
      <c r="BB568" s="56" t="s">
        <v>1478</v>
      </c>
      <c r="BC568" s="56" t="s">
        <v>1057</v>
      </c>
      <c r="BD568" s="56" t="s">
        <v>1479</v>
      </c>
    </row>
    <row r="569" spans="1:56" x14ac:dyDescent="0.2">
      <c r="A569" s="56">
        <v>176641010</v>
      </c>
      <c r="B569" s="56" t="s">
        <v>1540</v>
      </c>
      <c r="C569" s="56" t="s">
        <v>2623</v>
      </c>
      <c r="D569" s="56" t="s">
        <v>1444</v>
      </c>
      <c r="E569" s="56" t="s">
        <v>1044</v>
      </c>
      <c r="F569" s="56">
        <v>77</v>
      </c>
      <c r="G569" s="56" t="s">
        <v>2833</v>
      </c>
      <c r="H569" s="56">
        <v>4446</v>
      </c>
      <c r="I569" s="56">
        <v>6</v>
      </c>
      <c r="J569" s="56" t="s">
        <v>1045</v>
      </c>
      <c r="K569" s="56" t="s">
        <v>1075</v>
      </c>
      <c r="L569" s="121">
        <v>46267</v>
      </c>
      <c r="M569" s="122">
        <v>0.70138888888888884</v>
      </c>
      <c r="N569" s="122">
        <v>0.70625000000000004</v>
      </c>
      <c r="O569" s="56" t="s">
        <v>1047</v>
      </c>
      <c r="P569" s="121">
        <v>46267</v>
      </c>
      <c r="Q569" s="122">
        <v>0.76736111111111116</v>
      </c>
      <c r="R569" s="122">
        <v>0.78756944444444443</v>
      </c>
      <c r="S569" s="56" t="s">
        <v>1047</v>
      </c>
      <c r="T569" s="56">
        <v>1</v>
      </c>
      <c r="U569" s="56">
        <v>38</v>
      </c>
      <c r="V569" s="56">
        <v>35.450000000000003</v>
      </c>
      <c r="W569" s="56">
        <v>39.869999999999997</v>
      </c>
      <c r="X569" s="56" t="s">
        <v>2624</v>
      </c>
      <c r="Y569" s="56" t="s">
        <v>2624</v>
      </c>
      <c r="Z569" s="56" t="s">
        <v>2624</v>
      </c>
      <c r="AA569" s="56" t="s">
        <v>522</v>
      </c>
      <c r="AB569" s="56">
        <v>14123460</v>
      </c>
      <c r="AC569" s="56" t="s">
        <v>522</v>
      </c>
      <c r="AD569" s="56">
        <v>14123460</v>
      </c>
      <c r="AE569" s="56" t="s">
        <v>2626</v>
      </c>
      <c r="AF569" s="56" t="s">
        <v>2627</v>
      </c>
      <c r="AG569" s="56" t="s">
        <v>2627</v>
      </c>
      <c r="AH569" s="56">
        <v>36</v>
      </c>
      <c r="AI569" s="56" t="s">
        <v>2628</v>
      </c>
      <c r="AJ569" s="56" t="s">
        <v>2640</v>
      </c>
      <c r="AK569" s="56">
        <v>0</v>
      </c>
      <c r="AL569" s="56" t="s">
        <v>2630</v>
      </c>
      <c r="AM569" s="56" t="s">
        <v>2631</v>
      </c>
      <c r="AN569" s="56" t="s">
        <v>2632</v>
      </c>
      <c r="AO569" s="56" t="s">
        <v>2627</v>
      </c>
      <c r="AP569" s="56" t="s">
        <v>2624</v>
      </c>
      <c r="AQ569" s="123">
        <v>4.8611111111112049E-3</v>
      </c>
      <c r="AR569" s="122">
        <v>2.0208333333333273E-2</v>
      </c>
      <c r="AS569" s="56" t="s">
        <v>1048</v>
      </c>
      <c r="AT569" s="56" t="s">
        <v>1059</v>
      </c>
      <c r="AU569" s="56" t="s">
        <v>1060</v>
      </c>
      <c r="AV569" s="56">
        <v>36</v>
      </c>
      <c r="AW569" s="56" t="s">
        <v>1051</v>
      </c>
      <c r="AX569" s="56" t="s">
        <v>1445</v>
      </c>
      <c r="AY569" s="56" t="s">
        <v>1076</v>
      </c>
      <c r="AZ569" s="56" t="s">
        <v>1067</v>
      </c>
      <c r="BA569" s="56" t="s">
        <v>1446</v>
      </c>
      <c r="BB569" s="56" t="s">
        <v>1447</v>
      </c>
      <c r="BC569" s="56" t="s">
        <v>1133</v>
      </c>
      <c r="BD569" s="56" t="s">
        <v>1541</v>
      </c>
    </row>
    <row r="570" spans="1:56" x14ac:dyDescent="0.2">
      <c r="A570" s="56">
        <v>176635840</v>
      </c>
      <c r="B570" s="56" t="s">
        <v>1480</v>
      </c>
      <c r="C570" s="56" t="s">
        <v>2623</v>
      </c>
      <c r="D570" s="56" t="s">
        <v>1481</v>
      </c>
      <c r="E570" s="56" t="s">
        <v>1044</v>
      </c>
      <c r="F570" s="56">
        <v>18</v>
      </c>
      <c r="G570" s="56"/>
      <c r="H570" s="56">
        <v>11943</v>
      </c>
      <c r="I570" s="56">
        <v>6</v>
      </c>
      <c r="J570" s="56" t="s">
        <v>1045</v>
      </c>
      <c r="K570" s="56" t="s">
        <v>1046</v>
      </c>
      <c r="L570" s="121">
        <v>46267</v>
      </c>
      <c r="M570" s="122">
        <v>0.70486111111111116</v>
      </c>
      <c r="N570" s="122">
        <v>0.72152777777777777</v>
      </c>
      <c r="O570" s="56" t="s">
        <v>1047</v>
      </c>
      <c r="P570" s="121">
        <v>46267</v>
      </c>
      <c r="Q570" s="122">
        <v>0.76041666666666663</v>
      </c>
      <c r="R570" s="122">
        <v>0.74879629629629629</v>
      </c>
      <c r="S570" s="56" t="s">
        <v>1047</v>
      </c>
      <c r="T570" s="56">
        <v>1</v>
      </c>
      <c r="U570" s="56">
        <v>35</v>
      </c>
      <c r="V570" s="56">
        <v>18.420000000000002</v>
      </c>
      <c r="W570" s="56">
        <v>17.79</v>
      </c>
      <c r="X570" s="56" t="s">
        <v>2624</v>
      </c>
      <c r="Y570" s="56" t="s">
        <v>2624</v>
      </c>
      <c r="Z570" s="56" t="s">
        <v>2624</v>
      </c>
      <c r="AA570" s="56" t="s">
        <v>158</v>
      </c>
      <c r="AB570" s="56">
        <v>14116262</v>
      </c>
      <c r="AC570" s="56" t="s">
        <v>158</v>
      </c>
      <c r="AD570" s="56">
        <v>14116262</v>
      </c>
      <c r="AE570" s="56" t="s">
        <v>2626</v>
      </c>
      <c r="AF570" s="56" t="s">
        <v>2627</v>
      </c>
      <c r="AG570" s="56" t="s">
        <v>2627</v>
      </c>
      <c r="AH570" s="56">
        <v>36</v>
      </c>
      <c r="AI570" s="56" t="s">
        <v>2628</v>
      </c>
      <c r="AJ570" s="56" t="s">
        <v>2629</v>
      </c>
      <c r="AK570" s="56">
        <v>0</v>
      </c>
      <c r="AL570" s="56" t="s">
        <v>2630</v>
      </c>
      <c r="AM570" s="56" t="s">
        <v>2631</v>
      </c>
      <c r="AN570" s="56" t="s">
        <v>2632</v>
      </c>
      <c r="AO570" s="56" t="s">
        <v>2627</v>
      </c>
      <c r="AP570" s="56" t="s">
        <v>2624</v>
      </c>
      <c r="AQ570" s="123">
        <v>1.6666666666666607E-2</v>
      </c>
      <c r="AR570" s="122">
        <v>-1.1620370370370336E-2</v>
      </c>
      <c r="AS570" s="56" t="s">
        <v>1048</v>
      </c>
      <c r="AT570" s="56" t="s">
        <v>1049</v>
      </c>
      <c r="AU570" s="56" t="s">
        <v>1050</v>
      </c>
      <c r="AV570" s="56">
        <v>36</v>
      </c>
      <c r="AW570" s="56" t="s">
        <v>1051</v>
      </c>
      <c r="AX570" s="56" t="s">
        <v>1482</v>
      </c>
      <c r="AY570" s="56" t="s">
        <v>1053</v>
      </c>
      <c r="AZ570" s="56" t="s">
        <v>1054</v>
      </c>
      <c r="BA570" s="56" t="s">
        <v>1483</v>
      </c>
      <c r="BB570" s="56" t="s">
        <v>1484</v>
      </c>
      <c r="BC570" s="56" t="s">
        <v>1133</v>
      </c>
      <c r="BD570" s="56" t="s">
        <v>1485</v>
      </c>
    </row>
    <row r="571" spans="1:56" x14ac:dyDescent="0.2">
      <c r="A571" s="56">
        <v>176640990</v>
      </c>
      <c r="B571" s="56" t="s">
        <v>2192</v>
      </c>
      <c r="C571" s="56" t="s">
        <v>2623</v>
      </c>
      <c r="D571" s="56" t="s">
        <v>1243</v>
      </c>
      <c r="E571" s="56" t="s">
        <v>1044</v>
      </c>
      <c r="F571" s="56">
        <v>67</v>
      </c>
      <c r="G571" s="56" t="s">
        <v>2833</v>
      </c>
      <c r="H571" s="56">
        <v>4535</v>
      </c>
      <c r="I571" s="56">
        <v>6</v>
      </c>
      <c r="J571" s="56" t="s">
        <v>1045</v>
      </c>
      <c r="K571" s="56" t="s">
        <v>1075</v>
      </c>
      <c r="L571" s="121">
        <v>46267</v>
      </c>
      <c r="M571" s="122">
        <v>0.70833333333333337</v>
      </c>
      <c r="N571" s="122">
        <v>0.71875</v>
      </c>
      <c r="O571" s="56" t="s">
        <v>1047</v>
      </c>
      <c r="P571" s="121">
        <v>46267</v>
      </c>
      <c r="Q571" s="122">
        <v>0.76736111111111116</v>
      </c>
      <c r="R571" s="122">
        <v>0.76180555555555551</v>
      </c>
      <c r="S571" s="56" t="s">
        <v>1047</v>
      </c>
      <c r="T571" s="56">
        <v>1</v>
      </c>
      <c r="U571" s="56">
        <v>37</v>
      </c>
      <c r="V571" s="56">
        <v>30.53</v>
      </c>
      <c r="W571" s="56">
        <v>34.630000000000003</v>
      </c>
      <c r="X571" s="56" t="s">
        <v>2624</v>
      </c>
      <c r="Y571" s="56" t="s">
        <v>2624</v>
      </c>
      <c r="Z571" s="56" t="s">
        <v>2624</v>
      </c>
      <c r="AA571" s="56" t="s">
        <v>42</v>
      </c>
      <c r="AB571" s="56">
        <v>14104822</v>
      </c>
      <c r="AC571" s="56" t="s">
        <v>42</v>
      </c>
      <c r="AD571" s="56">
        <v>14104822</v>
      </c>
      <c r="AE571" s="56" t="s">
        <v>2626</v>
      </c>
      <c r="AF571" s="56" t="s">
        <v>2627</v>
      </c>
      <c r="AG571" s="56" t="s">
        <v>2627</v>
      </c>
      <c r="AH571" s="56">
        <v>36</v>
      </c>
      <c r="AI571" s="56" t="s">
        <v>2628</v>
      </c>
      <c r="AJ571" s="56" t="s">
        <v>2629</v>
      </c>
      <c r="AK571" s="56">
        <v>0</v>
      </c>
      <c r="AL571" s="56" t="s">
        <v>2630</v>
      </c>
      <c r="AM571" s="56" t="s">
        <v>2631</v>
      </c>
      <c r="AN571" s="56" t="s">
        <v>2632</v>
      </c>
      <c r="AO571" s="56" t="s">
        <v>2627</v>
      </c>
      <c r="AP571" s="56" t="s">
        <v>2624</v>
      </c>
      <c r="AQ571" s="123">
        <v>1.041666666666663E-2</v>
      </c>
      <c r="AR571" s="122">
        <v>-5.5555555555556468E-3</v>
      </c>
      <c r="AS571" s="56" t="s">
        <v>1048</v>
      </c>
      <c r="AT571" s="56" t="s">
        <v>1049</v>
      </c>
      <c r="AU571" s="56" t="s">
        <v>1050</v>
      </c>
      <c r="AV571" s="56">
        <v>36</v>
      </c>
      <c r="AW571" s="56" t="s">
        <v>1051</v>
      </c>
      <c r="AX571" s="56" t="s">
        <v>2193</v>
      </c>
      <c r="AY571" s="56" t="s">
        <v>1076</v>
      </c>
      <c r="AZ571" s="56" t="s">
        <v>1067</v>
      </c>
      <c r="BA571" s="56" t="s">
        <v>2194</v>
      </c>
      <c r="BB571" s="56" t="s">
        <v>2195</v>
      </c>
      <c r="BC571" s="56" t="s">
        <v>1133</v>
      </c>
      <c r="BD571" s="56" t="s">
        <v>2196</v>
      </c>
    </row>
    <row r="572" spans="1:56" x14ac:dyDescent="0.2">
      <c r="A572" s="56">
        <v>176640950</v>
      </c>
      <c r="B572" s="56" t="s">
        <v>1648</v>
      </c>
      <c r="C572" s="56" t="s">
        <v>2623</v>
      </c>
      <c r="D572" s="56" t="s">
        <v>1643</v>
      </c>
      <c r="E572" s="56" t="s">
        <v>1044</v>
      </c>
      <c r="F572" s="56">
        <v>47</v>
      </c>
      <c r="G572" s="56" t="s">
        <v>2833</v>
      </c>
      <c r="H572" s="56">
        <v>4431</v>
      </c>
      <c r="I572" s="56">
        <v>6</v>
      </c>
      <c r="J572" s="56" t="s">
        <v>1045</v>
      </c>
      <c r="K572" s="56" t="s">
        <v>1075</v>
      </c>
      <c r="L572" s="121">
        <v>46267</v>
      </c>
      <c r="M572" s="122">
        <v>0.71527777777777779</v>
      </c>
      <c r="N572" s="122">
        <v>0.71944444444444444</v>
      </c>
      <c r="O572" s="56" t="s">
        <v>1047</v>
      </c>
      <c r="P572" s="121">
        <v>46267</v>
      </c>
      <c r="Q572" s="122">
        <v>0.76736111111111116</v>
      </c>
      <c r="R572" s="122">
        <v>0.75892361111111106</v>
      </c>
      <c r="S572" s="56" t="s">
        <v>1047</v>
      </c>
      <c r="T572" s="56">
        <v>1</v>
      </c>
      <c r="U572" s="56">
        <v>33</v>
      </c>
      <c r="V572" s="56">
        <v>24.43</v>
      </c>
      <c r="W572" s="56">
        <v>30.21</v>
      </c>
      <c r="X572" s="56" t="s">
        <v>2624</v>
      </c>
      <c r="Y572" s="56" t="s">
        <v>2624</v>
      </c>
      <c r="Z572" s="56" t="s">
        <v>2624</v>
      </c>
      <c r="AA572" s="56" t="s">
        <v>1149</v>
      </c>
      <c r="AB572" s="56">
        <v>14102875</v>
      </c>
      <c r="AC572" s="56" t="s">
        <v>1149</v>
      </c>
      <c r="AD572" s="56">
        <v>14102875</v>
      </c>
      <c r="AE572" s="56" t="s">
        <v>2626</v>
      </c>
      <c r="AF572" s="56" t="s">
        <v>2627</v>
      </c>
      <c r="AG572" s="56" t="s">
        <v>2627</v>
      </c>
      <c r="AH572" s="56">
        <v>36</v>
      </c>
      <c r="AI572" s="56" t="s">
        <v>2628</v>
      </c>
      <c r="AJ572" s="56" t="s">
        <v>2629</v>
      </c>
      <c r="AK572" s="56">
        <v>0</v>
      </c>
      <c r="AL572" s="56" t="s">
        <v>2630</v>
      </c>
      <c r="AM572" s="56" t="s">
        <v>2631</v>
      </c>
      <c r="AN572" s="56" t="s">
        <v>2632</v>
      </c>
      <c r="AO572" s="56" t="s">
        <v>2627</v>
      </c>
      <c r="AP572" s="56" t="s">
        <v>2624</v>
      </c>
      <c r="AQ572" s="123">
        <v>4.1666666666666519E-3</v>
      </c>
      <c r="AR572" s="122">
        <v>-8.4375000000000977E-3</v>
      </c>
      <c r="AS572" s="56" t="s">
        <v>1048</v>
      </c>
      <c r="AT572" s="56" t="s">
        <v>1049</v>
      </c>
      <c r="AU572" s="56" t="s">
        <v>1050</v>
      </c>
      <c r="AV572" s="56">
        <v>36</v>
      </c>
      <c r="AW572" s="56" t="s">
        <v>1051</v>
      </c>
      <c r="AX572" s="56" t="s">
        <v>1644</v>
      </c>
      <c r="AY572" s="56" t="s">
        <v>1076</v>
      </c>
      <c r="AZ572" s="56" t="s">
        <v>1067</v>
      </c>
      <c r="BA572" s="56" t="s">
        <v>1645</v>
      </c>
      <c r="BB572" s="56" t="s">
        <v>1646</v>
      </c>
      <c r="BC572" s="56" t="s">
        <v>1133</v>
      </c>
      <c r="BD572" s="56" t="s">
        <v>1649</v>
      </c>
    </row>
    <row r="573" spans="1:56" x14ac:dyDescent="0.2">
      <c r="A573" s="56">
        <v>176622369</v>
      </c>
      <c r="B573" s="56" t="s">
        <v>1327</v>
      </c>
      <c r="C573" s="56" t="s">
        <v>2623</v>
      </c>
      <c r="D573" s="56" t="s">
        <v>1180</v>
      </c>
      <c r="E573" s="56" t="s">
        <v>1044</v>
      </c>
      <c r="F573" s="56">
        <v>1</v>
      </c>
      <c r="G573" s="56"/>
      <c r="H573" s="56">
        <v>6384</v>
      </c>
      <c r="I573" s="56">
        <v>7</v>
      </c>
      <c r="J573" s="56" t="s">
        <v>1045</v>
      </c>
      <c r="K573" s="56" t="s">
        <v>1181</v>
      </c>
      <c r="L573" s="121">
        <v>46267</v>
      </c>
      <c r="M573" s="122">
        <v>0.83680555555555558</v>
      </c>
      <c r="N573" s="122">
        <v>0.84791666666666665</v>
      </c>
      <c r="O573" s="56" t="s">
        <v>1047</v>
      </c>
      <c r="P573" s="121">
        <v>46267</v>
      </c>
      <c r="Q573" s="122">
        <v>0.88888888888888884</v>
      </c>
      <c r="R573" s="122">
        <v>0.92777777777777781</v>
      </c>
      <c r="S573" s="56" t="s">
        <v>1163</v>
      </c>
      <c r="T573" s="56">
        <v>0</v>
      </c>
      <c r="U573" s="56">
        <v>26</v>
      </c>
      <c r="V573" s="56">
        <v>21.42</v>
      </c>
      <c r="W573" s="56">
        <v>32.130000000000003</v>
      </c>
      <c r="X573" s="56">
        <v>51.21</v>
      </c>
      <c r="Y573" s="56">
        <v>7.82</v>
      </c>
      <c r="Z573" s="56">
        <v>11.26</v>
      </c>
      <c r="AA573" s="56" t="s">
        <v>459</v>
      </c>
      <c r="AB573" s="56">
        <v>14122871</v>
      </c>
      <c r="AC573" s="56" t="s">
        <v>459</v>
      </c>
      <c r="AD573" s="56">
        <v>14122871</v>
      </c>
      <c r="AE573" s="56" t="s">
        <v>2626</v>
      </c>
      <c r="AF573" s="56" t="s">
        <v>2627</v>
      </c>
      <c r="AG573" s="56" t="s">
        <v>2627</v>
      </c>
      <c r="AH573" s="56">
        <v>36</v>
      </c>
      <c r="AI573" s="56" t="s">
        <v>2880</v>
      </c>
      <c r="AJ573" s="56" t="s">
        <v>2640</v>
      </c>
      <c r="AK573" s="56">
        <v>522.74</v>
      </c>
      <c r="AL573" s="56" t="s">
        <v>2630</v>
      </c>
      <c r="AM573" s="56" t="s">
        <v>2631</v>
      </c>
      <c r="AN573" s="56" t="s">
        <v>2632</v>
      </c>
      <c r="AO573" s="56" t="s">
        <v>2627</v>
      </c>
      <c r="AP573" s="56" t="s">
        <v>2624</v>
      </c>
      <c r="AQ573" s="123">
        <v>1.1111111111111072E-2</v>
      </c>
      <c r="AR573" s="122">
        <v>3.8888888888888973E-2</v>
      </c>
      <c r="AS573" s="56" t="s">
        <v>1048</v>
      </c>
      <c r="AT573" s="56" t="s">
        <v>1059</v>
      </c>
      <c r="AU573" s="56" t="s">
        <v>1060</v>
      </c>
      <c r="AV573" s="56">
        <v>36</v>
      </c>
      <c r="AW573" s="56" t="s">
        <v>1051</v>
      </c>
      <c r="AX573" s="56" t="s">
        <v>1182</v>
      </c>
      <c r="AY573" s="56" t="s">
        <v>1140</v>
      </c>
      <c r="AZ573" s="56" t="s">
        <v>1062</v>
      </c>
      <c r="BA573" s="56" t="s">
        <v>1183</v>
      </c>
      <c r="BB573" s="56" t="s">
        <v>1184</v>
      </c>
      <c r="BC573" s="56" t="s">
        <v>1157</v>
      </c>
      <c r="BD573" s="56" t="s">
        <v>1328</v>
      </c>
    </row>
    <row r="574" spans="1:56" x14ac:dyDescent="0.2">
      <c r="A574" s="56">
        <v>176635978</v>
      </c>
      <c r="B574" s="56" t="s">
        <v>1682</v>
      </c>
      <c r="C574" s="56" t="s">
        <v>2623</v>
      </c>
      <c r="D574" s="56" t="s">
        <v>1326</v>
      </c>
      <c r="E574" s="56" t="s">
        <v>1044</v>
      </c>
      <c r="F574" s="56">
        <v>50</v>
      </c>
      <c r="G574" s="56" t="s">
        <v>2693</v>
      </c>
      <c r="H574" s="56">
        <v>12898</v>
      </c>
      <c r="I574" s="56">
        <v>6</v>
      </c>
      <c r="J574" s="56" t="s">
        <v>1045</v>
      </c>
      <c r="K574" s="56" t="s">
        <v>1116</v>
      </c>
      <c r="L574" s="121">
        <v>46267</v>
      </c>
      <c r="M574" s="122">
        <v>0.86458333333333337</v>
      </c>
      <c r="N574" s="122">
        <v>0.87291666666666667</v>
      </c>
      <c r="O574" s="56" t="s">
        <v>1047</v>
      </c>
      <c r="P574" s="121">
        <v>46267</v>
      </c>
      <c r="Q574" s="122">
        <v>0.92708333333333337</v>
      </c>
      <c r="R574" s="122">
        <v>0.91527777777777775</v>
      </c>
      <c r="S574" s="56" t="s">
        <v>1047</v>
      </c>
      <c r="T574" s="56">
        <v>1</v>
      </c>
      <c r="U574" s="56">
        <v>25</v>
      </c>
      <c r="V574" s="56">
        <v>26.66</v>
      </c>
      <c r="W574" s="56">
        <v>26.56</v>
      </c>
      <c r="X574" s="56" t="s">
        <v>2624</v>
      </c>
      <c r="Y574" s="56" t="s">
        <v>2624</v>
      </c>
      <c r="Z574" s="56" t="s">
        <v>2624</v>
      </c>
      <c r="AA574" s="56" t="s">
        <v>338</v>
      </c>
      <c r="AB574" s="56">
        <v>14121523</v>
      </c>
      <c r="AC574" s="56" t="s">
        <v>338</v>
      </c>
      <c r="AD574" s="56">
        <v>14121523</v>
      </c>
      <c r="AE574" s="56" t="s">
        <v>2626</v>
      </c>
      <c r="AF574" s="56" t="s">
        <v>2627</v>
      </c>
      <c r="AG574" s="56" t="s">
        <v>2627</v>
      </c>
      <c r="AH574" s="56">
        <v>36</v>
      </c>
      <c r="AI574" s="56" t="s">
        <v>2628</v>
      </c>
      <c r="AJ574" s="56" t="s">
        <v>2629</v>
      </c>
      <c r="AK574" s="56">
        <v>0</v>
      </c>
      <c r="AL574" s="56" t="s">
        <v>2630</v>
      </c>
      <c r="AM574" s="56" t="s">
        <v>2631</v>
      </c>
      <c r="AN574" s="56" t="s">
        <v>2632</v>
      </c>
      <c r="AO574" s="56" t="s">
        <v>2627</v>
      </c>
      <c r="AP574" s="56" t="s">
        <v>2624</v>
      </c>
      <c r="AQ574" s="123">
        <v>8.3333333333333037E-3</v>
      </c>
      <c r="AR574" s="122">
        <v>-1.1805555555555625E-2</v>
      </c>
      <c r="AS574" s="56" t="s">
        <v>1048</v>
      </c>
      <c r="AT574" s="56" t="s">
        <v>1049</v>
      </c>
      <c r="AU574" s="56" t="s">
        <v>1050</v>
      </c>
      <c r="AV574" s="56">
        <v>36</v>
      </c>
      <c r="AW574" s="56" t="s">
        <v>1051</v>
      </c>
      <c r="AX574" s="56" t="s">
        <v>1683</v>
      </c>
      <c r="AY574" s="56" t="s">
        <v>1128</v>
      </c>
      <c r="AZ574" s="56" t="s">
        <v>1054</v>
      </c>
      <c r="BA574" s="56" t="s">
        <v>1684</v>
      </c>
      <c r="BB574" s="56" t="s">
        <v>1685</v>
      </c>
      <c r="BC574" s="56" t="s">
        <v>1157</v>
      </c>
      <c r="BD574" s="56" t="s">
        <v>1686</v>
      </c>
    </row>
    <row r="575" spans="1:56" x14ac:dyDescent="0.2">
      <c r="A575" s="56">
        <v>176638386</v>
      </c>
      <c r="B575" s="56" t="s">
        <v>3599</v>
      </c>
      <c r="C575" s="56" t="s">
        <v>2623</v>
      </c>
      <c r="D575" s="56" t="s">
        <v>3600</v>
      </c>
      <c r="E575" s="56" t="s">
        <v>1044</v>
      </c>
      <c r="F575" s="56">
        <v>5</v>
      </c>
      <c r="G575" s="56"/>
      <c r="H575" s="56">
        <v>7040</v>
      </c>
      <c r="I575" s="56">
        <v>6</v>
      </c>
      <c r="J575" s="56" t="s">
        <v>1045</v>
      </c>
      <c r="K575" s="56" t="s">
        <v>3601</v>
      </c>
      <c r="L575" s="121">
        <v>46267</v>
      </c>
      <c r="M575" s="122">
        <v>0.86458333333333337</v>
      </c>
      <c r="N575" s="122">
        <v>0.87430555555555556</v>
      </c>
      <c r="O575" s="56" t="s">
        <v>1047</v>
      </c>
      <c r="P575" s="121">
        <v>46267</v>
      </c>
      <c r="Q575" s="122">
        <v>0.90625</v>
      </c>
      <c r="R575" s="122">
        <v>0.91041666666666665</v>
      </c>
      <c r="S575" s="56" t="s">
        <v>1047</v>
      </c>
      <c r="T575" s="56">
        <v>1</v>
      </c>
      <c r="U575" s="56">
        <v>37</v>
      </c>
      <c r="V575" s="56">
        <v>-155.61000000000001</v>
      </c>
      <c r="W575" s="56">
        <v>-5957.7</v>
      </c>
      <c r="X575" s="56" t="s">
        <v>2624</v>
      </c>
      <c r="Y575" s="56" t="s">
        <v>2624</v>
      </c>
      <c r="Z575" s="56" t="s">
        <v>2624</v>
      </c>
      <c r="AA575" s="56" t="s">
        <v>1852</v>
      </c>
      <c r="AB575" s="56">
        <v>14120104</v>
      </c>
      <c r="AC575" s="56" t="s">
        <v>1852</v>
      </c>
      <c r="AD575" s="56">
        <v>14120104</v>
      </c>
      <c r="AE575" s="56" t="s">
        <v>2626</v>
      </c>
      <c r="AF575" s="56" t="s">
        <v>2627</v>
      </c>
      <c r="AG575" s="56" t="s">
        <v>2627</v>
      </c>
      <c r="AH575" s="56">
        <v>36</v>
      </c>
      <c r="AI575" s="56" t="s">
        <v>2628</v>
      </c>
      <c r="AJ575" s="56" t="s">
        <v>2640</v>
      </c>
      <c r="AK575" s="56">
        <v>0</v>
      </c>
      <c r="AL575" s="56" t="s">
        <v>2630</v>
      </c>
      <c r="AM575" s="56" t="s">
        <v>2631</v>
      </c>
      <c r="AN575" s="56" t="s">
        <v>2632</v>
      </c>
      <c r="AO575" s="56" t="s">
        <v>2627</v>
      </c>
      <c r="AP575" s="56">
        <v>5</v>
      </c>
      <c r="AQ575" s="123">
        <v>9.7222222222221877E-3</v>
      </c>
      <c r="AR575" s="122">
        <v>4.1666666666666519E-3</v>
      </c>
      <c r="AS575" s="56" t="s">
        <v>1048</v>
      </c>
      <c r="AT575" s="56" t="s">
        <v>1059</v>
      </c>
      <c r="AU575" s="56" t="s">
        <v>1060</v>
      </c>
      <c r="AV575" s="56">
        <v>36</v>
      </c>
      <c r="AW575" s="56" t="s">
        <v>1051</v>
      </c>
      <c r="AX575" s="56" t="s">
        <v>3602</v>
      </c>
      <c r="AY575" s="56" t="s">
        <v>1113</v>
      </c>
      <c r="AZ575" s="56" t="s">
        <v>1062</v>
      </c>
      <c r="BA575" s="56" t="s">
        <v>3603</v>
      </c>
      <c r="BB575" s="56" t="s">
        <v>3604</v>
      </c>
      <c r="BC575" s="56" t="s">
        <v>1157</v>
      </c>
      <c r="BD575" s="56" t="s">
        <v>3605</v>
      </c>
    </row>
    <row r="576" spans="1:56" x14ac:dyDescent="0.2">
      <c r="A576" s="56">
        <v>176623622</v>
      </c>
      <c r="B576" s="56" t="s">
        <v>2201</v>
      </c>
      <c r="C576" s="56" t="s">
        <v>2623</v>
      </c>
      <c r="D576" s="56" t="s">
        <v>2073</v>
      </c>
      <c r="E576" s="56" t="s">
        <v>1044</v>
      </c>
      <c r="F576" s="56">
        <v>18</v>
      </c>
      <c r="G576" s="56"/>
      <c r="H576" s="56">
        <v>5429</v>
      </c>
      <c r="I576" s="56">
        <v>6</v>
      </c>
      <c r="J576" s="56" t="s">
        <v>1045</v>
      </c>
      <c r="K576" s="56" t="s">
        <v>1123</v>
      </c>
      <c r="L576" s="121">
        <v>46267</v>
      </c>
      <c r="M576" s="122">
        <v>0.86805555555555558</v>
      </c>
      <c r="N576" s="122">
        <v>0.87569444444444444</v>
      </c>
      <c r="O576" s="56" t="s">
        <v>1047</v>
      </c>
      <c r="P576" s="121">
        <v>46267</v>
      </c>
      <c r="Q576" s="122">
        <v>0.90277777777777779</v>
      </c>
      <c r="R576" s="122">
        <v>0.91111111111111109</v>
      </c>
      <c r="S576" s="56" t="s">
        <v>1047</v>
      </c>
      <c r="T576" s="56">
        <v>1</v>
      </c>
      <c r="U576" s="56">
        <v>16</v>
      </c>
      <c r="V576" s="56">
        <v>10.029999999999999</v>
      </c>
      <c r="W576" s="56">
        <v>10.31</v>
      </c>
      <c r="X576" s="56" t="s">
        <v>2624</v>
      </c>
      <c r="Y576" s="56" t="s">
        <v>2624</v>
      </c>
      <c r="Z576" s="56" t="s">
        <v>2624</v>
      </c>
      <c r="AA576" s="56" t="s">
        <v>446</v>
      </c>
      <c r="AB576" s="56">
        <v>14122709</v>
      </c>
      <c r="AC576" s="56" t="s">
        <v>446</v>
      </c>
      <c r="AD576" s="56">
        <v>14122709</v>
      </c>
      <c r="AE576" s="56" t="s">
        <v>2626</v>
      </c>
      <c r="AF576" s="56" t="s">
        <v>2627</v>
      </c>
      <c r="AG576" s="56" t="s">
        <v>2627</v>
      </c>
      <c r="AH576" s="56">
        <v>36</v>
      </c>
      <c r="AI576" s="56" t="s">
        <v>2628</v>
      </c>
      <c r="AJ576" s="56" t="s">
        <v>2640</v>
      </c>
      <c r="AK576" s="56">
        <v>584.1</v>
      </c>
      <c r="AL576" s="56" t="s">
        <v>2630</v>
      </c>
      <c r="AM576" s="56" t="s">
        <v>2631</v>
      </c>
      <c r="AN576" s="56" t="s">
        <v>2632</v>
      </c>
      <c r="AO576" s="56" t="s">
        <v>2627</v>
      </c>
      <c r="AP576" s="56" t="s">
        <v>2624</v>
      </c>
      <c r="AQ576" s="123">
        <v>7.6388888888888618E-3</v>
      </c>
      <c r="AR576" s="122">
        <v>8.3333333333333037E-3</v>
      </c>
      <c r="AS576" s="56" t="s">
        <v>1048</v>
      </c>
      <c r="AT576" s="56" t="s">
        <v>1059</v>
      </c>
      <c r="AU576" s="56" t="s">
        <v>1060</v>
      </c>
      <c r="AV576" s="56">
        <v>36</v>
      </c>
      <c r="AW576" s="56" t="s">
        <v>1051</v>
      </c>
      <c r="AX576" s="56" t="s">
        <v>2074</v>
      </c>
      <c r="AY576" s="56" t="s">
        <v>1124</v>
      </c>
      <c r="AZ576" s="56" t="s">
        <v>1054</v>
      </c>
      <c r="BA576" s="56" t="s">
        <v>2075</v>
      </c>
      <c r="BB576" s="56" t="s">
        <v>2076</v>
      </c>
      <c r="BC576" s="56" t="s">
        <v>1157</v>
      </c>
      <c r="BD576" s="56" t="s">
        <v>2202</v>
      </c>
    </row>
    <row r="577" spans="1:56" x14ac:dyDescent="0.2">
      <c r="A577" s="56">
        <v>176630526</v>
      </c>
      <c r="B577" s="56" t="s">
        <v>3506</v>
      </c>
      <c r="C577" s="56" t="s">
        <v>2623</v>
      </c>
      <c r="D577" s="56" t="s">
        <v>3507</v>
      </c>
      <c r="E577" s="56" t="s">
        <v>1044</v>
      </c>
      <c r="F577" s="56">
        <v>42</v>
      </c>
      <c r="G577" s="56"/>
      <c r="H577" s="56">
        <v>14676</v>
      </c>
      <c r="I577" s="56">
        <v>6</v>
      </c>
      <c r="J577" s="56" t="s">
        <v>1045</v>
      </c>
      <c r="K577" s="56" t="s">
        <v>1091</v>
      </c>
      <c r="L577" s="121">
        <v>46267</v>
      </c>
      <c r="M577" s="122">
        <v>0.86805555555555558</v>
      </c>
      <c r="N577" s="122">
        <v>0.8833333333333333</v>
      </c>
      <c r="O577" s="56" t="s">
        <v>1047</v>
      </c>
      <c r="P577" s="121">
        <v>46267</v>
      </c>
      <c r="Q577" s="122">
        <v>0.93402777777777779</v>
      </c>
      <c r="R577" s="122">
        <v>0.93055555555555558</v>
      </c>
      <c r="S577" s="56" t="s">
        <v>1047</v>
      </c>
      <c r="T577" s="56">
        <v>1</v>
      </c>
      <c r="U577" s="56">
        <v>34</v>
      </c>
      <c r="V577" s="56">
        <v>27.7</v>
      </c>
      <c r="W577" s="56">
        <v>31.96</v>
      </c>
      <c r="X577" s="56" t="s">
        <v>2624</v>
      </c>
      <c r="Y577" s="56" t="s">
        <v>2624</v>
      </c>
      <c r="Z577" s="56" t="s">
        <v>2624</v>
      </c>
      <c r="AA577" s="56" t="s">
        <v>217</v>
      </c>
      <c r="AB577" s="56">
        <v>14118811</v>
      </c>
      <c r="AC577" s="56" t="s">
        <v>217</v>
      </c>
      <c r="AD577" s="56">
        <v>14118811</v>
      </c>
      <c r="AE577" s="56" t="s">
        <v>2626</v>
      </c>
      <c r="AF577" s="56" t="s">
        <v>2627</v>
      </c>
      <c r="AG577" s="56" t="s">
        <v>2627</v>
      </c>
      <c r="AH577" s="56">
        <v>36</v>
      </c>
      <c r="AI577" s="56" t="s">
        <v>2628</v>
      </c>
      <c r="AJ577" s="56" t="s">
        <v>2629</v>
      </c>
      <c r="AK577" s="56">
        <v>0</v>
      </c>
      <c r="AL577" s="56" t="s">
        <v>2630</v>
      </c>
      <c r="AM577" s="56" t="s">
        <v>2631</v>
      </c>
      <c r="AN577" s="56" t="s">
        <v>2632</v>
      </c>
      <c r="AO577" s="56" t="s">
        <v>2627</v>
      </c>
      <c r="AP577" s="56" t="s">
        <v>2624</v>
      </c>
      <c r="AQ577" s="123">
        <v>1.5277777777777724E-2</v>
      </c>
      <c r="AR577" s="122">
        <v>-3.4722222222222099E-3</v>
      </c>
      <c r="AS577" s="56" t="s">
        <v>1048</v>
      </c>
      <c r="AT577" s="56" t="s">
        <v>1049</v>
      </c>
      <c r="AU577" s="56" t="s">
        <v>1050</v>
      </c>
      <c r="AV577" s="56">
        <v>36</v>
      </c>
      <c r="AW577" s="56" t="s">
        <v>1051</v>
      </c>
      <c r="AX577" s="56" t="s">
        <v>3508</v>
      </c>
      <c r="AY577" s="56" t="s">
        <v>1093</v>
      </c>
      <c r="AZ577" s="56" t="s">
        <v>1067</v>
      </c>
      <c r="BA577" s="56" t="s">
        <v>3509</v>
      </c>
      <c r="BB577" s="56" t="s">
        <v>3510</v>
      </c>
      <c r="BC577" s="56" t="s">
        <v>1157</v>
      </c>
      <c r="BD577" s="56" t="s">
        <v>3511</v>
      </c>
    </row>
    <row r="578" spans="1:56" x14ac:dyDescent="0.2">
      <c r="A578" s="56">
        <v>176633745</v>
      </c>
      <c r="B578" s="56" t="s">
        <v>3606</v>
      </c>
      <c r="C578" s="56" t="s">
        <v>2623</v>
      </c>
      <c r="D578" s="56" t="s">
        <v>1760</v>
      </c>
      <c r="E578" s="56" t="s">
        <v>1044</v>
      </c>
      <c r="F578" s="56">
        <v>5</v>
      </c>
      <c r="G578" s="56"/>
      <c r="H578" s="56">
        <v>15784</v>
      </c>
      <c r="I578" s="56">
        <v>6</v>
      </c>
      <c r="J578" s="56" t="s">
        <v>1045</v>
      </c>
      <c r="K578" s="56" t="s">
        <v>1058</v>
      </c>
      <c r="L578" s="121">
        <v>46267</v>
      </c>
      <c r="M578" s="122">
        <v>0.86805555555555558</v>
      </c>
      <c r="N578" s="122">
        <v>0.87222222222222223</v>
      </c>
      <c r="O578" s="56" t="s">
        <v>1047</v>
      </c>
      <c r="P578" s="121">
        <v>46267</v>
      </c>
      <c r="Q578" s="122">
        <v>0.91666666666666663</v>
      </c>
      <c r="R578" s="122">
        <v>0.90625</v>
      </c>
      <c r="S578" s="56" t="s">
        <v>1047</v>
      </c>
      <c r="T578" s="56">
        <v>1</v>
      </c>
      <c r="U578" s="56">
        <v>32</v>
      </c>
      <c r="V578" s="56">
        <v>25.64</v>
      </c>
      <c r="W578" s="56">
        <v>25.87</v>
      </c>
      <c r="X578" s="56" t="s">
        <v>2624</v>
      </c>
      <c r="Y578" s="56" t="s">
        <v>2624</v>
      </c>
      <c r="Z578" s="56" t="s">
        <v>2624</v>
      </c>
      <c r="AA578" s="56" t="s">
        <v>143</v>
      </c>
      <c r="AB578" s="56">
        <v>14115435</v>
      </c>
      <c r="AC578" s="56" t="s">
        <v>143</v>
      </c>
      <c r="AD578" s="56">
        <v>14115435</v>
      </c>
      <c r="AE578" s="56" t="s">
        <v>2626</v>
      </c>
      <c r="AF578" s="56" t="s">
        <v>2627</v>
      </c>
      <c r="AG578" s="56" t="s">
        <v>2627</v>
      </c>
      <c r="AH578" s="56">
        <v>36</v>
      </c>
      <c r="AI578" s="56" t="s">
        <v>2628</v>
      </c>
      <c r="AJ578" s="56" t="s">
        <v>2629</v>
      </c>
      <c r="AK578" s="56">
        <v>617</v>
      </c>
      <c r="AL578" s="56" t="s">
        <v>2630</v>
      </c>
      <c r="AM578" s="56" t="s">
        <v>2631</v>
      </c>
      <c r="AN578" s="56" t="s">
        <v>2632</v>
      </c>
      <c r="AO578" s="56" t="s">
        <v>2627</v>
      </c>
      <c r="AP578" s="56" t="s">
        <v>2624</v>
      </c>
      <c r="AQ578" s="123">
        <v>4.1666666666666519E-3</v>
      </c>
      <c r="AR578" s="122">
        <v>-1.041666666666663E-2</v>
      </c>
      <c r="AS578" s="56" t="s">
        <v>1048</v>
      </c>
      <c r="AT578" s="56" t="s">
        <v>1049</v>
      </c>
      <c r="AU578" s="56" t="s">
        <v>1050</v>
      </c>
      <c r="AV578" s="56">
        <v>36</v>
      </c>
      <c r="AW578" s="56" t="s">
        <v>1051</v>
      </c>
      <c r="AX578" s="56" t="s">
        <v>3607</v>
      </c>
      <c r="AY578" s="56" t="s">
        <v>1061</v>
      </c>
      <c r="AZ578" s="56" t="s">
        <v>1062</v>
      </c>
      <c r="BA578" s="56" t="s">
        <v>3608</v>
      </c>
      <c r="BB578" s="56" t="s">
        <v>3609</v>
      </c>
      <c r="BC578" s="56" t="s">
        <v>1157</v>
      </c>
      <c r="BD578" s="56" t="s">
        <v>3610</v>
      </c>
    </row>
    <row r="579" spans="1:56" x14ac:dyDescent="0.2">
      <c r="A579" s="56">
        <v>176633751</v>
      </c>
      <c r="B579" s="56" t="s">
        <v>2264</v>
      </c>
      <c r="C579" s="56" t="s">
        <v>2623</v>
      </c>
      <c r="D579" s="56" t="s">
        <v>1173</v>
      </c>
      <c r="E579" s="56" t="s">
        <v>1044</v>
      </c>
      <c r="F579" s="56">
        <v>7</v>
      </c>
      <c r="G579" s="56"/>
      <c r="H579" s="56">
        <v>15765</v>
      </c>
      <c r="I579" s="56">
        <v>7</v>
      </c>
      <c r="J579" s="56" t="s">
        <v>1045</v>
      </c>
      <c r="K579" s="56" t="s">
        <v>1058</v>
      </c>
      <c r="L579" s="121">
        <v>46267</v>
      </c>
      <c r="M579" s="122">
        <v>0.86805555555555558</v>
      </c>
      <c r="N579" s="122">
        <v>0.87152777777777779</v>
      </c>
      <c r="O579" s="56" t="s">
        <v>1047</v>
      </c>
      <c r="P579" s="121">
        <v>46267</v>
      </c>
      <c r="Q579" s="122">
        <v>0.91666666666666663</v>
      </c>
      <c r="R579" s="122">
        <v>0.96597222222222223</v>
      </c>
      <c r="S579" s="56" t="s">
        <v>1163</v>
      </c>
      <c r="T579" s="56">
        <v>0</v>
      </c>
      <c r="U579" s="56">
        <v>34</v>
      </c>
      <c r="V579" s="56">
        <v>28.35</v>
      </c>
      <c r="W579" s="56">
        <v>49.86</v>
      </c>
      <c r="X579" s="56">
        <v>68</v>
      </c>
      <c r="Y579" s="56">
        <v>6.79</v>
      </c>
      <c r="Z579" s="56">
        <v>11.35</v>
      </c>
      <c r="AA579" s="56" t="s">
        <v>1174</v>
      </c>
      <c r="AB579" s="56">
        <v>14113198</v>
      </c>
      <c r="AC579" s="56" t="s">
        <v>1174</v>
      </c>
      <c r="AD579" s="56">
        <v>14113198</v>
      </c>
      <c r="AE579" s="56" t="s">
        <v>2626</v>
      </c>
      <c r="AF579" s="56" t="s">
        <v>2627</v>
      </c>
      <c r="AG579" s="56" t="s">
        <v>2627</v>
      </c>
      <c r="AH579" s="56">
        <v>36</v>
      </c>
      <c r="AI579" s="56" t="s">
        <v>2880</v>
      </c>
      <c r="AJ579" s="56" t="s">
        <v>2640</v>
      </c>
      <c r="AK579" s="56">
        <v>842</v>
      </c>
      <c r="AL579" s="56" t="s">
        <v>2630</v>
      </c>
      <c r="AM579" s="56" t="s">
        <v>2631</v>
      </c>
      <c r="AN579" s="56" t="s">
        <v>2632</v>
      </c>
      <c r="AO579" s="56" t="s">
        <v>2627</v>
      </c>
      <c r="AP579" s="56" t="s">
        <v>2624</v>
      </c>
      <c r="AQ579" s="123">
        <v>3.4722222222222099E-3</v>
      </c>
      <c r="AR579" s="122">
        <v>4.9305555555555602E-2</v>
      </c>
      <c r="AS579" s="56" t="s">
        <v>1048</v>
      </c>
      <c r="AT579" s="56" t="s">
        <v>1059</v>
      </c>
      <c r="AU579" s="56" t="s">
        <v>1060</v>
      </c>
      <c r="AV579" s="56">
        <v>36</v>
      </c>
      <c r="AW579" s="56" t="s">
        <v>1051</v>
      </c>
      <c r="AX579" s="56" t="s">
        <v>1175</v>
      </c>
      <c r="AY579" s="56" t="s">
        <v>1061</v>
      </c>
      <c r="AZ579" s="56" t="s">
        <v>1062</v>
      </c>
      <c r="BA579" s="56" t="s">
        <v>1176</v>
      </c>
      <c r="BB579" s="56" t="s">
        <v>1177</v>
      </c>
      <c r="BC579" s="56" t="s">
        <v>1157</v>
      </c>
      <c r="BD579" s="56" t="s">
        <v>2265</v>
      </c>
    </row>
    <row r="580" spans="1:56" x14ac:dyDescent="0.2">
      <c r="A580" s="56">
        <v>176641162</v>
      </c>
      <c r="B580" s="56" t="s">
        <v>2853</v>
      </c>
      <c r="C580" s="56" t="s">
        <v>2623</v>
      </c>
      <c r="D580" s="56" t="s">
        <v>2854</v>
      </c>
      <c r="E580" s="56" t="s">
        <v>1044</v>
      </c>
      <c r="F580" s="56">
        <v>490</v>
      </c>
      <c r="G580" s="56"/>
      <c r="H580" s="56">
        <v>16743</v>
      </c>
      <c r="I580" s="56">
        <v>6</v>
      </c>
      <c r="J580" s="56" t="s">
        <v>1045</v>
      </c>
      <c r="K580" s="56" t="s">
        <v>1064</v>
      </c>
      <c r="L580" s="121">
        <v>46267</v>
      </c>
      <c r="M580" s="122">
        <v>0.86805555555555558</v>
      </c>
      <c r="N580" s="122">
        <v>0.88958333333333328</v>
      </c>
      <c r="O580" s="56" t="s">
        <v>1047</v>
      </c>
      <c r="P580" s="121">
        <v>46267</v>
      </c>
      <c r="Q580" s="122">
        <v>0.93402777777777779</v>
      </c>
      <c r="R580" s="122">
        <v>0.95277777777777772</v>
      </c>
      <c r="S580" s="56" t="s">
        <v>1047</v>
      </c>
      <c r="T580" s="56">
        <v>1</v>
      </c>
      <c r="U580" s="56">
        <v>42</v>
      </c>
      <c r="V580" s="56">
        <v>-3532.44</v>
      </c>
      <c r="W580" s="56">
        <v>40.58</v>
      </c>
      <c r="X580" s="56" t="s">
        <v>2624</v>
      </c>
      <c r="Y580" s="56" t="s">
        <v>2624</v>
      </c>
      <c r="Z580" s="56" t="s">
        <v>2624</v>
      </c>
      <c r="AA580" s="56" t="s">
        <v>51</v>
      </c>
      <c r="AB580" s="56">
        <v>14106368</v>
      </c>
      <c r="AC580" s="56" t="s">
        <v>51</v>
      </c>
      <c r="AD580" s="56">
        <v>14106368</v>
      </c>
      <c r="AE580" s="56" t="s">
        <v>2626</v>
      </c>
      <c r="AF580" s="56" t="s">
        <v>2627</v>
      </c>
      <c r="AG580" s="56" t="s">
        <v>2627</v>
      </c>
      <c r="AH580" s="56">
        <v>36</v>
      </c>
      <c r="AI580" s="56" t="s">
        <v>2628</v>
      </c>
      <c r="AJ580" s="56" t="s">
        <v>2640</v>
      </c>
      <c r="AK580" s="56">
        <v>0</v>
      </c>
      <c r="AL580" s="56" t="s">
        <v>2630</v>
      </c>
      <c r="AM580" s="56" t="s">
        <v>2631</v>
      </c>
      <c r="AN580" s="56" t="s">
        <v>2632</v>
      </c>
      <c r="AO580" s="56" t="s">
        <v>2627</v>
      </c>
      <c r="AP580" s="56" t="s">
        <v>2624</v>
      </c>
      <c r="AQ580" s="123">
        <v>2.1527777777777701E-2</v>
      </c>
      <c r="AR580" s="122">
        <v>1.8749999999999933E-2</v>
      </c>
      <c r="AS580" s="56" t="s">
        <v>1048</v>
      </c>
      <c r="AT580" s="56" t="s">
        <v>1059</v>
      </c>
      <c r="AU580" s="56" t="s">
        <v>1060</v>
      </c>
      <c r="AV580" s="56">
        <v>36</v>
      </c>
      <c r="AW580" s="56" t="s">
        <v>1051</v>
      </c>
      <c r="AX580" s="56" t="s">
        <v>2855</v>
      </c>
      <c r="AY580" s="56" t="s">
        <v>1066</v>
      </c>
      <c r="AZ580" s="56" t="s">
        <v>1067</v>
      </c>
      <c r="BA580" s="56" t="s">
        <v>2856</v>
      </c>
      <c r="BB580" s="56" t="s">
        <v>2857</v>
      </c>
      <c r="BC580" s="56" t="s">
        <v>1157</v>
      </c>
      <c r="BD580" s="56" t="s">
        <v>2858</v>
      </c>
    </row>
    <row r="581" spans="1:56" x14ac:dyDescent="0.2">
      <c r="A581" s="56">
        <v>176622003</v>
      </c>
      <c r="B581" s="56" t="s">
        <v>1546</v>
      </c>
      <c r="C581" s="56" t="s">
        <v>2623</v>
      </c>
      <c r="D581" s="56" t="s">
        <v>1547</v>
      </c>
      <c r="E581" s="56" t="s">
        <v>1044</v>
      </c>
      <c r="F581" s="56">
        <v>61</v>
      </c>
      <c r="G581" s="56"/>
      <c r="H581" s="56">
        <v>16744</v>
      </c>
      <c r="I581" s="56">
        <v>6</v>
      </c>
      <c r="J581" s="56" t="s">
        <v>1045</v>
      </c>
      <c r="K581" s="56" t="s">
        <v>1064</v>
      </c>
      <c r="L581" s="121">
        <v>46267</v>
      </c>
      <c r="M581" s="122">
        <v>0.875</v>
      </c>
      <c r="N581" s="122">
        <v>0.88124999999999998</v>
      </c>
      <c r="O581" s="56" t="s">
        <v>1047</v>
      </c>
      <c r="P581" s="121">
        <v>46267</v>
      </c>
      <c r="Q581" s="122">
        <v>0.93402777777777779</v>
      </c>
      <c r="R581" s="122">
        <v>0.9555555555555556</v>
      </c>
      <c r="S581" s="56" t="s">
        <v>1047</v>
      </c>
      <c r="T581" s="56">
        <v>1</v>
      </c>
      <c r="U581" s="56">
        <v>46</v>
      </c>
      <c r="V581" s="56">
        <v>42.88</v>
      </c>
      <c r="W581" s="56">
        <v>45.67</v>
      </c>
      <c r="X581" s="56" t="s">
        <v>2624</v>
      </c>
      <c r="Y581" s="56" t="s">
        <v>2624</v>
      </c>
      <c r="Z581" s="56" t="s">
        <v>2624</v>
      </c>
      <c r="AA581" s="56" t="s">
        <v>270</v>
      </c>
      <c r="AB581" s="56">
        <v>14119956</v>
      </c>
      <c r="AC581" s="56" t="s">
        <v>270</v>
      </c>
      <c r="AD581" s="56">
        <v>14119956</v>
      </c>
      <c r="AE581" s="56" t="s">
        <v>2626</v>
      </c>
      <c r="AF581" s="56" t="s">
        <v>2627</v>
      </c>
      <c r="AG581" s="56" t="s">
        <v>2627</v>
      </c>
      <c r="AH581" s="56">
        <v>36</v>
      </c>
      <c r="AI581" s="56" t="s">
        <v>2628</v>
      </c>
      <c r="AJ581" s="56" t="s">
        <v>2640</v>
      </c>
      <c r="AK581" s="56">
        <v>530.63</v>
      </c>
      <c r="AL581" s="56" t="s">
        <v>2630</v>
      </c>
      <c r="AM581" s="56" t="s">
        <v>2631</v>
      </c>
      <c r="AN581" s="56" t="s">
        <v>2632</v>
      </c>
      <c r="AO581" s="56" t="s">
        <v>2627</v>
      </c>
      <c r="AP581" s="56" t="s">
        <v>2624</v>
      </c>
      <c r="AQ581" s="123">
        <v>6.2499999999999778E-3</v>
      </c>
      <c r="AR581" s="122">
        <v>2.1527777777777812E-2</v>
      </c>
      <c r="AS581" s="56" t="s">
        <v>1048</v>
      </c>
      <c r="AT581" s="56" t="s">
        <v>1059</v>
      </c>
      <c r="AU581" s="56" t="s">
        <v>1060</v>
      </c>
      <c r="AV581" s="56">
        <v>36</v>
      </c>
      <c r="AW581" s="56" t="s">
        <v>1051</v>
      </c>
      <c r="AX581" s="56" t="s">
        <v>1548</v>
      </c>
      <c r="AY581" s="56" t="s">
        <v>1066</v>
      </c>
      <c r="AZ581" s="56" t="s">
        <v>1067</v>
      </c>
      <c r="BA581" s="56" t="s">
        <v>1549</v>
      </c>
      <c r="BB581" s="56" t="s">
        <v>1550</v>
      </c>
      <c r="BC581" s="56" t="s">
        <v>1157</v>
      </c>
      <c r="BD581" s="56" t="s">
        <v>1551</v>
      </c>
    </row>
    <row r="582" spans="1:56" x14ac:dyDescent="0.2">
      <c r="A582" s="56">
        <v>176630387</v>
      </c>
      <c r="B582" s="56" t="s">
        <v>1761</v>
      </c>
      <c r="C582" s="56" t="s">
        <v>2623</v>
      </c>
      <c r="D582" s="56" t="s">
        <v>1136</v>
      </c>
      <c r="E582" s="56" t="s">
        <v>1044</v>
      </c>
      <c r="F582" s="56">
        <v>25</v>
      </c>
      <c r="G582" s="56"/>
      <c r="H582" s="56">
        <v>17354</v>
      </c>
      <c r="I582" s="56">
        <v>6</v>
      </c>
      <c r="J582" s="56" t="s">
        <v>1045</v>
      </c>
      <c r="K582" s="56" t="s">
        <v>1091</v>
      </c>
      <c r="L582" s="121">
        <v>46267</v>
      </c>
      <c r="M582" s="122">
        <v>0.875</v>
      </c>
      <c r="N582" s="122">
        <v>0.88194444444444442</v>
      </c>
      <c r="O582" s="56" t="s">
        <v>1047</v>
      </c>
      <c r="P582" s="121">
        <v>46267</v>
      </c>
      <c r="Q582" s="122">
        <v>0.93402777777777779</v>
      </c>
      <c r="R582" s="122">
        <v>0.93611111111111112</v>
      </c>
      <c r="S582" s="56" t="s">
        <v>1047</v>
      </c>
      <c r="T582" s="56">
        <v>1</v>
      </c>
      <c r="U582" s="56">
        <v>24</v>
      </c>
      <c r="V582" s="56">
        <v>19.29</v>
      </c>
      <c r="W582" s="56">
        <v>20.75</v>
      </c>
      <c r="X582" s="56" t="s">
        <v>2624</v>
      </c>
      <c r="Y582" s="56" t="s">
        <v>2624</v>
      </c>
      <c r="Z582" s="56" t="s">
        <v>2624</v>
      </c>
      <c r="AA582" s="56" t="s">
        <v>1369</v>
      </c>
      <c r="AB582" s="56">
        <v>14119271</v>
      </c>
      <c r="AC582" s="56" t="s">
        <v>1369</v>
      </c>
      <c r="AD582" s="56">
        <v>14119271</v>
      </c>
      <c r="AE582" s="56" t="s">
        <v>2626</v>
      </c>
      <c r="AF582" s="56" t="s">
        <v>2627</v>
      </c>
      <c r="AG582" s="56" t="s">
        <v>2627</v>
      </c>
      <c r="AH582" s="56">
        <v>36</v>
      </c>
      <c r="AI582" s="56" t="s">
        <v>2628</v>
      </c>
      <c r="AJ582" s="56" t="s">
        <v>2640</v>
      </c>
      <c r="AK582" s="56">
        <v>0</v>
      </c>
      <c r="AL582" s="56" t="s">
        <v>2630</v>
      </c>
      <c r="AM582" s="56" t="s">
        <v>2631</v>
      </c>
      <c r="AN582" s="56" t="s">
        <v>2632</v>
      </c>
      <c r="AO582" s="56" t="s">
        <v>2627</v>
      </c>
      <c r="AP582" s="56" t="s">
        <v>2624</v>
      </c>
      <c r="AQ582" s="123">
        <v>6.9444444444444198E-3</v>
      </c>
      <c r="AR582" s="122">
        <v>2.0833333333333259E-3</v>
      </c>
      <c r="AS582" s="56" t="s">
        <v>1048</v>
      </c>
      <c r="AT582" s="56" t="s">
        <v>1049</v>
      </c>
      <c r="AU582" s="56" t="s">
        <v>1050</v>
      </c>
      <c r="AV582" s="56">
        <v>36</v>
      </c>
      <c r="AW582" s="56" t="s">
        <v>1051</v>
      </c>
      <c r="AX582" s="56" t="s">
        <v>1137</v>
      </c>
      <c r="AY582" s="56" t="s">
        <v>1093</v>
      </c>
      <c r="AZ582" s="56" t="s">
        <v>1067</v>
      </c>
      <c r="BA582" s="56" t="s">
        <v>1138</v>
      </c>
      <c r="BB582" s="56" t="s">
        <v>1139</v>
      </c>
      <c r="BC582" s="56" t="s">
        <v>1157</v>
      </c>
      <c r="BD582" s="56" t="s">
        <v>1762</v>
      </c>
    </row>
    <row r="583" spans="1:56" x14ac:dyDescent="0.2">
      <c r="A583" s="56">
        <v>176637928</v>
      </c>
      <c r="B583" s="56" t="s">
        <v>1697</v>
      </c>
      <c r="C583" s="56" t="s">
        <v>2623</v>
      </c>
      <c r="D583" s="56" t="s">
        <v>1298</v>
      </c>
      <c r="E583" s="56" t="s">
        <v>1044</v>
      </c>
      <c r="F583" s="56">
        <v>204</v>
      </c>
      <c r="G583" s="56"/>
      <c r="H583" s="56">
        <v>7915</v>
      </c>
      <c r="I583" s="56">
        <v>6</v>
      </c>
      <c r="J583" s="56" t="s">
        <v>1045</v>
      </c>
      <c r="K583" s="56" t="s">
        <v>1079</v>
      </c>
      <c r="L583" s="121">
        <v>46267</v>
      </c>
      <c r="M583" s="122">
        <v>0.875</v>
      </c>
      <c r="N583" s="122">
        <v>0.87847222222222221</v>
      </c>
      <c r="O583" s="56" t="s">
        <v>1047</v>
      </c>
      <c r="P583" s="121">
        <v>46267</v>
      </c>
      <c r="Q583" s="122">
        <v>0.93402777777777779</v>
      </c>
      <c r="R583" s="122">
        <v>0.93194444444444446</v>
      </c>
      <c r="S583" s="56" t="s">
        <v>1047</v>
      </c>
      <c r="T583" s="56">
        <v>1</v>
      </c>
      <c r="U583" s="56">
        <v>37</v>
      </c>
      <c r="V583" s="56">
        <v>31.85</v>
      </c>
      <c r="W583" s="56">
        <v>33.9</v>
      </c>
      <c r="X583" s="56" t="s">
        <v>2624</v>
      </c>
      <c r="Y583" s="56" t="s">
        <v>2624</v>
      </c>
      <c r="Z583" s="56" t="s">
        <v>2624</v>
      </c>
      <c r="AA583" s="56" t="s">
        <v>243</v>
      </c>
      <c r="AB583" s="56">
        <v>14119324</v>
      </c>
      <c r="AC583" s="56" t="s">
        <v>243</v>
      </c>
      <c r="AD583" s="56">
        <v>14119324</v>
      </c>
      <c r="AE583" s="56" t="s">
        <v>2626</v>
      </c>
      <c r="AF583" s="56" t="s">
        <v>2627</v>
      </c>
      <c r="AG583" s="56" t="s">
        <v>2627</v>
      </c>
      <c r="AH583" s="56">
        <v>36</v>
      </c>
      <c r="AI583" s="56" t="s">
        <v>2628</v>
      </c>
      <c r="AJ583" s="56" t="s">
        <v>2629</v>
      </c>
      <c r="AK583" s="56">
        <v>0</v>
      </c>
      <c r="AL583" s="56" t="s">
        <v>2630</v>
      </c>
      <c r="AM583" s="56" t="s">
        <v>2631</v>
      </c>
      <c r="AN583" s="56" t="s">
        <v>2632</v>
      </c>
      <c r="AO583" s="56" t="s">
        <v>2627</v>
      </c>
      <c r="AP583" s="56" t="s">
        <v>2624</v>
      </c>
      <c r="AQ583" s="123">
        <v>3.4722222222222099E-3</v>
      </c>
      <c r="AR583" s="122">
        <v>-2.0833333333333259E-3</v>
      </c>
      <c r="AS583" s="56" t="s">
        <v>1048</v>
      </c>
      <c r="AT583" s="56" t="s">
        <v>1049</v>
      </c>
      <c r="AU583" s="56" t="s">
        <v>1050</v>
      </c>
      <c r="AV583" s="56">
        <v>36</v>
      </c>
      <c r="AW583" s="56" t="s">
        <v>1051</v>
      </c>
      <c r="AX583" s="56" t="s">
        <v>1299</v>
      </c>
      <c r="AY583" s="56" t="s">
        <v>1081</v>
      </c>
      <c r="AZ583" s="56" t="s">
        <v>1067</v>
      </c>
      <c r="BA583" s="56" t="s">
        <v>1300</v>
      </c>
      <c r="BB583" s="56" t="s">
        <v>1301</v>
      </c>
      <c r="BC583" s="56" t="s">
        <v>1157</v>
      </c>
      <c r="BD583" s="56" t="s">
        <v>1698</v>
      </c>
    </row>
    <row r="584" spans="1:56" x14ac:dyDescent="0.2">
      <c r="A584" s="56">
        <v>176630734</v>
      </c>
      <c r="B584" s="56" t="s">
        <v>2203</v>
      </c>
      <c r="C584" s="56" t="s">
        <v>2623</v>
      </c>
      <c r="D584" s="56" t="s">
        <v>2204</v>
      </c>
      <c r="E584" s="56" t="s">
        <v>1044</v>
      </c>
      <c r="F584" s="56">
        <v>109</v>
      </c>
      <c r="G584" s="56"/>
      <c r="H584" s="56">
        <v>6473</v>
      </c>
      <c r="I584" s="56">
        <v>6</v>
      </c>
      <c r="J584" s="56" t="s">
        <v>1045</v>
      </c>
      <c r="K584" s="56" t="s">
        <v>1296</v>
      </c>
      <c r="L584" s="121">
        <v>46267</v>
      </c>
      <c r="M584" s="122">
        <v>0.87847222222222221</v>
      </c>
      <c r="N584" s="122">
        <v>0.88194444444444442</v>
      </c>
      <c r="O584" s="56" t="s">
        <v>1047</v>
      </c>
      <c r="P584" s="121">
        <v>46267</v>
      </c>
      <c r="Q584" s="122">
        <v>0.93402777777777779</v>
      </c>
      <c r="R584" s="122">
        <v>0.92847222222222225</v>
      </c>
      <c r="S584" s="56" t="s">
        <v>1047</v>
      </c>
      <c r="T584" s="56">
        <v>1</v>
      </c>
      <c r="U584" s="56">
        <v>45</v>
      </c>
      <c r="V584" s="56">
        <v>43.12</v>
      </c>
      <c r="W584" s="56">
        <v>43.64</v>
      </c>
      <c r="X584" s="56" t="s">
        <v>2624</v>
      </c>
      <c r="Y584" s="56" t="s">
        <v>2624</v>
      </c>
      <c r="Z584" s="56" t="s">
        <v>2624</v>
      </c>
      <c r="AA584" s="56" t="s">
        <v>1598</v>
      </c>
      <c r="AB584" s="56">
        <v>14104932</v>
      </c>
      <c r="AC584" s="56" t="s">
        <v>1598</v>
      </c>
      <c r="AD584" s="56">
        <v>14104932</v>
      </c>
      <c r="AE584" s="56" t="s">
        <v>2626</v>
      </c>
      <c r="AF584" s="56" t="s">
        <v>2627</v>
      </c>
      <c r="AG584" s="56" t="s">
        <v>2627</v>
      </c>
      <c r="AH584" s="56">
        <v>36</v>
      </c>
      <c r="AI584" s="56" t="s">
        <v>2628</v>
      </c>
      <c r="AJ584" s="56" t="s">
        <v>2629</v>
      </c>
      <c r="AK584" s="56">
        <v>0</v>
      </c>
      <c r="AL584" s="56" t="s">
        <v>2630</v>
      </c>
      <c r="AM584" s="56" t="s">
        <v>2631</v>
      </c>
      <c r="AN584" s="56" t="s">
        <v>2632</v>
      </c>
      <c r="AO584" s="56" t="s">
        <v>2627</v>
      </c>
      <c r="AP584" s="56" t="s">
        <v>2624</v>
      </c>
      <c r="AQ584" s="123">
        <v>3.4722222222222099E-3</v>
      </c>
      <c r="AR584" s="122">
        <v>-5.5555555555555358E-3</v>
      </c>
      <c r="AS584" s="56" t="s">
        <v>1048</v>
      </c>
      <c r="AT584" s="56" t="s">
        <v>1049</v>
      </c>
      <c r="AU584" s="56" t="s">
        <v>1050</v>
      </c>
      <c r="AV584" s="56">
        <v>36</v>
      </c>
      <c r="AW584" s="56" t="s">
        <v>1051</v>
      </c>
      <c r="AX584" s="56" t="s">
        <v>2205</v>
      </c>
      <c r="AY584" s="56" t="s">
        <v>1297</v>
      </c>
      <c r="AZ584" s="56" t="s">
        <v>1067</v>
      </c>
      <c r="BA584" s="56" t="s">
        <v>2206</v>
      </c>
      <c r="BB584" s="56" t="s">
        <v>2207</v>
      </c>
      <c r="BC584" s="56" t="s">
        <v>1157</v>
      </c>
      <c r="BD584" s="56" t="s">
        <v>2208</v>
      </c>
    </row>
    <row r="585" spans="1:56" x14ac:dyDescent="0.2">
      <c r="A585" s="56">
        <v>176642835</v>
      </c>
      <c r="B585" s="56" t="s">
        <v>3405</v>
      </c>
      <c r="C585" s="56" t="s">
        <v>2623</v>
      </c>
      <c r="D585" s="56" t="s">
        <v>1416</v>
      </c>
      <c r="E585" s="56" t="s">
        <v>1044</v>
      </c>
      <c r="F585" s="56">
        <v>232</v>
      </c>
      <c r="G585" s="56" t="s">
        <v>2670</v>
      </c>
      <c r="H585" s="56">
        <v>15308</v>
      </c>
      <c r="I585" s="56">
        <v>6</v>
      </c>
      <c r="J585" s="56" t="s">
        <v>1045</v>
      </c>
      <c r="K585" s="56" t="s">
        <v>1116</v>
      </c>
      <c r="L585" s="121">
        <v>46267</v>
      </c>
      <c r="M585" s="122">
        <v>0.87847222222222221</v>
      </c>
      <c r="N585" s="122">
        <v>0.90833333333333333</v>
      </c>
      <c r="O585" s="56" t="s">
        <v>1047</v>
      </c>
      <c r="P585" s="121">
        <v>46267</v>
      </c>
      <c r="Q585" s="122">
        <v>0.92708333333333337</v>
      </c>
      <c r="R585" s="122">
        <v>0.93680555555555556</v>
      </c>
      <c r="S585" s="56" t="s">
        <v>1047</v>
      </c>
      <c r="T585" s="56">
        <v>1</v>
      </c>
      <c r="U585" s="56">
        <v>29</v>
      </c>
      <c r="V585" s="56">
        <v>26.4</v>
      </c>
      <c r="W585" s="56">
        <v>26.24</v>
      </c>
      <c r="X585" s="56" t="s">
        <v>2624</v>
      </c>
      <c r="Y585" s="56" t="s">
        <v>2624</v>
      </c>
      <c r="Z585" s="56" t="s">
        <v>2624</v>
      </c>
      <c r="AA585" s="56" t="s">
        <v>1823</v>
      </c>
      <c r="AB585" s="56">
        <v>14123950</v>
      </c>
      <c r="AC585" s="56" t="s">
        <v>1823</v>
      </c>
      <c r="AD585" s="56">
        <v>14123950</v>
      </c>
      <c r="AE585" s="56" t="s">
        <v>2626</v>
      </c>
      <c r="AF585" s="56" t="s">
        <v>2627</v>
      </c>
      <c r="AG585" s="56" t="s">
        <v>2627</v>
      </c>
      <c r="AH585" s="56">
        <v>36</v>
      </c>
      <c r="AI585" s="56" t="s">
        <v>2628</v>
      </c>
      <c r="AJ585" s="56" t="s">
        <v>2640</v>
      </c>
      <c r="AK585" s="56">
        <v>0</v>
      </c>
      <c r="AL585" s="56" t="s">
        <v>2630</v>
      </c>
      <c r="AM585" s="56" t="s">
        <v>2631</v>
      </c>
      <c r="AN585" s="56" t="s">
        <v>2632</v>
      </c>
      <c r="AO585" s="56" t="s">
        <v>2627</v>
      </c>
      <c r="AP585" s="56" t="s">
        <v>2624</v>
      </c>
      <c r="AQ585" s="123">
        <v>2.9861111111111116E-2</v>
      </c>
      <c r="AR585" s="122">
        <v>9.7222222222221877E-3</v>
      </c>
      <c r="AS585" s="56" t="s">
        <v>1048</v>
      </c>
      <c r="AT585" s="56" t="s">
        <v>1059</v>
      </c>
      <c r="AU585" s="56" t="s">
        <v>1060</v>
      </c>
      <c r="AV585" s="56">
        <v>36</v>
      </c>
      <c r="AW585" s="56" t="s">
        <v>1051</v>
      </c>
      <c r="AX585" s="56" t="s">
        <v>1418</v>
      </c>
      <c r="AY585" s="56" t="s">
        <v>1118</v>
      </c>
      <c r="AZ585" s="56" t="s">
        <v>1054</v>
      </c>
      <c r="BA585" s="56" t="s">
        <v>1419</v>
      </c>
      <c r="BB585" s="56" t="s">
        <v>1420</v>
      </c>
      <c r="BC585" s="56" t="s">
        <v>1157</v>
      </c>
      <c r="BD585" s="56" t="s">
        <v>3406</v>
      </c>
    </row>
    <row r="586" spans="1:56" x14ac:dyDescent="0.2">
      <c r="A586" s="56">
        <v>176642982</v>
      </c>
      <c r="B586" s="56" t="s">
        <v>1599</v>
      </c>
      <c r="C586" s="56" t="s">
        <v>2623</v>
      </c>
      <c r="D586" s="56" t="s">
        <v>1600</v>
      </c>
      <c r="E586" s="56" t="s">
        <v>1044</v>
      </c>
      <c r="F586" s="56">
        <v>50</v>
      </c>
      <c r="G586" s="56"/>
      <c r="H586" s="56">
        <v>12897</v>
      </c>
      <c r="I586" s="56">
        <v>6</v>
      </c>
      <c r="J586" s="56" t="s">
        <v>1045</v>
      </c>
      <c r="K586" s="56" t="s">
        <v>1125</v>
      </c>
      <c r="L586" s="121">
        <v>46267</v>
      </c>
      <c r="M586" s="122">
        <v>0.87847222222222221</v>
      </c>
      <c r="N586" s="122">
        <v>0.88541666666666663</v>
      </c>
      <c r="O586" s="56" t="s">
        <v>1047</v>
      </c>
      <c r="P586" s="121">
        <v>46267</v>
      </c>
      <c r="Q586" s="122">
        <v>0.95833333333333337</v>
      </c>
      <c r="R586" s="122">
        <v>0.96250000000000002</v>
      </c>
      <c r="S586" s="56" t="s">
        <v>1047</v>
      </c>
      <c r="T586" s="56">
        <v>1</v>
      </c>
      <c r="U586" s="56">
        <v>60</v>
      </c>
      <c r="V586" s="56">
        <v>55.78</v>
      </c>
      <c r="W586" s="56">
        <v>56.59</v>
      </c>
      <c r="X586" s="56" t="s">
        <v>2624</v>
      </c>
      <c r="Y586" s="56" t="s">
        <v>2624</v>
      </c>
      <c r="Z586" s="56" t="s">
        <v>2624</v>
      </c>
      <c r="AA586" s="56" t="s">
        <v>1966</v>
      </c>
      <c r="AB586" s="56">
        <v>14124164</v>
      </c>
      <c r="AC586" s="56" t="s">
        <v>1966</v>
      </c>
      <c r="AD586" s="56">
        <v>14124164</v>
      </c>
      <c r="AE586" s="56" t="s">
        <v>2626</v>
      </c>
      <c r="AF586" s="56" t="s">
        <v>2627</v>
      </c>
      <c r="AG586" s="56" t="s">
        <v>2627</v>
      </c>
      <c r="AH586" s="56">
        <v>36</v>
      </c>
      <c r="AI586" s="56" t="s">
        <v>2628</v>
      </c>
      <c r="AJ586" s="56" t="s">
        <v>2640</v>
      </c>
      <c r="AK586" s="56">
        <v>2760</v>
      </c>
      <c r="AL586" s="56">
        <v>0</v>
      </c>
      <c r="AM586" s="56" t="s">
        <v>2694</v>
      </c>
      <c r="AN586" s="56" t="s">
        <v>2702</v>
      </c>
      <c r="AO586" s="56" t="s">
        <v>2627</v>
      </c>
      <c r="AP586" s="56" t="s">
        <v>2624</v>
      </c>
      <c r="AQ586" s="123">
        <v>6.9444444444444198E-3</v>
      </c>
      <c r="AR586" s="122">
        <v>4.1666666666666519E-3</v>
      </c>
      <c r="AS586" s="56" t="s">
        <v>1048</v>
      </c>
      <c r="AT586" s="56" t="s">
        <v>1059</v>
      </c>
      <c r="AU586" s="56" t="s">
        <v>1060</v>
      </c>
      <c r="AV586" s="56">
        <v>36</v>
      </c>
      <c r="AW586" s="56" t="s">
        <v>1051</v>
      </c>
      <c r="AX586" s="56" t="s">
        <v>1601</v>
      </c>
      <c r="AY586" s="56" t="s">
        <v>1127</v>
      </c>
      <c r="AZ586" s="56" t="s">
        <v>1054</v>
      </c>
      <c r="BA586" s="56" t="s">
        <v>1602</v>
      </c>
      <c r="BB586" s="56" t="s">
        <v>1603</v>
      </c>
      <c r="BC586" s="56" t="s">
        <v>1157</v>
      </c>
      <c r="BD586" s="56" t="s">
        <v>1604</v>
      </c>
    </row>
    <row r="587" spans="1:56" x14ac:dyDescent="0.2">
      <c r="A587" s="56">
        <v>176622018</v>
      </c>
      <c r="B587" s="56" t="s">
        <v>1553</v>
      </c>
      <c r="C587" s="56" t="s">
        <v>2623</v>
      </c>
      <c r="D587" s="56" t="s">
        <v>1268</v>
      </c>
      <c r="E587" s="56" t="s">
        <v>1044</v>
      </c>
      <c r="F587" s="56">
        <v>68</v>
      </c>
      <c r="G587" s="56"/>
      <c r="H587" s="56">
        <v>16363</v>
      </c>
      <c r="I587" s="56">
        <v>6</v>
      </c>
      <c r="J587" s="56" t="s">
        <v>1045</v>
      </c>
      <c r="K587" s="56" t="s">
        <v>1064</v>
      </c>
      <c r="L587" s="121">
        <v>46267</v>
      </c>
      <c r="M587" s="122">
        <v>0.88194444444444442</v>
      </c>
      <c r="N587" s="122">
        <v>0.88541666666666663</v>
      </c>
      <c r="O587" s="56" t="s">
        <v>1047</v>
      </c>
      <c r="P587" s="121">
        <v>46267</v>
      </c>
      <c r="Q587" s="122">
        <v>0.93402777777777779</v>
      </c>
      <c r="R587" s="122">
        <v>0.92777777777777781</v>
      </c>
      <c r="S587" s="56" t="s">
        <v>1047</v>
      </c>
      <c r="T587" s="56">
        <v>1</v>
      </c>
      <c r="U587" s="56">
        <v>33</v>
      </c>
      <c r="V587" s="56">
        <v>28.31</v>
      </c>
      <c r="W587" s="56">
        <v>29.05</v>
      </c>
      <c r="X587" s="56" t="s">
        <v>2624</v>
      </c>
      <c r="Y587" s="56" t="s">
        <v>2624</v>
      </c>
      <c r="Z587" s="56" t="s">
        <v>2624</v>
      </c>
      <c r="AA587" s="56" t="s">
        <v>2390</v>
      </c>
      <c r="AB587" s="56">
        <v>14124189</v>
      </c>
      <c r="AC587" s="56" t="s">
        <v>2390</v>
      </c>
      <c r="AD587" s="56">
        <v>14124189</v>
      </c>
      <c r="AE587" s="56" t="s">
        <v>2626</v>
      </c>
      <c r="AF587" s="56" t="s">
        <v>2627</v>
      </c>
      <c r="AG587" s="56" t="s">
        <v>2627</v>
      </c>
      <c r="AH587" s="56">
        <v>36</v>
      </c>
      <c r="AI587" s="56" t="s">
        <v>2628</v>
      </c>
      <c r="AJ587" s="56" t="s">
        <v>2629</v>
      </c>
      <c r="AK587" s="56">
        <v>530.63</v>
      </c>
      <c r="AL587" s="56" t="s">
        <v>2630</v>
      </c>
      <c r="AM587" s="56" t="s">
        <v>2631</v>
      </c>
      <c r="AN587" s="56" t="s">
        <v>2632</v>
      </c>
      <c r="AO587" s="56" t="s">
        <v>2627</v>
      </c>
      <c r="AP587" s="56" t="s">
        <v>2624</v>
      </c>
      <c r="AQ587" s="123">
        <v>3.4722222222222099E-3</v>
      </c>
      <c r="AR587" s="122">
        <v>-6.2499999999999778E-3</v>
      </c>
      <c r="AS587" s="56" t="s">
        <v>1048</v>
      </c>
      <c r="AT587" s="56" t="s">
        <v>1049</v>
      </c>
      <c r="AU587" s="56" t="s">
        <v>1050</v>
      </c>
      <c r="AV587" s="56">
        <v>36</v>
      </c>
      <c r="AW587" s="56" t="s">
        <v>1051</v>
      </c>
      <c r="AX587" s="56" t="s">
        <v>1269</v>
      </c>
      <c r="AY587" s="56" t="s">
        <v>1066</v>
      </c>
      <c r="AZ587" s="56" t="s">
        <v>1067</v>
      </c>
      <c r="BA587" s="56" t="s">
        <v>1270</v>
      </c>
      <c r="BB587" s="56" t="s">
        <v>1271</v>
      </c>
      <c r="BC587" s="56" t="s">
        <v>1157</v>
      </c>
      <c r="BD587" s="56" t="s">
        <v>1554</v>
      </c>
    </row>
    <row r="588" spans="1:56" x14ac:dyDescent="0.2">
      <c r="A588" s="56">
        <v>176641075</v>
      </c>
      <c r="B588" s="56" t="s">
        <v>3611</v>
      </c>
      <c r="C588" s="56" t="s">
        <v>2623</v>
      </c>
      <c r="D588" s="56" t="s">
        <v>3612</v>
      </c>
      <c r="E588" s="56" t="s">
        <v>1044</v>
      </c>
      <c r="F588" s="56">
        <v>116</v>
      </c>
      <c r="G588" s="56" t="s">
        <v>2670</v>
      </c>
      <c r="H588" s="56">
        <v>14693</v>
      </c>
      <c r="I588" s="56">
        <v>6</v>
      </c>
      <c r="J588" s="56" t="s">
        <v>1045</v>
      </c>
      <c r="K588" s="56" t="s">
        <v>1116</v>
      </c>
      <c r="L588" s="121">
        <v>46267</v>
      </c>
      <c r="M588" s="122">
        <v>0.88680555555555551</v>
      </c>
      <c r="N588" s="122">
        <v>0.89027777777777772</v>
      </c>
      <c r="O588" s="56" t="s">
        <v>1047</v>
      </c>
      <c r="P588" s="121">
        <v>46267</v>
      </c>
      <c r="Q588" s="122">
        <v>0.92708333333333337</v>
      </c>
      <c r="R588" s="122">
        <v>0.9145833333333333</v>
      </c>
      <c r="S588" s="56" t="s">
        <v>1047</v>
      </c>
      <c r="T588" s="56">
        <v>1</v>
      </c>
      <c r="U588" s="56">
        <v>21</v>
      </c>
      <c r="V588" s="56">
        <v>15.59</v>
      </c>
      <c r="W588" s="56">
        <v>15.51</v>
      </c>
      <c r="X588" s="56" t="s">
        <v>2624</v>
      </c>
      <c r="Y588" s="56" t="s">
        <v>2624</v>
      </c>
      <c r="Z588" s="56" t="s">
        <v>2624</v>
      </c>
      <c r="AA588" s="56" t="s">
        <v>212</v>
      </c>
      <c r="AB588" s="56">
        <v>14118745</v>
      </c>
      <c r="AC588" s="56" t="s">
        <v>212</v>
      </c>
      <c r="AD588" s="56">
        <v>14118745</v>
      </c>
      <c r="AE588" s="56" t="s">
        <v>2626</v>
      </c>
      <c r="AF588" s="56" t="s">
        <v>2627</v>
      </c>
      <c r="AG588" s="56" t="s">
        <v>2627</v>
      </c>
      <c r="AH588" s="56">
        <v>36</v>
      </c>
      <c r="AI588" s="56" t="s">
        <v>2628</v>
      </c>
      <c r="AJ588" s="56" t="s">
        <v>2629</v>
      </c>
      <c r="AK588" s="56">
        <v>0</v>
      </c>
      <c r="AL588" s="56" t="s">
        <v>2630</v>
      </c>
      <c r="AM588" s="56" t="s">
        <v>2631</v>
      </c>
      <c r="AN588" s="56" t="s">
        <v>2632</v>
      </c>
      <c r="AO588" s="56" t="s">
        <v>2627</v>
      </c>
      <c r="AP588" s="56" t="s">
        <v>2624</v>
      </c>
      <c r="AQ588" s="123">
        <v>3.4722222222222099E-3</v>
      </c>
      <c r="AR588" s="122">
        <v>-1.2500000000000067E-2</v>
      </c>
      <c r="AS588" s="56" t="s">
        <v>1048</v>
      </c>
      <c r="AT588" s="56" t="s">
        <v>1049</v>
      </c>
      <c r="AU588" s="56" t="s">
        <v>1050</v>
      </c>
      <c r="AV588" s="56">
        <v>36</v>
      </c>
      <c r="AW588" s="56" t="s">
        <v>1051</v>
      </c>
      <c r="AX588" s="56" t="s">
        <v>3613</v>
      </c>
      <c r="AY588" s="56" t="s">
        <v>1118</v>
      </c>
      <c r="AZ588" s="56" t="s">
        <v>1054</v>
      </c>
      <c r="BA588" s="56" t="s">
        <v>3614</v>
      </c>
      <c r="BB588" s="56" t="s">
        <v>3615</v>
      </c>
      <c r="BC588" s="56" t="s">
        <v>1157</v>
      </c>
      <c r="BD588" s="56" t="s">
        <v>3616</v>
      </c>
    </row>
    <row r="589" spans="1:56" x14ac:dyDescent="0.2">
      <c r="A589" s="56">
        <v>176642778</v>
      </c>
      <c r="B589" s="56" t="s">
        <v>3617</v>
      </c>
      <c r="C589" s="56" t="s">
        <v>2623</v>
      </c>
      <c r="D589" s="56" t="s">
        <v>3618</v>
      </c>
      <c r="E589" s="56" t="s">
        <v>1044</v>
      </c>
      <c r="F589" s="56">
        <v>226</v>
      </c>
      <c r="G589" s="56" t="s">
        <v>2693</v>
      </c>
      <c r="H589" s="56">
        <v>14707</v>
      </c>
      <c r="I589" s="56">
        <v>6</v>
      </c>
      <c r="J589" s="56" t="s">
        <v>1045</v>
      </c>
      <c r="K589" s="56" t="s">
        <v>1116</v>
      </c>
      <c r="L589" s="121">
        <v>46267</v>
      </c>
      <c r="M589" s="122">
        <v>0.88680555555555551</v>
      </c>
      <c r="N589" s="122">
        <v>0.91319444444444442</v>
      </c>
      <c r="O589" s="56" t="s">
        <v>1047</v>
      </c>
      <c r="P589" s="121">
        <v>46267</v>
      </c>
      <c r="Q589" s="122">
        <v>0.92708333333333337</v>
      </c>
      <c r="R589" s="122">
        <v>0.9506944444444444</v>
      </c>
      <c r="S589" s="56" t="s">
        <v>1047</v>
      </c>
      <c r="T589" s="56">
        <v>1</v>
      </c>
      <c r="U589" s="56">
        <v>30</v>
      </c>
      <c r="V589" s="56">
        <v>25.13</v>
      </c>
      <c r="W589" s="56">
        <v>26.25</v>
      </c>
      <c r="X589" s="56" t="s">
        <v>2624</v>
      </c>
      <c r="Y589" s="56" t="s">
        <v>2624</v>
      </c>
      <c r="Z589" s="56" t="s">
        <v>2624</v>
      </c>
      <c r="AA589" s="56" t="s">
        <v>959</v>
      </c>
      <c r="AB589" s="56">
        <v>14123754</v>
      </c>
      <c r="AC589" s="56" t="s">
        <v>959</v>
      </c>
      <c r="AD589" s="56">
        <v>14123754</v>
      </c>
      <c r="AE589" s="56" t="s">
        <v>2626</v>
      </c>
      <c r="AF589" s="56" t="s">
        <v>2627</v>
      </c>
      <c r="AG589" s="56" t="s">
        <v>2627</v>
      </c>
      <c r="AH589" s="56">
        <v>36</v>
      </c>
      <c r="AI589" s="56" t="s">
        <v>2628</v>
      </c>
      <c r="AJ589" s="56" t="s">
        <v>2640</v>
      </c>
      <c r="AK589" s="56">
        <v>0</v>
      </c>
      <c r="AL589" s="56" t="s">
        <v>2630</v>
      </c>
      <c r="AM589" s="56" t="s">
        <v>2631</v>
      </c>
      <c r="AN589" s="56" t="s">
        <v>2632</v>
      </c>
      <c r="AO589" s="56" t="s">
        <v>2627</v>
      </c>
      <c r="AP589" s="56">
        <v>0</v>
      </c>
      <c r="AQ589" s="123">
        <v>2.6388888888888906E-2</v>
      </c>
      <c r="AR589" s="122">
        <v>2.3611111111111027E-2</v>
      </c>
      <c r="AS589" s="56" t="s">
        <v>1048</v>
      </c>
      <c r="AT589" s="56" t="s">
        <v>1059</v>
      </c>
      <c r="AU589" s="56" t="s">
        <v>1060</v>
      </c>
      <c r="AV589" s="56">
        <v>36</v>
      </c>
      <c r="AW589" s="56" t="s">
        <v>1051</v>
      </c>
      <c r="AX589" s="56" t="s">
        <v>3619</v>
      </c>
      <c r="AY589" s="56" t="s">
        <v>1246</v>
      </c>
      <c r="AZ589" s="56" t="s">
        <v>1054</v>
      </c>
      <c r="BA589" s="56" t="s">
        <v>3620</v>
      </c>
      <c r="BB589" s="56" t="s">
        <v>3621</v>
      </c>
      <c r="BC589" s="56" t="s">
        <v>1157</v>
      </c>
      <c r="BD589" s="56" t="s">
        <v>3622</v>
      </c>
    </row>
    <row r="590" spans="1:56" x14ac:dyDescent="0.2">
      <c r="A590" s="56">
        <v>176639353</v>
      </c>
      <c r="B590" s="56" t="s">
        <v>2885</v>
      </c>
      <c r="C590" s="56" t="s">
        <v>2623</v>
      </c>
      <c r="D590" s="56" t="s">
        <v>2886</v>
      </c>
      <c r="E590" s="56" t="s">
        <v>1044</v>
      </c>
      <c r="F590" s="56">
        <v>67</v>
      </c>
      <c r="G590" s="56"/>
      <c r="H590" s="56">
        <v>13901</v>
      </c>
      <c r="I590" s="56">
        <v>6</v>
      </c>
      <c r="J590" s="56" t="s">
        <v>1045</v>
      </c>
      <c r="K590" s="56" t="s">
        <v>1091</v>
      </c>
      <c r="L590" s="121">
        <v>46267</v>
      </c>
      <c r="M590" s="122">
        <v>0.88888888888888884</v>
      </c>
      <c r="N590" s="122">
        <v>0.89236111111111116</v>
      </c>
      <c r="O590" s="56" t="s">
        <v>1047</v>
      </c>
      <c r="P590" s="121">
        <v>46267</v>
      </c>
      <c r="Q590" s="122">
        <v>0.93402777777777779</v>
      </c>
      <c r="R590" s="122">
        <v>0.93333333333333335</v>
      </c>
      <c r="S590" s="56" t="s">
        <v>1047</v>
      </c>
      <c r="T590" s="56">
        <v>1</v>
      </c>
      <c r="U590" s="56">
        <v>26</v>
      </c>
      <c r="V590" s="56">
        <v>21.81</v>
      </c>
      <c r="W590" s="56">
        <v>21.63</v>
      </c>
      <c r="X590" s="56" t="s">
        <v>2624</v>
      </c>
      <c r="Y590" s="56" t="s">
        <v>2624</v>
      </c>
      <c r="Z590" s="56" t="s">
        <v>2624</v>
      </c>
      <c r="AA590" s="56" t="s">
        <v>909</v>
      </c>
      <c r="AB590" s="56">
        <v>14123651</v>
      </c>
      <c r="AC590" s="56" t="s">
        <v>909</v>
      </c>
      <c r="AD590" s="56">
        <v>14123651</v>
      </c>
      <c r="AE590" s="56" t="s">
        <v>2626</v>
      </c>
      <c r="AF590" s="56" t="s">
        <v>2627</v>
      </c>
      <c r="AG590" s="56" t="s">
        <v>2627</v>
      </c>
      <c r="AH590" s="56">
        <v>36</v>
      </c>
      <c r="AI590" s="56" t="s">
        <v>2628</v>
      </c>
      <c r="AJ590" s="56" t="s">
        <v>2629</v>
      </c>
      <c r="AK590" s="56">
        <v>0</v>
      </c>
      <c r="AL590" s="56" t="s">
        <v>2630</v>
      </c>
      <c r="AM590" s="56" t="s">
        <v>2631</v>
      </c>
      <c r="AN590" s="56" t="s">
        <v>2632</v>
      </c>
      <c r="AO590" s="56" t="s">
        <v>2627</v>
      </c>
      <c r="AP590" s="56" t="s">
        <v>2624</v>
      </c>
      <c r="AQ590" s="123">
        <v>3.4722222222223209E-3</v>
      </c>
      <c r="AR590" s="122">
        <v>-6.9444444444444198E-4</v>
      </c>
      <c r="AS590" s="56" t="s">
        <v>1048</v>
      </c>
      <c r="AT590" s="56" t="s">
        <v>1049</v>
      </c>
      <c r="AU590" s="56" t="s">
        <v>1050</v>
      </c>
      <c r="AV590" s="56">
        <v>36</v>
      </c>
      <c r="AW590" s="56" t="s">
        <v>1051</v>
      </c>
      <c r="AX590" s="56" t="s">
        <v>2887</v>
      </c>
      <c r="AY590" s="56" t="s">
        <v>1093</v>
      </c>
      <c r="AZ590" s="56" t="s">
        <v>1067</v>
      </c>
      <c r="BA590" s="56" t="s">
        <v>2888</v>
      </c>
      <c r="BB590" s="56" t="s">
        <v>2889</v>
      </c>
      <c r="BC590" s="56" t="s">
        <v>1157</v>
      </c>
      <c r="BD590" s="56" t="s">
        <v>2890</v>
      </c>
    </row>
    <row r="591" spans="1:56" x14ac:dyDescent="0.2">
      <c r="A591" s="56">
        <v>176633763</v>
      </c>
      <c r="B591" s="56" t="s">
        <v>2891</v>
      </c>
      <c r="C591" s="56" t="s">
        <v>2623</v>
      </c>
      <c r="D591" s="56" t="s">
        <v>2688</v>
      </c>
      <c r="E591" s="56" t="s">
        <v>1044</v>
      </c>
      <c r="F591" s="56">
        <v>11</v>
      </c>
      <c r="G591" s="56"/>
      <c r="H591" s="56">
        <v>15185</v>
      </c>
      <c r="I591" s="56">
        <v>6</v>
      </c>
      <c r="J591" s="56" t="s">
        <v>1045</v>
      </c>
      <c r="K591" s="56" t="s">
        <v>1058</v>
      </c>
      <c r="L591" s="121">
        <v>46267</v>
      </c>
      <c r="M591" s="122">
        <v>0.8930555555555556</v>
      </c>
      <c r="N591" s="122">
        <v>0.9</v>
      </c>
      <c r="O591" s="56" t="s">
        <v>1047</v>
      </c>
      <c r="P591" s="121">
        <v>46267</v>
      </c>
      <c r="Q591" s="122">
        <v>0.91666666666666663</v>
      </c>
      <c r="R591" s="122">
        <v>0.9145833333333333</v>
      </c>
      <c r="S591" s="56" t="s">
        <v>1047</v>
      </c>
      <c r="T591" s="56">
        <v>1</v>
      </c>
      <c r="U591" s="56">
        <v>14</v>
      </c>
      <c r="V591" s="56">
        <v>9.49</v>
      </c>
      <c r="W591" s="56">
        <v>8.4</v>
      </c>
      <c r="X591" s="56" t="s">
        <v>2624</v>
      </c>
      <c r="Y591" s="56" t="s">
        <v>2624</v>
      </c>
      <c r="Z591" s="56" t="s">
        <v>2624</v>
      </c>
      <c r="AA591" s="56" t="s">
        <v>467</v>
      </c>
      <c r="AB591" s="56">
        <v>14122925</v>
      </c>
      <c r="AC591" s="56" t="s">
        <v>467</v>
      </c>
      <c r="AD591" s="56">
        <v>14122925</v>
      </c>
      <c r="AE591" s="56" t="s">
        <v>2626</v>
      </c>
      <c r="AF591" s="56" t="s">
        <v>2627</v>
      </c>
      <c r="AG591" s="56" t="s">
        <v>2627</v>
      </c>
      <c r="AH591" s="56">
        <v>36</v>
      </c>
      <c r="AI591" s="56" t="s">
        <v>2628</v>
      </c>
      <c r="AJ591" s="56" t="s">
        <v>2629</v>
      </c>
      <c r="AK591" s="56">
        <v>730</v>
      </c>
      <c r="AL591" s="56" t="s">
        <v>2630</v>
      </c>
      <c r="AM591" s="56" t="s">
        <v>2631</v>
      </c>
      <c r="AN591" s="56" t="s">
        <v>2632</v>
      </c>
      <c r="AO591" s="56" t="s">
        <v>2627</v>
      </c>
      <c r="AP591" s="56" t="s">
        <v>2624</v>
      </c>
      <c r="AQ591" s="123">
        <v>6.9444444444444198E-3</v>
      </c>
      <c r="AR591" s="122">
        <v>-2.0833333333333259E-3</v>
      </c>
      <c r="AS591" s="56" t="s">
        <v>1048</v>
      </c>
      <c r="AT591" s="56" t="s">
        <v>1049</v>
      </c>
      <c r="AU591" s="56" t="s">
        <v>1050</v>
      </c>
      <c r="AV591" s="56">
        <v>36</v>
      </c>
      <c r="AW591" s="56" t="s">
        <v>1051</v>
      </c>
      <c r="AX591" s="56" t="s">
        <v>2689</v>
      </c>
      <c r="AY591" s="56" t="s">
        <v>1061</v>
      </c>
      <c r="AZ591" s="56" t="s">
        <v>1062</v>
      </c>
      <c r="BA591" s="56" t="s">
        <v>2690</v>
      </c>
      <c r="BB591" s="56" t="s">
        <v>2691</v>
      </c>
      <c r="BC591" s="56" t="s">
        <v>1157</v>
      </c>
      <c r="BD591" s="56" t="s">
        <v>2892</v>
      </c>
    </row>
    <row r="592" spans="1:56" x14ac:dyDescent="0.2">
      <c r="A592" s="56">
        <v>176642295</v>
      </c>
      <c r="B592" s="56" t="s">
        <v>3623</v>
      </c>
      <c r="C592" s="56" t="s">
        <v>2623</v>
      </c>
      <c r="D592" s="56" t="s">
        <v>3624</v>
      </c>
      <c r="E592" s="56" t="s">
        <v>1044</v>
      </c>
      <c r="F592" s="56">
        <v>199</v>
      </c>
      <c r="G592" s="56" t="s">
        <v>2693</v>
      </c>
      <c r="H592" s="56">
        <v>5361</v>
      </c>
      <c r="I592" s="56">
        <v>6</v>
      </c>
      <c r="J592" s="56" t="s">
        <v>1045</v>
      </c>
      <c r="K592" s="56" t="s">
        <v>1116</v>
      </c>
      <c r="L592" s="121">
        <v>46267</v>
      </c>
      <c r="M592" s="122">
        <v>0.89583333333333337</v>
      </c>
      <c r="N592" s="122">
        <v>0.89930555555555558</v>
      </c>
      <c r="O592" s="56" t="s">
        <v>1047</v>
      </c>
      <c r="P592" s="121">
        <v>46267</v>
      </c>
      <c r="Q592" s="122">
        <v>0.92708333333333337</v>
      </c>
      <c r="R592" s="122">
        <v>0.9243055555555556</v>
      </c>
      <c r="S592" s="56" t="s">
        <v>1047</v>
      </c>
      <c r="T592" s="56">
        <v>1</v>
      </c>
      <c r="U592" s="56">
        <v>13</v>
      </c>
      <c r="V592" s="56">
        <v>8.57</v>
      </c>
      <c r="W592" s="56">
        <v>9.6300000000000008</v>
      </c>
      <c r="X592" s="56" t="s">
        <v>2624</v>
      </c>
      <c r="Y592" s="56" t="s">
        <v>2624</v>
      </c>
      <c r="Z592" s="56" t="s">
        <v>2624</v>
      </c>
      <c r="AA592" s="56" t="s">
        <v>358</v>
      </c>
      <c r="AB592" s="56">
        <v>14121766</v>
      </c>
      <c r="AC592" s="56" t="s">
        <v>358</v>
      </c>
      <c r="AD592" s="56">
        <v>14121766</v>
      </c>
      <c r="AE592" s="56" t="s">
        <v>2626</v>
      </c>
      <c r="AF592" s="56" t="s">
        <v>2627</v>
      </c>
      <c r="AG592" s="56" t="s">
        <v>2627</v>
      </c>
      <c r="AH592" s="56">
        <v>36</v>
      </c>
      <c r="AI592" s="56" t="s">
        <v>2628</v>
      </c>
      <c r="AJ592" s="56" t="s">
        <v>2629</v>
      </c>
      <c r="AK592" s="56">
        <v>0</v>
      </c>
      <c r="AL592" s="56" t="s">
        <v>2630</v>
      </c>
      <c r="AM592" s="56" t="s">
        <v>2631</v>
      </c>
      <c r="AN592" s="56" t="s">
        <v>2632</v>
      </c>
      <c r="AO592" s="56" t="s">
        <v>2627</v>
      </c>
      <c r="AP592" s="56" t="s">
        <v>2624</v>
      </c>
      <c r="AQ592" s="123">
        <v>3.4722222222222099E-3</v>
      </c>
      <c r="AR592" s="122">
        <v>-2.7777777777777679E-3</v>
      </c>
      <c r="AS592" s="56" t="s">
        <v>1048</v>
      </c>
      <c r="AT592" s="56" t="s">
        <v>1049</v>
      </c>
      <c r="AU592" s="56" t="s">
        <v>1050</v>
      </c>
      <c r="AV592" s="56">
        <v>36</v>
      </c>
      <c r="AW592" s="56" t="s">
        <v>1051</v>
      </c>
      <c r="AX592" s="56" t="s">
        <v>3625</v>
      </c>
      <c r="AY592" s="56" t="s">
        <v>1246</v>
      </c>
      <c r="AZ592" s="56" t="s">
        <v>1054</v>
      </c>
      <c r="BA592" s="56" t="s">
        <v>3626</v>
      </c>
      <c r="BB592" s="56" t="s">
        <v>3627</v>
      </c>
      <c r="BC592" s="56" t="s">
        <v>1157</v>
      </c>
      <c r="BD592" s="56" t="s">
        <v>3628</v>
      </c>
    </row>
    <row r="593" spans="1:56" x14ac:dyDescent="0.2">
      <c r="A593" s="56">
        <v>176641225</v>
      </c>
      <c r="B593" s="56" t="s">
        <v>3629</v>
      </c>
      <c r="C593" s="56" t="s">
        <v>2623</v>
      </c>
      <c r="D593" s="56" t="s">
        <v>3630</v>
      </c>
      <c r="E593" s="56" t="s">
        <v>1044</v>
      </c>
      <c r="F593" s="56">
        <v>131</v>
      </c>
      <c r="G593" s="56" t="s">
        <v>2670</v>
      </c>
      <c r="H593" s="56">
        <v>10888</v>
      </c>
      <c r="I593" s="56">
        <v>6</v>
      </c>
      <c r="J593" s="56" t="s">
        <v>1045</v>
      </c>
      <c r="K593" s="56" t="s">
        <v>1116</v>
      </c>
      <c r="L593" s="121">
        <v>46267</v>
      </c>
      <c r="M593" s="122">
        <v>0.89722222222222225</v>
      </c>
      <c r="N593" s="122">
        <v>0.90902777777777777</v>
      </c>
      <c r="O593" s="56" t="s">
        <v>1047</v>
      </c>
      <c r="P593" s="121">
        <v>46267</v>
      </c>
      <c r="Q593" s="122">
        <v>0.92708333333333337</v>
      </c>
      <c r="R593" s="122">
        <v>0.93333333333333335</v>
      </c>
      <c r="S593" s="56" t="s">
        <v>1047</v>
      </c>
      <c r="T593" s="56">
        <v>1</v>
      </c>
      <c r="U593" s="56">
        <v>15</v>
      </c>
      <c r="V593" s="56">
        <v>12.12</v>
      </c>
      <c r="W593" s="56">
        <v>13</v>
      </c>
      <c r="X593" s="56" t="s">
        <v>2624</v>
      </c>
      <c r="Y593" s="56" t="s">
        <v>2624</v>
      </c>
      <c r="Z593" s="56" t="s">
        <v>2624</v>
      </c>
      <c r="AA593" s="56" t="s">
        <v>295</v>
      </c>
      <c r="AB593" s="56">
        <v>14116643</v>
      </c>
      <c r="AC593" s="56" t="s">
        <v>295</v>
      </c>
      <c r="AD593" s="56">
        <v>14116643</v>
      </c>
      <c r="AE593" s="56" t="s">
        <v>2626</v>
      </c>
      <c r="AF593" s="56" t="s">
        <v>2627</v>
      </c>
      <c r="AG593" s="56" t="s">
        <v>2627</v>
      </c>
      <c r="AH593" s="56">
        <v>36</v>
      </c>
      <c r="AI593" s="56" t="s">
        <v>2628</v>
      </c>
      <c r="AJ593" s="56" t="s">
        <v>2640</v>
      </c>
      <c r="AK593" s="56">
        <v>0</v>
      </c>
      <c r="AL593" s="56" t="s">
        <v>2630</v>
      </c>
      <c r="AM593" s="56" t="s">
        <v>2631</v>
      </c>
      <c r="AN593" s="56" t="s">
        <v>2632</v>
      </c>
      <c r="AO593" s="56" t="s">
        <v>2627</v>
      </c>
      <c r="AP593" s="56" t="s">
        <v>2624</v>
      </c>
      <c r="AQ593" s="123">
        <v>1.1805555555555514E-2</v>
      </c>
      <c r="AR593" s="122">
        <v>6.2499999999999778E-3</v>
      </c>
      <c r="AS593" s="56" t="s">
        <v>1048</v>
      </c>
      <c r="AT593" s="56" t="s">
        <v>1059</v>
      </c>
      <c r="AU593" s="56" t="s">
        <v>1060</v>
      </c>
      <c r="AV593" s="56">
        <v>36</v>
      </c>
      <c r="AW593" s="56" t="s">
        <v>1051</v>
      </c>
      <c r="AX593" s="56" t="s">
        <v>3631</v>
      </c>
      <c r="AY593" s="56" t="s">
        <v>1118</v>
      </c>
      <c r="AZ593" s="56" t="s">
        <v>1054</v>
      </c>
      <c r="BA593" s="56" t="s">
        <v>3632</v>
      </c>
      <c r="BB593" s="56" t="s">
        <v>3633</v>
      </c>
      <c r="BC593" s="56" t="s">
        <v>1157</v>
      </c>
      <c r="BD593" s="56" t="s">
        <v>3634</v>
      </c>
    </row>
    <row r="594" spans="1:56" x14ac:dyDescent="0.2">
      <c r="A594" s="56">
        <v>176641063</v>
      </c>
      <c r="B594" s="56" t="s">
        <v>2900</v>
      </c>
      <c r="C594" s="56" t="s">
        <v>2623</v>
      </c>
      <c r="D594" s="56" t="s">
        <v>2281</v>
      </c>
      <c r="E594" s="56" t="s">
        <v>1044</v>
      </c>
      <c r="F594" s="56">
        <v>112</v>
      </c>
      <c r="G594" s="56" t="s">
        <v>2693</v>
      </c>
      <c r="H594" s="56">
        <v>13374</v>
      </c>
      <c r="I594" s="56">
        <v>6</v>
      </c>
      <c r="J594" s="56" t="s">
        <v>1045</v>
      </c>
      <c r="K594" s="56" t="s">
        <v>1116</v>
      </c>
      <c r="L594" s="121">
        <v>46267</v>
      </c>
      <c r="M594" s="122">
        <v>0.90277777777777779</v>
      </c>
      <c r="N594" s="122">
        <v>0.90902777777777777</v>
      </c>
      <c r="O594" s="56" t="s">
        <v>1047</v>
      </c>
      <c r="P594" s="121">
        <v>46267</v>
      </c>
      <c r="Q594" s="122">
        <v>0.92708333333333337</v>
      </c>
      <c r="R594" s="122">
        <v>0.92777777777777781</v>
      </c>
      <c r="S594" s="56" t="s">
        <v>1047</v>
      </c>
      <c r="T594" s="56">
        <v>1</v>
      </c>
      <c r="U594" s="56">
        <v>17</v>
      </c>
      <c r="V594" s="56">
        <v>11.67</v>
      </c>
      <c r="W594" s="56">
        <v>11.09</v>
      </c>
      <c r="X594" s="56" t="s">
        <v>2624</v>
      </c>
      <c r="Y594" s="56" t="s">
        <v>2624</v>
      </c>
      <c r="Z594" s="56" t="s">
        <v>2624</v>
      </c>
      <c r="AA594" s="56" t="s">
        <v>946</v>
      </c>
      <c r="AB594" s="56">
        <v>14123704</v>
      </c>
      <c r="AC594" s="56" t="s">
        <v>946</v>
      </c>
      <c r="AD594" s="56">
        <v>14123704</v>
      </c>
      <c r="AE594" s="56" t="s">
        <v>2626</v>
      </c>
      <c r="AF594" s="56" t="s">
        <v>2627</v>
      </c>
      <c r="AG594" s="56" t="s">
        <v>2627</v>
      </c>
      <c r="AH594" s="56">
        <v>36</v>
      </c>
      <c r="AI594" s="56" t="s">
        <v>2628</v>
      </c>
      <c r="AJ594" s="56" t="s">
        <v>2640</v>
      </c>
      <c r="AK594" s="56">
        <v>0</v>
      </c>
      <c r="AL594" s="56" t="s">
        <v>2630</v>
      </c>
      <c r="AM594" s="56" t="s">
        <v>2631</v>
      </c>
      <c r="AN594" s="56" t="s">
        <v>2632</v>
      </c>
      <c r="AO594" s="56" t="s">
        <v>2627</v>
      </c>
      <c r="AP594" s="56" t="s">
        <v>2624</v>
      </c>
      <c r="AQ594" s="123">
        <v>6.2499999999999778E-3</v>
      </c>
      <c r="AR594" s="122">
        <v>6.9444444444444198E-4</v>
      </c>
      <c r="AS594" s="56" t="s">
        <v>1048</v>
      </c>
      <c r="AT594" s="56" t="s">
        <v>1049</v>
      </c>
      <c r="AU594" s="56" t="s">
        <v>1050</v>
      </c>
      <c r="AV594" s="56">
        <v>36</v>
      </c>
      <c r="AW594" s="56" t="s">
        <v>1051</v>
      </c>
      <c r="AX594" s="56" t="s">
        <v>2825</v>
      </c>
      <c r="AY594" s="56" t="s">
        <v>1128</v>
      </c>
      <c r="AZ594" s="56" t="s">
        <v>1054</v>
      </c>
      <c r="BA594" s="56" t="s">
        <v>2826</v>
      </c>
      <c r="BB594" s="56" t="s">
        <v>2827</v>
      </c>
      <c r="BC594" s="56" t="s">
        <v>1157</v>
      </c>
      <c r="BD594" s="56" t="s">
        <v>2901</v>
      </c>
    </row>
    <row r="595" spans="1:56" x14ac:dyDescent="0.2">
      <c r="A595" s="56">
        <v>176703666</v>
      </c>
      <c r="B595" s="56"/>
      <c r="C595" s="56" t="s">
        <v>2623</v>
      </c>
      <c r="D595" s="56" t="s">
        <v>3413</v>
      </c>
      <c r="E595" s="56" t="s">
        <v>1044</v>
      </c>
      <c r="F595" s="56">
        <v>8</v>
      </c>
      <c r="G595" s="56"/>
      <c r="H595" s="56">
        <v>5747</v>
      </c>
      <c r="I595" s="56">
        <v>8</v>
      </c>
      <c r="J595" s="56" t="s">
        <v>1045</v>
      </c>
      <c r="K595" s="56" t="s">
        <v>2048</v>
      </c>
      <c r="L595" s="121">
        <v>46267</v>
      </c>
      <c r="M595" s="122">
        <v>0.90625</v>
      </c>
      <c r="N595" s="122">
        <v>0.9604166666666667</v>
      </c>
      <c r="O595" s="56" t="s">
        <v>1047</v>
      </c>
      <c r="P595" s="121">
        <v>46267</v>
      </c>
      <c r="Q595" s="122">
        <v>0.94791666666666663</v>
      </c>
      <c r="R595" s="56"/>
      <c r="S595" s="56" t="s">
        <v>1148</v>
      </c>
      <c r="T595" s="56">
        <v>0</v>
      </c>
      <c r="U595" s="56">
        <v>34</v>
      </c>
      <c r="V595" s="56">
        <v>31.67</v>
      </c>
      <c r="W595" s="56" t="s">
        <v>2624</v>
      </c>
      <c r="X595" s="56">
        <v>12.38</v>
      </c>
      <c r="Y595" s="56" t="s">
        <v>2624</v>
      </c>
      <c r="Z595" s="56">
        <v>32.35</v>
      </c>
      <c r="AA595" s="56" t="s">
        <v>2027</v>
      </c>
      <c r="AB595" s="56">
        <v>14124190</v>
      </c>
      <c r="AC595" s="56" t="s">
        <v>2027</v>
      </c>
      <c r="AD595" s="56">
        <v>14124190</v>
      </c>
      <c r="AE595" s="56" t="s">
        <v>3414</v>
      </c>
      <c r="AF595" s="124">
        <v>46267.851122685184</v>
      </c>
      <c r="AG595" s="56" t="s">
        <v>3096</v>
      </c>
      <c r="AH595" s="56">
        <v>36</v>
      </c>
      <c r="AI595" s="56" t="s">
        <v>2706</v>
      </c>
      <c r="AJ595" s="56" t="s">
        <v>2640</v>
      </c>
      <c r="AK595" s="56">
        <v>0</v>
      </c>
      <c r="AL595" s="56" t="s">
        <v>2630</v>
      </c>
      <c r="AM595" s="56" t="s">
        <v>2632</v>
      </c>
      <c r="AN595" s="56" t="s">
        <v>2632</v>
      </c>
      <c r="AO595" s="124">
        <v>46267.851122685184</v>
      </c>
      <c r="AP595" s="56" t="s">
        <v>2624</v>
      </c>
      <c r="AQ595" s="123">
        <v>5.4166666666666696E-2</v>
      </c>
      <c r="AR595" s="122">
        <v>-0.94791666666666663</v>
      </c>
      <c r="AS595" s="56" t="s">
        <v>1048</v>
      </c>
      <c r="AT595" s="56" t="s">
        <v>1049</v>
      </c>
      <c r="AU595" s="56" t="s">
        <v>1050</v>
      </c>
      <c r="AV595" s="56">
        <v>36</v>
      </c>
      <c r="AW595" s="56" t="s">
        <v>1051</v>
      </c>
      <c r="AX595" s="56" t="s">
        <v>3415</v>
      </c>
      <c r="AY595" s="56" t="s">
        <v>1124</v>
      </c>
      <c r="AZ595" s="56" t="s">
        <v>1054</v>
      </c>
      <c r="BA595" s="56" t="s">
        <v>3416</v>
      </c>
      <c r="BB595" s="56" t="e">
        <v>#N/A</v>
      </c>
      <c r="BC595" s="56" t="s">
        <v>1609</v>
      </c>
      <c r="BD595" s="56" t="s">
        <v>3417</v>
      </c>
    </row>
    <row r="596" spans="1:56" x14ac:dyDescent="0.2">
      <c r="A596" s="56">
        <v>176584817</v>
      </c>
      <c r="B596" s="56" t="s">
        <v>1165</v>
      </c>
      <c r="C596" s="56" t="s">
        <v>2623</v>
      </c>
      <c r="D596" s="56" t="s">
        <v>1166</v>
      </c>
      <c r="E596" s="56" t="s">
        <v>1044</v>
      </c>
      <c r="F596" s="56">
        <v>1</v>
      </c>
      <c r="G596" s="56"/>
      <c r="H596" s="56">
        <v>16725</v>
      </c>
      <c r="I596" s="56">
        <v>6</v>
      </c>
      <c r="J596" s="56" t="s">
        <v>1045</v>
      </c>
      <c r="K596" s="56" t="s">
        <v>1167</v>
      </c>
      <c r="L596" s="121">
        <v>46266</v>
      </c>
      <c r="M596" s="122">
        <v>0.19444444444444445</v>
      </c>
      <c r="N596" s="122">
        <v>0.21111111111111111</v>
      </c>
      <c r="O596" s="56" t="s">
        <v>1047</v>
      </c>
      <c r="P596" s="121">
        <v>46266</v>
      </c>
      <c r="Q596" s="122">
        <v>0.24305555555555555</v>
      </c>
      <c r="R596" s="122">
        <v>0.24020833333333333</v>
      </c>
      <c r="S596" s="56" t="s">
        <v>1047</v>
      </c>
      <c r="T596" s="56">
        <v>1</v>
      </c>
      <c r="U596" s="56">
        <v>26</v>
      </c>
      <c r="V596" s="56">
        <v>19.77</v>
      </c>
      <c r="W596" s="56">
        <v>20.66</v>
      </c>
      <c r="X596" s="56" t="s">
        <v>2624</v>
      </c>
      <c r="Y596" s="56" t="s">
        <v>2624</v>
      </c>
      <c r="Z596" s="56" t="s">
        <v>2624</v>
      </c>
      <c r="AA596" s="56" t="s">
        <v>95</v>
      </c>
      <c r="AB596" s="56">
        <v>14109748</v>
      </c>
      <c r="AC596" s="56" t="s">
        <v>95</v>
      </c>
      <c r="AD596" s="56">
        <v>14109748</v>
      </c>
      <c r="AE596" s="56" t="s">
        <v>2626</v>
      </c>
      <c r="AF596" s="56" t="s">
        <v>2627</v>
      </c>
      <c r="AG596" s="56" t="s">
        <v>2627</v>
      </c>
      <c r="AH596" s="56">
        <v>36</v>
      </c>
      <c r="AI596" s="56" t="s">
        <v>2628</v>
      </c>
      <c r="AJ596" s="56" t="s">
        <v>2629</v>
      </c>
      <c r="AK596" s="56" t="s">
        <v>2624</v>
      </c>
      <c r="AL596" s="56" t="s">
        <v>2630</v>
      </c>
      <c r="AM596" s="56" t="s">
        <v>3258</v>
      </c>
      <c r="AN596" s="56" t="s">
        <v>2632</v>
      </c>
      <c r="AO596" s="56" t="s">
        <v>2627</v>
      </c>
      <c r="AP596" s="56" t="s">
        <v>2624</v>
      </c>
      <c r="AQ596" s="123">
        <v>1.6666666666666663E-2</v>
      </c>
      <c r="AR596" s="122">
        <v>-2.8472222222222232E-3</v>
      </c>
      <c r="AS596" s="56" t="s">
        <v>1048</v>
      </c>
      <c r="AT596" s="56" t="s">
        <v>1049</v>
      </c>
      <c r="AU596" s="56" t="s">
        <v>1050</v>
      </c>
      <c r="AV596" s="56">
        <v>36</v>
      </c>
      <c r="AW596" s="56" t="s">
        <v>1051</v>
      </c>
      <c r="AX596" s="56" t="s">
        <v>1168</v>
      </c>
      <c r="AY596" s="56" t="s">
        <v>1140</v>
      </c>
      <c r="AZ596" s="56" t="s">
        <v>1062</v>
      </c>
      <c r="BA596" s="56" t="s">
        <v>1169</v>
      </c>
      <c r="BB596" s="56" t="s">
        <v>1170</v>
      </c>
      <c r="BC596" s="56" t="s">
        <v>1057</v>
      </c>
      <c r="BD596" s="56" t="s">
        <v>1171</v>
      </c>
    </row>
    <row r="597" spans="1:56" x14ac:dyDescent="0.2">
      <c r="A597" s="56">
        <v>176588649</v>
      </c>
      <c r="B597" s="56" t="s">
        <v>2622</v>
      </c>
      <c r="C597" s="56" t="s">
        <v>2623</v>
      </c>
      <c r="D597" s="56" t="s">
        <v>1070</v>
      </c>
      <c r="E597" s="56" t="s">
        <v>1044</v>
      </c>
      <c r="F597" s="56">
        <v>17</v>
      </c>
      <c r="G597" s="56"/>
      <c r="H597" s="56">
        <v>15192</v>
      </c>
      <c r="I597" s="56">
        <v>6</v>
      </c>
      <c r="J597" s="56" t="s">
        <v>1045</v>
      </c>
      <c r="K597" s="56" t="s">
        <v>1058</v>
      </c>
      <c r="L597" s="121">
        <v>46266</v>
      </c>
      <c r="M597" s="122">
        <v>0.19444444444444445</v>
      </c>
      <c r="N597" s="122">
        <v>0.19791666666666666</v>
      </c>
      <c r="O597" s="56" t="s">
        <v>1047</v>
      </c>
      <c r="P597" s="121">
        <v>46266</v>
      </c>
      <c r="Q597" s="122">
        <v>0.25</v>
      </c>
      <c r="R597" s="122">
        <v>0.2429050925925926</v>
      </c>
      <c r="S597" s="56" t="s">
        <v>1047</v>
      </c>
      <c r="T597" s="56">
        <v>1</v>
      </c>
      <c r="U597" s="56">
        <v>37</v>
      </c>
      <c r="V597" s="56">
        <v>33.01</v>
      </c>
      <c r="W597" s="56">
        <v>34.5</v>
      </c>
      <c r="X597" s="56" t="s">
        <v>2624</v>
      </c>
      <c r="Y597" s="56" t="s">
        <v>2624</v>
      </c>
      <c r="Z597" s="56" t="s">
        <v>2624</v>
      </c>
      <c r="AA597" s="56" t="s">
        <v>2625</v>
      </c>
      <c r="AB597" s="56">
        <v>14122103</v>
      </c>
      <c r="AC597" s="56" t="s">
        <v>2625</v>
      </c>
      <c r="AD597" s="56">
        <v>14122103</v>
      </c>
      <c r="AE597" s="56" t="s">
        <v>2626</v>
      </c>
      <c r="AF597" s="56" t="s">
        <v>2627</v>
      </c>
      <c r="AG597" s="56" t="s">
        <v>2627</v>
      </c>
      <c r="AH597" s="56">
        <v>36</v>
      </c>
      <c r="AI597" s="56" t="s">
        <v>2628</v>
      </c>
      <c r="AJ597" s="56" t="s">
        <v>2629</v>
      </c>
      <c r="AK597" s="56">
        <v>815</v>
      </c>
      <c r="AL597" s="56" t="s">
        <v>2630</v>
      </c>
      <c r="AM597" s="56" t="s">
        <v>2631</v>
      </c>
      <c r="AN597" s="56" t="s">
        <v>2632</v>
      </c>
      <c r="AO597" s="56" t="s">
        <v>2627</v>
      </c>
      <c r="AP597" s="56" t="s">
        <v>2624</v>
      </c>
      <c r="AQ597" s="123">
        <v>3.4722222222222099E-3</v>
      </c>
      <c r="AR597" s="122">
        <v>-7.094907407407397E-3</v>
      </c>
      <c r="AS597" s="56" t="s">
        <v>1048</v>
      </c>
      <c r="AT597" s="56" t="s">
        <v>1049</v>
      </c>
      <c r="AU597" s="56" t="s">
        <v>1050</v>
      </c>
      <c r="AV597" s="56">
        <v>36</v>
      </c>
      <c r="AW597" s="56" t="s">
        <v>1051</v>
      </c>
      <c r="AX597" s="56" t="s">
        <v>1071</v>
      </c>
      <c r="AY597" s="56" t="s">
        <v>1061</v>
      </c>
      <c r="AZ597" s="56" t="s">
        <v>1062</v>
      </c>
      <c r="BA597" s="56" t="s">
        <v>1072</v>
      </c>
      <c r="BB597" s="56" t="s">
        <v>1073</v>
      </c>
      <c r="BC597" s="56" t="s">
        <v>1057</v>
      </c>
      <c r="BD597" s="56" t="s">
        <v>2633</v>
      </c>
    </row>
    <row r="598" spans="1:56" x14ac:dyDescent="0.2">
      <c r="A598" s="56">
        <v>176577038</v>
      </c>
      <c r="B598" s="56" t="s">
        <v>3546</v>
      </c>
      <c r="C598" s="56" t="s">
        <v>2623</v>
      </c>
      <c r="D598" s="56" t="s">
        <v>3547</v>
      </c>
      <c r="E598" s="56" t="s">
        <v>1044</v>
      </c>
      <c r="F598" s="56">
        <v>77</v>
      </c>
      <c r="G598" s="56"/>
      <c r="H598" s="56">
        <v>5461</v>
      </c>
      <c r="I598" s="56">
        <v>6</v>
      </c>
      <c r="J598" s="56" t="s">
        <v>1045</v>
      </c>
      <c r="K598" s="56" t="s">
        <v>1064</v>
      </c>
      <c r="L598" s="121">
        <v>46266</v>
      </c>
      <c r="M598" s="122">
        <v>0.2013888888888889</v>
      </c>
      <c r="N598" s="122">
        <v>0.37013888888888891</v>
      </c>
      <c r="O598" s="56" t="s">
        <v>1047</v>
      </c>
      <c r="P598" s="121">
        <v>46266</v>
      </c>
      <c r="Q598" s="122">
        <v>0.2673611111111111</v>
      </c>
      <c r="R598" s="56"/>
      <c r="S598" s="56" t="s">
        <v>1148</v>
      </c>
      <c r="T598" s="56">
        <v>1</v>
      </c>
      <c r="U598" s="56">
        <v>43</v>
      </c>
      <c r="V598" s="56">
        <v>10.74</v>
      </c>
      <c r="W598" s="56" t="s">
        <v>2624</v>
      </c>
      <c r="X598" s="56">
        <v>57.22</v>
      </c>
      <c r="Y598" s="56" t="s">
        <v>2624</v>
      </c>
      <c r="Z598" s="56">
        <v>3.43</v>
      </c>
      <c r="AA598" s="56" t="s">
        <v>462</v>
      </c>
      <c r="AB598" s="56">
        <v>14110799</v>
      </c>
      <c r="AC598" s="56" t="s">
        <v>462</v>
      </c>
      <c r="AD598" s="56">
        <v>14110799</v>
      </c>
      <c r="AE598" s="56" t="s">
        <v>2626</v>
      </c>
      <c r="AF598" s="56" t="s">
        <v>2627</v>
      </c>
      <c r="AG598" s="56" t="s">
        <v>2627</v>
      </c>
      <c r="AH598" s="56">
        <v>36</v>
      </c>
      <c r="AI598" s="56" t="s">
        <v>2706</v>
      </c>
      <c r="AJ598" s="56" t="s">
        <v>2640</v>
      </c>
      <c r="AK598" s="56">
        <v>530.63</v>
      </c>
      <c r="AL598" s="56" t="s">
        <v>2630</v>
      </c>
      <c r="AM598" s="56" t="s">
        <v>2631</v>
      </c>
      <c r="AN598" s="56" t="s">
        <v>2632</v>
      </c>
      <c r="AO598" s="56" t="s">
        <v>2627</v>
      </c>
      <c r="AP598" s="56" t="s">
        <v>2624</v>
      </c>
      <c r="AQ598" s="123">
        <v>0.16875000000000001</v>
      </c>
      <c r="AR598" s="122">
        <v>-0.2673611111111111</v>
      </c>
      <c r="AS598" s="56" t="s">
        <v>1048</v>
      </c>
      <c r="AT598" s="56" t="s">
        <v>1049</v>
      </c>
      <c r="AU598" s="56" t="s">
        <v>1050</v>
      </c>
      <c r="AV598" s="56">
        <v>36</v>
      </c>
      <c r="AW598" s="56" t="s">
        <v>1051</v>
      </c>
      <c r="AX598" s="56" t="s">
        <v>3548</v>
      </c>
      <c r="AY598" s="56" t="s">
        <v>1066</v>
      </c>
      <c r="AZ598" s="56" t="s">
        <v>1067</v>
      </c>
      <c r="BA598" s="56" t="s">
        <v>3549</v>
      </c>
      <c r="BB598" s="56" t="s">
        <v>3550</v>
      </c>
      <c r="BC598" s="56" t="s">
        <v>1057</v>
      </c>
      <c r="BD598" s="56" t="s">
        <v>3551</v>
      </c>
    </row>
    <row r="599" spans="1:56" x14ac:dyDescent="0.2">
      <c r="A599" s="56">
        <v>176597918</v>
      </c>
      <c r="B599" s="56" t="s">
        <v>2151</v>
      </c>
      <c r="C599" s="56" t="s">
        <v>2623</v>
      </c>
      <c r="D599" s="56" t="s">
        <v>2152</v>
      </c>
      <c r="E599" s="56" t="s">
        <v>1044</v>
      </c>
      <c r="F599" s="56">
        <v>503</v>
      </c>
      <c r="G599" s="56"/>
      <c r="H599" s="56">
        <v>16743</v>
      </c>
      <c r="I599" s="56">
        <v>6</v>
      </c>
      <c r="J599" s="56" t="s">
        <v>1045</v>
      </c>
      <c r="K599" s="56" t="s">
        <v>1064</v>
      </c>
      <c r="L599" s="121">
        <v>46266</v>
      </c>
      <c r="M599" s="122">
        <v>0.2013888888888889</v>
      </c>
      <c r="N599" s="122">
        <v>0.20694444444444443</v>
      </c>
      <c r="O599" s="56" t="s">
        <v>1047</v>
      </c>
      <c r="P599" s="121">
        <v>46266</v>
      </c>
      <c r="Q599" s="122">
        <v>0.2673611111111111</v>
      </c>
      <c r="R599" s="122">
        <v>0.24890046296296298</v>
      </c>
      <c r="S599" s="56" t="s">
        <v>1047</v>
      </c>
      <c r="T599" s="56">
        <v>1</v>
      </c>
      <c r="U599" s="56">
        <v>42</v>
      </c>
      <c r="V599" s="56">
        <v>35.770000000000003</v>
      </c>
      <c r="W599" s="56">
        <v>36.450000000000003</v>
      </c>
      <c r="X599" s="56" t="s">
        <v>2624</v>
      </c>
      <c r="Y599" s="56" t="s">
        <v>2624</v>
      </c>
      <c r="Z599" s="56" t="s">
        <v>2624</v>
      </c>
      <c r="AA599" s="56" t="s">
        <v>51</v>
      </c>
      <c r="AB599" s="56">
        <v>14106368</v>
      </c>
      <c r="AC599" s="56" t="s">
        <v>51</v>
      </c>
      <c r="AD599" s="56">
        <v>14106368</v>
      </c>
      <c r="AE599" s="56" t="s">
        <v>2626</v>
      </c>
      <c r="AF599" s="56" t="s">
        <v>2627</v>
      </c>
      <c r="AG599" s="56" t="s">
        <v>2627</v>
      </c>
      <c r="AH599" s="56">
        <v>36</v>
      </c>
      <c r="AI599" s="56" t="s">
        <v>2628</v>
      </c>
      <c r="AJ599" s="56" t="s">
        <v>2629</v>
      </c>
      <c r="AK599" s="56">
        <v>0</v>
      </c>
      <c r="AL599" s="56" t="s">
        <v>2630</v>
      </c>
      <c r="AM599" s="56" t="s">
        <v>2631</v>
      </c>
      <c r="AN599" s="56" t="s">
        <v>2632</v>
      </c>
      <c r="AO599" s="56" t="s">
        <v>2627</v>
      </c>
      <c r="AP599" s="56">
        <v>18</v>
      </c>
      <c r="AQ599" s="123">
        <v>5.5555555555555358E-3</v>
      </c>
      <c r="AR599" s="122">
        <v>-1.8460648148148129E-2</v>
      </c>
      <c r="AS599" s="56" t="s">
        <v>1048</v>
      </c>
      <c r="AT599" s="56" t="s">
        <v>1049</v>
      </c>
      <c r="AU599" s="56" t="s">
        <v>1050</v>
      </c>
      <c r="AV599" s="56">
        <v>36</v>
      </c>
      <c r="AW599" s="56" t="s">
        <v>1051</v>
      </c>
      <c r="AX599" s="56" t="s">
        <v>2153</v>
      </c>
      <c r="AY599" s="56" t="s">
        <v>1066</v>
      </c>
      <c r="AZ599" s="56" t="s">
        <v>1067</v>
      </c>
      <c r="BA599" s="56" t="s">
        <v>2154</v>
      </c>
      <c r="BB599" s="56" t="s">
        <v>2155</v>
      </c>
      <c r="BC599" s="56" t="s">
        <v>1057</v>
      </c>
      <c r="BD599" s="56" t="s">
        <v>2156</v>
      </c>
    </row>
    <row r="600" spans="1:56" x14ac:dyDescent="0.2">
      <c r="A600" s="56">
        <v>176576989</v>
      </c>
      <c r="B600" s="56" t="s">
        <v>1752</v>
      </c>
      <c r="C600" s="56" t="s">
        <v>2623</v>
      </c>
      <c r="D600" s="56" t="s">
        <v>1547</v>
      </c>
      <c r="E600" s="56" t="s">
        <v>1044</v>
      </c>
      <c r="F600" s="56">
        <v>61</v>
      </c>
      <c r="G600" s="56"/>
      <c r="H600" s="56">
        <v>16744</v>
      </c>
      <c r="I600" s="56">
        <v>6</v>
      </c>
      <c r="J600" s="56" t="s">
        <v>1045</v>
      </c>
      <c r="K600" s="56" t="s">
        <v>1064</v>
      </c>
      <c r="L600" s="121">
        <v>46266</v>
      </c>
      <c r="M600" s="122">
        <v>0.20833333333333334</v>
      </c>
      <c r="N600" s="122">
        <v>0.21249999999999999</v>
      </c>
      <c r="O600" s="56" t="s">
        <v>1047</v>
      </c>
      <c r="P600" s="121">
        <v>46266</v>
      </c>
      <c r="Q600" s="122">
        <v>0.2673611111111111</v>
      </c>
      <c r="R600" s="122">
        <v>0.25178240740740743</v>
      </c>
      <c r="S600" s="56" t="s">
        <v>1047</v>
      </c>
      <c r="T600" s="56">
        <v>1</v>
      </c>
      <c r="U600" s="56">
        <v>46</v>
      </c>
      <c r="V600" s="56">
        <v>42.88</v>
      </c>
      <c r="W600" s="56">
        <v>40.340000000000003</v>
      </c>
      <c r="X600" s="56" t="s">
        <v>2624</v>
      </c>
      <c r="Y600" s="56" t="s">
        <v>2624</v>
      </c>
      <c r="Z600" s="56" t="s">
        <v>2624</v>
      </c>
      <c r="AA600" s="56" t="s">
        <v>270</v>
      </c>
      <c r="AB600" s="56">
        <v>14119956</v>
      </c>
      <c r="AC600" s="56" t="s">
        <v>270</v>
      </c>
      <c r="AD600" s="56">
        <v>14119956</v>
      </c>
      <c r="AE600" s="56" t="s">
        <v>2626</v>
      </c>
      <c r="AF600" s="56" t="s">
        <v>2627</v>
      </c>
      <c r="AG600" s="56" t="s">
        <v>2627</v>
      </c>
      <c r="AH600" s="56">
        <v>36</v>
      </c>
      <c r="AI600" s="56" t="s">
        <v>2628</v>
      </c>
      <c r="AJ600" s="56" t="s">
        <v>2629</v>
      </c>
      <c r="AK600" s="56">
        <v>530.63</v>
      </c>
      <c r="AL600" s="56" t="s">
        <v>2630</v>
      </c>
      <c r="AM600" s="56" t="s">
        <v>2631</v>
      </c>
      <c r="AN600" s="56" t="s">
        <v>2632</v>
      </c>
      <c r="AO600" s="56" t="s">
        <v>2627</v>
      </c>
      <c r="AP600" s="56" t="s">
        <v>2624</v>
      </c>
      <c r="AQ600" s="123">
        <v>4.1666666666666519E-3</v>
      </c>
      <c r="AR600" s="122">
        <v>-1.5578703703703678E-2</v>
      </c>
      <c r="AS600" s="56" t="s">
        <v>1048</v>
      </c>
      <c r="AT600" s="56" t="s">
        <v>1049</v>
      </c>
      <c r="AU600" s="56" t="s">
        <v>1050</v>
      </c>
      <c r="AV600" s="56">
        <v>36</v>
      </c>
      <c r="AW600" s="56" t="s">
        <v>1051</v>
      </c>
      <c r="AX600" s="56" t="s">
        <v>1548</v>
      </c>
      <c r="AY600" s="56" t="s">
        <v>1066</v>
      </c>
      <c r="AZ600" s="56" t="s">
        <v>1067</v>
      </c>
      <c r="BA600" s="56" t="s">
        <v>1549</v>
      </c>
      <c r="BB600" s="56" t="s">
        <v>1550</v>
      </c>
      <c r="BC600" s="56" t="s">
        <v>1057</v>
      </c>
      <c r="BD600" s="56" t="s">
        <v>1753</v>
      </c>
    </row>
    <row r="601" spans="1:56" x14ac:dyDescent="0.2">
      <c r="A601" s="56">
        <v>176585238</v>
      </c>
      <c r="B601" s="56" t="s">
        <v>1089</v>
      </c>
      <c r="C601" s="56" t="s">
        <v>2623</v>
      </c>
      <c r="D601" s="56" t="s">
        <v>1090</v>
      </c>
      <c r="E601" s="56" t="s">
        <v>1044</v>
      </c>
      <c r="F601" s="56">
        <v>28</v>
      </c>
      <c r="G601" s="56"/>
      <c r="H601" s="56">
        <v>16733</v>
      </c>
      <c r="I601" s="56">
        <v>6</v>
      </c>
      <c r="J601" s="56" t="s">
        <v>1045</v>
      </c>
      <c r="K601" s="56" t="s">
        <v>1091</v>
      </c>
      <c r="L601" s="121">
        <v>46266</v>
      </c>
      <c r="M601" s="122">
        <v>0.20833333333333334</v>
      </c>
      <c r="N601" s="122">
        <v>0.21180555555555555</v>
      </c>
      <c r="O601" s="56" t="s">
        <v>1047</v>
      </c>
      <c r="P601" s="121">
        <v>46266</v>
      </c>
      <c r="Q601" s="122">
        <v>0.2673611111111111</v>
      </c>
      <c r="R601" s="122">
        <v>0.2527314814814815</v>
      </c>
      <c r="S601" s="56" t="s">
        <v>1047</v>
      </c>
      <c r="T601" s="56">
        <v>1</v>
      </c>
      <c r="U601" s="56">
        <v>28</v>
      </c>
      <c r="V601" s="56">
        <v>23.52</v>
      </c>
      <c r="W601" s="56">
        <v>23.67</v>
      </c>
      <c r="X601" s="56" t="s">
        <v>2624</v>
      </c>
      <c r="Y601" s="56" t="s">
        <v>2624</v>
      </c>
      <c r="Z601" s="56" t="s">
        <v>2624</v>
      </c>
      <c r="AA601" s="56" t="s">
        <v>35</v>
      </c>
      <c r="AB601" s="56">
        <v>14103106</v>
      </c>
      <c r="AC601" s="56" t="s">
        <v>35</v>
      </c>
      <c r="AD601" s="56">
        <v>14103106</v>
      </c>
      <c r="AE601" s="56" t="s">
        <v>2626</v>
      </c>
      <c r="AF601" s="56" t="s">
        <v>2627</v>
      </c>
      <c r="AG601" s="56" t="s">
        <v>2627</v>
      </c>
      <c r="AH601" s="56">
        <v>36</v>
      </c>
      <c r="AI601" s="56" t="s">
        <v>2628</v>
      </c>
      <c r="AJ601" s="56" t="s">
        <v>2629</v>
      </c>
      <c r="AK601" s="56">
        <v>0</v>
      </c>
      <c r="AL601" s="56" t="s">
        <v>2630</v>
      </c>
      <c r="AM601" s="56" t="s">
        <v>2631</v>
      </c>
      <c r="AN601" s="56" t="s">
        <v>2632</v>
      </c>
      <c r="AO601" s="56" t="s">
        <v>2627</v>
      </c>
      <c r="AP601" s="56" t="s">
        <v>2624</v>
      </c>
      <c r="AQ601" s="123">
        <v>3.4722222222222099E-3</v>
      </c>
      <c r="AR601" s="122">
        <v>-1.4629629629629604E-2</v>
      </c>
      <c r="AS601" s="56" t="s">
        <v>1048</v>
      </c>
      <c r="AT601" s="56" t="s">
        <v>1049</v>
      </c>
      <c r="AU601" s="56" t="s">
        <v>1050</v>
      </c>
      <c r="AV601" s="56">
        <v>36</v>
      </c>
      <c r="AW601" s="56" t="s">
        <v>1051</v>
      </c>
      <c r="AX601" s="56" t="s">
        <v>1092</v>
      </c>
      <c r="AY601" s="56" t="s">
        <v>1093</v>
      </c>
      <c r="AZ601" s="56" t="s">
        <v>1067</v>
      </c>
      <c r="BA601" s="56" t="s">
        <v>1094</v>
      </c>
      <c r="BB601" s="56" t="s">
        <v>1095</v>
      </c>
      <c r="BC601" s="56" t="s">
        <v>1057</v>
      </c>
      <c r="BD601" s="56" t="s">
        <v>1096</v>
      </c>
    </row>
    <row r="602" spans="1:56" x14ac:dyDescent="0.2">
      <c r="A602" s="56">
        <v>176585205</v>
      </c>
      <c r="B602" s="56" t="s">
        <v>1097</v>
      </c>
      <c r="C602" s="56" t="s">
        <v>2623</v>
      </c>
      <c r="D602" s="56" t="s">
        <v>1098</v>
      </c>
      <c r="E602" s="56" t="s">
        <v>1044</v>
      </c>
      <c r="F602" s="56">
        <v>15</v>
      </c>
      <c r="G602" s="56"/>
      <c r="H602" s="56">
        <v>13844</v>
      </c>
      <c r="I602" s="56">
        <v>6</v>
      </c>
      <c r="J602" s="56" t="s">
        <v>1045</v>
      </c>
      <c r="K602" s="56" t="s">
        <v>1091</v>
      </c>
      <c r="L602" s="121">
        <v>46266</v>
      </c>
      <c r="M602" s="122">
        <v>0.21180555555555555</v>
      </c>
      <c r="N602" s="122">
        <v>0.21944444444444444</v>
      </c>
      <c r="O602" s="56" t="s">
        <v>1047</v>
      </c>
      <c r="P602" s="121">
        <v>46266</v>
      </c>
      <c r="Q602" s="122">
        <v>0.2673611111111111</v>
      </c>
      <c r="R602" s="122">
        <v>0.25700231481481484</v>
      </c>
      <c r="S602" s="56" t="s">
        <v>1047</v>
      </c>
      <c r="T602" s="56">
        <v>1</v>
      </c>
      <c r="U602" s="56">
        <v>23</v>
      </c>
      <c r="V602" s="56">
        <v>20.16</v>
      </c>
      <c r="W602" s="56">
        <v>19.82</v>
      </c>
      <c r="X602" s="56" t="s">
        <v>2624</v>
      </c>
      <c r="Y602" s="56" t="s">
        <v>2624</v>
      </c>
      <c r="Z602" s="56" t="s">
        <v>2624</v>
      </c>
      <c r="AA602" s="56" t="s">
        <v>412</v>
      </c>
      <c r="AB602" s="56">
        <v>14122329</v>
      </c>
      <c r="AC602" s="56" t="s">
        <v>412</v>
      </c>
      <c r="AD602" s="56">
        <v>14122329</v>
      </c>
      <c r="AE602" s="56" t="s">
        <v>2626</v>
      </c>
      <c r="AF602" s="56" t="s">
        <v>2627</v>
      </c>
      <c r="AG602" s="56" t="s">
        <v>2627</v>
      </c>
      <c r="AH602" s="56">
        <v>36</v>
      </c>
      <c r="AI602" s="56" t="s">
        <v>2628</v>
      </c>
      <c r="AJ602" s="56" t="s">
        <v>2629</v>
      </c>
      <c r="AK602" s="56">
        <v>0</v>
      </c>
      <c r="AL602" s="56" t="s">
        <v>2630</v>
      </c>
      <c r="AM602" s="56" t="s">
        <v>2631</v>
      </c>
      <c r="AN602" s="56" t="s">
        <v>2632</v>
      </c>
      <c r="AO602" s="56" t="s">
        <v>2627</v>
      </c>
      <c r="AP602" s="56" t="s">
        <v>2624</v>
      </c>
      <c r="AQ602" s="123">
        <v>7.6388888888888895E-3</v>
      </c>
      <c r="AR602" s="122">
        <v>-1.0358796296296269E-2</v>
      </c>
      <c r="AS602" s="56" t="s">
        <v>1048</v>
      </c>
      <c r="AT602" s="56" t="s">
        <v>1049</v>
      </c>
      <c r="AU602" s="56" t="s">
        <v>1050</v>
      </c>
      <c r="AV602" s="56">
        <v>36</v>
      </c>
      <c r="AW602" s="56" t="s">
        <v>1051</v>
      </c>
      <c r="AX602" s="56" t="s">
        <v>1100</v>
      </c>
      <c r="AY602" s="56" t="s">
        <v>1093</v>
      </c>
      <c r="AZ602" s="56" t="s">
        <v>1067</v>
      </c>
      <c r="BA602" s="56" t="s">
        <v>1101</v>
      </c>
      <c r="BB602" s="56" t="s">
        <v>1102</v>
      </c>
      <c r="BC602" s="56" t="s">
        <v>1057</v>
      </c>
      <c r="BD602" s="56" t="s">
        <v>1103</v>
      </c>
    </row>
    <row r="603" spans="1:56" x14ac:dyDescent="0.2">
      <c r="A603" s="56">
        <v>176586368</v>
      </c>
      <c r="B603" s="56" t="s">
        <v>1712</v>
      </c>
      <c r="C603" s="56" t="s">
        <v>2623</v>
      </c>
      <c r="D603" s="56" t="s">
        <v>1713</v>
      </c>
      <c r="E603" s="56" t="s">
        <v>1044</v>
      </c>
      <c r="F603" s="56">
        <v>3</v>
      </c>
      <c r="G603" s="56"/>
      <c r="H603" s="56">
        <v>5349</v>
      </c>
      <c r="I603" s="56">
        <v>6</v>
      </c>
      <c r="J603" s="56" t="s">
        <v>1045</v>
      </c>
      <c r="K603" s="56" t="s">
        <v>1212</v>
      </c>
      <c r="L603" s="121">
        <v>46266</v>
      </c>
      <c r="M603" s="122">
        <v>0.21527777777777779</v>
      </c>
      <c r="N603" s="122">
        <v>0.21944444444444444</v>
      </c>
      <c r="O603" s="56" t="s">
        <v>1047</v>
      </c>
      <c r="P603" s="121">
        <v>46266</v>
      </c>
      <c r="Q603" s="122">
        <v>0.2638888888888889</v>
      </c>
      <c r="R603" s="122">
        <v>0.25972222222222224</v>
      </c>
      <c r="S603" s="56" t="s">
        <v>1047</v>
      </c>
      <c r="T603" s="56">
        <v>1</v>
      </c>
      <c r="U603" s="56">
        <v>36</v>
      </c>
      <c r="V603" s="56">
        <v>32.96</v>
      </c>
      <c r="W603" s="56">
        <v>33.5</v>
      </c>
      <c r="X603" s="56">
        <v>38.07</v>
      </c>
      <c r="Y603" s="56">
        <v>4.3499999999999996</v>
      </c>
      <c r="Z603" s="56">
        <v>0.22</v>
      </c>
      <c r="AA603" s="56" t="s">
        <v>968</v>
      </c>
      <c r="AB603" s="56">
        <v>14123819</v>
      </c>
      <c r="AC603" s="56" t="s">
        <v>968</v>
      </c>
      <c r="AD603" s="56">
        <v>14123819</v>
      </c>
      <c r="AE603" s="56" t="s">
        <v>2626</v>
      </c>
      <c r="AF603" s="56" t="s">
        <v>2627</v>
      </c>
      <c r="AG603" s="56" t="s">
        <v>2627</v>
      </c>
      <c r="AH603" s="56">
        <v>36</v>
      </c>
      <c r="AI603" s="56" t="s">
        <v>2628</v>
      </c>
      <c r="AJ603" s="56" t="s">
        <v>2629</v>
      </c>
      <c r="AK603" s="56">
        <v>0</v>
      </c>
      <c r="AL603" s="56" t="s">
        <v>2630</v>
      </c>
      <c r="AM603" s="56" t="s">
        <v>2631</v>
      </c>
      <c r="AN603" s="56" t="s">
        <v>2632</v>
      </c>
      <c r="AO603" s="56" t="s">
        <v>2627</v>
      </c>
      <c r="AP603" s="56" t="s">
        <v>2624</v>
      </c>
      <c r="AQ603" s="123">
        <v>4.1666666666666519E-3</v>
      </c>
      <c r="AR603" s="122">
        <v>-4.1666666666666519E-3</v>
      </c>
      <c r="AS603" s="56" t="s">
        <v>1048</v>
      </c>
      <c r="AT603" s="56" t="s">
        <v>1049</v>
      </c>
      <c r="AU603" s="56" t="s">
        <v>1050</v>
      </c>
      <c r="AV603" s="56">
        <v>36</v>
      </c>
      <c r="AW603" s="56" t="s">
        <v>1051</v>
      </c>
      <c r="AX603" s="56" t="s">
        <v>1714</v>
      </c>
      <c r="AY603" s="56" t="s">
        <v>1164</v>
      </c>
      <c r="AZ603" s="56" t="s">
        <v>1062</v>
      </c>
      <c r="BA603" s="56" t="s">
        <v>1715</v>
      </c>
      <c r="BB603" s="56" t="s">
        <v>1716</v>
      </c>
      <c r="BC603" s="56" t="s">
        <v>1057</v>
      </c>
      <c r="BD603" s="56" t="s">
        <v>1717</v>
      </c>
    </row>
    <row r="604" spans="1:56" x14ac:dyDescent="0.2">
      <c r="A604" s="56">
        <v>176600376</v>
      </c>
      <c r="B604" s="56" t="s">
        <v>2046</v>
      </c>
      <c r="C604" s="56" t="s">
        <v>2623</v>
      </c>
      <c r="D604" s="56" t="s">
        <v>2047</v>
      </c>
      <c r="E604" s="56" t="s">
        <v>1044</v>
      </c>
      <c r="F604" s="56">
        <v>12</v>
      </c>
      <c r="G604" s="56"/>
      <c r="H604" s="56">
        <v>7345</v>
      </c>
      <c r="I604" s="56">
        <v>6</v>
      </c>
      <c r="J604" s="56" t="s">
        <v>1045</v>
      </c>
      <c r="K604" s="56" t="s">
        <v>2048</v>
      </c>
      <c r="L604" s="121">
        <v>46266</v>
      </c>
      <c r="M604" s="122">
        <v>0.21527777777777779</v>
      </c>
      <c r="N604" s="122">
        <v>0.22222222222222221</v>
      </c>
      <c r="O604" s="56" t="s">
        <v>1047</v>
      </c>
      <c r="P604" s="121">
        <v>46266</v>
      </c>
      <c r="Q604" s="122">
        <v>0.23958333333333334</v>
      </c>
      <c r="R604" s="122">
        <v>0.23644675925925926</v>
      </c>
      <c r="S604" s="56" t="s">
        <v>1047</v>
      </c>
      <c r="T604" s="56">
        <v>1</v>
      </c>
      <c r="U604" s="56">
        <v>17</v>
      </c>
      <c r="V604" s="56">
        <v>14.5</v>
      </c>
      <c r="W604" s="56">
        <v>14</v>
      </c>
      <c r="X604" s="56" t="s">
        <v>2624</v>
      </c>
      <c r="Y604" s="56" t="s">
        <v>2624</v>
      </c>
      <c r="Z604" s="56" t="s">
        <v>2624</v>
      </c>
      <c r="AA604" s="56" t="s">
        <v>180</v>
      </c>
      <c r="AB604" s="56">
        <v>14117542</v>
      </c>
      <c r="AC604" s="56" t="s">
        <v>180</v>
      </c>
      <c r="AD604" s="56">
        <v>14117542</v>
      </c>
      <c r="AE604" s="56" t="s">
        <v>2626</v>
      </c>
      <c r="AF604" s="56" t="s">
        <v>2627</v>
      </c>
      <c r="AG604" s="56" t="s">
        <v>2627</v>
      </c>
      <c r="AH604" s="56">
        <v>36</v>
      </c>
      <c r="AI604" s="56" t="s">
        <v>2628</v>
      </c>
      <c r="AJ604" s="56" t="s">
        <v>2629</v>
      </c>
      <c r="AK604" s="56" t="s">
        <v>2624</v>
      </c>
      <c r="AL604" s="56" t="s">
        <v>2630</v>
      </c>
      <c r="AM604" s="56" t="s">
        <v>2632</v>
      </c>
      <c r="AN604" s="56" t="s">
        <v>2632</v>
      </c>
      <c r="AO604" s="56" t="s">
        <v>2627</v>
      </c>
      <c r="AP604" s="56" t="s">
        <v>2624</v>
      </c>
      <c r="AQ604" s="123">
        <v>6.9444444444444198E-3</v>
      </c>
      <c r="AR604" s="122">
        <v>-3.1365740740740833E-3</v>
      </c>
      <c r="AS604" s="56" t="s">
        <v>1048</v>
      </c>
      <c r="AT604" s="56" t="s">
        <v>1049</v>
      </c>
      <c r="AU604" s="56" t="s">
        <v>1050</v>
      </c>
      <c r="AV604" s="56">
        <v>36</v>
      </c>
      <c r="AW604" s="56" t="s">
        <v>1051</v>
      </c>
      <c r="AX604" s="56" t="s">
        <v>2049</v>
      </c>
      <c r="AY604" s="56" t="s">
        <v>1124</v>
      </c>
      <c r="AZ604" s="56" t="s">
        <v>1054</v>
      </c>
      <c r="BA604" s="56" t="s">
        <v>2050</v>
      </c>
      <c r="BB604" s="56" t="e">
        <v>#N/A</v>
      </c>
      <c r="BC604" s="56" t="s">
        <v>1057</v>
      </c>
      <c r="BD604" s="56" t="s">
        <v>2051</v>
      </c>
    </row>
    <row r="605" spans="1:56" x14ac:dyDescent="0.2">
      <c r="A605" s="56">
        <v>176585417</v>
      </c>
      <c r="B605" s="56" t="s">
        <v>2163</v>
      </c>
      <c r="C605" s="56" t="s">
        <v>2623</v>
      </c>
      <c r="D605" s="56" t="s">
        <v>1532</v>
      </c>
      <c r="E605" s="56" t="s">
        <v>1044</v>
      </c>
      <c r="F605" s="56">
        <v>80</v>
      </c>
      <c r="G605" s="56"/>
      <c r="H605" s="56">
        <v>16766</v>
      </c>
      <c r="I605" s="56">
        <v>6</v>
      </c>
      <c r="J605" s="56" t="s">
        <v>1045</v>
      </c>
      <c r="K605" s="56" t="s">
        <v>1079</v>
      </c>
      <c r="L605" s="121">
        <v>46266</v>
      </c>
      <c r="M605" s="122">
        <v>0.21875</v>
      </c>
      <c r="N605" s="122">
        <v>0.22361111111111112</v>
      </c>
      <c r="O605" s="56" t="s">
        <v>1047</v>
      </c>
      <c r="P605" s="121">
        <v>46266</v>
      </c>
      <c r="Q605" s="122">
        <v>0.2673611111111111</v>
      </c>
      <c r="R605" s="122">
        <v>0.24333333333333335</v>
      </c>
      <c r="S605" s="56" t="s">
        <v>1047</v>
      </c>
      <c r="T605" s="56">
        <v>1</v>
      </c>
      <c r="U605" s="56">
        <v>36</v>
      </c>
      <c r="V605" s="56">
        <v>21.95</v>
      </c>
      <c r="W605" s="56">
        <v>15.18</v>
      </c>
      <c r="X605" s="56" t="s">
        <v>2624</v>
      </c>
      <c r="Y605" s="56" t="s">
        <v>2624</v>
      </c>
      <c r="Z605" s="56" t="s">
        <v>2624</v>
      </c>
      <c r="AA605" s="56" t="s">
        <v>263</v>
      </c>
      <c r="AB605" s="56">
        <v>14119825</v>
      </c>
      <c r="AC605" s="56" t="s">
        <v>263</v>
      </c>
      <c r="AD605" s="56">
        <v>14119825</v>
      </c>
      <c r="AE605" s="56" t="s">
        <v>2626</v>
      </c>
      <c r="AF605" s="56" t="s">
        <v>2627</v>
      </c>
      <c r="AG605" s="56" t="s">
        <v>2627</v>
      </c>
      <c r="AH605" s="56">
        <v>36</v>
      </c>
      <c r="AI605" s="56" t="s">
        <v>2628</v>
      </c>
      <c r="AJ605" s="56" t="s">
        <v>2629</v>
      </c>
      <c r="AK605" s="56">
        <v>0</v>
      </c>
      <c r="AL605" s="56" t="s">
        <v>2630</v>
      </c>
      <c r="AM605" s="56" t="s">
        <v>2631</v>
      </c>
      <c r="AN605" s="56" t="s">
        <v>2632</v>
      </c>
      <c r="AO605" s="56" t="s">
        <v>2627</v>
      </c>
      <c r="AP605" s="56" t="s">
        <v>2624</v>
      </c>
      <c r="AQ605" s="123">
        <v>4.8611111111111216E-3</v>
      </c>
      <c r="AR605" s="122">
        <v>-2.4027777777777759E-2</v>
      </c>
      <c r="AS605" s="56" t="s">
        <v>1048</v>
      </c>
      <c r="AT605" s="56" t="s">
        <v>1049</v>
      </c>
      <c r="AU605" s="56" t="s">
        <v>1050</v>
      </c>
      <c r="AV605" s="56">
        <v>36</v>
      </c>
      <c r="AW605" s="56" t="s">
        <v>1051</v>
      </c>
      <c r="AX605" s="56" t="s">
        <v>1533</v>
      </c>
      <c r="AY605" s="56" t="s">
        <v>1081</v>
      </c>
      <c r="AZ605" s="56" t="s">
        <v>1067</v>
      </c>
      <c r="BA605" s="56" t="s">
        <v>1534</v>
      </c>
      <c r="BB605" s="56" t="s">
        <v>1535</v>
      </c>
      <c r="BC605" s="56" t="s">
        <v>1057</v>
      </c>
      <c r="BD605" s="56" t="s">
        <v>2164</v>
      </c>
    </row>
    <row r="606" spans="1:56" x14ac:dyDescent="0.2">
      <c r="A606" s="56">
        <v>176585488</v>
      </c>
      <c r="B606" s="56" t="s">
        <v>2657</v>
      </c>
      <c r="C606" s="56" t="s">
        <v>2623</v>
      </c>
      <c r="D606" s="56" t="s">
        <v>2658</v>
      </c>
      <c r="E606" s="56" t="s">
        <v>1044</v>
      </c>
      <c r="F606" s="56">
        <v>105</v>
      </c>
      <c r="G606" s="56"/>
      <c r="H606" s="56">
        <v>15993</v>
      </c>
      <c r="I606" s="56">
        <v>6</v>
      </c>
      <c r="J606" s="56" t="s">
        <v>1045</v>
      </c>
      <c r="K606" s="56" t="s">
        <v>1079</v>
      </c>
      <c r="L606" s="121">
        <v>46266</v>
      </c>
      <c r="M606" s="122">
        <v>0.21875</v>
      </c>
      <c r="N606" s="122">
        <v>0.22222222222222221</v>
      </c>
      <c r="O606" s="56" t="s">
        <v>1047</v>
      </c>
      <c r="P606" s="121">
        <v>46266</v>
      </c>
      <c r="Q606" s="122">
        <v>0.2673611111111111</v>
      </c>
      <c r="R606" s="122">
        <v>0.25304398148148149</v>
      </c>
      <c r="S606" s="56" t="s">
        <v>1047</v>
      </c>
      <c r="T606" s="56">
        <v>1</v>
      </c>
      <c r="U606" s="56">
        <v>38</v>
      </c>
      <c r="V606" s="56">
        <v>32.67</v>
      </c>
      <c r="W606" s="56">
        <v>34.49</v>
      </c>
      <c r="X606" s="56" t="s">
        <v>2624</v>
      </c>
      <c r="Y606" s="56" t="s">
        <v>2624</v>
      </c>
      <c r="Z606" s="56" t="s">
        <v>2624</v>
      </c>
      <c r="AA606" s="56" t="s">
        <v>992</v>
      </c>
      <c r="AB606" s="56">
        <v>14123925</v>
      </c>
      <c r="AC606" s="56" t="s">
        <v>992</v>
      </c>
      <c r="AD606" s="56">
        <v>14123925</v>
      </c>
      <c r="AE606" s="56" t="s">
        <v>2626</v>
      </c>
      <c r="AF606" s="56" t="s">
        <v>2627</v>
      </c>
      <c r="AG606" s="56" t="s">
        <v>2627</v>
      </c>
      <c r="AH606" s="56">
        <v>36</v>
      </c>
      <c r="AI606" s="56" t="s">
        <v>2628</v>
      </c>
      <c r="AJ606" s="56" t="s">
        <v>2629</v>
      </c>
      <c r="AK606" s="56">
        <v>0</v>
      </c>
      <c r="AL606" s="56" t="s">
        <v>2630</v>
      </c>
      <c r="AM606" s="56" t="s">
        <v>2631</v>
      </c>
      <c r="AN606" s="56" t="s">
        <v>2632</v>
      </c>
      <c r="AO606" s="56" t="s">
        <v>2627</v>
      </c>
      <c r="AP606" s="56" t="s">
        <v>2624</v>
      </c>
      <c r="AQ606" s="123">
        <v>3.4722222222222099E-3</v>
      </c>
      <c r="AR606" s="122">
        <v>-1.431712962962961E-2</v>
      </c>
      <c r="AS606" s="56" t="s">
        <v>1048</v>
      </c>
      <c r="AT606" s="56" t="s">
        <v>1049</v>
      </c>
      <c r="AU606" s="56" t="s">
        <v>1050</v>
      </c>
      <c r="AV606" s="56">
        <v>36</v>
      </c>
      <c r="AW606" s="56" t="s">
        <v>1051</v>
      </c>
      <c r="AX606" s="56" t="s">
        <v>2659</v>
      </c>
      <c r="AY606" s="56" t="s">
        <v>1081</v>
      </c>
      <c r="AZ606" s="56" t="s">
        <v>1067</v>
      </c>
      <c r="BA606" s="56" t="s">
        <v>2660</v>
      </c>
      <c r="BB606" s="56" t="s">
        <v>2661</v>
      </c>
      <c r="BC606" s="56" t="s">
        <v>1057</v>
      </c>
      <c r="BD606" s="56" t="s">
        <v>2662</v>
      </c>
    </row>
    <row r="607" spans="1:56" x14ac:dyDescent="0.2">
      <c r="A607" s="56">
        <v>176596276</v>
      </c>
      <c r="B607" s="56" t="s">
        <v>2663</v>
      </c>
      <c r="C607" s="56" t="s">
        <v>2623</v>
      </c>
      <c r="D607" s="56" t="s">
        <v>1224</v>
      </c>
      <c r="E607" s="56" t="s">
        <v>1044</v>
      </c>
      <c r="F607" s="56">
        <v>227</v>
      </c>
      <c r="G607" s="56"/>
      <c r="H607" s="56">
        <v>4980</v>
      </c>
      <c r="I607" s="56">
        <v>6</v>
      </c>
      <c r="J607" s="56" t="s">
        <v>1045</v>
      </c>
      <c r="K607" s="56" t="s">
        <v>1079</v>
      </c>
      <c r="L607" s="121">
        <v>46266</v>
      </c>
      <c r="M607" s="122">
        <v>0.21875</v>
      </c>
      <c r="N607" s="122">
        <v>0.22361111111111112</v>
      </c>
      <c r="O607" s="56" t="s">
        <v>1047</v>
      </c>
      <c r="P607" s="121">
        <v>46266</v>
      </c>
      <c r="Q607" s="122">
        <v>0.2673611111111111</v>
      </c>
      <c r="R607" s="122">
        <v>0.25744212962962965</v>
      </c>
      <c r="S607" s="56" t="s">
        <v>1047</v>
      </c>
      <c r="T607" s="56">
        <v>1</v>
      </c>
      <c r="U607" s="56">
        <v>30</v>
      </c>
      <c r="V607" s="56">
        <v>24.61</v>
      </c>
      <c r="W607" s="56">
        <v>23.89</v>
      </c>
      <c r="X607" s="56" t="s">
        <v>2624</v>
      </c>
      <c r="Y607" s="56" t="s">
        <v>2624</v>
      </c>
      <c r="Z607" s="56" t="s">
        <v>2624</v>
      </c>
      <c r="AA607" s="56" t="s">
        <v>234</v>
      </c>
      <c r="AB607" s="56">
        <v>14119154</v>
      </c>
      <c r="AC607" s="56" t="s">
        <v>234</v>
      </c>
      <c r="AD607" s="56">
        <v>14119154</v>
      </c>
      <c r="AE607" s="56" t="s">
        <v>2626</v>
      </c>
      <c r="AF607" s="56" t="s">
        <v>2627</v>
      </c>
      <c r="AG607" s="56" t="s">
        <v>2627</v>
      </c>
      <c r="AH607" s="56">
        <v>36</v>
      </c>
      <c r="AI607" s="56" t="s">
        <v>2628</v>
      </c>
      <c r="AJ607" s="56" t="s">
        <v>2629</v>
      </c>
      <c r="AK607" s="56">
        <v>0</v>
      </c>
      <c r="AL607" s="56" t="s">
        <v>2630</v>
      </c>
      <c r="AM607" s="56" t="s">
        <v>2631</v>
      </c>
      <c r="AN607" s="56" t="s">
        <v>2632</v>
      </c>
      <c r="AO607" s="56" t="s">
        <v>2627</v>
      </c>
      <c r="AP607" s="56" t="s">
        <v>2624</v>
      </c>
      <c r="AQ607" s="123">
        <v>4.8611111111111216E-3</v>
      </c>
      <c r="AR607" s="122">
        <v>-9.9189814814814592E-3</v>
      </c>
      <c r="AS607" s="56" t="s">
        <v>1048</v>
      </c>
      <c r="AT607" s="56" t="s">
        <v>1049</v>
      </c>
      <c r="AU607" s="56" t="s">
        <v>1050</v>
      </c>
      <c r="AV607" s="56">
        <v>36</v>
      </c>
      <c r="AW607" s="56" t="s">
        <v>1051</v>
      </c>
      <c r="AX607" s="56" t="s">
        <v>2664</v>
      </c>
      <c r="AY607" s="56" t="s">
        <v>1081</v>
      </c>
      <c r="AZ607" s="56" t="s">
        <v>1067</v>
      </c>
      <c r="BA607" s="56" t="s">
        <v>2665</v>
      </c>
      <c r="BB607" s="56" t="s">
        <v>2666</v>
      </c>
      <c r="BC607" s="56" t="s">
        <v>1057</v>
      </c>
      <c r="BD607" s="56" t="s">
        <v>2667</v>
      </c>
    </row>
    <row r="608" spans="1:56" x14ac:dyDescent="0.2">
      <c r="A608" s="56">
        <v>176588646</v>
      </c>
      <c r="B608" s="56" t="s">
        <v>2098</v>
      </c>
      <c r="C608" s="56" t="s">
        <v>2623</v>
      </c>
      <c r="D608" s="56" t="s">
        <v>1248</v>
      </c>
      <c r="E608" s="56" t="s">
        <v>1044</v>
      </c>
      <c r="F608" s="56">
        <v>16</v>
      </c>
      <c r="G608" s="56"/>
      <c r="H608" s="56">
        <v>14867</v>
      </c>
      <c r="I608" s="56">
        <v>6</v>
      </c>
      <c r="J608" s="56" t="s">
        <v>1045</v>
      </c>
      <c r="K608" s="56" t="s">
        <v>1058</v>
      </c>
      <c r="L608" s="121">
        <v>46266</v>
      </c>
      <c r="M608" s="122">
        <v>0.22222222222222221</v>
      </c>
      <c r="N608" s="122">
        <v>0.23125000000000001</v>
      </c>
      <c r="O608" s="56" t="s">
        <v>1047</v>
      </c>
      <c r="P608" s="121">
        <v>46266</v>
      </c>
      <c r="Q608" s="122">
        <v>0.25</v>
      </c>
      <c r="R608" s="122">
        <v>0.24444444444444444</v>
      </c>
      <c r="S608" s="56" t="s">
        <v>1047</v>
      </c>
      <c r="T608" s="56">
        <v>1</v>
      </c>
      <c r="U608" s="56">
        <v>13</v>
      </c>
      <c r="V608" s="56">
        <v>10.41</v>
      </c>
      <c r="W608" s="56">
        <v>11.63</v>
      </c>
      <c r="X608" s="56">
        <v>22.09</v>
      </c>
      <c r="Y608" s="56">
        <v>10.199999999999999</v>
      </c>
      <c r="Z608" s="56">
        <v>0.26</v>
      </c>
      <c r="AA608" s="56" t="s">
        <v>213</v>
      </c>
      <c r="AB608" s="56">
        <v>14118773</v>
      </c>
      <c r="AC608" s="56" t="s">
        <v>213</v>
      </c>
      <c r="AD608" s="56">
        <v>14118773</v>
      </c>
      <c r="AE608" s="56" t="s">
        <v>2626</v>
      </c>
      <c r="AF608" s="56" t="s">
        <v>2627</v>
      </c>
      <c r="AG608" s="56" t="s">
        <v>2627</v>
      </c>
      <c r="AH608" s="56">
        <v>36</v>
      </c>
      <c r="AI608" s="56" t="s">
        <v>2628</v>
      </c>
      <c r="AJ608" s="56" t="s">
        <v>2629</v>
      </c>
      <c r="AK608" s="56">
        <v>812</v>
      </c>
      <c r="AL608" s="56" t="s">
        <v>2630</v>
      </c>
      <c r="AM608" s="56" t="s">
        <v>2631</v>
      </c>
      <c r="AN608" s="56" t="s">
        <v>2632</v>
      </c>
      <c r="AO608" s="56" t="s">
        <v>2627</v>
      </c>
      <c r="AP608" s="56" t="s">
        <v>2624</v>
      </c>
      <c r="AQ608" s="123">
        <v>9.0277777777778012E-3</v>
      </c>
      <c r="AR608" s="122">
        <v>-5.5555555555555636E-3</v>
      </c>
      <c r="AS608" s="56" t="s">
        <v>1048</v>
      </c>
      <c r="AT608" s="56" t="s">
        <v>1049</v>
      </c>
      <c r="AU608" s="56" t="s">
        <v>1050</v>
      </c>
      <c r="AV608" s="56">
        <v>36</v>
      </c>
      <c r="AW608" s="56" t="s">
        <v>1051</v>
      </c>
      <c r="AX608" s="56" t="s">
        <v>1249</v>
      </c>
      <c r="AY608" s="56" t="s">
        <v>1061</v>
      </c>
      <c r="AZ608" s="56" t="s">
        <v>1062</v>
      </c>
      <c r="BA608" s="56" t="s">
        <v>1250</v>
      </c>
      <c r="BB608" s="56" t="s">
        <v>1251</v>
      </c>
      <c r="BC608" s="56" t="s">
        <v>1057</v>
      </c>
      <c r="BD608" s="56" t="s">
        <v>2099</v>
      </c>
    </row>
    <row r="609" spans="1:56" x14ac:dyDescent="0.2">
      <c r="A609" s="56">
        <v>176585219</v>
      </c>
      <c r="B609" s="56" t="s">
        <v>1517</v>
      </c>
      <c r="C609" s="56" t="s">
        <v>2623</v>
      </c>
      <c r="D609" s="56" t="s">
        <v>1518</v>
      </c>
      <c r="E609" s="56" t="s">
        <v>1044</v>
      </c>
      <c r="F609" s="56">
        <v>21</v>
      </c>
      <c r="G609" s="56"/>
      <c r="H609" s="56">
        <v>16785</v>
      </c>
      <c r="I609" s="56">
        <v>6</v>
      </c>
      <c r="J609" s="56" t="s">
        <v>1045</v>
      </c>
      <c r="K609" s="56" t="s">
        <v>1091</v>
      </c>
      <c r="L609" s="121">
        <v>46266</v>
      </c>
      <c r="M609" s="122">
        <v>0.22361111111111112</v>
      </c>
      <c r="N609" s="122">
        <v>0.23125000000000001</v>
      </c>
      <c r="O609" s="56" t="s">
        <v>1047</v>
      </c>
      <c r="P609" s="121">
        <v>46266</v>
      </c>
      <c r="Q609" s="122">
        <v>0.2673611111111111</v>
      </c>
      <c r="R609" s="122">
        <v>0.25939814814814816</v>
      </c>
      <c r="S609" s="56" t="s">
        <v>1047</v>
      </c>
      <c r="T609" s="56">
        <v>1</v>
      </c>
      <c r="U609" s="56">
        <v>22</v>
      </c>
      <c r="V609" s="56">
        <v>15.03</v>
      </c>
      <c r="W609" s="56">
        <v>16.260000000000002</v>
      </c>
      <c r="X609" s="56" t="s">
        <v>2624</v>
      </c>
      <c r="Y609" s="56" t="s">
        <v>2624</v>
      </c>
      <c r="Z609" s="56" t="s">
        <v>2624</v>
      </c>
      <c r="AA609" s="56" t="s">
        <v>1099</v>
      </c>
      <c r="AB609" s="56">
        <v>14116431</v>
      </c>
      <c r="AC609" s="56" t="s">
        <v>1099</v>
      </c>
      <c r="AD609" s="56">
        <v>14116431</v>
      </c>
      <c r="AE609" s="56" t="s">
        <v>2626</v>
      </c>
      <c r="AF609" s="56" t="s">
        <v>2627</v>
      </c>
      <c r="AG609" s="56" t="s">
        <v>2627</v>
      </c>
      <c r="AH609" s="56">
        <v>36</v>
      </c>
      <c r="AI609" s="56" t="s">
        <v>2628</v>
      </c>
      <c r="AJ609" s="56" t="s">
        <v>2629</v>
      </c>
      <c r="AK609" s="56">
        <v>0</v>
      </c>
      <c r="AL609" s="56" t="s">
        <v>2630</v>
      </c>
      <c r="AM609" s="56" t="s">
        <v>2631</v>
      </c>
      <c r="AN609" s="56" t="s">
        <v>2632</v>
      </c>
      <c r="AO609" s="56" t="s">
        <v>2627</v>
      </c>
      <c r="AP609" s="56" t="s">
        <v>2624</v>
      </c>
      <c r="AQ609" s="123">
        <v>7.6388888888888895E-3</v>
      </c>
      <c r="AR609" s="122">
        <v>-7.9629629629629495E-3</v>
      </c>
      <c r="AS609" s="56" t="s">
        <v>1048</v>
      </c>
      <c r="AT609" s="56" t="s">
        <v>1049</v>
      </c>
      <c r="AU609" s="56" t="s">
        <v>1050</v>
      </c>
      <c r="AV609" s="56">
        <v>36</v>
      </c>
      <c r="AW609" s="56" t="s">
        <v>1051</v>
      </c>
      <c r="AX609" s="56" t="s">
        <v>1519</v>
      </c>
      <c r="AY609" s="56" t="s">
        <v>1093</v>
      </c>
      <c r="AZ609" s="56" t="s">
        <v>1067</v>
      </c>
      <c r="BA609" s="56" t="s">
        <v>1520</v>
      </c>
      <c r="BB609" s="56" t="s">
        <v>1521</v>
      </c>
      <c r="BC609" s="56" t="s">
        <v>1057</v>
      </c>
      <c r="BD609" s="56" t="s">
        <v>1522</v>
      </c>
    </row>
    <row r="610" spans="1:56" x14ac:dyDescent="0.2">
      <c r="A610" s="56">
        <v>176588631</v>
      </c>
      <c r="B610" s="56" t="s">
        <v>2687</v>
      </c>
      <c r="C610" s="56" t="s">
        <v>2623</v>
      </c>
      <c r="D610" s="56" t="s">
        <v>2688</v>
      </c>
      <c r="E610" s="56" t="s">
        <v>1044</v>
      </c>
      <c r="F610" s="56">
        <v>11</v>
      </c>
      <c r="G610" s="56"/>
      <c r="H610" s="56">
        <v>15185</v>
      </c>
      <c r="I610" s="56">
        <v>6</v>
      </c>
      <c r="J610" s="56" t="s">
        <v>1045</v>
      </c>
      <c r="K610" s="56" t="s">
        <v>1058</v>
      </c>
      <c r="L610" s="121">
        <v>46266</v>
      </c>
      <c r="M610" s="122">
        <v>0.22638888888888889</v>
      </c>
      <c r="N610" s="122">
        <v>0.23194444444444445</v>
      </c>
      <c r="O610" s="56" t="s">
        <v>1047</v>
      </c>
      <c r="P610" s="121">
        <v>46266</v>
      </c>
      <c r="Q610" s="122">
        <v>0.25</v>
      </c>
      <c r="R610" s="122">
        <v>0.24482638888888889</v>
      </c>
      <c r="S610" s="56" t="s">
        <v>1047</v>
      </c>
      <c r="T610" s="56">
        <v>1</v>
      </c>
      <c r="U610" s="56">
        <v>14</v>
      </c>
      <c r="V610" s="56">
        <v>9.49</v>
      </c>
      <c r="W610" s="56">
        <v>8.4600000000000009</v>
      </c>
      <c r="X610" s="56" t="s">
        <v>2624</v>
      </c>
      <c r="Y610" s="56" t="s">
        <v>2624</v>
      </c>
      <c r="Z610" s="56" t="s">
        <v>2624</v>
      </c>
      <c r="AA610" s="56" t="s">
        <v>467</v>
      </c>
      <c r="AB610" s="56">
        <v>14122925</v>
      </c>
      <c r="AC610" s="56" t="s">
        <v>467</v>
      </c>
      <c r="AD610" s="56">
        <v>14122925</v>
      </c>
      <c r="AE610" s="56" t="s">
        <v>2626</v>
      </c>
      <c r="AF610" s="56" t="s">
        <v>2627</v>
      </c>
      <c r="AG610" s="56" t="s">
        <v>2627</v>
      </c>
      <c r="AH610" s="56">
        <v>36</v>
      </c>
      <c r="AI610" s="56" t="s">
        <v>2628</v>
      </c>
      <c r="AJ610" s="56" t="s">
        <v>2629</v>
      </c>
      <c r="AK610" s="56">
        <v>730</v>
      </c>
      <c r="AL610" s="56" t="s">
        <v>2630</v>
      </c>
      <c r="AM610" s="56" t="s">
        <v>2631</v>
      </c>
      <c r="AN610" s="56" t="s">
        <v>2632</v>
      </c>
      <c r="AO610" s="56" t="s">
        <v>2627</v>
      </c>
      <c r="AP610" s="56" t="s">
        <v>2624</v>
      </c>
      <c r="AQ610" s="123">
        <v>5.5555555555555636E-3</v>
      </c>
      <c r="AR610" s="122">
        <v>-5.1736111111111149E-3</v>
      </c>
      <c r="AS610" s="56" t="s">
        <v>1048</v>
      </c>
      <c r="AT610" s="56" t="s">
        <v>1049</v>
      </c>
      <c r="AU610" s="56" t="s">
        <v>1050</v>
      </c>
      <c r="AV610" s="56">
        <v>36</v>
      </c>
      <c r="AW610" s="56" t="s">
        <v>1051</v>
      </c>
      <c r="AX610" s="56" t="s">
        <v>2689</v>
      </c>
      <c r="AY610" s="56" t="s">
        <v>1061</v>
      </c>
      <c r="AZ610" s="56" t="s">
        <v>1062</v>
      </c>
      <c r="BA610" s="56" t="s">
        <v>2690</v>
      </c>
      <c r="BB610" s="56" t="s">
        <v>2691</v>
      </c>
      <c r="BC610" s="56" t="s">
        <v>1057</v>
      </c>
      <c r="BD610" s="56" t="s">
        <v>2692</v>
      </c>
    </row>
    <row r="611" spans="1:56" x14ac:dyDescent="0.2">
      <c r="A611" s="56">
        <v>176590731</v>
      </c>
      <c r="B611" s="56" t="s">
        <v>3635</v>
      </c>
      <c r="C611" s="56" t="s">
        <v>2623</v>
      </c>
      <c r="D611" s="56" t="s">
        <v>3636</v>
      </c>
      <c r="E611" s="56" t="s">
        <v>1044</v>
      </c>
      <c r="F611" s="56">
        <v>30</v>
      </c>
      <c r="G611" s="56"/>
      <c r="H611" s="56">
        <v>15341</v>
      </c>
      <c r="I611" s="56">
        <v>5</v>
      </c>
      <c r="J611" s="56" t="s">
        <v>1045</v>
      </c>
      <c r="K611" s="56" t="s">
        <v>1046</v>
      </c>
      <c r="L611" s="121">
        <v>46266</v>
      </c>
      <c r="M611" s="122">
        <v>0.22916666666666666</v>
      </c>
      <c r="N611" s="122">
        <v>0.39305555555555555</v>
      </c>
      <c r="O611" s="56" t="s">
        <v>1047</v>
      </c>
      <c r="P611" s="121">
        <v>46266</v>
      </c>
      <c r="Q611" s="122">
        <v>0.3125</v>
      </c>
      <c r="R611" s="56"/>
      <c r="S611" s="56" t="s">
        <v>1148</v>
      </c>
      <c r="T611" s="56"/>
      <c r="U611" s="56">
        <v>112</v>
      </c>
      <c r="V611" s="56">
        <v>102.2</v>
      </c>
      <c r="W611" s="56" t="s">
        <v>2624</v>
      </c>
      <c r="X611" s="56" t="s">
        <v>2624</v>
      </c>
      <c r="Y611" s="56" t="s">
        <v>2624</v>
      </c>
      <c r="Z611" s="56" t="s">
        <v>2624</v>
      </c>
      <c r="AA611" s="56" t="s">
        <v>170</v>
      </c>
      <c r="AB611" s="56">
        <v>14116723</v>
      </c>
      <c r="AC611" s="56" t="s">
        <v>170</v>
      </c>
      <c r="AD611" s="56">
        <v>14116723</v>
      </c>
      <c r="AE611" s="56" t="s">
        <v>2626</v>
      </c>
      <c r="AF611" s="56" t="s">
        <v>2627</v>
      </c>
      <c r="AG611" s="56" t="s">
        <v>2627</v>
      </c>
      <c r="AH611" s="56">
        <v>36</v>
      </c>
      <c r="AI611" s="56" t="s">
        <v>2706</v>
      </c>
      <c r="AJ611" s="56" t="s">
        <v>2640</v>
      </c>
      <c r="AK611" s="56">
        <v>0</v>
      </c>
      <c r="AL611" s="56" t="s">
        <v>2630</v>
      </c>
      <c r="AM611" s="56" t="s">
        <v>2631</v>
      </c>
      <c r="AN611" s="56" t="s">
        <v>2632</v>
      </c>
      <c r="AO611" s="56" t="s">
        <v>2627</v>
      </c>
      <c r="AP611" s="56" t="s">
        <v>2624</v>
      </c>
      <c r="AQ611" s="123">
        <v>0.16388888888888889</v>
      </c>
      <c r="AR611" s="122">
        <v>-0.3125</v>
      </c>
      <c r="AS611" s="56" t="s">
        <v>1048</v>
      </c>
      <c r="AT611" s="56" t="s">
        <v>1049</v>
      </c>
      <c r="AU611" s="56" t="s">
        <v>1050</v>
      </c>
      <c r="AV611" s="56">
        <v>36</v>
      </c>
      <c r="AW611" s="56" t="s">
        <v>1051</v>
      </c>
      <c r="AX611" s="56" t="s">
        <v>3637</v>
      </c>
      <c r="AY611" s="56" t="s">
        <v>1053</v>
      </c>
      <c r="AZ611" s="56" t="s">
        <v>1054</v>
      </c>
      <c r="BA611" s="56" t="s">
        <v>3638</v>
      </c>
      <c r="BB611" s="56" t="s">
        <v>3639</v>
      </c>
      <c r="BC611" s="56" t="s">
        <v>1057</v>
      </c>
      <c r="BD611" s="56" t="s">
        <v>3640</v>
      </c>
    </row>
    <row r="612" spans="1:56" x14ac:dyDescent="0.2">
      <c r="A612" s="56">
        <v>176590852</v>
      </c>
      <c r="B612" s="56" t="s">
        <v>2057</v>
      </c>
      <c r="C612" s="56" t="s">
        <v>2623</v>
      </c>
      <c r="D612" s="56" t="s">
        <v>1326</v>
      </c>
      <c r="E612" s="56" t="s">
        <v>1044</v>
      </c>
      <c r="F612" s="56">
        <v>50</v>
      </c>
      <c r="G612" s="56" t="s">
        <v>2693</v>
      </c>
      <c r="H612" s="56">
        <v>12898</v>
      </c>
      <c r="I612" s="56">
        <v>6</v>
      </c>
      <c r="J612" s="56" t="s">
        <v>1045</v>
      </c>
      <c r="K612" s="56" t="s">
        <v>1116</v>
      </c>
      <c r="L612" s="121">
        <v>46266</v>
      </c>
      <c r="M612" s="122">
        <v>0.22916666666666666</v>
      </c>
      <c r="N612" s="122">
        <v>0.24027777777777778</v>
      </c>
      <c r="O612" s="56" t="s">
        <v>1047</v>
      </c>
      <c r="P612" s="121">
        <v>46266</v>
      </c>
      <c r="Q612" s="122">
        <v>0.28125</v>
      </c>
      <c r="R612" s="122">
        <v>0.28287037037037038</v>
      </c>
      <c r="S612" s="56" t="s">
        <v>1047</v>
      </c>
      <c r="T612" s="56">
        <v>1</v>
      </c>
      <c r="U612" s="56">
        <v>25</v>
      </c>
      <c r="V612" s="56">
        <v>26.66</v>
      </c>
      <c r="W612" s="56">
        <v>25.87</v>
      </c>
      <c r="X612" s="56" t="s">
        <v>2624</v>
      </c>
      <c r="Y612" s="56" t="s">
        <v>2624</v>
      </c>
      <c r="Z612" s="56" t="s">
        <v>2624</v>
      </c>
      <c r="AA612" s="56" t="s">
        <v>338</v>
      </c>
      <c r="AB612" s="56">
        <v>14121523</v>
      </c>
      <c r="AC612" s="56" t="s">
        <v>338</v>
      </c>
      <c r="AD612" s="56">
        <v>14121523</v>
      </c>
      <c r="AE612" s="56" t="s">
        <v>2626</v>
      </c>
      <c r="AF612" s="56" t="s">
        <v>2627</v>
      </c>
      <c r="AG612" s="56" t="s">
        <v>2627</v>
      </c>
      <c r="AH612" s="56">
        <v>36</v>
      </c>
      <c r="AI612" s="56" t="s">
        <v>2628</v>
      </c>
      <c r="AJ612" s="56" t="s">
        <v>2640</v>
      </c>
      <c r="AK612" s="56">
        <v>0</v>
      </c>
      <c r="AL612" s="56" t="s">
        <v>2630</v>
      </c>
      <c r="AM612" s="56" t="s">
        <v>2631</v>
      </c>
      <c r="AN612" s="56" t="s">
        <v>2632</v>
      </c>
      <c r="AO612" s="56" t="s">
        <v>2627</v>
      </c>
      <c r="AP612" s="56" t="s">
        <v>2624</v>
      </c>
      <c r="AQ612" s="123">
        <v>1.1111111111111127E-2</v>
      </c>
      <c r="AR612" s="122">
        <v>1.6203703703703831E-3</v>
      </c>
      <c r="AS612" s="56" t="s">
        <v>1048</v>
      </c>
      <c r="AT612" s="56" t="s">
        <v>1049</v>
      </c>
      <c r="AU612" s="56" t="s">
        <v>1050</v>
      </c>
      <c r="AV612" s="56">
        <v>36</v>
      </c>
      <c r="AW612" s="56" t="s">
        <v>1051</v>
      </c>
      <c r="AX612" s="56" t="s">
        <v>1683</v>
      </c>
      <c r="AY612" s="56" t="s">
        <v>1128</v>
      </c>
      <c r="AZ612" s="56" t="s">
        <v>1054</v>
      </c>
      <c r="BA612" s="56" t="s">
        <v>1684</v>
      </c>
      <c r="BB612" s="56" t="s">
        <v>1685</v>
      </c>
      <c r="BC612" s="56" t="s">
        <v>1057</v>
      </c>
      <c r="BD612" s="56" t="s">
        <v>2058</v>
      </c>
    </row>
    <row r="613" spans="1:56" x14ac:dyDescent="0.2">
      <c r="A613" s="56">
        <v>176595288</v>
      </c>
      <c r="B613" s="56" t="s">
        <v>1114</v>
      </c>
      <c r="C613" s="56" t="s">
        <v>2623</v>
      </c>
      <c r="D613" s="56" t="s">
        <v>1115</v>
      </c>
      <c r="E613" s="56" t="s">
        <v>1044</v>
      </c>
      <c r="F613" s="56">
        <v>98</v>
      </c>
      <c r="G613" s="56" t="s">
        <v>2670</v>
      </c>
      <c r="H613" s="56">
        <v>14692</v>
      </c>
      <c r="I613" s="56">
        <v>6</v>
      </c>
      <c r="J613" s="56" t="s">
        <v>1045</v>
      </c>
      <c r="K613" s="56" t="s">
        <v>1116</v>
      </c>
      <c r="L613" s="121">
        <v>46266</v>
      </c>
      <c r="M613" s="122">
        <v>0.22916666666666666</v>
      </c>
      <c r="N613" s="122">
        <v>0.24236111111111111</v>
      </c>
      <c r="O613" s="56" t="s">
        <v>1047</v>
      </c>
      <c r="P613" s="121">
        <v>46266</v>
      </c>
      <c r="Q613" s="122">
        <v>0.28125</v>
      </c>
      <c r="R613" s="122">
        <v>0.27665509259259258</v>
      </c>
      <c r="S613" s="56" t="s">
        <v>1047</v>
      </c>
      <c r="T613" s="56">
        <v>1</v>
      </c>
      <c r="U613" s="56">
        <v>31</v>
      </c>
      <c r="V613" s="56">
        <v>26.97</v>
      </c>
      <c r="W613" s="56">
        <v>26.77</v>
      </c>
      <c r="X613" s="56" t="s">
        <v>2624</v>
      </c>
      <c r="Y613" s="56" t="s">
        <v>2624</v>
      </c>
      <c r="Z613" s="56" t="s">
        <v>2624</v>
      </c>
      <c r="AA613" s="56" t="s">
        <v>958</v>
      </c>
      <c r="AB613" s="56">
        <v>14123725</v>
      </c>
      <c r="AC613" s="56" t="s">
        <v>958</v>
      </c>
      <c r="AD613" s="56">
        <v>14123725</v>
      </c>
      <c r="AE613" s="56" t="s">
        <v>2626</v>
      </c>
      <c r="AF613" s="56" t="s">
        <v>2627</v>
      </c>
      <c r="AG613" s="56" t="s">
        <v>2627</v>
      </c>
      <c r="AH613" s="56">
        <v>36</v>
      </c>
      <c r="AI613" s="56" t="s">
        <v>2628</v>
      </c>
      <c r="AJ613" s="56" t="s">
        <v>2629</v>
      </c>
      <c r="AK613" s="56">
        <v>0</v>
      </c>
      <c r="AL613" s="56" t="s">
        <v>2630</v>
      </c>
      <c r="AM613" s="56" t="s">
        <v>2631</v>
      </c>
      <c r="AN613" s="56" t="s">
        <v>2632</v>
      </c>
      <c r="AO613" s="56" t="s">
        <v>2627</v>
      </c>
      <c r="AP613" s="56">
        <v>37</v>
      </c>
      <c r="AQ613" s="123">
        <v>1.3194444444444453E-2</v>
      </c>
      <c r="AR613" s="122">
        <v>-4.5949074074074225E-3</v>
      </c>
      <c r="AS613" s="56" t="s">
        <v>1048</v>
      </c>
      <c r="AT613" s="56" t="s">
        <v>1049</v>
      </c>
      <c r="AU613" s="56" t="s">
        <v>1050</v>
      </c>
      <c r="AV613" s="56">
        <v>36</v>
      </c>
      <c r="AW613" s="56" t="s">
        <v>1051</v>
      </c>
      <c r="AX613" s="56" t="s">
        <v>1117</v>
      </c>
      <c r="AY613" s="56" t="s">
        <v>1118</v>
      </c>
      <c r="AZ613" s="56" t="s">
        <v>1054</v>
      </c>
      <c r="BA613" s="56" t="s">
        <v>1119</v>
      </c>
      <c r="BB613" s="56" t="s">
        <v>1120</v>
      </c>
      <c r="BC613" s="56" t="s">
        <v>1057</v>
      </c>
      <c r="BD613" s="56" t="s">
        <v>1121</v>
      </c>
    </row>
    <row r="614" spans="1:56" x14ac:dyDescent="0.2">
      <c r="A614" s="56">
        <v>176596690</v>
      </c>
      <c r="B614" s="56" t="s">
        <v>2288</v>
      </c>
      <c r="C614" s="56" t="s">
        <v>2623</v>
      </c>
      <c r="D614" s="56" t="s">
        <v>1754</v>
      </c>
      <c r="E614" s="56" t="s">
        <v>1044</v>
      </c>
      <c r="F614" s="56">
        <v>143</v>
      </c>
      <c r="G614" s="56" t="s">
        <v>2693</v>
      </c>
      <c r="H614" s="56">
        <v>14708</v>
      </c>
      <c r="I614" s="56">
        <v>6</v>
      </c>
      <c r="J614" s="56" t="s">
        <v>1045</v>
      </c>
      <c r="K614" s="56" t="s">
        <v>1116</v>
      </c>
      <c r="L614" s="121">
        <v>46266</v>
      </c>
      <c r="M614" s="122">
        <v>0.23055555555555557</v>
      </c>
      <c r="N614" s="122">
        <v>0.23402777777777778</v>
      </c>
      <c r="O614" s="56" t="s">
        <v>1047</v>
      </c>
      <c r="P614" s="121">
        <v>46266</v>
      </c>
      <c r="Q614" s="122">
        <v>0.28125</v>
      </c>
      <c r="R614" s="122">
        <v>0.26634259259259258</v>
      </c>
      <c r="S614" s="56" t="s">
        <v>1047</v>
      </c>
      <c r="T614" s="56">
        <v>1</v>
      </c>
      <c r="U614" s="56">
        <v>21</v>
      </c>
      <c r="V614" s="56">
        <v>20.79</v>
      </c>
      <c r="W614" s="56">
        <v>21.01</v>
      </c>
      <c r="X614" s="56" t="s">
        <v>2624</v>
      </c>
      <c r="Y614" s="56" t="s">
        <v>2624</v>
      </c>
      <c r="Z614" s="56" t="s">
        <v>2624</v>
      </c>
      <c r="AA614" s="56" t="s">
        <v>382</v>
      </c>
      <c r="AB614" s="56">
        <v>14122072</v>
      </c>
      <c r="AC614" s="56" t="s">
        <v>382</v>
      </c>
      <c r="AD614" s="56">
        <v>14122072</v>
      </c>
      <c r="AE614" s="56" t="s">
        <v>2626</v>
      </c>
      <c r="AF614" s="56" t="s">
        <v>2627</v>
      </c>
      <c r="AG614" s="56" t="s">
        <v>2627</v>
      </c>
      <c r="AH614" s="56">
        <v>36</v>
      </c>
      <c r="AI614" s="56" t="s">
        <v>2628</v>
      </c>
      <c r="AJ614" s="56" t="s">
        <v>2629</v>
      </c>
      <c r="AK614" s="56">
        <v>0</v>
      </c>
      <c r="AL614" s="56" t="s">
        <v>2630</v>
      </c>
      <c r="AM614" s="56" t="s">
        <v>2631</v>
      </c>
      <c r="AN614" s="56" t="s">
        <v>2632</v>
      </c>
      <c r="AO614" s="56" t="s">
        <v>2627</v>
      </c>
      <c r="AP614" s="56">
        <v>38</v>
      </c>
      <c r="AQ614" s="123">
        <v>3.4722222222222099E-3</v>
      </c>
      <c r="AR614" s="122">
        <v>-1.4907407407407425E-2</v>
      </c>
      <c r="AS614" s="56" t="s">
        <v>1048</v>
      </c>
      <c r="AT614" s="56" t="s">
        <v>1049</v>
      </c>
      <c r="AU614" s="56" t="s">
        <v>1050</v>
      </c>
      <c r="AV614" s="56">
        <v>36</v>
      </c>
      <c r="AW614" s="56" t="s">
        <v>1051</v>
      </c>
      <c r="AX614" s="56" t="s">
        <v>1755</v>
      </c>
      <c r="AY614" s="56" t="s">
        <v>1128</v>
      </c>
      <c r="AZ614" s="56" t="s">
        <v>1054</v>
      </c>
      <c r="BA614" s="56" t="s">
        <v>1756</v>
      </c>
      <c r="BB614" s="56" t="s">
        <v>1757</v>
      </c>
      <c r="BC614" s="56" t="s">
        <v>1057</v>
      </c>
      <c r="BD614" s="56" t="s">
        <v>2289</v>
      </c>
    </row>
    <row r="615" spans="1:56" x14ac:dyDescent="0.2">
      <c r="A615" s="56">
        <v>176578615</v>
      </c>
      <c r="B615" s="56" t="s">
        <v>3641</v>
      </c>
      <c r="C615" s="56" t="s">
        <v>2623</v>
      </c>
      <c r="D615" s="56" t="s">
        <v>2073</v>
      </c>
      <c r="E615" s="56" t="s">
        <v>1044</v>
      </c>
      <c r="F615" s="56">
        <v>18</v>
      </c>
      <c r="G615" s="56"/>
      <c r="H615" s="56">
        <v>5429</v>
      </c>
      <c r="I615" s="56">
        <v>6</v>
      </c>
      <c r="J615" s="56" t="s">
        <v>1045</v>
      </c>
      <c r="K615" s="56" t="s">
        <v>1123</v>
      </c>
      <c r="L615" s="121">
        <v>46266</v>
      </c>
      <c r="M615" s="122">
        <v>0.2361111111111111</v>
      </c>
      <c r="N615" s="122">
        <v>0.24097222222222223</v>
      </c>
      <c r="O615" s="56" t="s">
        <v>1047</v>
      </c>
      <c r="P615" s="121">
        <v>46266</v>
      </c>
      <c r="Q615" s="122">
        <v>0.27083333333333331</v>
      </c>
      <c r="R615" s="122">
        <v>0.263125</v>
      </c>
      <c r="S615" s="56" t="s">
        <v>1047</v>
      </c>
      <c r="T615" s="56">
        <v>1</v>
      </c>
      <c r="U615" s="56">
        <v>16</v>
      </c>
      <c r="V615" s="56">
        <v>10.029999999999999</v>
      </c>
      <c r="W615" s="56">
        <v>9.56</v>
      </c>
      <c r="X615" s="56" t="s">
        <v>2624</v>
      </c>
      <c r="Y615" s="56" t="s">
        <v>2624</v>
      </c>
      <c r="Z615" s="56" t="s">
        <v>2624</v>
      </c>
      <c r="AA615" s="56" t="s">
        <v>446</v>
      </c>
      <c r="AB615" s="56">
        <v>14122709</v>
      </c>
      <c r="AC615" s="56" t="s">
        <v>446</v>
      </c>
      <c r="AD615" s="56">
        <v>14122709</v>
      </c>
      <c r="AE615" s="56" t="s">
        <v>2626</v>
      </c>
      <c r="AF615" s="56" t="s">
        <v>2627</v>
      </c>
      <c r="AG615" s="56" t="s">
        <v>2627</v>
      </c>
      <c r="AH615" s="56">
        <v>36</v>
      </c>
      <c r="AI615" s="56" t="s">
        <v>2628</v>
      </c>
      <c r="AJ615" s="56" t="s">
        <v>2629</v>
      </c>
      <c r="AK615" s="56">
        <v>584.1</v>
      </c>
      <c r="AL615" s="56" t="s">
        <v>2630</v>
      </c>
      <c r="AM615" s="56" t="s">
        <v>2631</v>
      </c>
      <c r="AN615" s="56" t="s">
        <v>2632</v>
      </c>
      <c r="AO615" s="56" t="s">
        <v>2627</v>
      </c>
      <c r="AP615" s="56" t="s">
        <v>2624</v>
      </c>
      <c r="AQ615" s="123">
        <v>4.8611111111111216E-3</v>
      </c>
      <c r="AR615" s="122">
        <v>-7.7083333333333171E-3</v>
      </c>
      <c r="AS615" s="56" t="s">
        <v>1048</v>
      </c>
      <c r="AT615" s="56" t="s">
        <v>1049</v>
      </c>
      <c r="AU615" s="56" t="s">
        <v>1050</v>
      </c>
      <c r="AV615" s="56">
        <v>36</v>
      </c>
      <c r="AW615" s="56" t="s">
        <v>1051</v>
      </c>
      <c r="AX615" s="56" t="s">
        <v>2074</v>
      </c>
      <c r="AY615" s="56" t="s">
        <v>1124</v>
      </c>
      <c r="AZ615" s="56" t="s">
        <v>1054</v>
      </c>
      <c r="BA615" s="56" t="s">
        <v>2075</v>
      </c>
      <c r="BB615" s="56" t="s">
        <v>2076</v>
      </c>
      <c r="BC615" s="56" t="s">
        <v>1057</v>
      </c>
      <c r="BD615" s="56" t="s">
        <v>3642</v>
      </c>
    </row>
    <row r="616" spans="1:56" x14ac:dyDescent="0.2">
      <c r="A616" s="56">
        <v>176585630</v>
      </c>
      <c r="B616" s="56" t="s">
        <v>1430</v>
      </c>
      <c r="C616" s="56" t="s">
        <v>2623</v>
      </c>
      <c r="D616" s="56" t="s">
        <v>1431</v>
      </c>
      <c r="E616" s="56" t="s">
        <v>1044</v>
      </c>
      <c r="F616" s="56">
        <v>1</v>
      </c>
      <c r="G616" s="56"/>
      <c r="H616" s="56">
        <v>7943</v>
      </c>
      <c r="I616" s="56">
        <v>6</v>
      </c>
      <c r="J616" s="56" t="s">
        <v>1045</v>
      </c>
      <c r="K616" s="56" t="s">
        <v>1428</v>
      </c>
      <c r="L616" s="121">
        <v>46266</v>
      </c>
      <c r="M616" s="122">
        <v>0.2361111111111111</v>
      </c>
      <c r="N616" s="122">
        <v>0.24652777777777779</v>
      </c>
      <c r="O616" s="56" t="s">
        <v>1047</v>
      </c>
      <c r="P616" s="121">
        <v>46266</v>
      </c>
      <c r="Q616" s="122">
        <v>0.33333333333333331</v>
      </c>
      <c r="R616" s="122">
        <v>0.25833333333333336</v>
      </c>
      <c r="S616" s="56" t="s">
        <v>1047</v>
      </c>
      <c r="T616" s="56">
        <v>1</v>
      </c>
      <c r="U616" s="56">
        <v>29</v>
      </c>
      <c r="V616" s="56">
        <v>4.32</v>
      </c>
      <c r="W616" s="56">
        <v>1.91</v>
      </c>
      <c r="X616" s="56">
        <v>30.69</v>
      </c>
      <c r="Y616" s="56">
        <v>1.69</v>
      </c>
      <c r="Z616" s="56">
        <v>27.09</v>
      </c>
      <c r="AA616" s="56"/>
      <c r="AB616" s="56"/>
      <c r="AC616" s="56" t="s">
        <v>1187</v>
      </c>
      <c r="AD616" s="56"/>
      <c r="AE616" s="56" t="s">
        <v>2626</v>
      </c>
      <c r="AF616" s="56" t="s">
        <v>2627</v>
      </c>
      <c r="AG616" s="56" t="s">
        <v>2627</v>
      </c>
      <c r="AH616" s="56">
        <v>36</v>
      </c>
      <c r="AI616" s="56" t="s">
        <v>2628</v>
      </c>
      <c r="AJ616" s="56" t="s">
        <v>2629</v>
      </c>
      <c r="AK616" s="56" t="s">
        <v>2624</v>
      </c>
      <c r="AL616" s="56">
        <v>0</v>
      </c>
      <c r="AM616" s="56" t="s">
        <v>2694</v>
      </c>
      <c r="AN616" s="56" t="s">
        <v>2632</v>
      </c>
      <c r="AO616" s="56" t="s">
        <v>2627</v>
      </c>
      <c r="AP616" s="56" t="s">
        <v>2624</v>
      </c>
      <c r="AQ616" s="123">
        <v>1.0416666666666685E-2</v>
      </c>
      <c r="AR616" s="122">
        <v>-7.4999999999999956E-2</v>
      </c>
      <c r="AS616" s="56" t="s">
        <v>1048</v>
      </c>
      <c r="AT616" s="56" t="s">
        <v>1049</v>
      </c>
      <c r="AU616" s="56" t="s">
        <v>1050</v>
      </c>
      <c r="AV616" s="56">
        <v>36</v>
      </c>
      <c r="AW616" s="56" t="s">
        <v>1051</v>
      </c>
      <c r="AX616" s="56" t="s">
        <v>1432</v>
      </c>
      <c r="AY616" s="56" t="s">
        <v>1159</v>
      </c>
      <c r="AZ616" s="56" t="s">
        <v>1062</v>
      </c>
      <c r="BA616" s="56" t="s">
        <v>1433</v>
      </c>
      <c r="BB616" s="56" t="s">
        <v>1434</v>
      </c>
      <c r="BC616" s="56" t="s">
        <v>1057</v>
      </c>
      <c r="BD616" s="56" t="s">
        <v>1758</v>
      </c>
    </row>
    <row r="617" spans="1:56" x14ac:dyDescent="0.2">
      <c r="A617" s="56">
        <v>176596678</v>
      </c>
      <c r="B617" s="56" t="s">
        <v>1230</v>
      </c>
      <c r="C617" s="56" t="s">
        <v>2623</v>
      </c>
      <c r="D617" s="56" t="s">
        <v>1231</v>
      </c>
      <c r="E617" s="56" t="s">
        <v>1044</v>
      </c>
      <c r="F617" s="56">
        <v>139</v>
      </c>
      <c r="G617" s="56" t="s">
        <v>2693</v>
      </c>
      <c r="H617" s="56">
        <v>10359</v>
      </c>
      <c r="I617" s="56">
        <v>6</v>
      </c>
      <c r="J617" s="56" t="s">
        <v>1045</v>
      </c>
      <c r="K617" s="56" t="s">
        <v>1116</v>
      </c>
      <c r="L617" s="121">
        <v>46266</v>
      </c>
      <c r="M617" s="122">
        <v>0.2361111111111111</v>
      </c>
      <c r="N617" s="122">
        <v>0.24166666666666667</v>
      </c>
      <c r="O617" s="56" t="s">
        <v>1047</v>
      </c>
      <c r="P617" s="121">
        <v>46266</v>
      </c>
      <c r="Q617" s="122">
        <v>0.28125</v>
      </c>
      <c r="R617" s="122">
        <v>0.27159722222222221</v>
      </c>
      <c r="S617" s="56" t="s">
        <v>1047</v>
      </c>
      <c r="T617" s="56">
        <v>1</v>
      </c>
      <c r="U617" s="56">
        <v>23</v>
      </c>
      <c r="V617" s="56">
        <v>23.89</v>
      </c>
      <c r="W617" s="56">
        <v>26.31</v>
      </c>
      <c r="X617" s="56" t="s">
        <v>2624</v>
      </c>
      <c r="Y617" s="56" t="s">
        <v>2624</v>
      </c>
      <c r="Z617" s="56" t="s">
        <v>2624</v>
      </c>
      <c r="AA617" s="56" t="s">
        <v>1232</v>
      </c>
      <c r="AB617" s="56">
        <v>14112026</v>
      </c>
      <c r="AC617" s="56" t="s">
        <v>1232</v>
      </c>
      <c r="AD617" s="56">
        <v>14112026</v>
      </c>
      <c r="AE617" s="56" t="s">
        <v>2626</v>
      </c>
      <c r="AF617" s="56" t="s">
        <v>2627</v>
      </c>
      <c r="AG617" s="56" t="s">
        <v>2627</v>
      </c>
      <c r="AH617" s="56">
        <v>36</v>
      </c>
      <c r="AI617" s="56" t="s">
        <v>2628</v>
      </c>
      <c r="AJ617" s="56" t="s">
        <v>2629</v>
      </c>
      <c r="AK617" s="56">
        <v>0</v>
      </c>
      <c r="AL617" s="56" t="s">
        <v>2630</v>
      </c>
      <c r="AM617" s="56" t="s">
        <v>2631</v>
      </c>
      <c r="AN617" s="56" t="s">
        <v>2632</v>
      </c>
      <c r="AO617" s="56" t="s">
        <v>2627</v>
      </c>
      <c r="AP617" s="56">
        <v>28</v>
      </c>
      <c r="AQ617" s="123">
        <v>5.5555555555555636E-3</v>
      </c>
      <c r="AR617" s="122">
        <v>-9.6527777777777879E-3</v>
      </c>
      <c r="AS617" s="56" t="s">
        <v>1048</v>
      </c>
      <c r="AT617" s="56" t="s">
        <v>1049</v>
      </c>
      <c r="AU617" s="56" t="s">
        <v>1050</v>
      </c>
      <c r="AV617" s="56">
        <v>36</v>
      </c>
      <c r="AW617" s="56" t="s">
        <v>1051</v>
      </c>
      <c r="AX617" s="56" t="s">
        <v>1233</v>
      </c>
      <c r="AY617" s="56" t="s">
        <v>1128</v>
      </c>
      <c r="AZ617" s="56" t="s">
        <v>1054</v>
      </c>
      <c r="BA617" s="56" t="s">
        <v>1234</v>
      </c>
      <c r="BB617" s="56" t="s">
        <v>1235</v>
      </c>
      <c r="BC617" s="56" t="s">
        <v>1057</v>
      </c>
      <c r="BD617" s="56" t="s">
        <v>1236</v>
      </c>
    </row>
    <row r="618" spans="1:56" x14ac:dyDescent="0.2">
      <c r="A618" s="56">
        <v>176596177</v>
      </c>
      <c r="B618" s="56" t="s">
        <v>2062</v>
      </c>
      <c r="C618" s="56" t="s">
        <v>2623</v>
      </c>
      <c r="D618" s="56" t="s">
        <v>1317</v>
      </c>
      <c r="E618" s="56" t="s">
        <v>1044</v>
      </c>
      <c r="F618" s="56">
        <v>114</v>
      </c>
      <c r="G618" s="56" t="s">
        <v>2670</v>
      </c>
      <c r="H618" s="56">
        <v>13289</v>
      </c>
      <c r="I618" s="56">
        <v>6</v>
      </c>
      <c r="J618" s="56" t="s">
        <v>1045</v>
      </c>
      <c r="K618" s="56" t="s">
        <v>1116</v>
      </c>
      <c r="L618" s="121">
        <v>46266</v>
      </c>
      <c r="M618" s="122">
        <v>0.24166666666666667</v>
      </c>
      <c r="N618" s="122">
        <v>0.24722222222222223</v>
      </c>
      <c r="O618" s="56" t="s">
        <v>1047</v>
      </c>
      <c r="P618" s="121">
        <v>46266</v>
      </c>
      <c r="Q618" s="122">
        <v>0.28125</v>
      </c>
      <c r="R618" s="122">
        <v>0.27189814814814817</v>
      </c>
      <c r="S618" s="56" t="s">
        <v>1047</v>
      </c>
      <c r="T618" s="56">
        <v>1</v>
      </c>
      <c r="U618" s="56">
        <v>26</v>
      </c>
      <c r="V618" s="56">
        <v>20.89</v>
      </c>
      <c r="W618" s="56">
        <v>20.39</v>
      </c>
      <c r="X618" s="56" t="s">
        <v>2624</v>
      </c>
      <c r="Y618" s="56" t="s">
        <v>2624</v>
      </c>
      <c r="Z618" s="56" t="s">
        <v>2624</v>
      </c>
      <c r="AA618" s="56" t="s">
        <v>224</v>
      </c>
      <c r="AB618" s="56">
        <v>14118956</v>
      </c>
      <c r="AC618" s="56" t="s">
        <v>224</v>
      </c>
      <c r="AD618" s="56">
        <v>14118956</v>
      </c>
      <c r="AE618" s="56" t="s">
        <v>2626</v>
      </c>
      <c r="AF618" s="56" t="s">
        <v>2627</v>
      </c>
      <c r="AG618" s="56" t="s">
        <v>2627</v>
      </c>
      <c r="AH618" s="56">
        <v>36</v>
      </c>
      <c r="AI618" s="56" t="s">
        <v>2628</v>
      </c>
      <c r="AJ618" s="56" t="s">
        <v>2629</v>
      </c>
      <c r="AK618" s="56">
        <v>0</v>
      </c>
      <c r="AL618" s="56" t="s">
        <v>2630</v>
      </c>
      <c r="AM618" s="56" t="s">
        <v>2631</v>
      </c>
      <c r="AN618" s="56" t="s">
        <v>2632</v>
      </c>
      <c r="AO618" s="56" t="s">
        <v>2627</v>
      </c>
      <c r="AP618" s="56" t="s">
        <v>2624</v>
      </c>
      <c r="AQ618" s="123">
        <v>5.5555555555555636E-3</v>
      </c>
      <c r="AR618" s="122">
        <v>-9.3518518518518334E-3</v>
      </c>
      <c r="AS618" s="56" t="s">
        <v>1048</v>
      </c>
      <c r="AT618" s="56" t="s">
        <v>1049</v>
      </c>
      <c r="AU618" s="56" t="s">
        <v>1050</v>
      </c>
      <c r="AV618" s="56">
        <v>36</v>
      </c>
      <c r="AW618" s="56" t="s">
        <v>1051</v>
      </c>
      <c r="AX618" s="56" t="s">
        <v>1318</v>
      </c>
      <c r="AY618" s="56" t="s">
        <v>1118</v>
      </c>
      <c r="AZ618" s="56" t="s">
        <v>1054</v>
      </c>
      <c r="BA618" s="56" t="s">
        <v>1319</v>
      </c>
      <c r="BB618" s="56" t="s">
        <v>1320</v>
      </c>
      <c r="BC618" s="56" t="s">
        <v>1057</v>
      </c>
      <c r="BD618" s="56" t="s">
        <v>2063</v>
      </c>
    </row>
    <row r="619" spans="1:56" x14ac:dyDescent="0.2">
      <c r="A619" s="56">
        <v>176596171</v>
      </c>
      <c r="B619" s="56" t="s">
        <v>3178</v>
      </c>
      <c r="C619" s="56" t="s">
        <v>2623</v>
      </c>
      <c r="D619" s="56" t="s">
        <v>2281</v>
      </c>
      <c r="E619" s="56" t="s">
        <v>1044</v>
      </c>
      <c r="F619" s="56">
        <v>112</v>
      </c>
      <c r="G619" s="56" t="s">
        <v>2693</v>
      </c>
      <c r="H619" s="56">
        <v>13374</v>
      </c>
      <c r="I619" s="56">
        <v>8</v>
      </c>
      <c r="J619" s="56" t="s">
        <v>1045</v>
      </c>
      <c r="K619" s="56" t="s">
        <v>1116</v>
      </c>
      <c r="L619" s="121">
        <v>46266</v>
      </c>
      <c r="M619" s="122">
        <v>0.25</v>
      </c>
      <c r="N619" s="122">
        <v>0.25486111111111109</v>
      </c>
      <c r="O619" s="56" t="s">
        <v>1047</v>
      </c>
      <c r="P619" s="121">
        <v>46266</v>
      </c>
      <c r="Q619" s="122">
        <v>0.28125</v>
      </c>
      <c r="R619" s="122">
        <v>0.2722222222222222</v>
      </c>
      <c r="S619" s="56" t="s">
        <v>1047</v>
      </c>
      <c r="T619" s="56">
        <v>0</v>
      </c>
      <c r="U619" s="56">
        <v>17</v>
      </c>
      <c r="V619" s="56">
        <v>11.67</v>
      </c>
      <c r="W619" s="56">
        <v>11.22</v>
      </c>
      <c r="X619" s="56">
        <v>16.34</v>
      </c>
      <c r="Y619" s="56">
        <v>1.84</v>
      </c>
      <c r="Z619" s="56">
        <v>3.28</v>
      </c>
      <c r="AA619" s="56" t="s">
        <v>247</v>
      </c>
      <c r="AB619" s="56">
        <v>14119437</v>
      </c>
      <c r="AC619" s="56" t="s">
        <v>247</v>
      </c>
      <c r="AD619" s="56">
        <v>14119437</v>
      </c>
      <c r="AE619" s="56" t="s">
        <v>2626</v>
      </c>
      <c r="AF619" s="56" t="s">
        <v>2627</v>
      </c>
      <c r="AG619" s="56" t="s">
        <v>2627</v>
      </c>
      <c r="AH619" s="56">
        <v>36</v>
      </c>
      <c r="AI619" s="56" t="s">
        <v>2628</v>
      </c>
      <c r="AJ619" s="56" t="s">
        <v>2629</v>
      </c>
      <c r="AK619" s="56">
        <v>0</v>
      </c>
      <c r="AL619" s="56" t="s">
        <v>2630</v>
      </c>
      <c r="AM619" s="56" t="s">
        <v>2631</v>
      </c>
      <c r="AN619" s="56" t="s">
        <v>2632</v>
      </c>
      <c r="AO619" s="56" t="s">
        <v>2627</v>
      </c>
      <c r="AP619" s="56" t="s">
        <v>2624</v>
      </c>
      <c r="AQ619" s="123">
        <v>4.8611111111110938E-3</v>
      </c>
      <c r="AR619" s="122">
        <v>-9.0277777777778012E-3</v>
      </c>
      <c r="AS619" s="56" t="s">
        <v>1048</v>
      </c>
      <c r="AT619" s="56" t="s">
        <v>1049</v>
      </c>
      <c r="AU619" s="56" t="s">
        <v>1050</v>
      </c>
      <c r="AV619" s="56">
        <v>36</v>
      </c>
      <c r="AW619" s="56" t="s">
        <v>1051</v>
      </c>
      <c r="AX619" s="56" t="s">
        <v>2825</v>
      </c>
      <c r="AY619" s="56" t="s">
        <v>1128</v>
      </c>
      <c r="AZ619" s="56" t="s">
        <v>1054</v>
      </c>
      <c r="BA619" s="56" t="s">
        <v>2826</v>
      </c>
      <c r="BB619" s="56" t="s">
        <v>2827</v>
      </c>
      <c r="BC619" s="56" t="s">
        <v>1057</v>
      </c>
      <c r="BD619" s="56" t="s">
        <v>3179</v>
      </c>
    </row>
    <row r="620" spans="1:56" x14ac:dyDescent="0.2">
      <c r="A620" s="56">
        <v>176590729</v>
      </c>
      <c r="B620" s="56" t="s">
        <v>1361</v>
      </c>
      <c r="C620" s="56" t="s">
        <v>2623</v>
      </c>
      <c r="D620" s="56" t="s">
        <v>1362</v>
      </c>
      <c r="E620" s="56" t="s">
        <v>1044</v>
      </c>
      <c r="F620" s="56">
        <v>28</v>
      </c>
      <c r="G620" s="56"/>
      <c r="H620" s="56">
        <v>15485</v>
      </c>
      <c r="I620" s="56">
        <v>6</v>
      </c>
      <c r="J620" s="56" t="s">
        <v>1045</v>
      </c>
      <c r="K620" s="56" t="s">
        <v>1046</v>
      </c>
      <c r="L620" s="121">
        <v>46266</v>
      </c>
      <c r="M620" s="122">
        <v>0.26041666666666669</v>
      </c>
      <c r="N620" s="122">
        <v>0.26527777777777778</v>
      </c>
      <c r="O620" s="56" t="s">
        <v>1047</v>
      </c>
      <c r="P620" s="121">
        <v>46266</v>
      </c>
      <c r="Q620" s="122">
        <v>0.3125</v>
      </c>
      <c r="R620" s="122">
        <v>0.30328703703703702</v>
      </c>
      <c r="S620" s="56" t="s">
        <v>1047</v>
      </c>
      <c r="T620" s="56">
        <v>1</v>
      </c>
      <c r="U620" s="56">
        <v>62</v>
      </c>
      <c r="V620" s="56">
        <v>58.76</v>
      </c>
      <c r="W620" s="56">
        <v>58.58</v>
      </c>
      <c r="X620" s="56" t="s">
        <v>2624</v>
      </c>
      <c r="Y620" s="56" t="s">
        <v>2624</v>
      </c>
      <c r="Z620" s="56" t="s">
        <v>2624</v>
      </c>
      <c r="AA620" s="56" t="s">
        <v>336</v>
      </c>
      <c r="AB620" s="56">
        <v>14110604</v>
      </c>
      <c r="AC620" s="56" t="s">
        <v>336</v>
      </c>
      <c r="AD620" s="56">
        <v>14110604</v>
      </c>
      <c r="AE620" s="56" t="s">
        <v>2626</v>
      </c>
      <c r="AF620" s="56" t="s">
        <v>2627</v>
      </c>
      <c r="AG620" s="56" t="s">
        <v>2627</v>
      </c>
      <c r="AH620" s="56">
        <v>36</v>
      </c>
      <c r="AI620" s="56" t="s">
        <v>2628</v>
      </c>
      <c r="AJ620" s="56" t="s">
        <v>2629</v>
      </c>
      <c r="AK620" s="56">
        <v>0</v>
      </c>
      <c r="AL620" s="56" t="s">
        <v>2630</v>
      </c>
      <c r="AM620" s="56" t="s">
        <v>2631</v>
      </c>
      <c r="AN620" s="56" t="s">
        <v>2632</v>
      </c>
      <c r="AO620" s="56" t="s">
        <v>2627</v>
      </c>
      <c r="AP620" s="56" t="s">
        <v>2624</v>
      </c>
      <c r="AQ620" s="123">
        <v>4.8611111111110938E-3</v>
      </c>
      <c r="AR620" s="122">
        <v>-9.2129629629629783E-3</v>
      </c>
      <c r="AS620" s="56" t="s">
        <v>1048</v>
      </c>
      <c r="AT620" s="56" t="s">
        <v>1049</v>
      </c>
      <c r="AU620" s="56" t="s">
        <v>1050</v>
      </c>
      <c r="AV620" s="56">
        <v>36</v>
      </c>
      <c r="AW620" s="56" t="s">
        <v>1051</v>
      </c>
      <c r="AX620" s="56" t="s">
        <v>1363</v>
      </c>
      <c r="AY620" s="56" t="s">
        <v>1053</v>
      </c>
      <c r="AZ620" s="56" t="s">
        <v>1054</v>
      </c>
      <c r="BA620" s="56" t="s">
        <v>1364</v>
      </c>
      <c r="BB620" s="56" t="s">
        <v>1365</v>
      </c>
      <c r="BC620" s="56" t="s">
        <v>1057</v>
      </c>
      <c r="BD620" s="56" t="s">
        <v>1366</v>
      </c>
    </row>
    <row r="621" spans="1:56" x14ac:dyDescent="0.2">
      <c r="A621" s="56">
        <v>176585181</v>
      </c>
      <c r="B621" s="56" t="s">
        <v>1367</v>
      </c>
      <c r="C621" s="56" t="s">
        <v>2623</v>
      </c>
      <c r="D621" s="56" t="s">
        <v>1368</v>
      </c>
      <c r="E621" s="56" t="s">
        <v>1044</v>
      </c>
      <c r="F621" s="56">
        <v>1</v>
      </c>
      <c r="G621" s="56" t="s">
        <v>2713</v>
      </c>
      <c r="H621" s="56">
        <v>16783</v>
      </c>
      <c r="I621" s="56">
        <v>6</v>
      </c>
      <c r="J621" s="56" t="s">
        <v>1045</v>
      </c>
      <c r="K621" s="56" t="s">
        <v>1091</v>
      </c>
      <c r="L621" s="121">
        <v>46266</v>
      </c>
      <c r="M621" s="122">
        <v>0.27430555555555558</v>
      </c>
      <c r="N621" s="122">
        <v>0.28125</v>
      </c>
      <c r="O621" s="56" t="s">
        <v>1047</v>
      </c>
      <c r="P621" s="121">
        <v>46266</v>
      </c>
      <c r="Q621" s="122">
        <v>0.33333333333333331</v>
      </c>
      <c r="R621" s="122">
        <v>0.32578703703703704</v>
      </c>
      <c r="S621" s="56" t="s">
        <v>1047</v>
      </c>
      <c r="T621" s="56">
        <v>1</v>
      </c>
      <c r="U621" s="56">
        <v>28</v>
      </c>
      <c r="V621" s="56">
        <v>24.62</v>
      </c>
      <c r="W621" s="56">
        <v>23.15</v>
      </c>
      <c r="X621" s="56" t="s">
        <v>2624</v>
      </c>
      <c r="Y621" s="56" t="s">
        <v>2624</v>
      </c>
      <c r="Z621" s="56" t="s">
        <v>2624</v>
      </c>
      <c r="AA621" s="56" t="s">
        <v>1805</v>
      </c>
      <c r="AB621" s="56">
        <v>14122067</v>
      </c>
      <c r="AC621" s="56" t="s">
        <v>1805</v>
      </c>
      <c r="AD621" s="56">
        <v>14122067</v>
      </c>
      <c r="AE621" s="56" t="s">
        <v>2626</v>
      </c>
      <c r="AF621" s="56" t="s">
        <v>2627</v>
      </c>
      <c r="AG621" s="56" t="s">
        <v>2627</v>
      </c>
      <c r="AH621" s="56">
        <v>36</v>
      </c>
      <c r="AI621" s="56" t="s">
        <v>2628</v>
      </c>
      <c r="AJ621" s="56" t="s">
        <v>2629</v>
      </c>
      <c r="AK621" s="56">
        <v>0</v>
      </c>
      <c r="AL621" s="56" t="s">
        <v>2630</v>
      </c>
      <c r="AM621" s="56" t="s">
        <v>2631</v>
      </c>
      <c r="AN621" s="56" t="s">
        <v>2632</v>
      </c>
      <c r="AO621" s="56" t="s">
        <v>2627</v>
      </c>
      <c r="AP621" s="56" t="s">
        <v>2624</v>
      </c>
      <c r="AQ621" s="123">
        <v>6.9444444444444198E-3</v>
      </c>
      <c r="AR621" s="122">
        <v>-7.5462962962962732E-3</v>
      </c>
      <c r="AS621" s="56" t="s">
        <v>1048</v>
      </c>
      <c r="AT621" s="56" t="s">
        <v>1049</v>
      </c>
      <c r="AU621" s="56" t="s">
        <v>1050</v>
      </c>
      <c r="AV621" s="56">
        <v>36</v>
      </c>
      <c r="AW621" s="56" t="s">
        <v>1051</v>
      </c>
      <c r="AX621" s="56" t="s">
        <v>1370</v>
      </c>
      <c r="AY621" s="56" t="s">
        <v>1093</v>
      </c>
      <c r="AZ621" s="56" t="s">
        <v>1067</v>
      </c>
      <c r="BA621" s="56" t="s">
        <v>1371</v>
      </c>
      <c r="BB621" s="56" t="s">
        <v>1372</v>
      </c>
      <c r="BC621" s="56" t="s">
        <v>1057</v>
      </c>
      <c r="BD621" s="56" t="s">
        <v>1373</v>
      </c>
    </row>
    <row r="622" spans="1:56" x14ac:dyDescent="0.2">
      <c r="A622" s="56">
        <v>176585183</v>
      </c>
      <c r="B622" s="56" t="s">
        <v>2258</v>
      </c>
      <c r="C622" s="56" t="s">
        <v>2623</v>
      </c>
      <c r="D622" s="56" t="s">
        <v>2259</v>
      </c>
      <c r="E622" s="56" t="s">
        <v>1044</v>
      </c>
      <c r="F622" s="56">
        <v>3</v>
      </c>
      <c r="G622" s="56" t="s">
        <v>2713</v>
      </c>
      <c r="H622" s="56">
        <v>17355</v>
      </c>
      <c r="I622" s="56">
        <v>6</v>
      </c>
      <c r="J622" s="56" t="s">
        <v>1045</v>
      </c>
      <c r="K622" s="56" t="s">
        <v>1091</v>
      </c>
      <c r="L622" s="121">
        <v>46266</v>
      </c>
      <c r="M622" s="122">
        <v>0.28125</v>
      </c>
      <c r="N622" s="122">
        <v>0.28472222222222221</v>
      </c>
      <c r="O622" s="56" t="s">
        <v>1047</v>
      </c>
      <c r="P622" s="121">
        <v>46266</v>
      </c>
      <c r="Q622" s="122">
        <v>0.33333333333333331</v>
      </c>
      <c r="R622" s="122">
        <v>0.3369212962962963</v>
      </c>
      <c r="S622" s="56" t="s">
        <v>1047</v>
      </c>
      <c r="T622" s="56">
        <v>1</v>
      </c>
      <c r="U622" s="56">
        <v>27</v>
      </c>
      <c r="V622" s="56">
        <v>23.42</v>
      </c>
      <c r="W622" s="56">
        <v>25.76</v>
      </c>
      <c r="X622" s="56" t="s">
        <v>2624</v>
      </c>
      <c r="Y622" s="56" t="s">
        <v>2624</v>
      </c>
      <c r="Z622" s="56" t="s">
        <v>2624</v>
      </c>
      <c r="AA622" s="56" t="s">
        <v>1448</v>
      </c>
      <c r="AB622" s="56">
        <v>14115917</v>
      </c>
      <c r="AC622" s="56" t="s">
        <v>1448</v>
      </c>
      <c r="AD622" s="56">
        <v>14115917</v>
      </c>
      <c r="AE622" s="56" t="s">
        <v>2626</v>
      </c>
      <c r="AF622" s="56" t="s">
        <v>2627</v>
      </c>
      <c r="AG622" s="56" t="s">
        <v>2627</v>
      </c>
      <c r="AH622" s="56">
        <v>36</v>
      </c>
      <c r="AI622" s="56" t="s">
        <v>2628</v>
      </c>
      <c r="AJ622" s="56" t="s">
        <v>2640</v>
      </c>
      <c r="AK622" s="56">
        <v>0</v>
      </c>
      <c r="AL622" s="56" t="s">
        <v>2630</v>
      </c>
      <c r="AM622" s="56" t="s">
        <v>2631</v>
      </c>
      <c r="AN622" s="56" t="s">
        <v>2632</v>
      </c>
      <c r="AO622" s="56" t="s">
        <v>2627</v>
      </c>
      <c r="AP622" s="56" t="s">
        <v>2624</v>
      </c>
      <c r="AQ622" s="123">
        <v>3.4722222222222099E-3</v>
      </c>
      <c r="AR622" s="122">
        <v>3.5879629629629872E-3</v>
      </c>
      <c r="AS622" s="56" t="s">
        <v>1048</v>
      </c>
      <c r="AT622" s="56" t="s">
        <v>1059</v>
      </c>
      <c r="AU622" s="56" t="s">
        <v>1060</v>
      </c>
      <c r="AV622" s="56">
        <v>36</v>
      </c>
      <c r="AW622" s="56" t="s">
        <v>1051</v>
      </c>
      <c r="AX622" s="56" t="s">
        <v>2260</v>
      </c>
      <c r="AY622" s="56" t="s">
        <v>1093</v>
      </c>
      <c r="AZ622" s="56" t="s">
        <v>1067</v>
      </c>
      <c r="BA622" s="56" t="s">
        <v>2261</v>
      </c>
      <c r="BB622" s="56" t="s">
        <v>2262</v>
      </c>
      <c r="BC622" s="56" t="s">
        <v>1057</v>
      </c>
      <c r="BD622" s="56" t="s">
        <v>2263</v>
      </c>
    </row>
    <row r="623" spans="1:56" x14ac:dyDescent="0.2">
      <c r="A623" s="56">
        <v>176585188</v>
      </c>
      <c r="B623" s="56" t="s">
        <v>3643</v>
      </c>
      <c r="C623" s="56" t="s">
        <v>2623</v>
      </c>
      <c r="D623" s="56" t="s">
        <v>3644</v>
      </c>
      <c r="E623" s="56" t="s">
        <v>1044</v>
      </c>
      <c r="F623" s="56">
        <v>5</v>
      </c>
      <c r="G623" s="56" t="s">
        <v>2713</v>
      </c>
      <c r="H623" s="56">
        <v>13901</v>
      </c>
      <c r="I623" s="56">
        <v>6</v>
      </c>
      <c r="J623" s="56" t="s">
        <v>1045</v>
      </c>
      <c r="K623" s="56" t="s">
        <v>1091</v>
      </c>
      <c r="L623" s="121">
        <v>46266</v>
      </c>
      <c r="M623" s="122">
        <v>0.28125</v>
      </c>
      <c r="N623" s="122">
        <v>0.28541666666666665</v>
      </c>
      <c r="O623" s="56" t="s">
        <v>1047</v>
      </c>
      <c r="P623" s="121">
        <v>46266</v>
      </c>
      <c r="Q623" s="122">
        <v>0.33333333333333331</v>
      </c>
      <c r="R623" s="122">
        <v>0.34284722222222225</v>
      </c>
      <c r="S623" s="56" t="s">
        <v>1047</v>
      </c>
      <c r="T623" s="56">
        <v>1</v>
      </c>
      <c r="U623" s="56">
        <v>18</v>
      </c>
      <c r="V623" s="56">
        <v>15.01</v>
      </c>
      <c r="W623" s="56">
        <v>15.87</v>
      </c>
      <c r="X623" s="56" t="s">
        <v>2624</v>
      </c>
      <c r="Y623" s="56" t="s">
        <v>2624</v>
      </c>
      <c r="Z623" s="56" t="s">
        <v>2624</v>
      </c>
      <c r="AA623" s="56" t="s">
        <v>909</v>
      </c>
      <c r="AB623" s="56">
        <v>14123651</v>
      </c>
      <c r="AC623" s="56" t="s">
        <v>909</v>
      </c>
      <c r="AD623" s="56">
        <v>14123651</v>
      </c>
      <c r="AE623" s="56" t="s">
        <v>2626</v>
      </c>
      <c r="AF623" s="56" t="s">
        <v>2627</v>
      </c>
      <c r="AG623" s="56" t="s">
        <v>2627</v>
      </c>
      <c r="AH623" s="56">
        <v>36</v>
      </c>
      <c r="AI623" s="56" t="s">
        <v>2628</v>
      </c>
      <c r="AJ623" s="56" t="s">
        <v>2640</v>
      </c>
      <c r="AK623" s="56">
        <v>0</v>
      </c>
      <c r="AL623" s="56" t="s">
        <v>2630</v>
      </c>
      <c r="AM623" s="56" t="s">
        <v>2631</v>
      </c>
      <c r="AN623" s="56" t="s">
        <v>2632</v>
      </c>
      <c r="AO623" s="56" t="s">
        <v>2627</v>
      </c>
      <c r="AP623" s="56" t="s">
        <v>2624</v>
      </c>
      <c r="AQ623" s="123">
        <v>4.1666666666666519E-3</v>
      </c>
      <c r="AR623" s="122">
        <v>9.5138888888889328E-3</v>
      </c>
      <c r="AS623" s="56" t="s">
        <v>1048</v>
      </c>
      <c r="AT623" s="56" t="s">
        <v>1059</v>
      </c>
      <c r="AU623" s="56" t="s">
        <v>1060</v>
      </c>
      <c r="AV623" s="56">
        <v>36</v>
      </c>
      <c r="AW623" s="56" t="s">
        <v>1051</v>
      </c>
      <c r="AX623" s="56" t="s">
        <v>3645</v>
      </c>
      <c r="AY623" s="56" t="s">
        <v>1093</v>
      </c>
      <c r="AZ623" s="56" t="s">
        <v>1067</v>
      </c>
      <c r="BA623" s="56" t="s">
        <v>3646</v>
      </c>
      <c r="BB623" s="56" t="s">
        <v>3647</v>
      </c>
      <c r="BC623" s="56" t="s">
        <v>1057</v>
      </c>
      <c r="BD623" s="56" t="s">
        <v>3648</v>
      </c>
    </row>
    <row r="624" spans="1:56" x14ac:dyDescent="0.2">
      <c r="A624" s="56">
        <v>176592304</v>
      </c>
      <c r="B624" s="56" t="s">
        <v>1381</v>
      </c>
      <c r="C624" s="56" t="s">
        <v>2623</v>
      </c>
      <c r="D624" s="56" t="s">
        <v>1382</v>
      </c>
      <c r="E624" s="56" t="s">
        <v>1044</v>
      </c>
      <c r="F624" s="56">
        <v>113</v>
      </c>
      <c r="G624" s="56" t="s">
        <v>2727</v>
      </c>
      <c r="H624" s="56">
        <v>16736</v>
      </c>
      <c r="I624" s="56">
        <v>6</v>
      </c>
      <c r="J624" s="56" t="s">
        <v>1045</v>
      </c>
      <c r="K624" s="56" t="s">
        <v>1374</v>
      </c>
      <c r="L624" s="121">
        <v>46266</v>
      </c>
      <c r="M624" s="122">
        <v>0.28333333333333333</v>
      </c>
      <c r="N624" s="122">
        <v>0.29305555555555557</v>
      </c>
      <c r="O624" s="56" t="s">
        <v>1047</v>
      </c>
      <c r="P624" s="121">
        <v>46266</v>
      </c>
      <c r="Q624" s="122">
        <v>0.34722222222222221</v>
      </c>
      <c r="R624" s="122">
        <v>0.32229166666666664</v>
      </c>
      <c r="S624" s="56" t="s">
        <v>1047</v>
      </c>
      <c r="T624" s="56">
        <v>1</v>
      </c>
      <c r="U624" s="56">
        <v>30</v>
      </c>
      <c r="V624" s="56">
        <v>25.2</v>
      </c>
      <c r="W624" s="56">
        <v>24.46</v>
      </c>
      <c r="X624" s="56" t="s">
        <v>2624</v>
      </c>
      <c r="Y624" s="56" t="s">
        <v>2624</v>
      </c>
      <c r="Z624" s="56" t="s">
        <v>2624</v>
      </c>
      <c r="AA624" s="56" t="s">
        <v>19</v>
      </c>
      <c r="AB624" s="56">
        <v>14100740</v>
      </c>
      <c r="AC624" s="56" t="s">
        <v>19</v>
      </c>
      <c r="AD624" s="56">
        <v>14100740</v>
      </c>
      <c r="AE624" s="56" t="s">
        <v>2626</v>
      </c>
      <c r="AF624" s="56" t="s">
        <v>2627</v>
      </c>
      <c r="AG624" s="56" t="s">
        <v>2627</v>
      </c>
      <c r="AH624" s="56">
        <v>36</v>
      </c>
      <c r="AI624" s="56" t="s">
        <v>2628</v>
      </c>
      <c r="AJ624" s="56" t="s">
        <v>2629</v>
      </c>
      <c r="AK624" s="56">
        <v>0</v>
      </c>
      <c r="AL624" s="56" t="s">
        <v>2630</v>
      </c>
      <c r="AM624" s="56" t="s">
        <v>2631</v>
      </c>
      <c r="AN624" s="56" t="s">
        <v>2632</v>
      </c>
      <c r="AO624" s="56" t="s">
        <v>2627</v>
      </c>
      <c r="AP624" s="56" t="s">
        <v>2624</v>
      </c>
      <c r="AQ624" s="123">
        <v>9.7222222222222432E-3</v>
      </c>
      <c r="AR624" s="122">
        <v>-2.4930555555555567E-2</v>
      </c>
      <c r="AS624" s="56" t="s">
        <v>1048</v>
      </c>
      <c r="AT624" s="56" t="s">
        <v>1049</v>
      </c>
      <c r="AU624" s="56" t="s">
        <v>1050</v>
      </c>
      <c r="AV624" s="56">
        <v>36</v>
      </c>
      <c r="AW624" s="56" t="s">
        <v>1051</v>
      </c>
      <c r="AX624" s="56" t="s">
        <v>1383</v>
      </c>
      <c r="AY624" s="56" t="s">
        <v>1375</v>
      </c>
      <c r="AZ624" s="56" t="s">
        <v>1067</v>
      </c>
      <c r="BA624" s="56" t="s">
        <v>1384</v>
      </c>
      <c r="BB624" s="56" t="s">
        <v>1385</v>
      </c>
      <c r="BC624" s="56" t="s">
        <v>1057</v>
      </c>
      <c r="BD624" s="56" t="s">
        <v>1386</v>
      </c>
    </row>
    <row r="625" spans="1:56" x14ac:dyDescent="0.2">
      <c r="A625" s="56">
        <v>176592267</v>
      </c>
      <c r="B625" s="56" t="s">
        <v>1387</v>
      </c>
      <c r="C625" s="56" t="s">
        <v>2623</v>
      </c>
      <c r="D625" s="56" t="s">
        <v>1388</v>
      </c>
      <c r="E625" s="56" t="s">
        <v>1044</v>
      </c>
      <c r="F625" s="56">
        <v>76</v>
      </c>
      <c r="G625" s="56" t="s">
        <v>2714</v>
      </c>
      <c r="H625" s="56">
        <v>13408</v>
      </c>
      <c r="I625" s="56">
        <v>6</v>
      </c>
      <c r="J625" s="56" t="s">
        <v>1045</v>
      </c>
      <c r="K625" s="56" t="s">
        <v>1374</v>
      </c>
      <c r="L625" s="121">
        <v>46266</v>
      </c>
      <c r="M625" s="122">
        <v>0.28472222222222221</v>
      </c>
      <c r="N625" s="122">
        <v>0.29305555555555557</v>
      </c>
      <c r="O625" s="56" t="s">
        <v>1047</v>
      </c>
      <c r="P625" s="121">
        <v>46266</v>
      </c>
      <c r="Q625" s="122">
        <v>0.34722222222222221</v>
      </c>
      <c r="R625" s="122">
        <v>0.33045138888888886</v>
      </c>
      <c r="S625" s="56" t="s">
        <v>1047</v>
      </c>
      <c r="T625" s="56">
        <v>1</v>
      </c>
      <c r="U625" s="56">
        <v>35</v>
      </c>
      <c r="V625" s="56">
        <v>33.72</v>
      </c>
      <c r="W625" s="56">
        <v>33.82</v>
      </c>
      <c r="X625" s="56" t="s">
        <v>2624</v>
      </c>
      <c r="Y625" s="56" t="s">
        <v>2624</v>
      </c>
      <c r="Z625" s="56" t="s">
        <v>2624</v>
      </c>
      <c r="AA625" s="56" t="s">
        <v>545</v>
      </c>
      <c r="AB625" s="56">
        <v>14123559</v>
      </c>
      <c r="AC625" s="56" t="s">
        <v>545</v>
      </c>
      <c r="AD625" s="56">
        <v>14123559</v>
      </c>
      <c r="AE625" s="56" t="s">
        <v>2626</v>
      </c>
      <c r="AF625" s="56" t="s">
        <v>2627</v>
      </c>
      <c r="AG625" s="56" t="s">
        <v>2627</v>
      </c>
      <c r="AH625" s="56">
        <v>36</v>
      </c>
      <c r="AI625" s="56" t="s">
        <v>2628</v>
      </c>
      <c r="AJ625" s="56" t="s">
        <v>2629</v>
      </c>
      <c r="AK625" s="56">
        <v>0</v>
      </c>
      <c r="AL625" s="56" t="s">
        <v>2630</v>
      </c>
      <c r="AM625" s="56" t="s">
        <v>2631</v>
      </c>
      <c r="AN625" s="56" t="s">
        <v>2632</v>
      </c>
      <c r="AO625" s="56" t="s">
        <v>2627</v>
      </c>
      <c r="AP625" s="56" t="s">
        <v>2624</v>
      </c>
      <c r="AQ625" s="123">
        <v>8.3333333333333592E-3</v>
      </c>
      <c r="AR625" s="122">
        <v>-1.6770833333333346E-2</v>
      </c>
      <c r="AS625" s="56" t="s">
        <v>1048</v>
      </c>
      <c r="AT625" s="56" t="s">
        <v>1049</v>
      </c>
      <c r="AU625" s="56" t="s">
        <v>1050</v>
      </c>
      <c r="AV625" s="56">
        <v>36</v>
      </c>
      <c r="AW625" s="56" t="s">
        <v>1051</v>
      </c>
      <c r="AX625" s="56" t="s">
        <v>1389</v>
      </c>
      <c r="AY625" s="56" t="s">
        <v>1375</v>
      </c>
      <c r="AZ625" s="56" t="s">
        <v>1067</v>
      </c>
      <c r="BA625" s="56" t="s">
        <v>1390</v>
      </c>
      <c r="BB625" s="56" t="s">
        <v>1391</v>
      </c>
      <c r="BC625" s="56" t="s">
        <v>1057</v>
      </c>
      <c r="BD625" s="56" t="s">
        <v>1392</v>
      </c>
    </row>
    <row r="626" spans="1:56" x14ac:dyDescent="0.2">
      <c r="A626" s="56">
        <v>176592316</v>
      </c>
      <c r="B626" s="56" t="s">
        <v>1393</v>
      </c>
      <c r="C626" s="56" t="s">
        <v>2623</v>
      </c>
      <c r="D626" s="56" t="s">
        <v>1308</v>
      </c>
      <c r="E626" s="56" t="s">
        <v>1044</v>
      </c>
      <c r="F626" s="56">
        <v>126</v>
      </c>
      <c r="G626" s="56" t="s">
        <v>3329</v>
      </c>
      <c r="H626" s="56">
        <v>17362</v>
      </c>
      <c r="I626" s="56">
        <v>6</v>
      </c>
      <c r="J626" s="56" t="s">
        <v>1045</v>
      </c>
      <c r="K626" s="56" t="s">
        <v>1374</v>
      </c>
      <c r="L626" s="121">
        <v>46266</v>
      </c>
      <c r="M626" s="122">
        <v>0.28472222222222221</v>
      </c>
      <c r="N626" s="122">
        <v>0.2902777777777778</v>
      </c>
      <c r="O626" s="56" t="s">
        <v>1047</v>
      </c>
      <c r="P626" s="121">
        <v>46266</v>
      </c>
      <c r="Q626" s="122">
        <v>0.34722222222222221</v>
      </c>
      <c r="R626" s="122">
        <v>0.32847222222222222</v>
      </c>
      <c r="S626" s="56" t="s">
        <v>1047</v>
      </c>
      <c r="T626" s="56">
        <v>1</v>
      </c>
      <c r="U626" s="56">
        <v>32</v>
      </c>
      <c r="V626" s="56">
        <v>28.9</v>
      </c>
      <c r="W626" s="56">
        <v>28.32</v>
      </c>
      <c r="X626" s="56" t="s">
        <v>2624</v>
      </c>
      <c r="Y626" s="56" t="s">
        <v>2624</v>
      </c>
      <c r="Z626" s="56" t="s">
        <v>2624</v>
      </c>
      <c r="AA626" s="56" t="s">
        <v>310</v>
      </c>
      <c r="AB626" s="56">
        <v>14121013</v>
      </c>
      <c r="AC626" s="56" t="s">
        <v>310</v>
      </c>
      <c r="AD626" s="56">
        <v>14121013</v>
      </c>
      <c r="AE626" s="56" t="s">
        <v>2626</v>
      </c>
      <c r="AF626" s="56" t="s">
        <v>2627</v>
      </c>
      <c r="AG626" s="56" t="s">
        <v>2627</v>
      </c>
      <c r="AH626" s="56">
        <v>36</v>
      </c>
      <c r="AI626" s="56" t="s">
        <v>2628</v>
      </c>
      <c r="AJ626" s="56" t="s">
        <v>2629</v>
      </c>
      <c r="AK626" s="56">
        <v>0</v>
      </c>
      <c r="AL626" s="56" t="s">
        <v>2630</v>
      </c>
      <c r="AM626" s="56" t="s">
        <v>2631</v>
      </c>
      <c r="AN626" s="56" t="s">
        <v>2632</v>
      </c>
      <c r="AO626" s="56" t="s">
        <v>2627</v>
      </c>
      <c r="AP626" s="56" t="s">
        <v>2624</v>
      </c>
      <c r="AQ626" s="123">
        <v>5.5555555555555913E-3</v>
      </c>
      <c r="AR626" s="122">
        <v>-1.8749999999999989E-2</v>
      </c>
      <c r="AS626" s="56" t="s">
        <v>1048</v>
      </c>
      <c r="AT626" s="56" t="s">
        <v>1049</v>
      </c>
      <c r="AU626" s="56" t="s">
        <v>1050</v>
      </c>
      <c r="AV626" s="56">
        <v>36</v>
      </c>
      <c r="AW626" s="56" t="s">
        <v>1051</v>
      </c>
      <c r="AX626" s="56" t="s">
        <v>1394</v>
      </c>
      <c r="AY626" s="56" t="s">
        <v>1375</v>
      </c>
      <c r="AZ626" s="56" t="s">
        <v>1067</v>
      </c>
      <c r="BA626" s="56" t="s">
        <v>1395</v>
      </c>
      <c r="BB626" s="56" t="s">
        <v>1396</v>
      </c>
      <c r="BC626" s="56" t="s">
        <v>1057</v>
      </c>
      <c r="BD626" s="56" t="s">
        <v>1397</v>
      </c>
    </row>
    <row r="627" spans="1:56" x14ac:dyDescent="0.2">
      <c r="A627" s="56">
        <v>176592312</v>
      </c>
      <c r="B627" s="56" t="s">
        <v>3330</v>
      </c>
      <c r="C627" s="56" t="s">
        <v>2623</v>
      </c>
      <c r="D627" s="56" t="s">
        <v>3331</v>
      </c>
      <c r="E627" s="56" t="s">
        <v>1044</v>
      </c>
      <c r="F627" s="56">
        <v>121</v>
      </c>
      <c r="G627" s="56" t="s">
        <v>3329</v>
      </c>
      <c r="H627" s="56">
        <v>16004</v>
      </c>
      <c r="I627" s="56">
        <v>6</v>
      </c>
      <c r="J627" s="56" t="s">
        <v>1045</v>
      </c>
      <c r="K627" s="56" t="s">
        <v>1374</v>
      </c>
      <c r="L627" s="121">
        <v>46266</v>
      </c>
      <c r="M627" s="122">
        <v>0.28819444444444442</v>
      </c>
      <c r="N627" s="122">
        <v>0.29444444444444445</v>
      </c>
      <c r="O627" s="56" t="s">
        <v>1047</v>
      </c>
      <c r="P627" s="121">
        <v>46266</v>
      </c>
      <c r="Q627" s="122">
        <v>0.34722222222222221</v>
      </c>
      <c r="R627" s="122">
        <v>0.34868055555555555</v>
      </c>
      <c r="S627" s="56" t="s">
        <v>1047</v>
      </c>
      <c r="T627" s="56">
        <v>1</v>
      </c>
      <c r="U627" s="56">
        <v>29</v>
      </c>
      <c r="V627" s="56">
        <v>29.81</v>
      </c>
      <c r="W627" s="56">
        <v>39.72</v>
      </c>
      <c r="X627" s="56" t="s">
        <v>2624</v>
      </c>
      <c r="Y627" s="56" t="s">
        <v>2624</v>
      </c>
      <c r="Z627" s="56" t="s">
        <v>2624</v>
      </c>
      <c r="AA627" s="56" t="s">
        <v>541</v>
      </c>
      <c r="AB627" s="56">
        <v>14123530</v>
      </c>
      <c r="AC627" s="56" t="s">
        <v>541</v>
      </c>
      <c r="AD627" s="56">
        <v>14123530</v>
      </c>
      <c r="AE627" s="56" t="s">
        <v>2626</v>
      </c>
      <c r="AF627" s="56" t="s">
        <v>2627</v>
      </c>
      <c r="AG627" s="56" t="s">
        <v>2627</v>
      </c>
      <c r="AH627" s="56">
        <v>36</v>
      </c>
      <c r="AI627" s="56" t="s">
        <v>2628</v>
      </c>
      <c r="AJ627" s="56" t="s">
        <v>2640</v>
      </c>
      <c r="AK627" s="56">
        <v>0</v>
      </c>
      <c r="AL627" s="56" t="s">
        <v>2630</v>
      </c>
      <c r="AM627" s="56" t="s">
        <v>2631</v>
      </c>
      <c r="AN627" s="56" t="s">
        <v>2632</v>
      </c>
      <c r="AO627" s="56" t="s">
        <v>2627</v>
      </c>
      <c r="AP627" s="56">
        <v>40</v>
      </c>
      <c r="AQ627" s="123">
        <v>6.2500000000000333E-3</v>
      </c>
      <c r="AR627" s="122">
        <v>1.4583333333333393E-3</v>
      </c>
      <c r="AS627" s="56" t="s">
        <v>1048</v>
      </c>
      <c r="AT627" s="56" t="s">
        <v>1049</v>
      </c>
      <c r="AU627" s="56" t="s">
        <v>1050</v>
      </c>
      <c r="AV627" s="56">
        <v>36</v>
      </c>
      <c r="AW627" s="56" t="s">
        <v>1051</v>
      </c>
      <c r="AX627" s="56" t="s">
        <v>3332</v>
      </c>
      <c r="AY627" s="56" t="s">
        <v>1375</v>
      </c>
      <c r="AZ627" s="56" t="s">
        <v>1067</v>
      </c>
      <c r="BA627" s="56" t="s">
        <v>3333</v>
      </c>
      <c r="BB627" s="56" t="s">
        <v>3334</v>
      </c>
      <c r="BC627" s="56" t="s">
        <v>1057</v>
      </c>
      <c r="BD627" s="56" t="s">
        <v>3335</v>
      </c>
    </row>
    <row r="628" spans="1:56" x14ac:dyDescent="0.2">
      <c r="A628" s="56">
        <v>176590953</v>
      </c>
      <c r="B628" s="56" t="s">
        <v>1450</v>
      </c>
      <c r="C628" s="56" t="s">
        <v>2623</v>
      </c>
      <c r="D628" s="56" t="s">
        <v>1451</v>
      </c>
      <c r="E628" s="56" t="s">
        <v>1044</v>
      </c>
      <c r="F628" s="56">
        <v>54</v>
      </c>
      <c r="G628" s="56" t="s">
        <v>2670</v>
      </c>
      <c r="H628" s="56">
        <v>15337</v>
      </c>
      <c r="I628" s="56">
        <v>6</v>
      </c>
      <c r="J628" s="56" t="s">
        <v>1045</v>
      </c>
      <c r="K628" s="56" t="s">
        <v>1116</v>
      </c>
      <c r="L628" s="121">
        <v>46266</v>
      </c>
      <c r="M628" s="122">
        <v>0.29166666666666669</v>
      </c>
      <c r="N628" s="122">
        <v>0.2986111111111111</v>
      </c>
      <c r="O628" s="56" t="s">
        <v>1047</v>
      </c>
      <c r="P628" s="121">
        <v>46266</v>
      </c>
      <c r="Q628" s="122">
        <v>0.34722222222222221</v>
      </c>
      <c r="R628" s="122">
        <v>0.34202546296296299</v>
      </c>
      <c r="S628" s="56" t="s">
        <v>1047</v>
      </c>
      <c r="T628" s="56">
        <v>1</v>
      </c>
      <c r="U628" s="56">
        <v>39</v>
      </c>
      <c r="V628" s="56">
        <v>34.51</v>
      </c>
      <c r="W628" s="56">
        <v>34.6</v>
      </c>
      <c r="X628" s="56" t="s">
        <v>2624</v>
      </c>
      <c r="Y628" s="56" t="s">
        <v>2624</v>
      </c>
      <c r="Z628" s="56" t="s">
        <v>2624</v>
      </c>
      <c r="AA628" s="56" t="s">
        <v>327</v>
      </c>
      <c r="AB628" s="56">
        <v>14121238</v>
      </c>
      <c r="AC628" s="56" t="s">
        <v>327</v>
      </c>
      <c r="AD628" s="56">
        <v>14121238</v>
      </c>
      <c r="AE628" s="56" t="s">
        <v>2626</v>
      </c>
      <c r="AF628" s="56" t="s">
        <v>2627</v>
      </c>
      <c r="AG628" s="56" t="s">
        <v>2627</v>
      </c>
      <c r="AH628" s="56">
        <v>36</v>
      </c>
      <c r="AI628" s="56" t="s">
        <v>2628</v>
      </c>
      <c r="AJ628" s="56" t="s">
        <v>2629</v>
      </c>
      <c r="AK628" s="56">
        <v>0</v>
      </c>
      <c r="AL628" s="56" t="s">
        <v>2630</v>
      </c>
      <c r="AM628" s="56" t="s">
        <v>2631</v>
      </c>
      <c r="AN628" s="56" t="s">
        <v>2632</v>
      </c>
      <c r="AO628" s="56" t="s">
        <v>2627</v>
      </c>
      <c r="AP628" s="56">
        <v>30</v>
      </c>
      <c r="AQ628" s="123">
        <v>6.9444444444444198E-3</v>
      </c>
      <c r="AR628" s="122">
        <v>-5.1967592592592204E-3</v>
      </c>
      <c r="AS628" s="56" t="s">
        <v>1048</v>
      </c>
      <c r="AT628" s="56" t="s">
        <v>1049</v>
      </c>
      <c r="AU628" s="56" t="s">
        <v>1050</v>
      </c>
      <c r="AV628" s="56">
        <v>36</v>
      </c>
      <c r="AW628" s="56" t="s">
        <v>1051</v>
      </c>
      <c r="AX628" s="56" t="s">
        <v>1452</v>
      </c>
      <c r="AY628" s="56" t="s">
        <v>1118</v>
      </c>
      <c r="AZ628" s="56" t="s">
        <v>1054</v>
      </c>
      <c r="BA628" s="56" t="s">
        <v>1453</v>
      </c>
      <c r="BB628" s="56" t="s">
        <v>1454</v>
      </c>
      <c r="BC628" s="56" t="s">
        <v>1057</v>
      </c>
      <c r="BD628" s="56" t="s">
        <v>1455</v>
      </c>
    </row>
    <row r="629" spans="1:56" x14ac:dyDescent="0.2">
      <c r="A629" s="56">
        <v>176590951</v>
      </c>
      <c r="B629" s="56" t="s">
        <v>2731</v>
      </c>
      <c r="C629" s="56" t="s">
        <v>2623</v>
      </c>
      <c r="D629" s="56" t="s">
        <v>2732</v>
      </c>
      <c r="E629" s="56" t="s">
        <v>1044</v>
      </c>
      <c r="F629" s="56">
        <v>52</v>
      </c>
      <c r="G629" s="56"/>
      <c r="H629" s="56">
        <v>15335</v>
      </c>
      <c r="I629" s="56">
        <v>6</v>
      </c>
      <c r="J629" s="56" t="s">
        <v>1045</v>
      </c>
      <c r="K629" s="56" t="s">
        <v>1116</v>
      </c>
      <c r="L629" s="121">
        <v>46266</v>
      </c>
      <c r="M629" s="122">
        <v>0.2951388888888889</v>
      </c>
      <c r="N629" s="122">
        <v>0.2986111111111111</v>
      </c>
      <c r="O629" s="56" t="s">
        <v>1047</v>
      </c>
      <c r="P629" s="121">
        <v>46266</v>
      </c>
      <c r="Q629" s="122">
        <v>0.34722222222222221</v>
      </c>
      <c r="R629" s="122">
        <v>0.34822916666666665</v>
      </c>
      <c r="S629" s="56" t="s">
        <v>1047</v>
      </c>
      <c r="T629" s="56">
        <v>1</v>
      </c>
      <c r="U629" s="56">
        <v>28</v>
      </c>
      <c r="V629" s="56">
        <v>23.17</v>
      </c>
      <c r="W629" s="56">
        <v>23.28</v>
      </c>
      <c r="X629" s="56" t="s">
        <v>2624</v>
      </c>
      <c r="Y629" s="56" t="s">
        <v>2624</v>
      </c>
      <c r="Z629" s="56" t="s">
        <v>2624</v>
      </c>
      <c r="AA629" s="56" t="s">
        <v>501</v>
      </c>
      <c r="AB629" s="56">
        <v>14123273</v>
      </c>
      <c r="AC629" s="56" t="s">
        <v>501</v>
      </c>
      <c r="AD629" s="56">
        <v>14123273</v>
      </c>
      <c r="AE629" s="56" t="s">
        <v>2626</v>
      </c>
      <c r="AF629" s="56" t="s">
        <v>2627</v>
      </c>
      <c r="AG629" s="56" t="s">
        <v>2627</v>
      </c>
      <c r="AH629" s="56">
        <v>36</v>
      </c>
      <c r="AI629" s="56" t="s">
        <v>2628</v>
      </c>
      <c r="AJ629" s="56" t="s">
        <v>2640</v>
      </c>
      <c r="AK629" s="56">
        <v>0</v>
      </c>
      <c r="AL629" s="56" t="s">
        <v>2630</v>
      </c>
      <c r="AM629" s="56" t="s">
        <v>2631</v>
      </c>
      <c r="AN629" s="56" t="s">
        <v>2632</v>
      </c>
      <c r="AO629" s="56" t="s">
        <v>2627</v>
      </c>
      <c r="AP629" s="56" t="s">
        <v>2624</v>
      </c>
      <c r="AQ629" s="123">
        <v>3.4722222222222099E-3</v>
      </c>
      <c r="AR629" s="122">
        <v>1.0069444444444353E-3</v>
      </c>
      <c r="AS629" s="56" t="s">
        <v>1048</v>
      </c>
      <c r="AT629" s="56" t="s">
        <v>1049</v>
      </c>
      <c r="AU629" s="56" t="s">
        <v>1050</v>
      </c>
      <c r="AV629" s="56">
        <v>36</v>
      </c>
      <c r="AW629" s="56" t="s">
        <v>1051</v>
      </c>
      <c r="AX629" s="56" t="s">
        <v>2733</v>
      </c>
      <c r="AY629" s="56" t="s">
        <v>1118</v>
      </c>
      <c r="AZ629" s="56" t="s">
        <v>1054</v>
      </c>
      <c r="BA629" s="56" t="s">
        <v>2734</v>
      </c>
      <c r="BB629" s="56" t="s">
        <v>2735</v>
      </c>
      <c r="BC629" s="56" t="s">
        <v>1057</v>
      </c>
      <c r="BD629" s="56" t="s">
        <v>2736</v>
      </c>
    </row>
    <row r="630" spans="1:56" x14ac:dyDescent="0.2">
      <c r="A630" s="56">
        <v>176592300</v>
      </c>
      <c r="B630" s="56" t="s">
        <v>1398</v>
      </c>
      <c r="C630" s="56" t="s">
        <v>2623</v>
      </c>
      <c r="D630" s="56" t="s">
        <v>1399</v>
      </c>
      <c r="E630" s="56" t="s">
        <v>1044</v>
      </c>
      <c r="F630" s="56">
        <v>109</v>
      </c>
      <c r="G630" s="56" t="s">
        <v>2727</v>
      </c>
      <c r="H630" s="56">
        <v>15995</v>
      </c>
      <c r="I630" s="56">
        <v>6</v>
      </c>
      <c r="J630" s="56" t="s">
        <v>1045</v>
      </c>
      <c r="K630" s="56" t="s">
        <v>1374</v>
      </c>
      <c r="L630" s="121">
        <v>46266</v>
      </c>
      <c r="M630" s="122">
        <v>0.2951388888888889</v>
      </c>
      <c r="N630" s="122">
        <v>0.29930555555555555</v>
      </c>
      <c r="O630" s="56" t="s">
        <v>1047</v>
      </c>
      <c r="P630" s="121">
        <v>46266</v>
      </c>
      <c r="Q630" s="122">
        <v>0.34722222222222221</v>
      </c>
      <c r="R630" s="122">
        <v>0.33986111111111111</v>
      </c>
      <c r="S630" s="56" t="s">
        <v>1047</v>
      </c>
      <c r="T630" s="56">
        <v>1</v>
      </c>
      <c r="U630" s="56">
        <v>22</v>
      </c>
      <c r="V630" s="56">
        <v>18.23</v>
      </c>
      <c r="W630" s="56">
        <v>16.239999999999998</v>
      </c>
      <c r="X630" s="56" t="s">
        <v>2624</v>
      </c>
      <c r="Y630" s="56" t="s">
        <v>2624</v>
      </c>
      <c r="Z630" s="56" t="s">
        <v>2624</v>
      </c>
      <c r="AA630" s="56" t="s">
        <v>311</v>
      </c>
      <c r="AB630" s="56">
        <v>14121015</v>
      </c>
      <c r="AC630" s="56" t="s">
        <v>311</v>
      </c>
      <c r="AD630" s="56">
        <v>14121015</v>
      </c>
      <c r="AE630" s="56" t="s">
        <v>2626</v>
      </c>
      <c r="AF630" s="56" t="s">
        <v>2627</v>
      </c>
      <c r="AG630" s="56" t="s">
        <v>2627</v>
      </c>
      <c r="AH630" s="56">
        <v>36</v>
      </c>
      <c r="AI630" s="56" t="s">
        <v>2628</v>
      </c>
      <c r="AJ630" s="56" t="s">
        <v>2629</v>
      </c>
      <c r="AK630" s="56">
        <v>0</v>
      </c>
      <c r="AL630" s="56" t="s">
        <v>2630</v>
      </c>
      <c r="AM630" s="56" t="s">
        <v>2631</v>
      </c>
      <c r="AN630" s="56" t="s">
        <v>2632</v>
      </c>
      <c r="AO630" s="56" t="s">
        <v>2627</v>
      </c>
      <c r="AP630" s="56" t="s">
        <v>2624</v>
      </c>
      <c r="AQ630" s="123">
        <v>4.1666666666666519E-3</v>
      </c>
      <c r="AR630" s="122">
        <v>-7.3611111111110961E-3</v>
      </c>
      <c r="AS630" s="56" t="s">
        <v>1048</v>
      </c>
      <c r="AT630" s="56" t="s">
        <v>1049</v>
      </c>
      <c r="AU630" s="56" t="s">
        <v>1050</v>
      </c>
      <c r="AV630" s="56">
        <v>36</v>
      </c>
      <c r="AW630" s="56" t="s">
        <v>1051</v>
      </c>
      <c r="AX630" s="56" t="s">
        <v>1400</v>
      </c>
      <c r="AY630" s="56" t="s">
        <v>1375</v>
      </c>
      <c r="AZ630" s="56" t="s">
        <v>1067</v>
      </c>
      <c r="BA630" s="56" t="s">
        <v>1401</v>
      </c>
      <c r="BB630" s="56" t="s">
        <v>1402</v>
      </c>
      <c r="BC630" s="56" t="s">
        <v>1057</v>
      </c>
      <c r="BD630" s="56" t="s">
        <v>1403</v>
      </c>
    </row>
    <row r="631" spans="1:56" x14ac:dyDescent="0.2">
      <c r="A631" s="56">
        <v>176592272</v>
      </c>
      <c r="B631" s="56" t="s">
        <v>2235</v>
      </c>
      <c r="C631" s="56" t="s">
        <v>2623</v>
      </c>
      <c r="D631" s="56" t="s">
        <v>1180</v>
      </c>
      <c r="E631" s="56" t="s">
        <v>1044</v>
      </c>
      <c r="F631" s="56">
        <v>81</v>
      </c>
      <c r="G631" s="56" t="s">
        <v>2727</v>
      </c>
      <c r="H631" s="56">
        <v>16766</v>
      </c>
      <c r="I631" s="56">
        <v>6</v>
      </c>
      <c r="J631" s="56" t="s">
        <v>1045</v>
      </c>
      <c r="K631" s="56" t="s">
        <v>1374</v>
      </c>
      <c r="L631" s="121">
        <v>46266</v>
      </c>
      <c r="M631" s="122">
        <v>0.2986111111111111</v>
      </c>
      <c r="N631" s="122">
        <v>0.30486111111111114</v>
      </c>
      <c r="O631" s="56" t="s">
        <v>1047</v>
      </c>
      <c r="P631" s="121">
        <v>46266</v>
      </c>
      <c r="Q631" s="122">
        <v>0.34722222222222221</v>
      </c>
      <c r="R631" s="122">
        <v>0.33557870370370368</v>
      </c>
      <c r="S631" s="56" t="s">
        <v>1047</v>
      </c>
      <c r="T631" s="56">
        <v>1</v>
      </c>
      <c r="U631" s="56">
        <v>29</v>
      </c>
      <c r="V631" s="56">
        <v>16.809999999999999</v>
      </c>
      <c r="W631" s="56">
        <v>16.97</v>
      </c>
      <c r="X631" s="56" t="s">
        <v>2624</v>
      </c>
      <c r="Y631" s="56" t="s">
        <v>2624</v>
      </c>
      <c r="Z631" s="56" t="s">
        <v>2624</v>
      </c>
      <c r="AA631" s="56" t="s">
        <v>263</v>
      </c>
      <c r="AB631" s="56">
        <v>14119825</v>
      </c>
      <c r="AC631" s="56" t="s">
        <v>263</v>
      </c>
      <c r="AD631" s="56">
        <v>14119825</v>
      </c>
      <c r="AE631" s="56" t="s">
        <v>2626</v>
      </c>
      <c r="AF631" s="56" t="s">
        <v>2627</v>
      </c>
      <c r="AG631" s="56" t="s">
        <v>2627</v>
      </c>
      <c r="AH631" s="56">
        <v>36</v>
      </c>
      <c r="AI631" s="56" t="s">
        <v>2628</v>
      </c>
      <c r="AJ631" s="56" t="s">
        <v>2629</v>
      </c>
      <c r="AK631" s="56">
        <v>0</v>
      </c>
      <c r="AL631" s="56" t="s">
        <v>2630</v>
      </c>
      <c r="AM631" s="56" t="s">
        <v>2631</v>
      </c>
      <c r="AN631" s="56" t="s">
        <v>2632</v>
      </c>
      <c r="AO631" s="56" t="s">
        <v>2627</v>
      </c>
      <c r="AP631" s="56" t="s">
        <v>2624</v>
      </c>
      <c r="AQ631" s="123">
        <v>6.2500000000000333E-3</v>
      </c>
      <c r="AR631" s="122">
        <v>-1.1643518518518525E-2</v>
      </c>
      <c r="AS631" s="56" t="s">
        <v>1048</v>
      </c>
      <c r="AT631" s="56" t="s">
        <v>1049</v>
      </c>
      <c r="AU631" s="56" t="s">
        <v>1050</v>
      </c>
      <c r="AV631" s="56">
        <v>36</v>
      </c>
      <c r="AW631" s="56" t="s">
        <v>1051</v>
      </c>
      <c r="AX631" s="56" t="s">
        <v>2236</v>
      </c>
      <c r="AY631" s="56" t="s">
        <v>1375</v>
      </c>
      <c r="AZ631" s="56" t="s">
        <v>1067</v>
      </c>
      <c r="BA631" s="56" t="s">
        <v>2237</v>
      </c>
      <c r="BB631" s="56" t="s">
        <v>2238</v>
      </c>
      <c r="BC631" s="56" t="s">
        <v>1057</v>
      </c>
      <c r="BD631" s="56" t="s">
        <v>2239</v>
      </c>
    </row>
    <row r="632" spans="1:56" x14ac:dyDescent="0.2">
      <c r="A632" s="56">
        <v>176597431</v>
      </c>
      <c r="B632" s="56" t="s">
        <v>2743</v>
      </c>
      <c r="C632" s="56" t="s">
        <v>2623</v>
      </c>
      <c r="D632" s="56" t="s">
        <v>2744</v>
      </c>
      <c r="E632" s="56" t="s">
        <v>1044</v>
      </c>
      <c r="F632" s="56">
        <v>203</v>
      </c>
      <c r="G632" s="56" t="s">
        <v>2670</v>
      </c>
      <c r="H632" s="56">
        <v>13502</v>
      </c>
      <c r="I632" s="56">
        <v>6</v>
      </c>
      <c r="J632" s="56" t="s">
        <v>1045</v>
      </c>
      <c r="K632" s="56" t="s">
        <v>1116</v>
      </c>
      <c r="L632" s="121">
        <v>46266</v>
      </c>
      <c r="M632" s="122">
        <v>0.3</v>
      </c>
      <c r="N632" s="122">
        <v>0.32222222222222224</v>
      </c>
      <c r="O632" s="56" t="s">
        <v>1047</v>
      </c>
      <c r="P632" s="121">
        <v>46266</v>
      </c>
      <c r="Q632" s="122">
        <v>0.34722222222222221</v>
      </c>
      <c r="R632" s="122">
        <v>0.34502314814814816</v>
      </c>
      <c r="S632" s="56" t="s">
        <v>1047</v>
      </c>
      <c r="T632" s="56">
        <v>1</v>
      </c>
      <c r="U632" s="56">
        <v>24</v>
      </c>
      <c r="V632" s="56">
        <v>19.149999999999999</v>
      </c>
      <c r="W632" s="56">
        <v>18.84</v>
      </c>
      <c r="X632" s="56" t="s">
        <v>2624</v>
      </c>
      <c r="Y632" s="56" t="s">
        <v>2624</v>
      </c>
      <c r="Z632" s="56" t="s">
        <v>2624</v>
      </c>
      <c r="AA632" s="56" t="s">
        <v>554</v>
      </c>
      <c r="AB632" s="56">
        <v>14123591</v>
      </c>
      <c r="AC632" s="56" t="s">
        <v>554</v>
      </c>
      <c r="AD632" s="56">
        <v>14123591</v>
      </c>
      <c r="AE632" s="56" t="s">
        <v>2626</v>
      </c>
      <c r="AF632" s="56" t="s">
        <v>2627</v>
      </c>
      <c r="AG632" s="56" t="s">
        <v>2627</v>
      </c>
      <c r="AH632" s="56">
        <v>36</v>
      </c>
      <c r="AI632" s="56" t="s">
        <v>2628</v>
      </c>
      <c r="AJ632" s="56" t="s">
        <v>2629</v>
      </c>
      <c r="AK632" s="56">
        <v>0</v>
      </c>
      <c r="AL632" s="56" t="s">
        <v>2630</v>
      </c>
      <c r="AM632" s="56" t="s">
        <v>2631</v>
      </c>
      <c r="AN632" s="56" t="s">
        <v>2632</v>
      </c>
      <c r="AO632" s="56" t="s">
        <v>2627</v>
      </c>
      <c r="AP632" s="56" t="s">
        <v>2624</v>
      </c>
      <c r="AQ632" s="123">
        <v>2.2222222222222254E-2</v>
      </c>
      <c r="AR632" s="122">
        <v>-2.1990740740740478E-3</v>
      </c>
      <c r="AS632" s="56" t="s">
        <v>1048</v>
      </c>
      <c r="AT632" s="56" t="s">
        <v>1049</v>
      </c>
      <c r="AU632" s="56" t="s">
        <v>1050</v>
      </c>
      <c r="AV632" s="56">
        <v>36</v>
      </c>
      <c r="AW632" s="56" t="s">
        <v>1051</v>
      </c>
      <c r="AX632" s="56" t="s">
        <v>2745</v>
      </c>
      <c r="AY632" s="56" t="s">
        <v>1118</v>
      </c>
      <c r="AZ632" s="56" t="s">
        <v>1054</v>
      </c>
      <c r="BA632" s="56" t="s">
        <v>2746</v>
      </c>
      <c r="BB632" s="56" t="s">
        <v>2747</v>
      </c>
      <c r="BC632" s="56" t="s">
        <v>1057</v>
      </c>
      <c r="BD632" s="56" t="s">
        <v>2748</v>
      </c>
    </row>
    <row r="633" spans="1:56" x14ac:dyDescent="0.2">
      <c r="A633" s="56">
        <v>176588650</v>
      </c>
      <c r="B633" s="56" t="s">
        <v>1134</v>
      </c>
      <c r="C633" s="56" t="s">
        <v>2623</v>
      </c>
      <c r="D633" s="56" t="s">
        <v>1070</v>
      </c>
      <c r="E633" s="56" t="s">
        <v>1044</v>
      </c>
      <c r="F633" s="56">
        <v>17</v>
      </c>
      <c r="G633" s="56"/>
      <c r="H633" s="56">
        <v>15192</v>
      </c>
      <c r="I633" s="56">
        <v>6</v>
      </c>
      <c r="J633" s="56" t="s">
        <v>1045</v>
      </c>
      <c r="K633" s="56" t="s">
        <v>1058</v>
      </c>
      <c r="L633" s="121">
        <v>46266</v>
      </c>
      <c r="M633" s="122">
        <v>0.52083333333333337</v>
      </c>
      <c r="N633" s="122">
        <v>0.53333333333333333</v>
      </c>
      <c r="O633" s="56" t="s">
        <v>1047</v>
      </c>
      <c r="P633" s="121">
        <v>46266</v>
      </c>
      <c r="Q633" s="122">
        <v>0.60416666666666663</v>
      </c>
      <c r="R633" s="122">
        <v>0.58270833333333338</v>
      </c>
      <c r="S633" s="56" t="s">
        <v>1047</v>
      </c>
      <c r="T633" s="56">
        <v>1</v>
      </c>
      <c r="U633" s="56">
        <v>37</v>
      </c>
      <c r="V633" s="56">
        <v>33.01</v>
      </c>
      <c r="W633" s="56">
        <v>33.92</v>
      </c>
      <c r="X633" s="56" t="s">
        <v>2624</v>
      </c>
      <c r="Y633" s="56" t="s">
        <v>2624</v>
      </c>
      <c r="Z633" s="56" t="s">
        <v>2624</v>
      </c>
      <c r="AA633" s="56" t="s">
        <v>2625</v>
      </c>
      <c r="AB633" s="56">
        <v>14122103</v>
      </c>
      <c r="AC633" s="56" t="s">
        <v>2625</v>
      </c>
      <c r="AD633" s="56">
        <v>14122103</v>
      </c>
      <c r="AE633" s="56" t="s">
        <v>2626</v>
      </c>
      <c r="AF633" s="56" t="s">
        <v>2627</v>
      </c>
      <c r="AG633" s="56" t="s">
        <v>2627</v>
      </c>
      <c r="AH633" s="56">
        <v>36</v>
      </c>
      <c r="AI633" s="56" t="s">
        <v>2628</v>
      </c>
      <c r="AJ633" s="56" t="s">
        <v>2629</v>
      </c>
      <c r="AK633" s="56">
        <v>815</v>
      </c>
      <c r="AL633" s="56" t="s">
        <v>2630</v>
      </c>
      <c r="AM633" s="56" t="s">
        <v>2631</v>
      </c>
      <c r="AN633" s="56" t="s">
        <v>2632</v>
      </c>
      <c r="AO633" s="56" t="s">
        <v>2627</v>
      </c>
      <c r="AP633" s="56" t="s">
        <v>2624</v>
      </c>
      <c r="AQ633" s="123">
        <v>1.2499999999999956E-2</v>
      </c>
      <c r="AR633" s="122">
        <v>-2.1458333333333246E-2</v>
      </c>
      <c r="AS633" s="56" t="s">
        <v>1048</v>
      </c>
      <c r="AT633" s="56" t="s">
        <v>1049</v>
      </c>
      <c r="AU633" s="56" t="s">
        <v>1050</v>
      </c>
      <c r="AV633" s="56">
        <v>36</v>
      </c>
      <c r="AW633" s="56" t="s">
        <v>1051</v>
      </c>
      <c r="AX633" s="56" t="s">
        <v>1071</v>
      </c>
      <c r="AY633" s="56" t="s">
        <v>1061</v>
      </c>
      <c r="AZ633" s="56" t="s">
        <v>1062</v>
      </c>
      <c r="BA633" s="56" t="s">
        <v>1072</v>
      </c>
      <c r="BB633" s="56" t="s">
        <v>1073</v>
      </c>
      <c r="BC633" s="56" t="s">
        <v>1133</v>
      </c>
      <c r="BD633" s="56" t="s">
        <v>1135</v>
      </c>
    </row>
    <row r="634" spans="1:56" x14ac:dyDescent="0.2">
      <c r="A634" s="56">
        <v>176592194</v>
      </c>
      <c r="B634" s="56" t="s">
        <v>3649</v>
      </c>
      <c r="C634" s="56" t="s">
        <v>2623</v>
      </c>
      <c r="D634" s="56" t="s">
        <v>2841</v>
      </c>
      <c r="E634" s="56" t="s">
        <v>1044</v>
      </c>
      <c r="F634" s="56">
        <v>39</v>
      </c>
      <c r="G634" s="56"/>
      <c r="H634" s="56">
        <v>13444</v>
      </c>
      <c r="I634" s="56">
        <v>6</v>
      </c>
      <c r="J634" s="56" t="s">
        <v>1045</v>
      </c>
      <c r="K634" s="56" t="s">
        <v>1112</v>
      </c>
      <c r="L634" s="121">
        <v>46266</v>
      </c>
      <c r="M634" s="122">
        <v>0.52083333333333337</v>
      </c>
      <c r="N634" s="122">
        <v>0.52500000000000002</v>
      </c>
      <c r="O634" s="56" t="s">
        <v>1047</v>
      </c>
      <c r="P634" s="121">
        <v>46266</v>
      </c>
      <c r="Q634" s="122">
        <v>0.59375</v>
      </c>
      <c r="R634" s="122">
        <v>0.58158564814814817</v>
      </c>
      <c r="S634" s="56" t="s">
        <v>1047</v>
      </c>
      <c r="T634" s="56">
        <v>1</v>
      </c>
      <c r="U634" s="56">
        <v>58</v>
      </c>
      <c r="V634" s="56">
        <v>50.97</v>
      </c>
      <c r="W634" s="56">
        <v>57.02</v>
      </c>
      <c r="X634" s="56" t="s">
        <v>2624</v>
      </c>
      <c r="Y634" s="56" t="s">
        <v>2624</v>
      </c>
      <c r="Z634" s="56" t="s">
        <v>2624</v>
      </c>
      <c r="AA634" s="56" t="s">
        <v>469</v>
      </c>
      <c r="AB634" s="56">
        <v>14122928</v>
      </c>
      <c r="AC634" s="56" t="s">
        <v>469</v>
      </c>
      <c r="AD634" s="56">
        <v>14122928</v>
      </c>
      <c r="AE634" s="56" t="s">
        <v>2626</v>
      </c>
      <c r="AF634" s="56" t="s">
        <v>2627</v>
      </c>
      <c r="AG634" s="56" t="s">
        <v>2627</v>
      </c>
      <c r="AH634" s="56">
        <v>36</v>
      </c>
      <c r="AI634" s="56" t="s">
        <v>2628</v>
      </c>
      <c r="AJ634" s="56" t="s">
        <v>2629</v>
      </c>
      <c r="AK634" s="56">
        <v>0</v>
      </c>
      <c r="AL634" s="56" t="s">
        <v>2630</v>
      </c>
      <c r="AM634" s="56" t="s">
        <v>2631</v>
      </c>
      <c r="AN634" s="56" t="s">
        <v>2632</v>
      </c>
      <c r="AO634" s="56" t="s">
        <v>2627</v>
      </c>
      <c r="AP634" s="56" t="s">
        <v>2624</v>
      </c>
      <c r="AQ634" s="123">
        <v>4.1666666666666519E-3</v>
      </c>
      <c r="AR634" s="122">
        <v>-1.2164351851851829E-2</v>
      </c>
      <c r="AS634" s="56" t="s">
        <v>1048</v>
      </c>
      <c r="AT634" s="56" t="s">
        <v>1049</v>
      </c>
      <c r="AU634" s="56" t="s">
        <v>1050</v>
      </c>
      <c r="AV634" s="56">
        <v>36</v>
      </c>
      <c r="AW634" s="56" t="s">
        <v>1051</v>
      </c>
      <c r="AX634" s="56" t="s">
        <v>2843</v>
      </c>
      <c r="AY634" s="56" t="s">
        <v>1113</v>
      </c>
      <c r="AZ634" s="56" t="s">
        <v>1062</v>
      </c>
      <c r="BA634" s="56" t="s">
        <v>2844</v>
      </c>
      <c r="BB634" s="56" t="s">
        <v>2845</v>
      </c>
      <c r="BC634" s="56" t="s">
        <v>1133</v>
      </c>
      <c r="BD634" s="56" t="s">
        <v>3650</v>
      </c>
    </row>
    <row r="635" spans="1:56" x14ac:dyDescent="0.2">
      <c r="A635" s="56">
        <v>176585478</v>
      </c>
      <c r="B635" s="56" t="s">
        <v>2763</v>
      </c>
      <c r="C635" s="56" t="s">
        <v>2623</v>
      </c>
      <c r="D635" s="56" t="s">
        <v>1186</v>
      </c>
      <c r="E635" s="56" t="s">
        <v>1044</v>
      </c>
      <c r="F635" s="56">
        <v>101</v>
      </c>
      <c r="G635" s="56"/>
      <c r="H635" s="56">
        <v>10747</v>
      </c>
      <c r="I635" s="56">
        <v>6</v>
      </c>
      <c r="J635" s="56" t="s">
        <v>1045</v>
      </c>
      <c r="K635" s="56" t="s">
        <v>1079</v>
      </c>
      <c r="L635" s="121">
        <v>46266</v>
      </c>
      <c r="M635" s="122">
        <v>0.52777777777777779</v>
      </c>
      <c r="N635" s="122">
        <v>0.53125</v>
      </c>
      <c r="O635" s="56" t="s">
        <v>1047</v>
      </c>
      <c r="P635" s="121">
        <v>46266</v>
      </c>
      <c r="Q635" s="122">
        <v>0.60069444444444442</v>
      </c>
      <c r="R635" s="122">
        <v>0.57835648148148144</v>
      </c>
      <c r="S635" s="56" t="s">
        <v>1047</v>
      </c>
      <c r="T635" s="56">
        <v>1</v>
      </c>
      <c r="U635" s="56">
        <v>43</v>
      </c>
      <c r="V635" s="56">
        <v>36.44</v>
      </c>
      <c r="W635" s="56">
        <v>37.07</v>
      </c>
      <c r="X635" s="56" t="s">
        <v>2624</v>
      </c>
      <c r="Y635" s="56" t="s">
        <v>2624</v>
      </c>
      <c r="Z635" s="56" t="s">
        <v>2624</v>
      </c>
      <c r="AA635" s="56" t="s">
        <v>527</v>
      </c>
      <c r="AB635" s="56">
        <v>14123488</v>
      </c>
      <c r="AC635" s="56" t="s">
        <v>527</v>
      </c>
      <c r="AD635" s="56">
        <v>14123488</v>
      </c>
      <c r="AE635" s="56" t="s">
        <v>2626</v>
      </c>
      <c r="AF635" s="56" t="s">
        <v>2627</v>
      </c>
      <c r="AG635" s="56" t="s">
        <v>2627</v>
      </c>
      <c r="AH635" s="56">
        <v>36</v>
      </c>
      <c r="AI635" s="56" t="s">
        <v>2628</v>
      </c>
      <c r="AJ635" s="56" t="s">
        <v>2629</v>
      </c>
      <c r="AK635" s="56">
        <v>0</v>
      </c>
      <c r="AL635" s="56" t="s">
        <v>2630</v>
      </c>
      <c r="AM635" s="56" t="s">
        <v>2631</v>
      </c>
      <c r="AN635" s="56" t="s">
        <v>2632</v>
      </c>
      <c r="AO635" s="56" t="s">
        <v>2627</v>
      </c>
      <c r="AP635" s="56">
        <v>12</v>
      </c>
      <c r="AQ635" s="123">
        <v>3.4722222222222099E-3</v>
      </c>
      <c r="AR635" s="122">
        <v>-2.2337962962962976E-2</v>
      </c>
      <c r="AS635" s="56" t="s">
        <v>1048</v>
      </c>
      <c r="AT635" s="56" t="s">
        <v>1049</v>
      </c>
      <c r="AU635" s="56" t="s">
        <v>1050</v>
      </c>
      <c r="AV635" s="56">
        <v>36</v>
      </c>
      <c r="AW635" s="56" t="s">
        <v>1051</v>
      </c>
      <c r="AX635" s="56" t="s">
        <v>1188</v>
      </c>
      <c r="AY635" s="56" t="s">
        <v>1081</v>
      </c>
      <c r="AZ635" s="56" t="s">
        <v>1067</v>
      </c>
      <c r="BA635" s="56" t="s">
        <v>1189</v>
      </c>
      <c r="BB635" s="56" t="s">
        <v>1190</v>
      </c>
      <c r="BC635" s="56" t="s">
        <v>1133</v>
      </c>
      <c r="BD635" s="56" t="s">
        <v>2764</v>
      </c>
    </row>
    <row r="636" spans="1:56" x14ac:dyDescent="0.2">
      <c r="A636" s="56">
        <v>176585230</v>
      </c>
      <c r="B636" s="56" t="s">
        <v>3189</v>
      </c>
      <c r="C636" s="56" t="s">
        <v>2623</v>
      </c>
      <c r="D636" s="56" t="s">
        <v>1136</v>
      </c>
      <c r="E636" s="56" t="s">
        <v>1044</v>
      </c>
      <c r="F636" s="56">
        <v>25</v>
      </c>
      <c r="G636" s="56"/>
      <c r="H636" s="56">
        <v>6983</v>
      </c>
      <c r="I636" s="56">
        <v>6</v>
      </c>
      <c r="J636" s="56" t="s">
        <v>1045</v>
      </c>
      <c r="K636" s="56" t="s">
        <v>1091</v>
      </c>
      <c r="L636" s="121">
        <v>46266</v>
      </c>
      <c r="M636" s="122">
        <v>0.53125</v>
      </c>
      <c r="N636" s="122">
        <v>0.55277777777777781</v>
      </c>
      <c r="O636" s="56" t="s">
        <v>1047</v>
      </c>
      <c r="P636" s="121">
        <v>46266</v>
      </c>
      <c r="Q636" s="122">
        <v>0.60069444444444442</v>
      </c>
      <c r="R636" s="122">
        <v>0.60013888888888889</v>
      </c>
      <c r="S636" s="56" t="s">
        <v>1047</v>
      </c>
      <c r="T636" s="56">
        <v>1</v>
      </c>
      <c r="U636" s="56">
        <v>24</v>
      </c>
      <c r="V636" s="56">
        <v>19.29</v>
      </c>
      <c r="W636" s="56">
        <v>19.16</v>
      </c>
      <c r="X636" s="56" t="s">
        <v>2624</v>
      </c>
      <c r="Y636" s="56" t="s">
        <v>2624</v>
      </c>
      <c r="Z636" s="56" t="s">
        <v>2624</v>
      </c>
      <c r="AA636" s="56" t="s">
        <v>411</v>
      </c>
      <c r="AB636" s="56">
        <v>14122320</v>
      </c>
      <c r="AC636" s="56" t="s">
        <v>411</v>
      </c>
      <c r="AD636" s="56">
        <v>14122320</v>
      </c>
      <c r="AE636" s="56" t="s">
        <v>2626</v>
      </c>
      <c r="AF636" s="56" t="s">
        <v>2627</v>
      </c>
      <c r="AG636" s="56" t="s">
        <v>2627</v>
      </c>
      <c r="AH636" s="56">
        <v>36</v>
      </c>
      <c r="AI636" s="56" t="s">
        <v>2628</v>
      </c>
      <c r="AJ636" s="56" t="s">
        <v>2629</v>
      </c>
      <c r="AK636" s="56">
        <v>0</v>
      </c>
      <c r="AL636" s="56" t="s">
        <v>2630</v>
      </c>
      <c r="AM636" s="56" t="s">
        <v>2631</v>
      </c>
      <c r="AN636" s="56" t="s">
        <v>2632</v>
      </c>
      <c r="AO636" s="56" t="s">
        <v>2627</v>
      </c>
      <c r="AP636" s="56" t="s">
        <v>2624</v>
      </c>
      <c r="AQ636" s="123">
        <v>2.1527777777777812E-2</v>
      </c>
      <c r="AR636" s="122">
        <v>-5.5555555555553138E-4</v>
      </c>
      <c r="AS636" s="56" t="s">
        <v>1048</v>
      </c>
      <c r="AT636" s="56" t="s">
        <v>1049</v>
      </c>
      <c r="AU636" s="56" t="s">
        <v>1050</v>
      </c>
      <c r="AV636" s="56">
        <v>36</v>
      </c>
      <c r="AW636" s="56" t="s">
        <v>1051</v>
      </c>
      <c r="AX636" s="56" t="s">
        <v>1137</v>
      </c>
      <c r="AY636" s="56" t="s">
        <v>1093</v>
      </c>
      <c r="AZ636" s="56" t="s">
        <v>1067</v>
      </c>
      <c r="BA636" s="56" t="s">
        <v>1138</v>
      </c>
      <c r="BB636" s="56" t="s">
        <v>1139</v>
      </c>
      <c r="BC636" s="56" t="s">
        <v>1133</v>
      </c>
      <c r="BD636" s="56" t="s">
        <v>3190</v>
      </c>
    </row>
    <row r="637" spans="1:56" x14ac:dyDescent="0.2">
      <c r="A637" s="56">
        <v>176577002</v>
      </c>
      <c r="B637" s="56" t="s">
        <v>2120</v>
      </c>
      <c r="C637" s="56" t="s">
        <v>2623</v>
      </c>
      <c r="D637" s="56" t="s">
        <v>1575</v>
      </c>
      <c r="E637" s="56" t="s">
        <v>1044</v>
      </c>
      <c r="F637" s="56">
        <v>67</v>
      </c>
      <c r="G637" s="56"/>
      <c r="H637" s="56">
        <v>14689</v>
      </c>
      <c r="I637" s="56">
        <v>6</v>
      </c>
      <c r="J637" s="56" t="s">
        <v>1045</v>
      </c>
      <c r="K637" s="56" t="s">
        <v>1064</v>
      </c>
      <c r="L637" s="121">
        <v>46266</v>
      </c>
      <c r="M637" s="122">
        <v>0.53472222222222221</v>
      </c>
      <c r="N637" s="122">
        <v>0.54097222222222219</v>
      </c>
      <c r="O637" s="56" t="s">
        <v>1047</v>
      </c>
      <c r="P637" s="121">
        <v>46266</v>
      </c>
      <c r="Q637" s="122">
        <v>0.60069444444444442</v>
      </c>
      <c r="R637" s="122">
        <v>0.61299768518518516</v>
      </c>
      <c r="S637" s="56" t="s">
        <v>1047</v>
      </c>
      <c r="T637" s="56">
        <v>1</v>
      </c>
      <c r="U637" s="56">
        <v>42</v>
      </c>
      <c r="V637" s="56">
        <v>38.39</v>
      </c>
      <c r="W637" s="56">
        <v>40.11</v>
      </c>
      <c r="X637" s="56" t="s">
        <v>2624</v>
      </c>
      <c r="Y637" s="56" t="s">
        <v>2624</v>
      </c>
      <c r="Z637" s="56" t="s">
        <v>2624</v>
      </c>
      <c r="AA637" s="56" t="s">
        <v>524</v>
      </c>
      <c r="AB637" s="56">
        <v>14123463</v>
      </c>
      <c r="AC637" s="56" t="s">
        <v>524</v>
      </c>
      <c r="AD637" s="56">
        <v>14123463</v>
      </c>
      <c r="AE637" s="56" t="s">
        <v>2626</v>
      </c>
      <c r="AF637" s="56" t="s">
        <v>2627</v>
      </c>
      <c r="AG637" s="56" t="s">
        <v>2627</v>
      </c>
      <c r="AH637" s="56">
        <v>36</v>
      </c>
      <c r="AI637" s="56" t="s">
        <v>2628</v>
      </c>
      <c r="AJ637" s="56" t="s">
        <v>2640</v>
      </c>
      <c r="AK637" s="56">
        <v>530.63</v>
      </c>
      <c r="AL637" s="56" t="s">
        <v>2630</v>
      </c>
      <c r="AM637" s="56" t="s">
        <v>2631</v>
      </c>
      <c r="AN637" s="56" t="s">
        <v>2632</v>
      </c>
      <c r="AO637" s="56" t="s">
        <v>2627</v>
      </c>
      <c r="AP637" s="56" t="s">
        <v>2624</v>
      </c>
      <c r="AQ637" s="123">
        <v>6.2499999999999778E-3</v>
      </c>
      <c r="AR637" s="122">
        <v>1.230324074074074E-2</v>
      </c>
      <c r="AS637" s="56" t="s">
        <v>1048</v>
      </c>
      <c r="AT637" s="56" t="s">
        <v>1059</v>
      </c>
      <c r="AU637" s="56" t="s">
        <v>1060</v>
      </c>
      <c r="AV637" s="56">
        <v>36</v>
      </c>
      <c r="AW637" s="56" t="s">
        <v>1051</v>
      </c>
      <c r="AX637" s="56" t="s">
        <v>1576</v>
      </c>
      <c r="AY637" s="56" t="s">
        <v>1066</v>
      </c>
      <c r="AZ637" s="56" t="s">
        <v>1067</v>
      </c>
      <c r="BA637" s="56" t="s">
        <v>1577</v>
      </c>
      <c r="BB637" s="56" t="s">
        <v>1578</v>
      </c>
      <c r="BC637" s="56" t="s">
        <v>1133</v>
      </c>
      <c r="BD637" s="56" t="s">
        <v>2303</v>
      </c>
    </row>
    <row r="638" spans="1:56" x14ac:dyDescent="0.2">
      <c r="A638" s="56">
        <v>176577005</v>
      </c>
      <c r="B638" s="56" t="s">
        <v>2768</v>
      </c>
      <c r="C638" s="56" t="s">
        <v>2623</v>
      </c>
      <c r="D638" s="56" t="s">
        <v>1268</v>
      </c>
      <c r="E638" s="56" t="s">
        <v>1044</v>
      </c>
      <c r="F638" s="56">
        <v>68</v>
      </c>
      <c r="G638" s="56"/>
      <c r="H638" s="56">
        <v>16363</v>
      </c>
      <c r="I638" s="56">
        <v>6</v>
      </c>
      <c r="J638" s="56" t="s">
        <v>1045</v>
      </c>
      <c r="K638" s="56" t="s">
        <v>1064</v>
      </c>
      <c r="L638" s="121">
        <v>46266</v>
      </c>
      <c r="M638" s="122">
        <v>0.53472222222222221</v>
      </c>
      <c r="N638" s="122">
        <v>0.54166666666666663</v>
      </c>
      <c r="O638" s="56" t="s">
        <v>1047</v>
      </c>
      <c r="P638" s="121">
        <v>46266</v>
      </c>
      <c r="Q638" s="122">
        <v>0.60069444444444442</v>
      </c>
      <c r="R638" s="122">
        <v>0.59354166666666663</v>
      </c>
      <c r="S638" s="56" t="s">
        <v>1047</v>
      </c>
      <c r="T638" s="56">
        <v>1</v>
      </c>
      <c r="U638" s="56">
        <v>33</v>
      </c>
      <c r="V638" s="56">
        <v>28.31</v>
      </c>
      <c r="W638" s="56">
        <v>29.68</v>
      </c>
      <c r="X638" s="56" t="s">
        <v>2624</v>
      </c>
      <c r="Y638" s="56" t="s">
        <v>2624</v>
      </c>
      <c r="Z638" s="56" t="s">
        <v>2624</v>
      </c>
      <c r="AA638" s="56" t="s">
        <v>2390</v>
      </c>
      <c r="AB638" s="56">
        <v>14124189</v>
      </c>
      <c r="AC638" s="56" t="s">
        <v>2390</v>
      </c>
      <c r="AD638" s="56">
        <v>14124189</v>
      </c>
      <c r="AE638" s="56" t="s">
        <v>2626</v>
      </c>
      <c r="AF638" s="56" t="s">
        <v>2627</v>
      </c>
      <c r="AG638" s="56" t="s">
        <v>2627</v>
      </c>
      <c r="AH638" s="56">
        <v>36</v>
      </c>
      <c r="AI638" s="56" t="s">
        <v>2628</v>
      </c>
      <c r="AJ638" s="56" t="s">
        <v>2629</v>
      </c>
      <c r="AK638" s="56">
        <v>530.63</v>
      </c>
      <c r="AL638" s="56" t="s">
        <v>2630</v>
      </c>
      <c r="AM638" s="56" t="s">
        <v>2631</v>
      </c>
      <c r="AN638" s="56" t="s">
        <v>2632</v>
      </c>
      <c r="AO638" s="56" t="s">
        <v>2627</v>
      </c>
      <c r="AP638" s="56" t="s">
        <v>2624</v>
      </c>
      <c r="AQ638" s="123">
        <v>6.9444444444444198E-3</v>
      </c>
      <c r="AR638" s="122">
        <v>-7.1527777777777857E-3</v>
      </c>
      <c r="AS638" s="56" t="s">
        <v>1048</v>
      </c>
      <c r="AT638" s="56" t="s">
        <v>1049</v>
      </c>
      <c r="AU638" s="56" t="s">
        <v>1050</v>
      </c>
      <c r="AV638" s="56">
        <v>36</v>
      </c>
      <c r="AW638" s="56" t="s">
        <v>1051</v>
      </c>
      <c r="AX638" s="56" t="s">
        <v>1269</v>
      </c>
      <c r="AY638" s="56" t="s">
        <v>1066</v>
      </c>
      <c r="AZ638" s="56" t="s">
        <v>1067</v>
      </c>
      <c r="BA638" s="56" t="s">
        <v>1270</v>
      </c>
      <c r="BB638" s="56" t="s">
        <v>1271</v>
      </c>
      <c r="BC638" s="56" t="s">
        <v>1133</v>
      </c>
      <c r="BD638" s="56" t="s">
        <v>2769</v>
      </c>
    </row>
    <row r="639" spans="1:56" x14ac:dyDescent="0.2">
      <c r="A639" s="56">
        <v>176577013</v>
      </c>
      <c r="B639" s="56" t="s">
        <v>1272</v>
      </c>
      <c r="C639" s="56" t="s">
        <v>2623</v>
      </c>
      <c r="D639" s="56" t="s">
        <v>1273</v>
      </c>
      <c r="E639" s="56" t="s">
        <v>1044</v>
      </c>
      <c r="F639" s="56">
        <v>71</v>
      </c>
      <c r="G639" s="56"/>
      <c r="H639" s="56">
        <v>16003</v>
      </c>
      <c r="I639" s="56">
        <v>6</v>
      </c>
      <c r="J639" s="56" t="s">
        <v>1045</v>
      </c>
      <c r="K639" s="56" t="s">
        <v>1064</v>
      </c>
      <c r="L639" s="121">
        <v>46266</v>
      </c>
      <c r="M639" s="122">
        <v>0.53472222222222221</v>
      </c>
      <c r="N639" s="122">
        <v>0.53888888888888886</v>
      </c>
      <c r="O639" s="56" t="s">
        <v>1047</v>
      </c>
      <c r="P639" s="121">
        <v>46266</v>
      </c>
      <c r="Q639" s="122">
        <v>0.60069444444444442</v>
      </c>
      <c r="R639" s="122">
        <v>0.58429398148148148</v>
      </c>
      <c r="S639" s="56" t="s">
        <v>1047</v>
      </c>
      <c r="T639" s="56">
        <v>1</v>
      </c>
      <c r="U639" s="56">
        <v>34</v>
      </c>
      <c r="V639" s="56">
        <v>30.53</v>
      </c>
      <c r="W639" s="56">
        <v>31.89</v>
      </c>
      <c r="X639" s="56" t="s">
        <v>2624</v>
      </c>
      <c r="Y639" s="56" t="s">
        <v>2624</v>
      </c>
      <c r="Z639" s="56" t="s">
        <v>2624</v>
      </c>
      <c r="AA639" s="56" t="s">
        <v>2022</v>
      </c>
      <c r="AB639" s="56">
        <v>14124187</v>
      </c>
      <c r="AC639" s="56" t="s">
        <v>2022</v>
      </c>
      <c r="AD639" s="56">
        <v>14124187</v>
      </c>
      <c r="AE639" s="56" t="s">
        <v>2626</v>
      </c>
      <c r="AF639" s="56" t="s">
        <v>2627</v>
      </c>
      <c r="AG639" s="56" t="s">
        <v>2627</v>
      </c>
      <c r="AH639" s="56">
        <v>36</v>
      </c>
      <c r="AI639" s="56" t="s">
        <v>2628</v>
      </c>
      <c r="AJ639" s="56" t="s">
        <v>2629</v>
      </c>
      <c r="AK639" s="56">
        <v>530.63</v>
      </c>
      <c r="AL639" s="56" t="s">
        <v>2630</v>
      </c>
      <c r="AM639" s="56" t="s">
        <v>2631</v>
      </c>
      <c r="AN639" s="56" t="s">
        <v>2632</v>
      </c>
      <c r="AO639" s="56" t="s">
        <v>2627</v>
      </c>
      <c r="AP639" s="56" t="s">
        <v>2624</v>
      </c>
      <c r="AQ639" s="123">
        <v>4.1666666666666519E-3</v>
      </c>
      <c r="AR639" s="122">
        <v>-1.6400462962962936E-2</v>
      </c>
      <c r="AS639" s="56" t="s">
        <v>1048</v>
      </c>
      <c r="AT639" s="56" t="s">
        <v>1049</v>
      </c>
      <c r="AU639" s="56" t="s">
        <v>1050</v>
      </c>
      <c r="AV639" s="56">
        <v>36</v>
      </c>
      <c r="AW639" s="56" t="s">
        <v>1051</v>
      </c>
      <c r="AX639" s="56" t="s">
        <v>1274</v>
      </c>
      <c r="AY639" s="56" t="s">
        <v>1066</v>
      </c>
      <c r="AZ639" s="56" t="s">
        <v>1067</v>
      </c>
      <c r="BA639" s="56" t="s">
        <v>1275</v>
      </c>
      <c r="BB639" s="56" t="s">
        <v>1276</v>
      </c>
      <c r="BC639" s="56" t="s">
        <v>1133</v>
      </c>
      <c r="BD639" s="56" t="s">
        <v>1277</v>
      </c>
    </row>
    <row r="640" spans="1:56" x14ac:dyDescent="0.2">
      <c r="A640" s="56">
        <v>176585502</v>
      </c>
      <c r="B640" s="56" t="s">
        <v>3354</v>
      </c>
      <c r="C640" s="56" t="s">
        <v>2623</v>
      </c>
      <c r="D640" s="56" t="s">
        <v>1194</v>
      </c>
      <c r="E640" s="56" t="s">
        <v>1044</v>
      </c>
      <c r="F640" s="56">
        <v>112</v>
      </c>
      <c r="G640" s="56"/>
      <c r="H640" s="56">
        <v>15996</v>
      </c>
      <c r="I640" s="56">
        <v>6</v>
      </c>
      <c r="J640" s="56" t="s">
        <v>1045</v>
      </c>
      <c r="K640" s="56" t="s">
        <v>1079</v>
      </c>
      <c r="L640" s="121">
        <v>46266</v>
      </c>
      <c r="M640" s="122">
        <v>0.53472222222222221</v>
      </c>
      <c r="N640" s="122">
        <v>0.53819444444444442</v>
      </c>
      <c r="O640" s="56" t="s">
        <v>1047</v>
      </c>
      <c r="P640" s="121">
        <v>46266</v>
      </c>
      <c r="Q640" s="122">
        <v>0.60069444444444442</v>
      </c>
      <c r="R640" s="122">
        <v>0.59592592592592597</v>
      </c>
      <c r="S640" s="56" t="s">
        <v>1047</v>
      </c>
      <c r="T640" s="56">
        <v>1</v>
      </c>
      <c r="U640" s="56">
        <v>28</v>
      </c>
      <c r="V640" s="56">
        <v>24.61</v>
      </c>
      <c r="W640" s="56">
        <v>21.84</v>
      </c>
      <c r="X640" s="56" t="s">
        <v>2624</v>
      </c>
      <c r="Y640" s="56" t="s">
        <v>2624</v>
      </c>
      <c r="Z640" s="56" t="s">
        <v>2624</v>
      </c>
      <c r="AA640" s="56" t="s">
        <v>62</v>
      </c>
      <c r="AB640" s="56">
        <v>14107393</v>
      </c>
      <c r="AC640" s="56" t="s">
        <v>62</v>
      </c>
      <c r="AD640" s="56">
        <v>14107393</v>
      </c>
      <c r="AE640" s="56" t="s">
        <v>2626</v>
      </c>
      <c r="AF640" s="56" t="s">
        <v>2627</v>
      </c>
      <c r="AG640" s="56" t="s">
        <v>2627</v>
      </c>
      <c r="AH640" s="56">
        <v>36</v>
      </c>
      <c r="AI640" s="56" t="s">
        <v>2628</v>
      </c>
      <c r="AJ640" s="56" t="s">
        <v>2629</v>
      </c>
      <c r="AK640" s="56">
        <v>0</v>
      </c>
      <c r="AL640" s="56" t="s">
        <v>2630</v>
      </c>
      <c r="AM640" s="56" t="s">
        <v>2631</v>
      </c>
      <c r="AN640" s="56" t="s">
        <v>2632</v>
      </c>
      <c r="AO640" s="56" t="s">
        <v>2627</v>
      </c>
      <c r="AP640" s="56" t="s">
        <v>2624</v>
      </c>
      <c r="AQ640" s="123">
        <v>3.4722222222222099E-3</v>
      </c>
      <c r="AR640" s="122">
        <v>-4.7685185185184498E-3</v>
      </c>
      <c r="AS640" s="56" t="s">
        <v>1048</v>
      </c>
      <c r="AT640" s="56" t="s">
        <v>1049</v>
      </c>
      <c r="AU640" s="56" t="s">
        <v>1050</v>
      </c>
      <c r="AV640" s="56">
        <v>36</v>
      </c>
      <c r="AW640" s="56" t="s">
        <v>1051</v>
      </c>
      <c r="AX640" s="56" t="s">
        <v>1195</v>
      </c>
      <c r="AY640" s="56" t="s">
        <v>1081</v>
      </c>
      <c r="AZ640" s="56" t="s">
        <v>1067</v>
      </c>
      <c r="BA640" s="56" t="s">
        <v>1196</v>
      </c>
      <c r="BB640" s="56" t="s">
        <v>1197</v>
      </c>
      <c r="BC640" s="56" t="s">
        <v>1133</v>
      </c>
      <c r="BD640" s="56" t="s">
        <v>3355</v>
      </c>
    </row>
    <row r="641" spans="1:56" x14ac:dyDescent="0.2">
      <c r="A641" s="56">
        <v>176588620</v>
      </c>
      <c r="B641" s="56" t="s">
        <v>2776</v>
      </c>
      <c r="C641" s="56" t="s">
        <v>2623</v>
      </c>
      <c r="D641" s="56" t="s">
        <v>1173</v>
      </c>
      <c r="E641" s="56" t="s">
        <v>1044</v>
      </c>
      <c r="F641" s="56">
        <v>7</v>
      </c>
      <c r="G641" s="56"/>
      <c r="H641" s="56">
        <v>15765</v>
      </c>
      <c r="I641" s="56">
        <v>6</v>
      </c>
      <c r="J641" s="56" t="s">
        <v>1045</v>
      </c>
      <c r="K641" s="56" t="s">
        <v>1058</v>
      </c>
      <c r="L641" s="121">
        <v>46266</v>
      </c>
      <c r="M641" s="122">
        <v>0.53819444444444442</v>
      </c>
      <c r="N641" s="122">
        <v>0.54236111111111107</v>
      </c>
      <c r="O641" s="56" t="s">
        <v>1047</v>
      </c>
      <c r="P641" s="121">
        <v>46266</v>
      </c>
      <c r="Q641" s="122">
        <v>0.60416666666666663</v>
      </c>
      <c r="R641" s="122">
        <v>0.58656249999999999</v>
      </c>
      <c r="S641" s="56" t="s">
        <v>1047</v>
      </c>
      <c r="T641" s="56">
        <v>1</v>
      </c>
      <c r="U641" s="56">
        <v>34</v>
      </c>
      <c r="V641" s="56">
        <v>28.35</v>
      </c>
      <c r="W641" s="56">
        <v>29.25</v>
      </c>
      <c r="X641" s="56" t="s">
        <v>2624</v>
      </c>
      <c r="Y641" s="56" t="s">
        <v>2624</v>
      </c>
      <c r="Z641" s="56" t="s">
        <v>2624</v>
      </c>
      <c r="AA641" s="56" t="s">
        <v>1174</v>
      </c>
      <c r="AB641" s="56">
        <v>14113198</v>
      </c>
      <c r="AC641" s="56" t="s">
        <v>1174</v>
      </c>
      <c r="AD641" s="56">
        <v>14113198</v>
      </c>
      <c r="AE641" s="56" t="s">
        <v>2626</v>
      </c>
      <c r="AF641" s="56" t="s">
        <v>2627</v>
      </c>
      <c r="AG641" s="56" t="s">
        <v>2627</v>
      </c>
      <c r="AH641" s="56">
        <v>36</v>
      </c>
      <c r="AI641" s="56" t="s">
        <v>2628</v>
      </c>
      <c r="AJ641" s="56" t="s">
        <v>2629</v>
      </c>
      <c r="AK641" s="56">
        <v>842</v>
      </c>
      <c r="AL641" s="56" t="s">
        <v>2630</v>
      </c>
      <c r="AM641" s="56" t="s">
        <v>2631</v>
      </c>
      <c r="AN641" s="56" t="s">
        <v>2632</v>
      </c>
      <c r="AO641" s="56" t="s">
        <v>2627</v>
      </c>
      <c r="AP641" s="56" t="s">
        <v>2624</v>
      </c>
      <c r="AQ641" s="123">
        <v>4.1666666666666519E-3</v>
      </c>
      <c r="AR641" s="122">
        <v>-1.7604166666666643E-2</v>
      </c>
      <c r="AS641" s="56" t="s">
        <v>1048</v>
      </c>
      <c r="AT641" s="56" t="s">
        <v>1049</v>
      </c>
      <c r="AU641" s="56" t="s">
        <v>1050</v>
      </c>
      <c r="AV641" s="56">
        <v>36</v>
      </c>
      <c r="AW641" s="56" t="s">
        <v>1051</v>
      </c>
      <c r="AX641" s="56" t="s">
        <v>1175</v>
      </c>
      <c r="AY641" s="56" t="s">
        <v>1061</v>
      </c>
      <c r="AZ641" s="56" t="s">
        <v>1062</v>
      </c>
      <c r="BA641" s="56" t="s">
        <v>1176</v>
      </c>
      <c r="BB641" s="56" t="s">
        <v>1177</v>
      </c>
      <c r="BC641" s="56" t="s">
        <v>1133</v>
      </c>
      <c r="BD641" s="56" t="s">
        <v>2777</v>
      </c>
    </row>
    <row r="642" spans="1:56" x14ac:dyDescent="0.2">
      <c r="A642" s="56">
        <v>176589623</v>
      </c>
      <c r="B642" s="56" t="s">
        <v>1288</v>
      </c>
      <c r="C642" s="56" t="s">
        <v>2623</v>
      </c>
      <c r="D642" s="56" t="s">
        <v>1219</v>
      </c>
      <c r="E642" s="56" t="s">
        <v>1044</v>
      </c>
      <c r="F642" s="56">
        <v>22</v>
      </c>
      <c r="G642" s="56" t="s">
        <v>2670</v>
      </c>
      <c r="H642" s="56">
        <v>15320</v>
      </c>
      <c r="I642" s="56">
        <v>6</v>
      </c>
      <c r="J642" s="56" t="s">
        <v>1045</v>
      </c>
      <c r="K642" s="56" t="s">
        <v>1116</v>
      </c>
      <c r="L642" s="121">
        <v>46266</v>
      </c>
      <c r="M642" s="122">
        <v>0.53819444444444442</v>
      </c>
      <c r="N642" s="122">
        <v>0.54305555555555551</v>
      </c>
      <c r="O642" s="56" t="s">
        <v>1047</v>
      </c>
      <c r="P642" s="121">
        <v>46266</v>
      </c>
      <c r="Q642" s="122">
        <v>0.61458333333333337</v>
      </c>
      <c r="R642" s="122">
        <v>0.59127314814814813</v>
      </c>
      <c r="S642" s="56" t="s">
        <v>1047</v>
      </c>
      <c r="T642" s="56">
        <v>1</v>
      </c>
      <c r="U642" s="56">
        <v>36</v>
      </c>
      <c r="V642" s="56">
        <v>26.99</v>
      </c>
      <c r="W642" s="56">
        <v>27.06</v>
      </c>
      <c r="X642" s="56" t="s">
        <v>2624</v>
      </c>
      <c r="Y642" s="56" t="s">
        <v>2624</v>
      </c>
      <c r="Z642" s="56" t="s">
        <v>2624</v>
      </c>
      <c r="AA642" s="56" t="s">
        <v>436</v>
      </c>
      <c r="AB642" s="56">
        <v>14122618</v>
      </c>
      <c r="AC642" s="56" t="s">
        <v>436</v>
      </c>
      <c r="AD642" s="56">
        <v>14122618</v>
      </c>
      <c r="AE642" s="56" t="s">
        <v>2626</v>
      </c>
      <c r="AF642" s="56" t="s">
        <v>2627</v>
      </c>
      <c r="AG642" s="56" t="s">
        <v>2627</v>
      </c>
      <c r="AH642" s="56">
        <v>36</v>
      </c>
      <c r="AI642" s="56" t="s">
        <v>2628</v>
      </c>
      <c r="AJ642" s="56" t="s">
        <v>2629</v>
      </c>
      <c r="AK642" s="56">
        <v>0</v>
      </c>
      <c r="AL642" s="56" t="s">
        <v>2630</v>
      </c>
      <c r="AM642" s="56" t="s">
        <v>2631</v>
      </c>
      <c r="AN642" s="56" t="s">
        <v>2632</v>
      </c>
      <c r="AO642" s="56" t="s">
        <v>2627</v>
      </c>
      <c r="AP642" s="56">
        <v>18</v>
      </c>
      <c r="AQ642" s="123">
        <v>4.8611111111110938E-3</v>
      </c>
      <c r="AR642" s="122">
        <v>-2.3310185185185239E-2</v>
      </c>
      <c r="AS642" s="56" t="s">
        <v>1048</v>
      </c>
      <c r="AT642" s="56" t="s">
        <v>1049</v>
      </c>
      <c r="AU642" s="56" t="s">
        <v>1050</v>
      </c>
      <c r="AV642" s="56">
        <v>36</v>
      </c>
      <c r="AW642" s="56" t="s">
        <v>1051</v>
      </c>
      <c r="AX642" s="56" t="s">
        <v>1220</v>
      </c>
      <c r="AY642" s="56" t="s">
        <v>1118</v>
      </c>
      <c r="AZ642" s="56" t="s">
        <v>1054</v>
      </c>
      <c r="BA642" s="56" t="s">
        <v>1221</v>
      </c>
      <c r="BB642" s="56" t="s">
        <v>1222</v>
      </c>
      <c r="BC642" s="56" t="s">
        <v>1133</v>
      </c>
      <c r="BD642" s="56" t="s">
        <v>1289</v>
      </c>
    </row>
    <row r="643" spans="1:56" x14ac:dyDescent="0.2">
      <c r="A643" s="56">
        <v>176585239</v>
      </c>
      <c r="B643" s="56" t="s">
        <v>3201</v>
      </c>
      <c r="C643" s="56" t="s">
        <v>2623</v>
      </c>
      <c r="D643" s="56" t="s">
        <v>1090</v>
      </c>
      <c r="E643" s="56" t="s">
        <v>1044</v>
      </c>
      <c r="F643" s="56">
        <v>28</v>
      </c>
      <c r="G643" s="56"/>
      <c r="H643" s="56">
        <v>16733</v>
      </c>
      <c r="I643" s="56">
        <v>6</v>
      </c>
      <c r="J643" s="56" t="s">
        <v>1045</v>
      </c>
      <c r="K643" s="56" t="s">
        <v>1091</v>
      </c>
      <c r="L643" s="121">
        <v>46266</v>
      </c>
      <c r="M643" s="122">
        <v>0.5395833333333333</v>
      </c>
      <c r="N643" s="122">
        <v>0.5444444444444444</v>
      </c>
      <c r="O643" s="56" t="s">
        <v>1047</v>
      </c>
      <c r="P643" s="121">
        <v>46266</v>
      </c>
      <c r="Q643" s="122">
        <v>0.60069444444444442</v>
      </c>
      <c r="R643" s="122">
        <v>0.58821759259259254</v>
      </c>
      <c r="S643" s="56" t="s">
        <v>1047</v>
      </c>
      <c r="T643" s="56">
        <v>1</v>
      </c>
      <c r="U643" s="56">
        <v>28</v>
      </c>
      <c r="V643" s="56">
        <v>23.52</v>
      </c>
      <c r="W643" s="56">
        <v>23.66</v>
      </c>
      <c r="X643" s="56" t="s">
        <v>2624</v>
      </c>
      <c r="Y643" s="56" t="s">
        <v>2624</v>
      </c>
      <c r="Z643" s="56" t="s">
        <v>2624</v>
      </c>
      <c r="AA643" s="56" t="s">
        <v>35</v>
      </c>
      <c r="AB643" s="56">
        <v>14103106</v>
      </c>
      <c r="AC643" s="56" t="s">
        <v>35</v>
      </c>
      <c r="AD643" s="56">
        <v>14103106</v>
      </c>
      <c r="AE643" s="56" t="s">
        <v>2626</v>
      </c>
      <c r="AF643" s="56" t="s">
        <v>2627</v>
      </c>
      <c r="AG643" s="56" t="s">
        <v>2627</v>
      </c>
      <c r="AH643" s="56">
        <v>36</v>
      </c>
      <c r="AI643" s="56" t="s">
        <v>2628</v>
      </c>
      <c r="AJ643" s="56" t="s">
        <v>2629</v>
      </c>
      <c r="AK643" s="56">
        <v>0</v>
      </c>
      <c r="AL643" s="56" t="s">
        <v>2630</v>
      </c>
      <c r="AM643" s="56" t="s">
        <v>2631</v>
      </c>
      <c r="AN643" s="56" t="s">
        <v>2632</v>
      </c>
      <c r="AO643" s="56" t="s">
        <v>2627</v>
      </c>
      <c r="AP643" s="56" t="s">
        <v>2624</v>
      </c>
      <c r="AQ643" s="123">
        <v>4.8611111111110938E-3</v>
      </c>
      <c r="AR643" s="122">
        <v>-1.2476851851851878E-2</v>
      </c>
      <c r="AS643" s="56" t="s">
        <v>1048</v>
      </c>
      <c r="AT643" s="56" t="s">
        <v>1049</v>
      </c>
      <c r="AU643" s="56" t="s">
        <v>1050</v>
      </c>
      <c r="AV643" s="56">
        <v>36</v>
      </c>
      <c r="AW643" s="56" t="s">
        <v>1051</v>
      </c>
      <c r="AX643" s="56" t="s">
        <v>1092</v>
      </c>
      <c r="AY643" s="56" t="s">
        <v>1093</v>
      </c>
      <c r="AZ643" s="56" t="s">
        <v>1067</v>
      </c>
      <c r="BA643" s="56" t="s">
        <v>1094</v>
      </c>
      <c r="BB643" s="56" t="s">
        <v>1095</v>
      </c>
      <c r="BC643" s="56" t="s">
        <v>1133</v>
      </c>
      <c r="BD643" s="56" t="s">
        <v>3202</v>
      </c>
    </row>
    <row r="644" spans="1:56" x14ac:dyDescent="0.2">
      <c r="A644" s="56">
        <v>176585397</v>
      </c>
      <c r="B644" s="56" t="s">
        <v>1772</v>
      </c>
      <c r="C644" s="56" t="s">
        <v>2623</v>
      </c>
      <c r="D644" s="56" t="s">
        <v>1773</v>
      </c>
      <c r="E644" s="56" t="s">
        <v>1044</v>
      </c>
      <c r="F644" s="56">
        <v>46</v>
      </c>
      <c r="G644" s="56"/>
      <c r="H644" s="56">
        <v>16783</v>
      </c>
      <c r="I644" s="56">
        <v>6</v>
      </c>
      <c r="J644" s="56" t="s">
        <v>1045</v>
      </c>
      <c r="K644" s="56" t="s">
        <v>1091</v>
      </c>
      <c r="L644" s="121">
        <v>46266</v>
      </c>
      <c r="M644" s="122">
        <v>0.54166666666666663</v>
      </c>
      <c r="N644" s="122">
        <v>0.54861111111111116</v>
      </c>
      <c r="O644" s="56" t="s">
        <v>1047</v>
      </c>
      <c r="P644" s="121">
        <v>46266</v>
      </c>
      <c r="Q644" s="122">
        <v>0.60069444444444442</v>
      </c>
      <c r="R644" s="122">
        <v>0.59376157407407404</v>
      </c>
      <c r="S644" s="56" t="s">
        <v>1047</v>
      </c>
      <c r="T644" s="56">
        <v>1</v>
      </c>
      <c r="U644" s="56">
        <v>24</v>
      </c>
      <c r="V644" s="56">
        <v>20.100000000000001</v>
      </c>
      <c r="W644" s="56">
        <v>22.46</v>
      </c>
      <c r="X644" s="56" t="s">
        <v>2624</v>
      </c>
      <c r="Y644" s="56" t="s">
        <v>2624</v>
      </c>
      <c r="Z644" s="56" t="s">
        <v>2624</v>
      </c>
      <c r="AA644" s="56" t="s">
        <v>1805</v>
      </c>
      <c r="AB644" s="56">
        <v>14122067</v>
      </c>
      <c r="AC644" s="56" t="s">
        <v>1805</v>
      </c>
      <c r="AD644" s="56">
        <v>14122067</v>
      </c>
      <c r="AE644" s="56" t="s">
        <v>2626</v>
      </c>
      <c r="AF644" s="56" t="s">
        <v>2627</v>
      </c>
      <c r="AG644" s="56" t="s">
        <v>2627</v>
      </c>
      <c r="AH644" s="56">
        <v>36</v>
      </c>
      <c r="AI644" s="56" t="s">
        <v>2628</v>
      </c>
      <c r="AJ644" s="56" t="s">
        <v>2629</v>
      </c>
      <c r="AK644" s="56">
        <v>0</v>
      </c>
      <c r="AL644" s="56" t="s">
        <v>2630</v>
      </c>
      <c r="AM644" s="56" t="s">
        <v>2631</v>
      </c>
      <c r="AN644" s="56" t="s">
        <v>2632</v>
      </c>
      <c r="AO644" s="56" t="s">
        <v>2627</v>
      </c>
      <c r="AP644" s="56" t="s">
        <v>2624</v>
      </c>
      <c r="AQ644" s="123">
        <v>6.9444444444445308E-3</v>
      </c>
      <c r="AR644" s="122">
        <v>-6.9328703703703809E-3</v>
      </c>
      <c r="AS644" s="56" t="s">
        <v>1048</v>
      </c>
      <c r="AT644" s="56" t="s">
        <v>1049</v>
      </c>
      <c r="AU644" s="56" t="s">
        <v>1050</v>
      </c>
      <c r="AV644" s="56">
        <v>36</v>
      </c>
      <c r="AW644" s="56" t="s">
        <v>1051</v>
      </c>
      <c r="AX644" s="56" t="s">
        <v>1774</v>
      </c>
      <c r="AY644" s="56" t="s">
        <v>1093</v>
      </c>
      <c r="AZ644" s="56" t="s">
        <v>1067</v>
      </c>
      <c r="BA644" s="56" t="s">
        <v>1775</v>
      </c>
      <c r="BB644" s="56" t="s">
        <v>1776</v>
      </c>
      <c r="BC644" s="56" t="s">
        <v>1133</v>
      </c>
      <c r="BD644" s="56" t="s">
        <v>3651</v>
      </c>
    </row>
    <row r="645" spans="1:56" x14ac:dyDescent="0.2">
      <c r="A645" s="56">
        <v>176596277</v>
      </c>
      <c r="B645" s="56" t="s">
        <v>2778</v>
      </c>
      <c r="C645" s="56" t="s">
        <v>2623</v>
      </c>
      <c r="D645" s="56" t="s">
        <v>1224</v>
      </c>
      <c r="E645" s="56" t="s">
        <v>1044</v>
      </c>
      <c r="F645" s="56">
        <v>227</v>
      </c>
      <c r="G645" s="56"/>
      <c r="H645" s="56">
        <v>6353</v>
      </c>
      <c r="I645" s="56">
        <v>6</v>
      </c>
      <c r="J645" s="56" t="s">
        <v>1045</v>
      </c>
      <c r="K645" s="56" t="s">
        <v>1079</v>
      </c>
      <c r="L645" s="121">
        <v>46266</v>
      </c>
      <c r="M645" s="122">
        <v>0.54166666666666663</v>
      </c>
      <c r="N645" s="122">
        <v>0.54652777777777772</v>
      </c>
      <c r="O645" s="56" t="s">
        <v>1047</v>
      </c>
      <c r="P645" s="121">
        <v>46266</v>
      </c>
      <c r="Q645" s="122">
        <v>0.60069444444444442</v>
      </c>
      <c r="R645" s="122">
        <v>0.58425925925925926</v>
      </c>
      <c r="S645" s="56" t="s">
        <v>1047</v>
      </c>
      <c r="T645" s="56">
        <v>1</v>
      </c>
      <c r="U645" s="56">
        <v>30</v>
      </c>
      <c r="V645" s="56">
        <v>24.61</v>
      </c>
      <c r="W645" s="56">
        <v>24.72</v>
      </c>
      <c r="X645" s="56" t="s">
        <v>2624</v>
      </c>
      <c r="Y645" s="56" t="s">
        <v>2624</v>
      </c>
      <c r="Z645" s="56" t="s">
        <v>2624</v>
      </c>
      <c r="AA645" s="56" t="s">
        <v>1637</v>
      </c>
      <c r="AB645" s="56">
        <v>14121860</v>
      </c>
      <c r="AC645" s="56" t="s">
        <v>1637</v>
      </c>
      <c r="AD645" s="56">
        <v>14121860</v>
      </c>
      <c r="AE645" s="56" t="s">
        <v>2626</v>
      </c>
      <c r="AF645" s="56" t="s">
        <v>2627</v>
      </c>
      <c r="AG645" s="56" t="s">
        <v>2627</v>
      </c>
      <c r="AH645" s="56">
        <v>36</v>
      </c>
      <c r="AI645" s="56" t="s">
        <v>2628</v>
      </c>
      <c r="AJ645" s="56" t="s">
        <v>2629</v>
      </c>
      <c r="AK645" s="56">
        <v>0</v>
      </c>
      <c r="AL645" s="56" t="s">
        <v>2630</v>
      </c>
      <c r="AM645" s="56" t="s">
        <v>2631</v>
      </c>
      <c r="AN645" s="56" t="s">
        <v>2632</v>
      </c>
      <c r="AO645" s="56" t="s">
        <v>2627</v>
      </c>
      <c r="AP645" s="56" t="s">
        <v>2624</v>
      </c>
      <c r="AQ645" s="123">
        <v>4.8611111111110938E-3</v>
      </c>
      <c r="AR645" s="122">
        <v>-1.6435185185185164E-2</v>
      </c>
      <c r="AS645" s="56" t="s">
        <v>1048</v>
      </c>
      <c r="AT645" s="56" t="s">
        <v>1049</v>
      </c>
      <c r="AU645" s="56" t="s">
        <v>1050</v>
      </c>
      <c r="AV645" s="56">
        <v>36</v>
      </c>
      <c r="AW645" s="56" t="s">
        <v>1051</v>
      </c>
      <c r="AX645" s="56" t="s">
        <v>2664</v>
      </c>
      <c r="AY645" s="56" t="s">
        <v>1081</v>
      </c>
      <c r="AZ645" s="56" t="s">
        <v>1067</v>
      </c>
      <c r="BA645" s="56" t="s">
        <v>2665</v>
      </c>
      <c r="BB645" s="56" t="s">
        <v>2666</v>
      </c>
      <c r="BC645" s="56" t="s">
        <v>1133</v>
      </c>
      <c r="BD645" s="56" t="s">
        <v>2779</v>
      </c>
    </row>
    <row r="646" spans="1:56" x14ac:dyDescent="0.2">
      <c r="A646" s="56">
        <v>176591210</v>
      </c>
      <c r="B646" s="56" t="s">
        <v>1462</v>
      </c>
      <c r="C646" s="56" t="s">
        <v>2623</v>
      </c>
      <c r="D646" s="56" t="s">
        <v>1463</v>
      </c>
      <c r="E646" s="56" t="s">
        <v>1044</v>
      </c>
      <c r="F646" s="56">
        <v>67</v>
      </c>
      <c r="G646" s="56" t="s">
        <v>2693</v>
      </c>
      <c r="H646" s="56">
        <v>5111</v>
      </c>
      <c r="I646" s="56">
        <v>6</v>
      </c>
      <c r="J646" s="56" t="s">
        <v>1045</v>
      </c>
      <c r="K646" s="56" t="s">
        <v>1116</v>
      </c>
      <c r="L646" s="121">
        <v>46266</v>
      </c>
      <c r="M646" s="122">
        <v>0.54513888888888884</v>
      </c>
      <c r="N646" s="122">
        <v>0.55763888888888891</v>
      </c>
      <c r="O646" s="56" t="s">
        <v>1047</v>
      </c>
      <c r="P646" s="121">
        <v>46266</v>
      </c>
      <c r="Q646" s="122">
        <v>0.61458333333333337</v>
      </c>
      <c r="R646" s="122">
        <v>0.62782407407407403</v>
      </c>
      <c r="S646" s="56" t="s">
        <v>1047</v>
      </c>
      <c r="T646" s="56">
        <v>1</v>
      </c>
      <c r="U646" s="56">
        <v>28</v>
      </c>
      <c r="V646" s="56">
        <v>25.8</v>
      </c>
      <c r="W646" s="56">
        <v>31.69</v>
      </c>
      <c r="X646" s="56" t="s">
        <v>2624</v>
      </c>
      <c r="Y646" s="56" t="s">
        <v>2624</v>
      </c>
      <c r="Z646" s="56" t="s">
        <v>2624</v>
      </c>
      <c r="AA646" s="56" t="s">
        <v>373</v>
      </c>
      <c r="AB646" s="56">
        <v>14116929</v>
      </c>
      <c r="AC646" s="56" t="s">
        <v>373</v>
      </c>
      <c r="AD646" s="56">
        <v>14116929</v>
      </c>
      <c r="AE646" s="56" t="s">
        <v>2626</v>
      </c>
      <c r="AF646" s="56" t="s">
        <v>2627</v>
      </c>
      <c r="AG646" s="56" t="s">
        <v>2627</v>
      </c>
      <c r="AH646" s="56">
        <v>36</v>
      </c>
      <c r="AI646" s="56" t="s">
        <v>2628</v>
      </c>
      <c r="AJ646" s="56" t="s">
        <v>2640</v>
      </c>
      <c r="AK646" s="56">
        <v>0</v>
      </c>
      <c r="AL646" s="56" t="s">
        <v>2630</v>
      </c>
      <c r="AM646" s="56" t="s">
        <v>2631</v>
      </c>
      <c r="AN646" s="56" t="s">
        <v>2632</v>
      </c>
      <c r="AO646" s="56" t="s">
        <v>2627</v>
      </c>
      <c r="AP646" s="56">
        <v>28</v>
      </c>
      <c r="AQ646" s="123">
        <v>1.2500000000000067E-2</v>
      </c>
      <c r="AR646" s="122">
        <v>1.3240740740740664E-2</v>
      </c>
      <c r="AS646" s="56" t="s">
        <v>1048</v>
      </c>
      <c r="AT646" s="56" t="s">
        <v>1059</v>
      </c>
      <c r="AU646" s="56" t="s">
        <v>1060</v>
      </c>
      <c r="AV646" s="56">
        <v>36</v>
      </c>
      <c r="AW646" s="56" t="s">
        <v>1051</v>
      </c>
      <c r="AX646" s="56" t="s">
        <v>1464</v>
      </c>
      <c r="AY646" s="56" t="s">
        <v>1128</v>
      </c>
      <c r="AZ646" s="56" t="s">
        <v>1054</v>
      </c>
      <c r="BA646" s="56" t="s">
        <v>1465</v>
      </c>
      <c r="BB646" s="56" t="s">
        <v>1466</v>
      </c>
      <c r="BC646" s="56" t="s">
        <v>1133</v>
      </c>
      <c r="BD646" s="56" t="s">
        <v>1467</v>
      </c>
    </row>
    <row r="647" spans="1:56" x14ac:dyDescent="0.2">
      <c r="A647" s="56">
        <v>176594361</v>
      </c>
      <c r="B647" s="56" t="s">
        <v>1302</v>
      </c>
      <c r="C647" s="56" t="s">
        <v>2623</v>
      </c>
      <c r="D647" s="56" t="s">
        <v>1303</v>
      </c>
      <c r="E647" s="56" t="s">
        <v>1044</v>
      </c>
      <c r="F647" s="56">
        <v>66</v>
      </c>
      <c r="G647" s="56"/>
      <c r="H647" s="56">
        <v>13901</v>
      </c>
      <c r="I647" s="56">
        <v>6</v>
      </c>
      <c r="J647" s="56" t="s">
        <v>1045</v>
      </c>
      <c r="K647" s="56" t="s">
        <v>1091</v>
      </c>
      <c r="L647" s="121">
        <v>46266</v>
      </c>
      <c r="M647" s="122">
        <v>0.54513888888888884</v>
      </c>
      <c r="N647" s="122">
        <v>0.58125000000000004</v>
      </c>
      <c r="O647" s="56" t="s">
        <v>1047</v>
      </c>
      <c r="P647" s="121">
        <v>46266</v>
      </c>
      <c r="Q647" s="122">
        <v>0.60069444444444442</v>
      </c>
      <c r="R647" s="122">
        <v>0.62201388888888887</v>
      </c>
      <c r="S647" s="56" t="s">
        <v>1047</v>
      </c>
      <c r="T647" s="56">
        <v>1</v>
      </c>
      <c r="U647" s="56">
        <v>26</v>
      </c>
      <c r="V647" s="56">
        <v>21.23</v>
      </c>
      <c r="W647" s="56">
        <v>21.58</v>
      </c>
      <c r="X647" s="56" t="s">
        <v>2624</v>
      </c>
      <c r="Y647" s="56" t="s">
        <v>2624</v>
      </c>
      <c r="Z647" s="56" t="s">
        <v>2624</v>
      </c>
      <c r="AA647" s="56" t="s">
        <v>909</v>
      </c>
      <c r="AB647" s="56">
        <v>14123651</v>
      </c>
      <c r="AC647" s="56" t="s">
        <v>909</v>
      </c>
      <c r="AD647" s="56">
        <v>14123651</v>
      </c>
      <c r="AE647" s="56" t="s">
        <v>2626</v>
      </c>
      <c r="AF647" s="56" t="s">
        <v>2627</v>
      </c>
      <c r="AG647" s="56" t="s">
        <v>2627</v>
      </c>
      <c r="AH647" s="56">
        <v>36</v>
      </c>
      <c r="AI647" s="56" t="s">
        <v>2628</v>
      </c>
      <c r="AJ647" s="56" t="s">
        <v>2640</v>
      </c>
      <c r="AK647" s="56">
        <v>0</v>
      </c>
      <c r="AL647" s="56" t="s">
        <v>2630</v>
      </c>
      <c r="AM647" s="56" t="s">
        <v>2631</v>
      </c>
      <c r="AN647" s="56" t="s">
        <v>2632</v>
      </c>
      <c r="AO647" s="56" t="s">
        <v>2627</v>
      </c>
      <c r="AP647" s="56" t="s">
        <v>2624</v>
      </c>
      <c r="AQ647" s="123">
        <v>3.6111111111111205E-2</v>
      </c>
      <c r="AR647" s="122">
        <v>2.1319444444444446E-2</v>
      </c>
      <c r="AS647" s="56" t="s">
        <v>1048</v>
      </c>
      <c r="AT647" s="56" t="s">
        <v>1059</v>
      </c>
      <c r="AU647" s="56" t="s">
        <v>1060</v>
      </c>
      <c r="AV647" s="56">
        <v>36</v>
      </c>
      <c r="AW647" s="56" t="s">
        <v>1051</v>
      </c>
      <c r="AX647" s="56" t="s">
        <v>1304</v>
      </c>
      <c r="AY647" s="56" t="s">
        <v>1093</v>
      </c>
      <c r="AZ647" s="56" t="s">
        <v>1067</v>
      </c>
      <c r="BA647" s="56" t="s">
        <v>1305</v>
      </c>
      <c r="BB647" s="56" t="s">
        <v>1306</v>
      </c>
      <c r="BC647" s="56" t="s">
        <v>1133</v>
      </c>
      <c r="BD647" s="56" t="s">
        <v>1307</v>
      </c>
    </row>
    <row r="648" spans="1:56" x14ac:dyDescent="0.2">
      <c r="A648" s="56">
        <v>176577010</v>
      </c>
      <c r="B648" s="56" t="s">
        <v>3652</v>
      </c>
      <c r="C648" s="56" t="s">
        <v>2623</v>
      </c>
      <c r="D648" s="56" t="s">
        <v>3630</v>
      </c>
      <c r="E648" s="56" t="s">
        <v>1044</v>
      </c>
      <c r="F648" s="56">
        <v>70</v>
      </c>
      <c r="G648" s="56"/>
      <c r="H648" s="56">
        <v>16004</v>
      </c>
      <c r="I648" s="56">
        <v>6</v>
      </c>
      <c r="J648" s="56" t="s">
        <v>1045</v>
      </c>
      <c r="K648" s="56" t="s">
        <v>1064</v>
      </c>
      <c r="L648" s="121">
        <v>46266</v>
      </c>
      <c r="M648" s="122">
        <v>0.54861111111111116</v>
      </c>
      <c r="N648" s="122">
        <v>0.55347222222222225</v>
      </c>
      <c r="O648" s="56" t="s">
        <v>1047</v>
      </c>
      <c r="P648" s="121">
        <v>46266</v>
      </c>
      <c r="Q648" s="122">
        <v>0.60069444444444442</v>
      </c>
      <c r="R648" s="122">
        <v>0.58848379629629632</v>
      </c>
      <c r="S648" s="56" t="s">
        <v>1047</v>
      </c>
      <c r="T648" s="56">
        <v>1</v>
      </c>
      <c r="U648" s="56">
        <v>24</v>
      </c>
      <c r="V648" s="56">
        <v>19.440000000000001</v>
      </c>
      <c r="W648" s="56">
        <v>19.05</v>
      </c>
      <c r="X648" s="56" t="s">
        <v>2624</v>
      </c>
      <c r="Y648" s="56" t="s">
        <v>2624</v>
      </c>
      <c r="Z648" s="56" t="s">
        <v>2624</v>
      </c>
      <c r="AA648" s="56" t="s">
        <v>541</v>
      </c>
      <c r="AB648" s="56">
        <v>14123530</v>
      </c>
      <c r="AC648" s="56" t="s">
        <v>541</v>
      </c>
      <c r="AD648" s="56">
        <v>14123530</v>
      </c>
      <c r="AE648" s="56" t="s">
        <v>2626</v>
      </c>
      <c r="AF648" s="56" t="s">
        <v>2627</v>
      </c>
      <c r="AG648" s="56" t="s">
        <v>2627</v>
      </c>
      <c r="AH648" s="56">
        <v>36</v>
      </c>
      <c r="AI648" s="56" t="s">
        <v>2628</v>
      </c>
      <c r="AJ648" s="56" t="s">
        <v>2629</v>
      </c>
      <c r="AK648" s="56">
        <v>530.63</v>
      </c>
      <c r="AL648" s="56" t="s">
        <v>2630</v>
      </c>
      <c r="AM648" s="56" t="s">
        <v>2631</v>
      </c>
      <c r="AN648" s="56" t="s">
        <v>2632</v>
      </c>
      <c r="AO648" s="56" t="s">
        <v>2627</v>
      </c>
      <c r="AP648" s="56">
        <v>33</v>
      </c>
      <c r="AQ648" s="123">
        <v>4.8611111111110938E-3</v>
      </c>
      <c r="AR648" s="122">
        <v>-1.2210648148148096E-2</v>
      </c>
      <c r="AS648" s="56" t="s">
        <v>1048</v>
      </c>
      <c r="AT648" s="56" t="s">
        <v>1049</v>
      </c>
      <c r="AU648" s="56" t="s">
        <v>1050</v>
      </c>
      <c r="AV648" s="56">
        <v>36</v>
      </c>
      <c r="AW648" s="56" t="s">
        <v>1051</v>
      </c>
      <c r="AX648" s="56" t="s">
        <v>3653</v>
      </c>
      <c r="AY648" s="56" t="s">
        <v>1066</v>
      </c>
      <c r="AZ648" s="56" t="s">
        <v>1067</v>
      </c>
      <c r="BA648" s="56" t="s">
        <v>3654</v>
      </c>
      <c r="BB648" s="56" t="s">
        <v>3655</v>
      </c>
      <c r="BC648" s="56" t="s">
        <v>1133</v>
      </c>
      <c r="BD648" s="56" t="s">
        <v>3656</v>
      </c>
    </row>
    <row r="649" spans="1:56" x14ac:dyDescent="0.2">
      <c r="A649" s="56">
        <v>176597084</v>
      </c>
      <c r="B649" s="56" t="s">
        <v>3209</v>
      </c>
      <c r="C649" s="56" t="s">
        <v>2623</v>
      </c>
      <c r="D649" s="56" t="s">
        <v>1542</v>
      </c>
      <c r="E649" s="56" t="s">
        <v>1044</v>
      </c>
      <c r="F649" s="56">
        <v>181</v>
      </c>
      <c r="G649" s="56" t="s">
        <v>2670</v>
      </c>
      <c r="H649" s="56">
        <v>15337</v>
      </c>
      <c r="I649" s="56">
        <v>6</v>
      </c>
      <c r="J649" s="56" t="s">
        <v>1045</v>
      </c>
      <c r="K649" s="56" t="s">
        <v>1116</v>
      </c>
      <c r="L649" s="121">
        <v>46266</v>
      </c>
      <c r="M649" s="122">
        <v>0.54861111111111116</v>
      </c>
      <c r="N649" s="122">
        <v>0.55208333333333337</v>
      </c>
      <c r="O649" s="56" t="s">
        <v>1047</v>
      </c>
      <c r="P649" s="121">
        <v>46266</v>
      </c>
      <c r="Q649" s="122">
        <v>0.61458333333333337</v>
      </c>
      <c r="R649" s="122">
        <v>0.6096759259259259</v>
      </c>
      <c r="S649" s="56" t="s">
        <v>1047</v>
      </c>
      <c r="T649" s="56">
        <v>1</v>
      </c>
      <c r="U649" s="56">
        <v>29</v>
      </c>
      <c r="V649" s="56">
        <v>25.13</v>
      </c>
      <c r="W649" s="56">
        <v>25.38</v>
      </c>
      <c r="X649" s="56" t="s">
        <v>2624</v>
      </c>
      <c r="Y649" s="56" t="s">
        <v>2624</v>
      </c>
      <c r="Z649" s="56" t="s">
        <v>2624</v>
      </c>
      <c r="AA649" s="56" t="s">
        <v>327</v>
      </c>
      <c r="AB649" s="56">
        <v>14121238</v>
      </c>
      <c r="AC649" s="56" t="s">
        <v>327</v>
      </c>
      <c r="AD649" s="56">
        <v>14121238</v>
      </c>
      <c r="AE649" s="56" t="s">
        <v>2626</v>
      </c>
      <c r="AF649" s="56" t="s">
        <v>2627</v>
      </c>
      <c r="AG649" s="56" t="s">
        <v>2627</v>
      </c>
      <c r="AH649" s="56">
        <v>36</v>
      </c>
      <c r="AI649" s="56" t="s">
        <v>2628</v>
      </c>
      <c r="AJ649" s="56" t="s">
        <v>2629</v>
      </c>
      <c r="AK649" s="56">
        <v>0</v>
      </c>
      <c r="AL649" s="56" t="s">
        <v>2630</v>
      </c>
      <c r="AM649" s="56" t="s">
        <v>2631</v>
      </c>
      <c r="AN649" s="56" t="s">
        <v>2632</v>
      </c>
      <c r="AO649" s="56" t="s">
        <v>2627</v>
      </c>
      <c r="AP649" s="56">
        <v>20</v>
      </c>
      <c r="AQ649" s="123">
        <v>3.4722222222222099E-3</v>
      </c>
      <c r="AR649" s="122">
        <v>-4.9074074074074714E-3</v>
      </c>
      <c r="AS649" s="56" t="s">
        <v>1048</v>
      </c>
      <c r="AT649" s="56" t="s">
        <v>1049</v>
      </c>
      <c r="AU649" s="56" t="s">
        <v>1050</v>
      </c>
      <c r="AV649" s="56">
        <v>36</v>
      </c>
      <c r="AW649" s="56" t="s">
        <v>1051</v>
      </c>
      <c r="AX649" s="56" t="s">
        <v>1543</v>
      </c>
      <c r="AY649" s="56" t="s">
        <v>1118</v>
      </c>
      <c r="AZ649" s="56" t="s">
        <v>1054</v>
      </c>
      <c r="BA649" s="56" t="s">
        <v>1544</v>
      </c>
      <c r="BB649" s="56" t="s">
        <v>1545</v>
      </c>
      <c r="BC649" s="56" t="s">
        <v>1133</v>
      </c>
      <c r="BD649" s="56" t="s">
        <v>3210</v>
      </c>
    </row>
    <row r="650" spans="1:56" x14ac:dyDescent="0.2">
      <c r="A650" s="56">
        <v>176595289</v>
      </c>
      <c r="B650" s="56" t="s">
        <v>1309</v>
      </c>
      <c r="C650" s="56" t="s">
        <v>2623</v>
      </c>
      <c r="D650" s="56" t="s">
        <v>1115</v>
      </c>
      <c r="E650" s="56" t="s">
        <v>1044</v>
      </c>
      <c r="F650" s="56">
        <v>98</v>
      </c>
      <c r="G650" s="56" t="s">
        <v>2670</v>
      </c>
      <c r="H650" s="56">
        <v>14692</v>
      </c>
      <c r="I650" s="56">
        <v>6</v>
      </c>
      <c r="J650" s="56" t="s">
        <v>1045</v>
      </c>
      <c r="K650" s="56" t="s">
        <v>1116</v>
      </c>
      <c r="L650" s="121">
        <v>46266</v>
      </c>
      <c r="M650" s="122">
        <v>0.55208333333333337</v>
      </c>
      <c r="N650" s="122">
        <v>0.56041666666666667</v>
      </c>
      <c r="O650" s="56" t="s">
        <v>1047</v>
      </c>
      <c r="P650" s="121">
        <v>46266</v>
      </c>
      <c r="Q650" s="122">
        <v>0.61458333333333337</v>
      </c>
      <c r="R650" s="122">
        <v>0.61429398148148151</v>
      </c>
      <c r="S650" s="56" t="s">
        <v>1047</v>
      </c>
      <c r="T650" s="56">
        <v>1</v>
      </c>
      <c r="U650" s="56">
        <v>31</v>
      </c>
      <c r="V650" s="56">
        <v>26.97</v>
      </c>
      <c r="W650" s="56">
        <v>26.73</v>
      </c>
      <c r="X650" s="56" t="s">
        <v>2624</v>
      </c>
      <c r="Y650" s="56" t="s">
        <v>2624</v>
      </c>
      <c r="Z650" s="56" t="s">
        <v>2624</v>
      </c>
      <c r="AA650" s="56" t="s">
        <v>958</v>
      </c>
      <c r="AB650" s="56">
        <v>14123725</v>
      </c>
      <c r="AC650" s="56" t="s">
        <v>958</v>
      </c>
      <c r="AD650" s="56">
        <v>14123725</v>
      </c>
      <c r="AE650" s="56" t="s">
        <v>2626</v>
      </c>
      <c r="AF650" s="56" t="s">
        <v>2627</v>
      </c>
      <c r="AG650" s="56" t="s">
        <v>2627</v>
      </c>
      <c r="AH650" s="56">
        <v>36</v>
      </c>
      <c r="AI650" s="56" t="s">
        <v>2628</v>
      </c>
      <c r="AJ650" s="56" t="s">
        <v>2629</v>
      </c>
      <c r="AK650" s="56">
        <v>0</v>
      </c>
      <c r="AL650" s="56" t="s">
        <v>2630</v>
      </c>
      <c r="AM650" s="56" t="s">
        <v>2631</v>
      </c>
      <c r="AN650" s="56" t="s">
        <v>2632</v>
      </c>
      <c r="AO650" s="56" t="s">
        <v>2627</v>
      </c>
      <c r="AP650" s="56">
        <v>38</v>
      </c>
      <c r="AQ650" s="123">
        <v>8.3333333333333037E-3</v>
      </c>
      <c r="AR650" s="122">
        <v>-2.8935185185186008E-4</v>
      </c>
      <c r="AS650" s="56" t="s">
        <v>1048</v>
      </c>
      <c r="AT650" s="56" t="s">
        <v>1049</v>
      </c>
      <c r="AU650" s="56" t="s">
        <v>1050</v>
      </c>
      <c r="AV650" s="56">
        <v>36</v>
      </c>
      <c r="AW650" s="56" t="s">
        <v>1051</v>
      </c>
      <c r="AX650" s="56" t="s">
        <v>1117</v>
      </c>
      <c r="AY650" s="56" t="s">
        <v>1118</v>
      </c>
      <c r="AZ650" s="56" t="s">
        <v>1054</v>
      </c>
      <c r="BA650" s="56" t="s">
        <v>1119</v>
      </c>
      <c r="BB650" s="56" t="s">
        <v>1120</v>
      </c>
      <c r="BC650" s="56" t="s">
        <v>1133</v>
      </c>
      <c r="BD650" s="56" t="s">
        <v>1310</v>
      </c>
    </row>
    <row r="651" spans="1:56" x14ac:dyDescent="0.2">
      <c r="A651" s="56">
        <v>176590284</v>
      </c>
      <c r="B651" s="56" t="s">
        <v>3657</v>
      </c>
      <c r="C651" s="56" t="s">
        <v>2623</v>
      </c>
      <c r="D651" s="56" t="s">
        <v>1224</v>
      </c>
      <c r="E651" s="56" t="s">
        <v>1044</v>
      </c>
      <c r="F651" s="56">
        <v>32</v>
      </c>
      <c r="G651" s="56" t="s">
        <v>2693</v>
      </c>
      <c r="H651" s="56">
        <v>15315</v>
      </c>
      <c r="I651" s="56">
        <v>6</v>
      </c>
      <c r="J651" s="56" t="s">
        <v>1045</v>
      </c>
      <c r="K651" s="56" t="s">
        <v>1116</v>
      </c>
      <c r="L651" s="121">
        <v>46266</v>
      </c>
      <c r="M651" s="122">
        <v>0.55486111111111114</v>
      </c>
      <c r="N651" s="122">
        <v>0.55902777777777779</v>
      </c>
      <c r="O651" s="56" t="s">
        <v>1047</v>
      </c>
      <c r="P651" s="121">
        <v>46266</v>
      </c>
      <c r="Q651" s="122">
        <v>0.61458333333333337</v>
      </c>
      <c r="R651" s="122">
        <v>0.59741898148148154</v>
      </c>
      <c r="S651" s="56" t="s">
        <v>1047</v>
      </c>
      <c r="T651" s="56">
        <v>1</v>
      </c>
      <c r="U651" s="56">
        <v>27</v>
      </c>
      <c r="V651" s="56">
        <v>25.82</v>
      </c>
      <c r="W651" s="56">
        <v>25.89</v>
      </c>
      <c r="X651" s="56" t="s">
        <v>2624</v>
      </c>
      <c r="Y651" s="56" t="s">
        <v>2624</v>
      </c>
      <c r="Z651" s="56" t="s">
        <v>2624</v>
      </c>
      <c r="AA651" s="56" t="s">
        <v>53</v>
      </c>
      <c r="AB651" s="56">
        <v>14106778</v>
      </c>
      <c r="AC651" s="56" t="s">
        <v>53</v>
      </c>
      <c r="AD651" s="56">
        <v>14106778</v>
      </c>
      <c r="AE651" s="56" t="s">
        <v>2626</v>
      </c>
      <c r="AF651" s="56" t="s">
        <v>2627</v>
      </c>
      <c r="AG651" s="56" t="s">
        <v>2627</v>
      </c>
      <c r="AH651" s="56">
        <v>36</v>
      </c>
      <c r="AI651" s="56" t="s">
        <v>2628</v>
      </c>
      <c r="AJ651" s="56" t="s">
        <v>2629</v>
      </c>
      <c r="AK651" s="56">
        <v>0</v>
      </c>
      <c r="AL651" s="56" t="s">
        <v>2630</v>
      </c>
      <c r="AM651" s="56" t="s">
        <v>2631</v>
      </c>
      <c r="AN651" s="56" t="s">
        <v>2632</v>
      </c>
      <c r="AO651" s="56" t="s">
        <v>2627</v>
      </c>
      <c r="AP651" s="56" t="s">
        <v>2624</v>
      </c>
      <c r="AQ651" s="123">
        <v>4.1666666666666519E-3</v>
      </c>
      <c r="AR651" s="122">
        <v>-1.7164351851851833E-2</v>
      </c>
      <c r="AS651" s="56" t="s">
        <v>1048</v>
      </c>
      <c r="AT651" s="56" t="s">
        <v>1049</v>
      </c>
      <c r="AU651" s="56" t="s">
        <v>1050</v>
      </c>
      <c r="AV651" s="56">
        <v>36</v>
      </c>
      <c r="AW651" s="56" t="s">
        <v>1051</v>
      </c>
      <c r="AX651" s="56" t="s">
        <v>3658</v>
      </c>
      <c r="AY651" s="56" t="s">
        <v>1128</v>
      </c>
      <c r="AZ651" s="56" t="s">
        <v>1054</v>
      </c>
      <c r="BA651" s="56" t="s">
        <v>3659</v>
      </c>
      <c r="BB651" s="56" t="s">
        <v>3660</v>
      </c>
      <c r="BC651" s="56" t="s">
        <v>1133</v>
      </c>
      <c r="BD651" s="56" t="s">
        <v>3661</v>
      </c>
    </row>
    <row r="652" spans="1:56" x14ac:dyDescent="0.2">
      <c r="A652" s="56">
        <v>176585470</v>
      </c>
      <c r="B652" s="56" t="s">
        <v>1311</v>
      </c>
      <c r="C652" s="56" t="s">
        <v>2623</v>
      </c>
      <c r="D652" s="56" t="s">
        <v>1074</v>
      </c>
      <c r="E652" s="56" t="s">
        <v>1044</v>
      </c>
      <c r="F652" s="56">
        <v>99</v>
      </c>
      <c r="G652" s="56"/>
      <c r="H652" s="56">
        <v>6251</v>
      </c>
      <c r="I652" s="56">
        <v>6</v>
      </c>
      <c r="J652" s="56" t="s">
        <v>1045</v>
      </c>
      <c r="K652" s="56" t="s">
        <v>1079</v>
      </c>
      <c r="L652" s="121">
        <v>46266</v>
      </c>
      <c r="M652" s="122">
        <v>0.55902777777777779</v>
      </c>
      <c r="N652" s="122">
        <v>0.56805555555555554</v>
      </c>
      <c r="O652" s="56" t="s">
        <v>1047</v>
      </c>
      <c r="P652" s="121">
        <v>46266</v>
      </c>
      <c r="Q652" s="122">
        <v>0.60069444444444442</v>
      </c>
      <c r="R652" s="122">
        <v>0.59386574074074072</v>
      </c>
      <c r="S652" s="56" t="s">
        <v>1047</v>
      </c>
      <c r="T652" s="56">
        <v>1</v>
      </c>
      <c r="U652" s="56">
        <v>22</v>
      </c>
      <c r="V652" s="56">
        <v>17.850000000000001</v>
      </c>
      <c r="W652" s="56">
        <v>18.440000000000001</v>
      </c>
      <c r="X652" s="56" t="s">
        <v>2624</v>
      </c>
      <c r="Y652" s="56" t="s">
        <v>2624</v>
      </c>
      <c r="Z652" s="56" t="s">
        <v>2624</v>
      </c>
      <c r="AA652" s="56" t="s">
        <v>457</v>
      </c>
      <c r="AB652" s="56">
        <v>14122855</v>
      </c>
      <c r="AC652" s="56" t="s">
        <v>457</v>
      </c>
      <c r="AD652" s="56">
        <v>14122855</v>
      </c>
      <c r="AE652" s="56" t="s">
        <v>2626</v>
      </c>
      <c r="AF652" s="56" t="s">
        <v>2627</v>
      </c>
      <c r="AG652" s="56" t="s">
        <v>2627</v>
      </c>
      <c r="AH652" s="56">
        <v>36</v>
      </c>
      <c r="AI652" s="56" t="s">
        <v>2628</v>
      </c>
      <c r="AJ652" s="56" t="s">
        <v>2629</v>
      </c>
      <c r="AK652" s="56">
        <v>0</v>
      </c>
      <c r="AL652" s="56" t="s">
        <v>2630</v>
      </c>
      <c r="AM652" s="56" t="s">
        <v>2631</v>
      </c>
      <c r="AN652" s="56" t="s">
        <v>2632</v>
      </c>
      <c r="AO652" s="56" t="s">
        <v>2627</v>
      </c>
      <c r="AP652" s="56" t="s">
        <v>2624</v>
      </c>
      <c r="AQ652" s="123">
        <v>9.0277777777777457E-3</v>
      </c>
      <c r="AR652" s="122">
        <v>-6.8287037037036979E-3</v>
      </c>
      <c r="AS652" s="56" t="s">
        <v>1048</v>
      </c>
      <c r="AT652" s="56" t="s">
        <v>1049</v>
      </c>
      <c r="AU652" s="56" t="s">
        <v>1050</v>
      </c>
      <c r="AV652" s="56">
        <v>36</v>
      </c>
      <c r="AW652" s="56" t="s">
        <v>1051</v>
      </c>
      <c r="AX652" s="56" t="s">
        <v>1312</v>
      </c>
      <c r="AY652" s="56" t="s">
        <v>1081</v>
      </c>
      <c r="AZ652" s="56" t="s">
        <v>1067</v>
      </c>
      <c r="BA652" s="56" t="s">
        <v>1313</v>
      </c>
      <c r="BB652" s="56" t="s">
        <v>1314</v>
      </c>
      <c r="BC652" s="56" t="s">
        <v>1133</v>
      </c>
      <c r="BD652" s="56" t="s">
        <v>1315</v>
      </c>
    </row>
    <row r="653" spans="1:56" x14ac:dyDescent="0.2">
      <c r="A653" s="56">
        <v>176585546</v>
      </c>
      <c r="B653" s="56" t="s">
        <v>3662</v>
      </c>
      <c r="C653" s="56" t="s">
        <v>2623</v>
      </c>
      <c r="D653" s="56" t="s">
        <v>3663</v>
      </c>
      <c r="E653" s="56" t="s">
        <v>1044</v>
      </c>
      <c r="F653" s="56">
        <v>94</v>
      </c>
      <c r="G653" s="56"/>
      <c r="H653" s="56">
        <v>17342</v>
      </c>
      <c r="I653" s="56">
        <v>6</v>
      </c>
      <c r="J653" s="56" t="s">
        <v>1045</v>
      </c>
      <c r="K653" s="56" t="s">
        <v>1296</v>
      </c>
      <c r="L653" s="121">
        <v>46266</v>
      </c>
      <c r="M653" s="122">
        <v>0.55972222222222223</v>
      </c>
      <c r="N653" s="122">
        <v>0.56388888888888888</v>
      </c>
      <c r="O653" s="56" t="s">
        <v>1047</v>
      </c>
      <c r="P653" s="121">
        <v>46266</v>
      </c>
      <c r="Q653" s="122">
        <v>0.60069444444444442</v>
      </c>
      <c r="R653" s="122">
        <v>0.60042824074074075</v>
      </c>
      <c r="S653" s="56" t="s">
        <v>1047</v>
      </c>
      <c r="T653" s="56">
        <v>1</v>
      </c>
      <c r="U653" s="56">
        <v>26</v>
      </c>
      <c r="V653" s="56">
        <v>9217.08</v>
      </c>
      <c r="W653" s="56">
        <v>15.87</v>
      </c>
      <c r="X653" s="56" t="s">
        <v>2624</v>
      </c>
      <c r="Y653" s="56" t="s">
        <v>2624</v>
      </c>
      <c r="Z653" s="56" t="s">
        <v>2624</v>
      </c>
      <c r="AA653" s="56" t="s">
        <v>11</v>
      </c>
      <c r="AB653" s="56">
        <v>14100724</v>
      </c>
      <c r="AC653" s="56" t="s">
        <v>11</v>
      </c>
      <c r="AD653" s="56">
        <v>14100724</v>
      </c>
      <c r="AE653" s="56" t="s">
        <v>2626</v>
      </c>
      <c r="AF653" s="56" t="s">
        <v>2627</v>
      </c>
      <c r="AG653" s="56" t="s">
        <v>2627</v>
      </c>
      <c r="AH653" s="56">
        <v>36</v>
      </c>
      <c r="AI653" s="56" t="s">
        <v>2628</v>
      </c>
      <c r="AJ653" s="56" t="s">
        <v>2629</v>
      </c>
      <c r="AK653" s="56">
        <v>0</v>
      </c>
      <c r="AL653" s="56" t="s">
        <v>2630</v>
      </c>
      <c r="AM653" s="56" t="s">
        <v>2631</v>
      </c>
      <c r="AN653" s="56" t="s">
        <v>2632</v>
      </c>
      <c r="AO653" s="56" t="s">
        <v>2627</v>
      </c>
      <c r="AP653" s="56" t="s">
        <v>2624</v>
      </c>
      <c r="AQ653" s="123">
        <v>4.1666666666666519E-3</v>
      </c>
      <c r="AR653" s="122">
        <v>-2.662037037036713E-4</v>
      </c>
      <c r="AS653" s="56" t="s">
        <v>1048</v>
      </c>
      <c r="AT653" s="56" t="s">
        <v>1049</v>
      </c>
      <c r="AU653" s="56" t="s">
        <v>1050</v>
      </c>
      <c r="AV653" s="56">
        <v>36</v>
      </c>
      <c r="AW653" s="56" t="s">
        <v>1051</v>
      </c>
      <c r="AX653" s="56" t="s">
        <v>3664</v>
      </c>
      <c r="AY653" s="56" t="s">
        <v>1297</v>
      </c>
      <c r="AZ653" s="56" t="s">
        <v>1067</v>
      </c>
      <c r="BA653" s="56" t="s">
        <v>3665</v>
      </c>
      <c r="BB653" s="56" t="s">
        <v>3666</v>
      </c>
      <c r="BC653" s="56" t="s">
        <v>1133</v>
      </c>
      <c r="BD653" s="56" t="s">
        <v>3667</v>
      </c>
    </row>
    <row r="654" spans="1:56" x14ac:dyDescent="0.2">
      <c r="A654" s="56">
        <v>176591389</v>
      </c>
      <c r="B654" s="56" t="s">
        <v>3090</v>
      </c>
      <c r="C654" s="56" t="s">
        <v>2623</v>
      </c>
      <c r="D654" s="56" t="s">
        <v>2696</v>
      </c>
      <c r="E654" s="56" t="s">
        <v>1044</v>
      </c>
      <c r="F654" s="56">
        <v>69</v>
      </c>
      <c r="G654" s="56" t="s">
        <v>2693</v>
      </c>
      <c r="H654" s="56">
        <v>4982</v>
      </c>
      <c r="I654" s="56">
        <v>6</v>
      </c>
      <c r="J654" s="56" t="s">
        <v>1045</v>
      </c>
      <c r="K654" s="56" t="s">
        <v>1116</v>
      </c>
      <c r="L654" s="121">
        <v>46266</v>
      </c>
      <c r="M654" s="122">
        <v>0.5625</v>
      </c>
      <c r="N654" s="122">
        <v>0.56736111111111109</v>
      </c>
      <c r="O654" s="56" t="s">
        <v>1047</v>
      </c>
      <c r="P654" s="121">
        <v>46266</v>
      </c>
      <c r="Q654" s="122">
        <v>0.61458333333333337</v>
      </c>
      <c r="R654" s="122">
        <v>0.61326388888888894</v>
      </c>
      <c r="S654" s="56" t="s">
        <v>1047</v>
      </c>
      <c r="T654" s="56">
        <v>1</v>
      </c>
      <c r="U654" s="56">
        <v>28</v>
      </c>
      <c r="V654" s="56">
        <v>23.19</v>
      </c>
      <c r="W654" s="56">
        <v>30.17</v>
      </c>
      <c r="X654" s="56" t="s">
        <v>2624</v>
      </c>
      <c r="Y654" s="56" t="s">
        <v>2624</v>
      </c>
      <c r="Z654" s="56" t="s">
        <v>2624</v>
      </c>
      <c r="AA654" s="56" t="s">
        <v>284</v>
      </c>
      <c r="AB654" s="56">
        <v>14111678</v>
      </c>
      <c r="AC654" s="56" t="s">
        <v>284</v>
      </c>
      <c r="AD654" s="56">
        <v>14111678</v>
      </c>
      <c r="AE654" s="56" t="s">
        <v>2626</v>
      </c>
      <c r="AF654" s="56" t="s">
        <v>2627</v>
      </c>
      <c r="AG654" s="56" t="s">
        <v>2627</v>
      </c>
      <c r="AH654" s="56">
        <v>36</v>
      </c>
      <c r="AI654" s="56" t="s">
        <v>2628</v>
      </c>
      <c r="AJ654" s="56" t="s">
        <v>2629</v>
      </c>
      <c r="AK654" s="56">
        <v>0</v>
      </c>
      <c r="AL654" s="56" t="s">
        <v>2630</v>
      </c>
      <c r="AM654" s="56" t="s">
        <v>2631</v>
      </c>
      <c r="AN654" s="56" t="s">
        <v>2632</v>
      </c>
      <c r="AO654" s="56" t="s">
        <v>2627</v>
      </c>
      <c r="AP654" s="56" t="s">
        <v>2624</v>
      </c>
      <c r="AQ654" s="123">
        <v>4.8611111111110938E-3</v>
      </c>
      <c r="AR654" s="122">
        <v>-1.3194444444444287E-3</v>
      </c>
      <c r="AS654" s="56" t="s">
        <v>1048</v>
      </c>
      <c r="AT654" s="56" t="s">
        <v>1049</v>
      </c>
      <c r="AU654" s="56" t="s">
        <v>1050</v>
      </c>
      <c r="AV654" s="56">
        <v>36</v>
      </c>
      <c r="AW654" s="56" t="s">
        <v>1051</v>
      </c>
      <c r="AX654" s="56" t="s">
        <v>2697</v>
      </c>
      <c r="AY654" s="56" t="s">
        <v>1128</v>
      </c>
      <c r="AZ654" s="56" t="s">
        <v>1054</v>
      </c>
      <c r="BA654" s="56" t="s">
        <v>2698</v>
      </c>
      <c r="BB654" s="56" t="s">
        <v>2699</v>
      </c>
      <c r="BC654" s="56" t="s">
        <v>1133</v>
      </c>
      <c r="BD654" s="56" t="s">
        <v>3091</v>
      </c>
    </row>
    <row r="655" spans="1:56" x14ac:dyDescent="0.2">
      <c r="A655" s="56">
        <v>176596697</v>
      </c>
      <c r="B655" s="56" t="s">
        <v>1742</v>
      </c>
      <c r="C655" s="56" t="s">
        <v>2623</v>
      </c>
      <c r="D655" s="56" t="s">
        <v>1743</v>
      </c>
      <c r="E655" s="56" t="s">
        <v>1044</v>
      </c>
      <c r="F655" s="56">
        <v>145</v>
      </c>
      <c r="G655" s="56" t="s">
        <v>2670</v>
      </c>
      <c r="H655" s="56">
        <v>14712</v>
      </c>
      <c r="I655" s="56">
        <v>8</v>
      </c>
      <c r="J655" s="56" t="s">
        <v>1045</v>
      </c>
      <c r="K655" s="56" t="s">
        <v>1116</v>
      </c>
      <c r="L655" s="121">
        <v>46266</v>
      </c>
      <c r="M655" s="122">
        <v>0.56388888888888888</v>
      </c>
      <c r="N655" s="122">
        <v>0.56874999999999998</v>
      </c>
      <c r="O655" s="56" t="s">
        <v>1047</v>
      </c>
      <c r="P655" s="121">
        <v>46266</v>
      </c>
      <c r="Q655" s="122">
        <v>0.61458333333333337</v>
      </c>
      <c r="R655" s="122">
        <v>0.6017824074074074</v>
      </c>
      <c r="S655" s="56" t="s">
        <v>1047</v>
      </c>
      <c r="T655" s="56">
        <v>0</v>
      </c>
      <c r="U655" s="56">
        <v>22</v>
      </c>
      <c r="V655" s="56">
        <v>17.48</v>
      </c>
      <c r="W655" s="56">
        <v>17.41</v>
      </c>
      <c r="X655" s="56" t="s">
        <v>2624</v>
      </c>
      <c r="Y655" s="56" t="s">
        <v>2624</v>
      </c>
      <c r="Z655" s="56" t="s">
        <v>2624</v>
      </c>
      <c r="AA655" s="56" t="s">
        <v>359</v>
      </c>
      <c r="AB655" s="56">
        <v>14121784</v>
      </c>
      <c r="AC655" s="56" t="s">
        <v>359</v>
      </c>
      <c r="AD655" s="56">
        <v>14121784</v>
      </c>
      <c r="AE655" s="56" t="s">
        <v>2626</v>
      </c>
      <c r="AF655" s="56" t="s">
        <v>2627</v>
      </c>
      <c r="AG655" s="56" t="s">
        <v>2627</v>
      </c>
      <c r="AH655" s="56">
        <v>36</v>
      </c>
      <c r="AI655" s="56" t="s">
        <v>2628</v>
      </c>
      <c r="AJ655" s="56" t="s">
        <v>2629</v>
      </c>
      <c r="AK655" s="56">
        <v>0</v>
      </c>
      <c r="AL655" s="56" t="s">
        <v>2630</v>
      </c>
      <c r="AM655" s="56" t="s">
        <v>2631</v>
      </c>
      <c r="AN655" s="56" t="s">
        <v>2632</v>
      </c>
      <c r="AO655" s="56" t="s">
        <v>2627</v>
      </c>
      <c r="AP655" s="56" t="s">
        <v>2624</v>
      </c>
      <c r="AQ655" s="123">
        <v>4.8611111111110938E-3</v>
      </c>
      <c r="AR655" s="122">
        <v>-1.2800925925925966E-2</v>
      </c>
      <c r="AS655" s="56" t="s">
        <v>1048</v>
      </c>
      <c r="AT655" s="56" t="s">
        <v>1049</v>
      </c>
      <c r="AU655" s="56" t="s">
        <v>1050</v>
      </c>
      <c r="AV655" s="56">
        <v>36</v>
      </c>
      <c r="AW655" s="56" t="s">
        <v>1051</v>
      </c>
      <c r="AX655" s="56" t="s">
        <v>1744</v>
      </c>
      <c r="AY655" s="56" t="s">
        <v>1118</v>
      </c>
      <c r="AZ655" s="56" t="s">
        <v>1054</v>
      </c>
      <c r="BA655" s="56" t="s">
        <v>1745</v>
      </c>
      <c r="BB655" s="56" t="s">
        <v>1746</v>
      </c>
      <c r="BC655" s="56" t="s">
        <v>1133</v>
      </c>
      <c r="BD655" s="56" t="s">
        <v>1747</v>
      </c>
    </row>
    <row r="656" spans="1:56" x14ac:dyDescent="0.2">
      <c r="A656" s="56">
        <v>176599155</v>
      </c>
      <c r="B656" s="56" t="s">
        <v>2180</v>
      </c>
      <c r="C656" s="56" t="s">
        <v>2623</v>
      </c>
      <c r="D656" s="56" t="s">
        <v>2181</v>
      </c>
      <c r="E656" s="56" t="s">
        <v>1044</v>
      </c>
      <c r="F656" s="56">
        <v>254</v>
      </c>
      <c r="G656" s="56" t="s">
        <v>2693</v>
      </c>
      <c r="H656" s="56">
        <v>13850</v>
      </c>
      <c r="I656" s="56">
        <v>6</v>
      </c>
      <c r="J656" s="56" t="s">
        <v>1045</v>
      </c>
      <c r="K656" s="56" t="s">
        <v>1116</v>
      </c>
      <c r="L656" s="121">
        <v>46266</v>
      </c>
      <c r="M656" s="122">
        <v>0.56874999999999998</v>
      </c>
      <c r="N656" s="122">
        <v>0.57361111111111107</v>
      </c>
      <c r="O656" s="56" t="s">
        <v>1047</v>
      </c>
      <c r="P656" s="121">
        <v>46266</v>
      </c>
      <c r="Q656" s="122">
        <v>0.61458333333333337</v>
      </c>
      <c r="R656" s="122">
        <v>0.61701388888888886</v>
      </c>
      <c r="S656" s="56" t="s">
        <v>1047</v>
      </c>
      <c r="T656" s="56">
        <v>1</v>
      </c>
      <c r="U656" s="56">
        <v>47</v>
      </c>
      <c r="V656" s="56">
        <v>42.59</v>
      </c>
      <c r="W656" s="56">
        <v>54.18</v>
      </c>
      <c r="X656" s="56" t="s">
        <v>2624</v>
      </c>
      <c r="Y656" s="56" t="s">
        <v>2624</v>
      </c>
      <c r="Z656" s="56" t="s">
        <v>2624</v>
      </c>
      <c r="AA656" s="56" t="s">
        <v>907</v>
      </c>
      <c r="AB656" s="56">
        <v>14123649</v>
      </c>
      <c r="AC656" s="56" t="s">
        <v>907</v>
      </c>
      <c r="AD656" s="56">
        <v>14123649</v>
      </c>
      <c r="AE656" s="56" t="s">
        <v>2626</v>
      </c>
      <c r="AF656" s="56" t="s">
        <v>2627</v>
      </c>
      <c r="AG656" s="56" t="s">
        <v>2627</v>
      </c>
      <c r="AH656" s="56">
        <v>36</v>
      </c>
      <c r="AI656" s="56" t="s">
        <v>2628</v>
      </c>
      <c r="AJ656" s="56" t="s">
        <v>2640</v>
      </c>
      <c r="AK656" s="56">
        <v>0</v>
      </c>
      <c r="AL656" s="56" t="s">
        <v>2630</v>
      </c>
      <c r="AM656" s="56" t="s">
        <v>2631</v>
      </c>
      <c r="AN656" s="56" t="s">
        <v>2632</v>
      </c>
      <c r="AO656" s="56" t="s">
        <v>2627</v>
      </c>
      <c r="AP656" s="56" t="s">
        <v>2624</v>
      </c>
      <c r="AQ656" s="123">
        <v>4.8611111111110938E-3</v>
      </c>
      <c r="AR656" s="122">
        <v>2.4305555555554914E-3</v>
      </c>
      <c r="AS656" s="56" t="s">
        <v>1048</v>
      </c>
      <c r="AT656" s="56" t="s">
        <v>1049</v>
      </c>
      <c r="AU656" s="56" t="s">
        <v>1050</v>
      </c>
      <c r="AV656" s="56">
        <v>36</v>
      </c>
      <c r="AW656" s="56" t="s">
        <v>1051</v>
      </c>
      <c r="AX656" s="56" t="s">
        <v>2182</v>
      </c>
      <c r="AY656" s="56" t="s">
        <v>1128</v>
      </c>
      <c r="AZ656" s="56" t="s">
        <v>1054</v>
      </c>
      <c r="BA656" s="56" t="s">
        <v>2183</v>
      </c>
      <c r="BB656" s="56" t="s">
        <v>2184</v>
      </c>
      <c r="BC656" s="56" t="s">
        <v>1133</v>
      </c>
      <c r="BD656" s="56" t="s">
        <v>2185</v>
      </c>
    </row>
    <row r="657" spans="1:56" x14ac:dyDescent="0.2">
      <c r="A657" s="56">
        <v>176588632</v>
      </c>
      <c r="B657" s="56" t="s">
        <v>2816</v>
      </c>
      <c r="C657" s="56" t="s">
        <v>2623</v>
      </c>
      <c r="D657" s="56" t="s">
        <v>2688</v>
      </c>
      <c r="E657" s="56" t="s">
        <v>1044</v>
      </c>
      <c r="F657" s="56">
        <v>11</v>
      </c>
      <c r="G657" s="56"/>
      <c r="H657" s="56">
        <v>15185</v>
      </c>
      <c r="I657" s="56">
        <v>6</v>
      </c>
      <c r="J657" s="56" t="s">
        <v>1045</v>
      </c>
      <c r="K657" s="56" t="s">
        <v>1058</v>
      </c>
      <c r="L657" s="121">
        <v>46266</v>
      </c>
      <c r="M657" s="122">
        <v>0.57361111111111107</v>
      </c>
      <c r="N657" s="122">
        <v>0.57986111111111116</v>
      </c>
      <c r="O657" s="56" t="s">
        <v>1047</v>
      </c>
      <c r="P657" s="121">
        <v>46266</v>
      </c>
      <c r="Q657" s="122">
        <v>0.60416666666666663</v>
      </c>
      <c r="R657" s="122">
        <v>0.59333333333333338</v>
      </c>
      <c r="S657" s="56" t="s">
        <v>1047</v>
      </c>
      <c r="T657" s="56">
        <v>1</v>
      </c>
      <c r="U657" s="56">
        <v>14</v>
      </c>
      <c r="V657" s="56">
        <v>9.49</v>
      </c>
      <c r="W657" s="56">
        <v>8.44</v>
      </c>
      <c r="X657" s="56" t="s">
        <v>2624</v>
      </c>
      <c r="Y657" s="56" t="s">
        <v>2624</v>
      </c>
      <c r="Z657" s="56" t="s">
        <v>2624</v>
      </c>
      <c r="AA657" s="56" t="s">
        <v>467</v>
      </c>
      <c r="AB657" s="56">
        <v>14122925</v>
      </c>
      <c r="AC657" s="56" t="s">
        <v>467</v>
      </c>
      <c r="AD657" s="56">
        <v>14122925</v>
      </c>
      <c r="AE657" s="56" t="s">
        <v>2626</v>
      </c>
      <c r="AF657" s="56" t="s">
        <v>2627</v>
      </c>
      <c r="AG657" s="56" t="s">
        <v>2627</v>
      </c>
      <c r="AH657" s="56">
        <v>36</v>
      </c>
      <c r="AI657" s="56" t="s">
        <v>2628</v>
      </c>
      <c r="AJ657" s="56" t="s">
        <v>2629</v>
      </c>
      <c r="AK657" s="56">
        <v>730</v>
      </c>
      <c r="AL657" s="56" t="s">
        <v>2630</v>
      </c>
      <c r="AM657" s="56" t="s">
        <v>2631</v>
      </c>
      <c r="AN657" s="56" t="s">
        <v>2632</v>
      </c>
      <c r="AO657" s="56" t="s">
        <v>2627</v>
      </c>
      <c r="AP657" s="56" t="s">
        <v>2624</v>
      </c>
      <c r="AQ657" s="123">
        <v>6.2500000000000888E-3</v>
      </c>
      <c r="AR657" s="122">
        <v>-1.083333333333325E-2</v>
      </c>
      <c r="AS657" s="56" t="s">
        <v>1048</v>
      </c>
      <c r="AT657" s="56" t="s">
        <v>1049</v>
      </c>
      <c r="AU657" s="56" t="s">
        <v>1050</v>
      </c>
      <c r="AV657" s="56">
        <v>36</v>
      </c>
      <c r="AW657" s="56" t="s">
        <v>1051</v>
      </c>
      <c r="AX657" s="56" t="s">
        <v>2689</v>
      </c>
      <c r="AY657" s="56" t="s">
        <v>1061</v>
      </c>
      <c r="AZ657" s="56" t="s">
        <v>1062</v>
      </c>
      <c r="BA657" s="56" t="s">
        <v>2690</v>
      </c>
      <c r="BB657" s="56" t="s">
        <v>2691</v>
      </c>
      <c r="BC657" s="56" t="s">
        <v>1133</v>
      </c>
      <c r="BD657" s="56" t="s">
        <v>2817</v>
      </c>
    </row>
    <row r="658" spans="1:56" x14ac:dyDescent="0.2">
      <c r="A658" s="56">
        <v>176596172</v>
      </c>
      <c r="B658" s="56" t="s">
        <v>2824</v>
      </c>
      <c r="C658" s="56" t="s">
        <v>2623</v>
      </c>
      <c r="D658" s="56" t="s">
        <v>2281</v>
      </c>
      <c r="E658" s="56" t="s">
        <v>1044</v>
      </c>
      <c r="F658" s="56">
        <v>112</v>
      </c>
      <c r="G658" s="56" t="s">
        <v>2693</v>
      </c>
      <c r="H658" s="56">
        <v>13374</v>
      </c>
      <c r="I658" s="56">
        <v>6</v>
      </c>
      <c r="J658" s="56" t="s">
        <v>1045</v>
      </c>
      <c r="K658" s="56" t="s">
        <v>1116</v>
      </c>
      <c r="L658" s="121">
        <v>46266</v>
      </c>
      <c r="M658" s="122">
        <v>0.57986111111111116</v>
      </c>
      <c r="N658" s="122">
        <v>0.58819444444444446</v>
      </c>
      <c r="O658" s="56" t="s">
        <v>1047</v>
      </c>
      <c r="P658" s="121">
        <v>46266</v>
      </c>
      <c r="Q658" s="122">
        <v>0.61458333333333337</v>
      </c>
      <c r="R658" s="122">
        <v>0.6065625</v>
      </c>
      <c r="S658" s="56" t="s">
        <v>1047</v>
      </c>
      <c r="T658" s="56">
        <v>1</v>
      </c>
      <c r="U658" s="56">
        <v>17</v>
      </c>
      <c r="V658" s="56">
        <v>11.67</v>
      </c>
      <c r="W658" s="56">
        <v>11.06</v>
      </c>
      <c r="X658" s="56" t="s">
        <v>2624</v>
      </c>
      <c r="Y658" s="56" t="s">
        <v>2624</v>
      </c>
      <c r="Z658" s="56" t="s">
        <v>2624</v>
      </c>
      <c r="AA658" s="56" t="s">
        <v>247</v>
      </c>
      <c r="AB658" s="56">
        <v>14119437</v>
      </c>
      <c r="AC658" s="56" t="s">
        <v>247</v>
      </c>
      <c r="AD658" s="56">
        <v>14119437</v>
      </c>
      <c r="AE658" s="56" t="s">
        <v>2626</v>
      </c>
      <c r="AF658" s="56" t="s">
        <v>2627</v>
      </c>
      <c r="AG658" s="56" t="s">
        <v>2627</v>
      </c>
      <c r="AH658" s="56">
        <v>36</v>
      </c>
      <c r="AI658" s="56" t="s">
        <v>2628</v>
      </c>
      <c r="AJ658" s="56" t="s">
        <v>2629</v>
      </c>
      <c r="AK658" s="56">
        <v>0</v>
      </c>
      <c r="AL658" s="56" t="s">
        <v>2630</v>
      </c>
      <c r="AM658" s="56" t="s">
        <v>2631</v>
      </c>
      <c r="AN658" s="56" t="s">
        <v>2632</v>
      </c>
      <c r="AO658" s="56" t="s">
        <v>2627</v>
      </c>
      <c r="AP658" s="56" t="s">
        <v>2624</v>
      </c>
      <c r="AQ658" s="123">
        <v>8.3333333333333037E-3</v>
      </c>
      <c r="AR658" s="122">
        <v>-8.0208333333333659E-3</v>
      </c>
      <c r="AS658" s="56" t="s">
        <v>1048</v>
      </c>
      <c r="AT658" s="56" t="s">
        <v>1049</v>
      </c>
      <c r="AU658" s="56" t="s">
        <v>1050</v>
      </c>
      <c r="AV658" s="56">
        <v>36</v>
      </c>
      <c r="AW658" s="56" t="s">
        <v>1051</v>
      </c>
      <c r="AX658" s="56" t="s">
        <v>2825</v>
      </c>
      <c r="AY658" s="56" t="s">
        <v>1128</v>
      </c>
      <c r="AZ658" s="56" t="s">
        <v>1054</v>
      </c>
      <c r="BA658" s="56" t="s">
        <v>2826</v>
      </c>
      <c r="BB658" s="56" t="s">
        <v>2827</v>
      </c>
      <c r="BC658" s="56" t="s">
        <v>1133</v>
      </c>
      <c r="BD658" s="56" t="s">
        <v>2828</v>
      </c>
    </row>
    <row r="659" spans="1:56" x14ac:dyDescent="0.2">
      <c r="A659" s="56">
        <v>176590724</v>
      </c>
      <c r="B659" s="56" t="s">
        <v>3668</v>
      </c>
      <c r="C659" s="56" t="s">
        <v>2623</v>
      </c>
      <c r="D659" s="56" t="s">
        <v>2635</v>
      </c>
      <c r="E659" s="56" t="s">
        <v>1044</v>
      </c>
      <c r="F659" s="56">
        <v>24</v>
      </c>
      <c r="G659" s="56"/>
      <c r="H659" s="56">
        <v>2651</v>
      </c>
      <c r="I659" s="56">
        <v>6</v>
      </c>
      <c r="J659" s="56" t="s">
        <v>1045</v>
      </c>
      <c r="K659" s="56" t="s">
        <v>1046</v>
      </c>
      <c r="L659" s="121">
        <v>46266</v>
      </c>
      <c r="M659" s="122">
        <v>0.67708333333333337</v>
      </c>
      <c r="N659" s="122">
        <v>0.68472222222222223</v>
      </c>
      <c r="O659" s="56" t="s">
        <v>1047</v>
      </c>
      <c r="P659" s="121">
        <v>46266</v>
      </c>
      <c r="Q659" s="122">
        <v>0.76041666666666663</v>
      </c>
      <c r="R659" s="122">
        <v>0.75260416666666663</v>
      </c>
      <c r="S659" s="56" t="s">
        <v>1047</v>
      </c>
      <c r="T659" s="56">
        <v>1</v>
      </c>
      <c r="U659" s="56">
        <v>67</v>
      </c>
      <c r="V659" s="56">
        <v>59.82</v>
      </c>
      <c r="W659" s="56">
        <v>60.1</v>
      </c>
      <c r="X659" s="56" t="s">
        <v>2624</v>
      </c>
      <c r="Y659" s="56" t="s">
        <v>2624</v>
      </c>
      <c r="Z659" s="56" t="s">
        <v>2624</v>
      </c>
      <c r="AA659" s="56" t="s">
        <v>203</v>
      </c>
      <c r="AB659" s="56">
        <v>14118501</v>
      </c>
      <c r="AC659" s="56" t="s">
        <v>203</v>
      </c>
      <c r="AD659" s="56">
        <v>14118501</v>
      </c>
      <c r="AE659" s="56" t="s">
        <v>2626</v>
      </c>
      <c r="AF659" s="56" t="s">
        <v>2627</v>
      </c>
      <c r="AG659" s="56" t="s">
        <v>2627</v>
      </c>
      <c r="AH659" s="56">
        <v>36</v>
      </c>
      <c r="AI659" s="56" t="s">
        <v>2628</v>
      </c>
      <c r="AJ659" s="56" t="s">
        <v>2629</v>
      </c>
      <c r="AK659" s="56">
        <v>0</v>
      </c>
      <c r="AL659" s="56" t="s">
        <v>2630</v>
      </c>
      <c r="AM659" s="56" t="s">
        <v>2631</v>
      </c>
      <c r="AN659" s="56" t="s">
        <v>2632</v>
      </c>
      <c r="AO659" s="56" t="s">
        <v>2627</v>
      </c>
      <c r="AP659" s="56" t="s">
        <v>2624</v>
      </c>
      <c r="AQ659" s="123">
        <v>7.6388888888888618E-3</v>
      </c>
      <c r="AR659" s="122">
        <v>-7.8125E-3</v>
      </c>
      <c r="AS659" s="56" t="s">
        <v>1048</v>
      </c>
      <c r="AT659" s="56" t="s">
        <v>1049</v>
      </c>
      <c r="AU659" s="56" t="s">
        <v>1050</v>
      </c>
      <c r="AV659" s="56">
        <v>36</v>
      </c>
      <c r="AW659" s="56" t="s">
        <v>1051</v>
      </c>
      <c r="AX659" s="56" t="s">
        <v>2636</v>
      </c>
      <c r="AY659" s="56" t="s">
        <v>1053</v>
      </c>
      <c r="AZ659" s="56" t="s">
        <v>1054</v>
      </c>
      <c r="BA659" s="56" t="s">
        <v>2637</v>
      </c>
      <c r="BB659" s="56" t="s">
        <v>2638</v>
      </c>
      <c r="BC659" s="56" t="s">
        <v>1133</v>
      </c>
      <c r="BD659" s="56" t="s">
        <v>3669</v>
      </c>
    </row>
    <row r="660" spans="1:56" x14ac:dyDescent="0.2">
      <c r="A660" s="56">
        <v>176596119</v>
      </c>
      <c r="B660" s="56" t="s">
        <v>1540</v>
      </c>
      <c r="C660" s="56" t="s">
        <v>2623</v>
      </c>
      <c r="D660" s="56" t="s">
        <v>1444</v>
      </c>
      <c r="E660" s="56" t="s">
        <v>1044</v>
      </c>
      <c r="F660" s="56">
        <v>77</v>
      </c>
      <c r="G660" s="56" t="s">
        <v>2833</v>
      </c>
      <c r="H660" s="56">
        <v>4446</v>
      </c>
      <c r="I660" s="56">
        <v>6</v>
      </c>
      <c r="J660" s="56" t="s">
        <v>1045</v>
      </c>
      <c r="K660" s="56" t="s">
        <v>1075</v>
      </c>
      <c r="L660" s="121">
        <v>46266</v>
      </c>
      <c r="M660" s="122">
        <v>0.70138888888888884</v>
      </c>
      <c r="N660" s="122">
        <v>0.71250000000000002</v>
      </c>
      <c r="O660" s="56" t="s">
        <v>1047</v>
      </c>
      <c r="P660" s="121">
        <v>46266</v>
      </c>
      <c r="Q660" s="122">
        <v>0.76736111111111116</v>
      </c>
      <c r="R660" s="122">
        <v>0.77059027777777778</v>
      </c>
      <c r="S660" s="56" t="s">
        <v>1047</v>
      </c>
      <c r="T660" s="56">
        <v>1</v>
      </c>
      <c r="U660" s="56">
        <v>38</v>
      </c>
      <c r="V660" s="56">
        <v>35.450000000000003</v>
      </c>
      <c r="W660" s="56">
        <v>35.479999999999997</v>
      </c>
      <c r="X660" s="56" t="s">
        <v>2624</v>
      </c>
      <c r="Y660" s="56" t="s">
        <v>2624</v>
      </c>
      <c r="Z660" s="56" t="s">
        <v>2624</v>
      </c>
      <c r="AA660" s="56" t="s">
        <v>522</v>
      </c>
      <c r="AB660" s="56">
        <v>14123460</v>
      </c>
      <c r="AC660" s="56" t="s">
        <v>522</v>
      </c>
      <c r="AD660" s="56">
        <v>14123460</v>
      </c>
      <c r="AE660" s="56" t="s">
        <v>2626</v>
      </c>
      <c r="AF660" s="56" t="s">
        <v>2627</v>
      </c>
      <c r="AG660" s="56" t="s">
        <v>2627</v>
      </c>
      <c r="AH660" s="56">
        <v>36</v>
      </c>
      <c r="AI660" s="56" t="s">
        <v>2628</v>
      </c>
      <c r="AJ660" s="56" t="s">
        <v>2640</v>
      </c>
      <c r="AK660" s="56">
        <v>0</v>
      </c>
      <c r="AL660" s="56" t="s">
        <v>2630</v>
      </c>
      <c r="AM660" s="56" t="s">
        <v>2631</v>
      </c>
      <c r="AN660" s="56" t="s">
        <v>2632</v>
      </c>
      <c r="AO660" s="56" t="s">
        <v>2627</v>
      </c>
      <c r="AP660" s="56" t="s">
        <v>2624</v>
      </c>
      <c r="AQ660" s="123">
        <v>1.1111111111111183E-2</v>
      </c>
      <c r="AR660" s="122">
        <v>3.2291666666666163E-3</v>
      </c>
      <c r="AS660" s="56" t="s">
        <v>1048</v>
      </c>
      <c r="AT660" s="56" t="s">
        <v>1049</v>
      </c>
      <c r="AU660" s="56" t="s">
        <v>1050</v>
      </c>
      <c r="AV660" s="56">
        <v>36</v>
      </c>
      <c r="AW660" s="56" t="s">
        <v>1051</v>
      </c>
      <c r="AX660" s="56" t="s">
        <v>1445</v>
      </c>
      <c r="AY660" s="56" t="s">
        <v>1076</v>
      </c>
      <c r="AZ660" s="56" t="s">
        <v>1067</v>
      </c>
      <c r="BA660" s="56" t="s">
        <v>1446</v>
      </c>
      <c r="BB660" s="56" t="s">
        <v>1447</v>
      </c>
      <c r="BC660" s="56" t="s">
        <v>1133</v>
      </c>
      <c r="BD660" s="56" t="s">
        <v>1541</v>
      </c>
    </row>
    <row r="661" spans="1:56" x14ac:dyDescent="0.2">
      <c r="A661" s="56">
        <v>176590716</v>
      </c>
      <c r="B661" s="56" t="s">
        <v>1480</v>
      </c>
      <c r="C661" s="56" t="s">
        <v>2623</v>
      </c>
      <c r="D661" s="56" t="s">
        <v>1481</v>
      </c>
      <c r="E661" s="56" t="s">
        <v>1044</v>
      </c>
      <c r="F661" s="56">
        <v>18</v>
      </c>
      <c r="G661" s="56"/>
      <c r="H661" s="56">
        <v>11943</v>
      </c>
      <c r="I661" s="56">
        <v>6</v>
      </c>
      <c r="J661" s="56" t="s">
        <v>1045</v>
      </c>
      <c r="K661" s="56" t="s">
        <v>1046</v>
      </c>
      <c r="L661" s="121">
        <v>46266</v>
      </c>
      <c r="M661" s="122">
        <v>0.70486111111111116</v>
      </c>
      <c r="N661" s="122">
        <v>0.72222222222222221</v>
      </c>
      <c r="O661" s="56" t="s">
        <v>1047</v>
      </c>
      <c r="P661" s="121">
        <v>46266</v>
      </c>
      <c r="Q661" s="122">
        <v>0.76041666666666663</v>
      </c>
      <c r="R661" s="122">
        <v>0.74886574074074075</v>
      </c>
      <c r="S661" s="56" t="s">
        <v>1047</v>
      </c>
      <c r="T661" s="56">
        <v>1</v>
      </c>
      <c r="U661" s="56">
        <v>35</v>
      </c>
      <c r="V661" s="56">
        <v>18.420000000000002</v>
      </c>
      <c r="W661" s="56">
        <v>17.68</v>
      </c>
      <c r="X661" s="56" t="s">
        <v>2624</v>
      </c>
      <c r="Y661" s="56" t="s">
        <v>2624</v>
      </c>
      <c r="Z661" s="56" t="s">
        <v>2624</v>
      </c>
      <c r="AA661" s="56" t="s">
        <v>158</v>
      </c>
      <c r="AB661" s="56">
        <v>14116262</v>
      </c>
      <c r="AC661" s="56" t="s">
        <v>158</v>
      </c>
      <c r="AD661" s="56">
        <v>14116262</v>
      </c>
      <c r="AE661" s="56" t="s">
        <v>2626</v>
      </c>
      <c r="AF661" s="56" t="s">
        <v>2627</v>
      </c>
      <c r="AG661" s="56" t="s">
        <v>2627</v>
      </c>
      <c r="AH661" s="56">
        <v>36</v>
      </c>
      <c r="AI661" s="56" t="s">
        <v>2628</v>
      </c>
      <c r="AJ661" s="56" t="s">
        <v>2629</v>
      </c>
      <c r="AK661" s="56">
        <v>0</v>
      </c>
      <c r="AL661" s="56" t="s">
        <v>2630</v>
      </c>
      <c r="AM661" s="56" t="s">
        <v>2631</v>
      </c>
      <c r="AN661" s="56" t="s">
        <v>2632</v>
      </c>
      <c r="AO661" s="56" t="s">
        <v>2627</v>
      </c>
      <c r="AP661" s="56">
        <v>10</v>
      </c>
      <c r="AQ661" s="123">
        <v>1.7361111111111049E-2</v>
      </c>
      <c r="AR661" s="122">
        <v>-1.1550925925925881E-2</v>
      </c>
      <c r="AS661" s="56" t="s">
        <v>1048</v>
      </c>
      <c r="AT661" s="56" t="s">
        <v>1049</v>
      </c>
      <c r="AU661" s="56" t="s">
        <v>1050</v>
      </c>
      <c r="AV661" s="56">
        <v>36</v>
      </c>
      <c r="AW661" s="56" t="s">
        <v>1051</v>
      </c>
      <c r="AX661" s="56" t="s">
        <v>1482</v>
      </c>
      <c r="AY661" s="56" t="s">
        <v>1053</v>
      </c>
      <c r="AZ661" s="56" t="s">
        <v>1054</v>
      </c>
      <c r="BA661" s="56" t="s">
        <v>1483</v>
      </c>
      <c r="BB661" s="56" t="s">
        <v>1484</v>
      </c>
      <c r="BC661" s="56" t="s">
        <v>1133</v>
      </c>
      <c r="BD661" s="56" t="s">
        <v>1485</v>
      </c>
    </row>
    <row r="662" spans="1:56" x14ac:dyDescent="0.2">
      <c r="A662" s="56">
        <v>176577363</v>
      </c>
      <c r="B662" s="56" t="s">
        <v>1588</v>
      </c>
      <c r="C662" s="56" t="s">
        <v>2623</v>
      </c>
      <c r="D662" s="56" t="s">
        <v>1589</v>
      </c>
      <c r="E662" s="56" t="s">
        <v>1044</v>
      </c>
      <c r="F662" s="56">
        <v>2</v>
      </c>
      <c r="G662" s="56"/>
      <c r="H662" s="56">
        <v>6857</v>
      </c>
      <c r="I662" s="56">
        <v>6</v>
      </c>
      <c r="J662" s="56" t="s">
        <v>1045</v>
      </c>
      <c r="K662" s="56" t="s">
        <v>1181</v>
      </c>
      <c r="L662" s="121">
        <v>46266</v>
      </c>
      <c r="M662" s="122">
        <v>0.81944444444444442</v>
      </c>
      <c r="N662" s="122">
        <v>0.82777777777777772</v>
      </c>
      <c r="O662" s="56" t="s">
        <v>1047</v>
      </c>
      <c r="P662" s="121">
        <v>46266</v>
      </c>
      <c r="Q662" s="122">
        <v>0.88888888888888884</v>
      </c>
      <c r="R662" s="122">
        <v>0.88450231481481478</v>
      </c>
      <c r="S662" s="56" t="s">
        <v>1047</v>
      </c>
      <c r="T662" s="56">
        <v>1</v>
      </c>
      <c r="U662" s="56">
        <v>32</v>
      </c>
      <c r="V662" s="56">
        <v>28.35</v>
      </c>
      <c r="W662" s="56">
        <v>28</v>
      </c>
      <c r="X662" s="56" t="s">
        <v>2624</v>
      </c>
      <c r="Y662" s="56" t="s">
        <v>2624</v>
      </c>
      <c r="Z662" s="56" t="s">
        <v>2624</v>
      </c>
      <c r="AA662" s="56" t="s">
        <v>1009</v>
      </c>
      <c r="AB662" s="56">
        <v>14124041</v>
      </c>
      <c r="AC662" s="56" t="s">
        <v>1009</v>
      </c>
      <c r="AD662" s="56">
        <v>14124041</v>
      </c>
      <c r="AE662" s="56" t="s">
        <v>2626</v>
      </c>
      <c r="AF662" s="56" t="s">
        <v>2627</v>
      </c>
      <c r="AG662" s="56" t="s">
        <v>2627</v>
      </c>
      <c r="AH662" s="56">
        <v>36</v>
      </c>
      <c r="AI662" s="56" t="s">
        <v>2628</v>
      </c>
      <c r="AJ662" s="56" t="s">
        <v>2629</v>
      </c>
      <c r="AK662" s="56">
        <v>447.41</v>
      </c>
      <c r="AL662" s="56" t="s">
        <v>2630</v>
      </c>
      <c r="AM662" s="56" t="s">
        <v>2631</v>
      </c>
      <c r="AN662" s="56" t="s">
        <v>2632</v>
      </c>
      <c r="AO662" s="56" t="s">
        <v>2627</v>
      </c>
      <c r="AP662" s="56" t="s">
        <v>2624</v>
      </c>
      <c r="AQ662" s="123">
        <v>8.3333333333333037E-3</v>
      </c>
      <c r="AR662" s="122">
        <v>-4.3865740740740566E-3</v>
      </c>
      <c r="AS662" s="56" t="s">
        <v>1048</v>
      </c>
      <c r="AT662" s="56" t="s">
        <v>1049</v>
      </c>
      <c r="AU662" s="56" t="s">
        <v>1050</v>
      </c>
      <c r="AV662" s="56">
        <v>36</v>
      </c>
      <c r="AW662" s="56" t="s">
        <v>1051</v>
      </c>
      <c r="AX662" s="56" t="s">
        <v>1590</v>
      </c>
      <c r="AY662" s="56" t="s">
        <v>1140</v>
      </c>
      <c r="AZ662" s="56" t="s">
        <v>1062</v>
      </c>
      <c r="BA662" s="56" t="s">
        <v>1591</v>
      </c>
      <c r="BB662" s="56" t="s">
        <v>1592</v>
      </c>
      <c r="BC662" s="56" t="s">
        <v>1057</v>
      </c>
      <c r="BD662" s="56" t="s">
        <v>1593</v>
      </c>
    </row>
    <row r="663" spans="1:56" x14ac:dyDescent="0.2">
      <c r="A663" s="56">
        <v>176576311</v>
      </c>
      <c r="B663" s="56" t="s">
        <v>3117</v>
      </c>
      <c r="C663" s="56" t="s">
        <v>2623</v>
      </c>
      <c r="D663" s="56" t="s">
        <v>3118</v>
      </c>
      <c r="E663" s="56" t="s">
        <v>1044</v>
      </c>
      <c r="F663" s="56">
        <v>5</v>
      </c>
      <c r="G663" s="56"/>
      <c r="H663" s="56">
        <v>6984</v>
      </c>
      <c r="I663" s="56">
        <v>6</v>
      </c>
      <c r="J663" s="56" t="s">
        <v>1045</v>
      </c>
      <c r="K663" s="56" t="s">
        <v>1123</v>
      </c>
      <c r="L663" s="121">
        <v>46266</v>
      </c>
      <c r="M663" s="122">
        <v>0.83333333333333337</v>
      </c>
      <c r="N663" s="122">
        <v>0.84930555555555554</v>
      </c>
      <c r="O663" s="56" t="s">
        <v>1047</v>
      </c>
      <c r="P663" s="121">
        <v>46266</v>
      </c>
      <c r="Q663" s="122">
        <v>0.90277777777777779</v>
      </c>
      <c r="R663" s="122">
        <v>0.8990393518518518</v>
      </c>
      <c r="S663" s="56" t="s">
        <v>1047</v>
      </c>
      <c r="T663" s="56">
        <v>1</v>
      </c>
      <c r="U663" s="56">
        <v>32</v>
      </c>
      <c r="V663" s="56">
        <v>22.72</v>
      </c>
      <c r="W663" s="56">
        <v>23.69</v>
      </c>
      <c r="X663" s="56" t="s">
        <v>2624</v>
      </c>
      <c r="Y663" s="56" t="s">
        <v>2624</v>
      </c>
      <c r="Z663" s="56" t="s">
        <v>2624</v>
      </c>
      <c r="AA663" s="56" t="s">
        <v>464</v>
      </c>
      <c r="AB663" s="56">
        <v>14122904</v>
      </c>
      <c r="AC663" s="56" t="s">
        <v>464</v>
      </c>
      <c r="AD663" s="56">
        <v>14122904</v>
      </c>
      <c r="AE663" s="56" t="s">
        <v>2626</v>
      </c>
      <c r="AF663" s="56" t="s">
        <v>2627</v>
      </c>
      <c r="AG663" s="56" t="s">
        <v>2627</v>
      </c>
      <c r="AH663" s="56">
        <v>36</v>
      </c>
      <c r="AI663" s="56" t="s">
        <v>2628</v>
      </c>
      <c r="AJ663" s="56" t="s">
        <v>2629</v>
      </c>
      <c r="AK663" s="56">
        <v>556.96</v>
      </c>
      <c r="AL663" s="56" t="s">
        <v>2630</v>
      </c>
      <c r="AM663" s="56" t="s">
        <v>2631</v>
      </c>
      <c r="AN663" s="56" t="s">
        <v>2632</v>
      </c>
      <c r="AO663" s="56" t="s">
        <v>2627</v>
      </c>
      <c r="AP663" s="56" t="s">
        <v>2624</v>
      </c>
      <c r="AQ663" s="123">
        <v>1.5972222222222165E-2</v>
      </c>
      <c r="AR663" s="122">
        <v>-3.7384259259259922E-3</v>
      </c>
      <c r="AS663" s="56" t="s">
        <v>1048</v>
      </c>
      <c r="AT663" s="56" t="s">
        <v>1049</v>
      </c>
      <c r="AU663" s="56" t="s">
        <v>1050</v>
      </c>
      <c r="AV663" s="56">
        <v>36</v>
      </c>
      <c r="AW663" s="56" t="s">
        <v>1051</v>
      </c>
      <c r="AX663" s="56" t="s">
        <v>3119</v>
      </c>
      <c r="AY663" s="56" t="s">
        <v>1124</v>
      </c>
      <c r="AZ663" s="56" t="s">
        <v>1054</v>
      </c>
      <c r="BA663" s="56" t="s">
        <v>3120</v>
      </c>
      <c r="BB663" s="56" t="s">
        <v>3121</v>
      </c>
      <c r="BC663" s="56" t="s">
        <v>1157</v>
      </c>
      <c r="BD663" s="56" t="s">
        <v>3670</v>
      </c>
    </row>
    <row r="664" spans="1:56" x14ac:dyDescent="0.2">
      <c r="A664" s="56">
        <v>176588645</v>
      </c>
      <c r="B664" s="56" t="s">
        <v>3671</v>
      </c>
      <c r="C664" s="56" t="s">
        <v>2623</v>
      </c>
      <c r="D664" s="56" t="s">
        <v>1166</v>
      </c>
      <c r="E664" s="56" t="s">
        <v>1044</v>
      </c>
      <c r="F664" s="56">
        <v>15</v>
      </c>
      <c r="G664" s="56"/>
      <c r="H664" s="56">
        <v>15761</v>
      </c>
      <c r="I664" s="56">
        <v>6</v>
      </c>
      <c r="J664" s="56" t="s">
        <v>1045</v>
      </c>
      <c r="K664" s="56" t="s">
        <v>1058</v>
      </c>
      <c r="L664" s="121">
        <v>46266</v>
      </c>
      <c r="M664" s="122">
        <v>0.85347222222222219</v>
      </c>
      <c r="N664" s="122">
        <v>0.86041666666666672</v>
      </c>
      <c r="O664" s="56" t="s">
        <v>1047</v>
      </c>
      <c r="P664" s="121">
        <v>46266</v>
      </c>
      <c r="Q664" s="122">
        <v>0.91666666666666663</v>
      </c>
      <c r="R664" s="122">
        <v>0.92211805555555559</v>
      </c>
      <c r="S664" s="56" t="s">
        <v>1047</v>
      </c>
      <c r="T664" s="56">
        <v>1</v>
      </c>
      <c r="U664" s="56">
        <v>40</v>
      </c>
      <c r="V664" s="56">
        <v>-1021.53</v>
      </c>
      <c r="W664" s="56">
        <v>32.520000000000003</v>
      </c>
      <c r="X664" s="56" t="s">
        <v>2624</v>
      </c>
      <c r="Y664" s="56" t="s">
        <v>2624</v>
      </c>
      <c r="Z664" s="56" t="s">
        <v>2624</v>
      </c>
      <c r="AA664" s="56" t="s">
        <v>979</v>
      </c>
      <c r="AB664" s="56">
        <v>14123885</v>
      </c>
      <c r="AC664" s="56" t="s">
        <v>979</v>
      </c>
      <c r="AD664" s="56">
        <v>14123885</v>
      </c>
      <c r="AE664" s="56" t="s">
        <v>2626</v>
      </c>
      <c r="AF664" s="56" t="s">
        <v>2627</v>
      </c>
      <c r="AG664" s="56" t="s">
        <v>2627</v>
      </c>
      <c r="AH664" s="56">
        <v>36</v>
      </c>
      <c r="AI664" s="56" t="s">
        <v>2628</v>
      </c>
      <c r="AJ664" s="56" t="s">
        <v>2640</v>
      </c>
      <c r="AK664" s="56">
        <v>815</v>
      </c>
      <c r="AL664" s="56" t="s">
        <v>2630</v>
      </c>
      <c r="AM664" s="56" t="s">
        <v>2631</v>
      </c>
      <c r="AN664" s="56" t="s">
        <v>2632</v>
      </c>
      <c r="AO664" s="56" t="s">
        <v>2627</v>
      </c>
      <c r="AP664" s="56" t="s">
        <v>2624</v>
      </c>
      <c r="AQ664" s="123">
        <v>6.9444444444445308E-3</v>
      </c>
      <c r="AR664" s="122">
        <v>5.4513888888889639E-3</v>
      </c>
      <c r="AS664" s="56" t="s">
        <v>1048</v>
      </c>
      <c r="AT664" s="56" t="s">
        <v>1059</v>
      </c>
      <c r="AU664" s="56" t="s">
        <v>1060</v>
      </c>
      <c r="AV664" s="56">
        <v>36</v>
      </c>
      <c r="AW664" s="56" t="s">
        <v>1051</v>
      </c>
      <c r="AX664" s="56" t="s">
        <v>2147</v>
      </c>
      <c r="AY664" s="56" t="s">
        <v>1061</v>
      </c>
      <c r="AZ664" s="56" t="s">
        <v>1062</v>
      </c>
      <c r="BA664" s="56" t="s">
        <v>2148</v>
      </c>
      <c r="BB664" s="56" t="s">
        <v>2149</v>
      </c>
      <c r="BC664" s="56" t="s">
        <v>1157</v>
      </c>
      <c r="BD664" s="56" t="s">
        <v>3672</v>
      </c>
    </row>
    <row r="665" spans="1:56" x14ac:dyDescent="0.2">
      <c r="A665" s="56">
        <v>176588651</v>
      </c>
      <c r="B665" s="56" t="s">
        <v>2849</v>
      </c>
      <c r="C665" s="56" t="s">
        <v>2623</v>
      </c>
      <c r="D665" s="56" t="s">
        <v>1070</v>
      </c>
      <c r="E665" s="56" t="s">
        <v>1044</v>
      </c>
      <c r="F665" s="56">
        <v>17</v>
      </c>
      <c r="G665" s="56"/>
      <c r="H665" s="56">
        <v>15192</v>
      </c>
      <c r="I665" s="56">
        <v>6</v>
      </c>
      <c r="J665" s="56" t="s">
        <v>1045</v>
      </c>
      <c r="K665" s="56" t="s">
        <v>1058</v>
      </c>
      <c r="L665" s="121">
        <v>46266</v>
      </c>
      <c r="M665" s="122">
        <v>0.85416666666666663</v>
      </c>
      <c r="N665" s="122">
        <v>0.85763888888888884</v>
      </c>
      <c r="O665" s="56" t="s">
        <v>1047</v>
      </c>
      <c r="P665" s="121">
        <v>46266</v>
      </c>
      <c r="Q665" s="122">
        <v>0.91666666666666663</v>
      </c>
      <c r="R665" s="122">
        <v>0.90932870370370367</v>
      </c>
      <c r="S665" s="56" t="s">
        <v>1047</v>
      </c>
      <c r="T665" s="56">
        <v>1</v>
      </c>
      <c r="U665" s="56">
        <v>37</v>
      </c>
      <c r="V665" s="56">
        <v>33.01</v>
      </c>
      <c r="W665" s="56">
        <v>33.89</v>
      </c>
      <c r="X665" s="56" t="s">
        <v>2624</v>
      </c>
      <c r="Y665" s="56" t="s">
        <v>2624</v>
      </c>
      <c r="Z665" s="56" t="s">
        <v>2624</v>
      </c>
      <c r="AA665" s="56" t="s">
        <v>2625</v>
      </c>
      <c r="AB665" s="56">
        <v>14122103</v>
      </c>
      <c r="AC665" s="56" t="s">
        <v>2625</v>
      </c>
      <c r="AD665" s="56">
        <v>14122103</v>
      </c>
      <c r="AE665" s="56" t="s">
        <v>2626</v>
      </c>
      <c r="AF665" s="56" t="s">
        <v>2627</v>
      </c>
      <c r="AG665" s="56" t="s">
        <v>2627</v>
      </c>
      <c r="AH665" s="56">
        <v>36</v>
      </c>
      <c r="AI665" s="56" t="s">
        <v>2628</v>
      </c>
      <c r="AJ665" s="56" t="s">
        <v>2629</v>
      </c>
      <c r="AK665" s="56">
        <v>815</v>
      </c>
      <c r="AL665" s="56" t="s">
        <v>2630</v>
      </c>
      <c r="AM665" s="56" t="s">
        <v>2631</v>
      </c>
      <c r="AN665" s="56" t="s">
        <v>2632</v>
      </c>
      <c r="AO665" s="56" t="s">
        <v>2627</v>
      </c>
      <c r="AP665" s="56" t="s">
        <v>2624</v>
      </c>
      <c r="AQ665" s="123">
        <v>3.4722222222222099E-3</v>
      </c>
      <c r="AR665" s="122">
        <v>-7.3379629629629628E-3</v>
      </c>
      <c r="AS665" s="56" t="s">
        <v>1048</v>
      </c>
      <c r="AT665" s="56" t="s">
        <v>1049</v>
      </c>
      <c r="AU665" s="56" t="s">
        <v>1050</v>
      </c>
      <c r="AV665" s="56">
        <v>36</v>
      </c>
      <c r="AW665" s="56" t="s">
        <v>1051</v>
      </c>
      <c r="AX665" s="56" t="s">
        <v>1071</v>
      </c>
      <c r="AY665" s="56" t="s">
        <v>1061</v>
      </c>
      <c r="AZ665" s="56" t="s">
        <v>1062</v>
      </c>
      <c r="BA665" s="56" t="s">
        <v>1072</v>
      </c>
      <c r="BB665" s="56" t="s">
        <v>1073</v>
      </c>
      <c r="BC665" s="56" t="s">
        <v>1157</v>
      </c>
      <c r="BD665" s="56" t="s">
        <v>2850</v>
      </c>
    </row>
    <row r="666" spans="1:56" x14ac:dyDescent="0.2">
      <c r="A666" s="56">
        <v>176576361</v>
      </c>
      <c r="B666" s="56" t="s">
        <v>3271</v>
      </c>
      <c r="C666" s="56" t="s">
        <v>2623</v>
      </c>
      <c r="D666" s="56" t="s">
        <v>1777</v>
      </c>
      <c r="E666" s="56" t="s">
        <v>1044</v>
      </c>
      <c r="F666" s="56">
        <v>8</v>
      </c>
      <c r="G666" s="56"/>
      <c r="H666" s="56">
        <v>5725</v>
      </c>
      <c r="I666" s="56">
        <v>6</v>
      </c>
      <c r="J666" s="56" t="s">
        <v>1045</v>
      </c>
      <c r="K666" s="56" t="s">
        <v>1123</v>
      </c>
      <c r="L666" s="121">
        <v>46266</v>
      </c>
      <c r="M666" s="122">
        <v>0.8666666666666667</v>
      </c>
      <c r="N666" s="122">
        <v>0.87222222222222223</v>
      </c>
      <c r="O666" s="56" t="s">
        <v>1047</v>
      </c>
      <c r="P666" s="121">
        <v>46266</v>
      </c>
      <c r="Q666" s="122">
        <v>0.90277777777777779</v>
      </c>
      <c r="R666" s="122">
        <v>0.90833333333333333</v>
      </c>
      <c r="S666" s="56" t="s">
        <v>1047</v>
      </c>
      <c r="T666" s="56">
        <v>1</v>
      </c>
      <c r="U666" s="56">
        <v>17</v>
      </c>
      <c r="V666" s="56">
        <v>10.58</v>
      </c>
      <c r="W666" s="56">
        <v>9.9700000000000006</v>
      </c>
      <c r="X666" s="56" t="s">
        <v>2624</v>
      </c>
      <c r="Y666" s="56" t="s">
        <v>2624</v>
      </c>
      <c r="Z666" s="56" t="s">
        <v>2624</v>
      </c>
      <c r="AA666" s="56" t="s">
        <v>166</v>
      </c>
      <c r="AB666" s="56">
        <v>14109948</v>
      </c>
      <c r="AC666" s="56" t="s">
        <v>166</v>
      </c>
      <c r="AD666" s="56">
        <v>14109948</v>
      </c>
      <c r="AE666" s="56" t="s">
        <v>2626</v>
      </c>
      <c r="AF666" s="56" t="s">
        <v>2627</v>
      </c>
      <c r="AG666" s="56" t="s">
        <v>2627</v>
      </c>
      <c r="AH666" s="56">
        <v>36</v>
      </c>
      <c r="AI666" s="56" t="s">
        <v>2628</v>
      </c>
      <c r="AJ666" s="56" t="s">
        <v>2640</v>
      </c>
      <c r="AK666" s="56">
        <v>496.68</v>
      </c>
      <c r="AL666" s="56" t="s">
        <v>2630</v>
      </c>
      <c r="AM666" s="56" t="s">
        <v>2631</v>
      </c>
      <c r="AN666" s="56" t="s">
        <v>2632</v>
      </c>
      <c r="AO666" s="56" t="s">
        <v>2627</v>
      </c>
      <c r="AP666" s="56" t="s">
        <v>2624</v>
      </c>
      <c r="AQ666" s="123">
        <v>5.5555555555555358E-3</v>
      </c>
      <c r="AR666" s="122">
        <v>5.5555555555555358E-3</v>
      </c>
      <c r="AS666" s="56" t="s">
        <v>1048</v>
      </c>
      <c r="AT666" s="56" t="s">
        <v>1059</v>
      </c>
      <c r="AU666" s="56" t="s">
        <v>1060</v>
      </c>
      <c r="AV666" s="56">
        <v>36</v>
      </c>
      <c r="AW666" s="56" t="s">
        <v>1051</v>
      </c>
      <c r="AX666" s="56" t="s">
        <v>1778</v>
      </c>
      <c r="AY666" s="56" t="s">
        <v>1124</v>
      </c>
      <c r="AZ666" s="56" t="s">
        <v>1054</v>
      </c>
      <c r="BA666" s="56" t="s">
        <v>1779</v>
      </c>
      <c r="BB666" s="56" t="s">
        <v>1780</v>
      </c>
      <c r="BC666" s="56" t="s">
        <v>1157</v>
      </c>
      <c r="BD666" s="56" t="s">
        <v>3272</v>
      </c>
    </row>
    <row r="667" spans="1:56" x14ac:dyDescent="0.2">
      <c r="A667" s="56">
        <v>176588621</v>
      </c>
      <c r="B667" s="56" t="s">
        <v>2264</v>
      </c>
      <c r="C667" s="56" t="s">
        <v>2623</v>
      </c>
      <c r="D667" s="56" t="s">
        <v>1173</v>
      </c>
      <c r="E667" s="56" t="s">
        <v>1044</v>
      </c>
      <c r="F667" s="56">
        <v>7</v>
      </c>
      <c r="G667" s="56"/>
      <c r="H667" s="56">
        <v>15765</v>
      </c>
      <c r="I667" s="56">
        <v>6</v>
      </c>
      <c r="J667" s="56" t="s">
        <v>1045</v>
      </c>
      <c r="K667" s="56" t="s">
        <v>1058</v>
      </c>
      <c r="L667" s="121">
        <v>46266</v>
      </c>
      <c r="M667" s="122">
        <v>0.86805555555555558</v>
      </c>
      <c r="N667" s="122">
        <v>0.87152777777777779</v>
      </c>
      <c r="O667" s="56" t="s">
        <v>1047</v>
      </c>
      <c r="P667" s="121">
        <v>46266</v>
      </c>
      <c r="Q667" s="122">
        <v>0.91666666666666663</v>
      </c>
      <c r="R667" s="122">
        <v>0.92113425925925929</v>
      </c>
      <c r="S667" s="56" t="s">
        <v>1047</v>
      </c>
      <c r="T667" s="56">
        <v>1</v>
      </c>
      <c r="U667" s="56">
        <v>34</v>
      </c>
      <c r="V667" s="56">
        <v>28.35</v>
      </c>
      <c r="W667" s="56">
        <v>30.63</v>
      </c>
      <c r="X667" s="56" t="s">
        <v>2624</v>
      </c>
      <c r="Y667" s="56" t="s">
        <v>2624</v>
      </c>
      <c r="Z667" s="56" t="s">
        <v>2624</v>
      </c>
      <c r="AA667" s="56" t="s">
        <v>1174</v>
      </c>
      <c r="AB667" s="56">
        <v>14113198</v>
      </c>
      <c r="AC667" s="56" t="s">
        <v>1174</v>
      </c>
      <c r="AD667" s="56">
        <v>14113198</v>
      </c>
      <c r="AE667" s="56" t="s">
        <v>2626</v>
      </c>
      <c r="AF667" s="56" t="s">
        <v>2627</v>
      </c>
      <c r="AG667" s="56" t="s">
        <v>2627</v>
      </c>
      <c r="AH667" s="56">
        <v>36</v>
      </c>
      <c r="AI667" s="56" t="s">
        <v>2628</v>
      </c>
      <c r="AJ667" s="56" t="s">
        <v>2640</v>
      </c>
      <c r="AK667" s="56">
        <v>842</v>
      </c>
      <c r="AL667" s="56" t="s">
        <v>2630</v>
      </c>
      <c r="AM667" s="56" t="s">
        <v>2631</v>
      </c>
      <c r="AN667" s="56" t="s">
        <v>2632</v>
      </c>
      <c r="AO667" s="56" t="s">
        <v>2627</v>
      </c>
      <c r="AP667" s="56" t="s">
        <v>2624</v>
      </c>
      <c r="AQ667" s="123">
        <v>3.4722222222222099E-3</v>
      </c>
      <c r="AR667" s="122">
        <v>4.4675925925926618E-3</v>
      </c>
      <c r="AS667" s="56" t="s">
        <v>1048</v>
      </c>
      <c r="AT667" s="56" t="s">
        <v>1059</v>
      </c>
      <c r="AU667" s="56" t="s">
        <v>1060</v>
      </c>
      <c r="AV667" s="56">
        <v>36</v>
      </c>
      <c r="AW667" s="56" t="s">
        <v>1051</v>
      </c>
      <c r="AX667" s="56" t="s">
        <v>1175</v>
      </c>
      <c r="AY667" s="56" t="s">
        <v>1061</v>
      </c>
      <c r="AZ667" s="56" t="s">
        <v>1062</v>
      </c>
      <c r="BA667" s="56" t="s">
        <v>1176</v>
      </c>
      <c r="BB667" s="56" t="s">
        <v>1177</v>
      </c>
      <c r="BC667" s="56" t="s">
        <v>1157</v>
      </c>
      <c r="BD667" s="56" t="s">
        <v>2265</v>
      </c>
    </row>
    <row r="668" spans="1:56" x14ac:dyDescent="0.2">
      <c r="A668" s="56">
        <v>176591905</v>
      </c>
      <c r="B668" s="56" t="s">
        <v>2256</v>
      </c>
      <c r="C668" s="56" t="s">
        <v>2623</v>
      </c>
      <c r="D668" s="56" t="s">
        <v>1254</v>
      </c>
      <c r="E668" s="56" t="s">
        <v>1044</v>
      </c>
      <c r="F668" s="56">
        <v>454</v>
      </c>
      <c r="G668" s="56"/>
      <c r="H668" s="56">
        <v>13900</v>
      </c>
      <c r="I668" s="56">
        <v>6</v>
      </c>
      <c r="J668" s="56" t="s">
        <v>1045</v>
      </c>
      <c r="K668" s="56" t="s">
        <v>1064</v>
      </c>
      <c r="L668" s="121">
        <v>46266</v>
      </c>
      <c r="M668" s="122">
        <v>0.86805555555555558</v>
      </c>
      <c r="N668" s="122">
        <v>0.87222222222222223</v>
      </c>
      <c r="O668" s="56" t="s">
        <v>1047</v>
      </c>
      <c r="P668" s="121">
        <v>46266</v>
      </c>
      <c r="Q668" s="122">
        <v>0.93402777777777779</v>
      </c>
      <c r="R668" s="122">
        <v>0.9375</v>
      </c>
      <c r="S668" s="56" t="s">
        <v>1047</v>
      </c>
      <c r="T668" s="56">
        <v>1</v>
      </c>
      <c r="U668" s="56">
        <v>47</v>
      </c>
      <c r="V668" s="56">
        <v>-9308.18</v>
      </c>
      <c r="W668" s="56">
        <v>40.659999999999997</v>
      </c>
      <c r="X668" s="56" t="s">
        <v>2624</v>
      </c>
      <c r="Y668" s="56" t="s">
        <v>2624</v>
      </c>
      <c r="Z668" s="56" t="s">
        <v>2624</v>
      </c>
      <c r="AA668" s="56" t="s">
        <v>904</v>
      </c>
      <c r="AB668" s="56">
        <v>14123635</v>
      </c>
      <c r="AC668" s="56" t="s">
        <v>904</v>
      </c>
      <c r="AD668" s="56">
        <v>14123635</v>
      </c>
      <c r="AE668" s="56" t="s">
        <v>2626</v>
      </c>
      <c r="AF668" s="56" t="s">
        <v>2627</v>
      </c>
      <c r="AG668" s="56" t="s">
        <v>2627</v>
      </c>
      <c r="AH668" s="56">
        <v>36</v>
      </c>
      <c r="AI668" s="56" t="s">
        <v>2628</v>
      </c>
      <c r="AJ668" s="56" t="s">
        <v>2640</v>
      </c>
      <c r="AK668" s="56">
        <v>0</v>
      </c>
      <c r="AL668" s="56" t="s">
        <v>2630</v>
      </c>
      <c r="AM668" s="56" t="s">
        <v>2631</v>
      </c>
      <c r="AN668" s="56" t="s">
        <v>2632</v>
      </c>
      <c r="AO668" s="56" t="s">
        <v>2627</v>
      </c>
      <c r="AP668" s="56">
        <v>15</v>
      </c>
      <c r="AQ668" s="123">
        <v>4.1666666666666519E-3</v>
      </c>
      <c r="AR668" s="122">
        <v>3.4722222222222099E-3</v>
      </c>
      <c r="AS668" s="56" t="s">
        <v>1048</v>
      </c>
      <c r="AT668" s="56" t="s">
        <v>1059</v>
      </c>
      <c r="AU668" s="56" t="s">
        <v>1060</v>
      </c>
      <c r="AV668" s="56">
        <v>36</v>
      </c>
      <c r="AW668" s="56" t="s">
        <v>1051</v>
      </c>
      <c r="AX668" s="56" t="s">
        <v>1255</v>
      </c>
      <c r="AY668" s="56" t="s">
        <v>1066</v>
      </c>
      <c r="AZ668" s="56" t="s">
        <v>1067</v>
      </c>
      <c r="BA668" s="56" t="s">
        <v>1256</v>
      </c>
      <c r="BB668" s="56" t="s">
        <v>1257</v>
      </c>
      <c r="BC668" s="56" t="s">
        <v>1157</v>
      </c>
      <c r="BD668" s="56" t="s">
        <v>2257</v>
      </c>
    </row>
    <row r="669" spans="1:56" x14ac:dyDescent="0.2">
      <c r="A669" s="56">
        <v>176581751</v>
      </c>
      <c r="B669" s="56" t="s">
        <v>3673</v>
      </c>
      <c r="C669" s="56" t="s">
        <v>2623</v>
      </c>
      <c r="D669" s="56" t="s">
        <v>3674</v>
      </c>
      <c r="E669" s="56" t="s">
        <v>1044</v>
      </c>
      <c r="F669" s="56">
        <v>1</v>
      </c>
      <c r="G669" s="56"/>
      <c r="H669" s="56">
        <v>15313</v>
      </c>
      <c r="I669" s="56">
        <v>6</v>
      </c>
      <c r="J669" s="56" t="s">
        <v>1045</v>
      </c>
      <c r="K669" s="56" t="s">
        <v>1158</v>
      </c>
      <c r="L669" s="121">
        <v>46266</v>
      </c>
      <c r="M669" s="122">
        <v>0.87013888888888891</v>
      </c>
      <c r="N669" s="122">
        <v>0.87361111111111112</v>
      </c>
      <c r="O669" s="56" t="s">
        <v>1047</v>
      </c>
      <c r="P669" s="121">
        <v>46266</v>
      </c>
      <c r="Q669" s="122">
        <v>0.88888888888888884</v>
      </c>
      <c r="R669" s="122">
        <v>0.88888888888888884</v>
      </c>
      <c r="S669" s="56" t="s">
        <v>1047</v>
      </c>
      <c r="T669" s="56">
        <v>1</v>
      </c>
      <c r="U669" s="56">
        <v>11</v>
      </c>
      <c r="V669" s="56">
        <v>8.59</v>
      </c>
      <c r="W669" s="56">
        <v>8.82</v>
      </c>
      <c r="X669" s="56" t="s">
        <v>2624</v>
      </c>
      <c r="Y669" s="56" t="s">
        <v>2624</v>
      </c>
      <c r="Z669" s="56" t="s">
        <v>2624</v>
      </c>
      <c r="AA669" s="56" t="s">
        <v>36</v>
      </c>
      <c r="AB669" s="56">
        <v>14103183</v>
      </c>
      <c r="AC669" s="56" t="s">
        <v>36</v>
      </c>
      <c r="AD669" s="56">
        <v>14103183</v>
      </c>
      <c r="AE669" s="56" t="s">
        <v>2626</v>
      </c>
      <c r="AF669" s="56" t="s">
        <v>2627</v>
      </c>
      <c r="AG669" s="56" t="s">
        <v>2627</v>
      </c>
      <c r="AH669" s="56">
        <v>36</v>
      </c>
      <c r="AI669" s="56" t="s">
        <v>2628</v>
      </c>
      <c r="AJ669" s="56" t="s">
        <v>2629</v>
      </c>
      <c r="AK669" s="56">
        <v>703.87</v>
      </c>
      <c r="AL669" s="56" t="s">
        <v>2630</v>
      </c>
      <c r="AM669" s="56" t="s">
        <v>2631</v>
      </c>
      <c r="AN669" s="56" t="s">
        <v>2632</v>
      </c>
      <c r="AO669" s="56" t="s">
        <v>2627</v>
      </c>
      <c r="AP669" s="56" t="s">
        <v>2624</v>
      </c>
      <c r="AQ669" s="123">
        <v>3.4722222222222099E-3</v>
      </c>
      <c r="AR669" s="122">
        <v>0</v>
      </c>
      <c r="AS669" s="56" t="s">
        <v>1048</v>
      </c>
      <c r="AT669" s="56" t="s">
        <v>1049</v>
      </c>
      <c r="AU669" s="56" t="s">
        <v>1050</v>
      </c>
      <c r="AV669" s="56">
        <v>36</v>
      </c>
      <c r="AW669" s="56" t="s">
        <v>1051</v>
      </c>
      <c r="AX669" s="56" t="s">
        <v>3675</v>
      </c>
      <c r="AY669" s="56" t="s">
        <v>1159</v>
      </c>
      <c r="AZ669" s="56" t="s">
        <v>1062</v>
      </c>
      <c r="BA669" s="56" t="s">
        <v>3676</v>
      </c>
      <c r="BB669" s="56" t="s">
        <v>3677</v>
      </c>
      <c r="BC669" s="56" t="s">
        <v>1157</v>
      </c>
      <c r="BD669" s="56" t="s">
        <v>3678</v>
      </c>
    </row>
    <row r="670" spans="1:56" x14ac:dyDescent="0.2">
      <c r="A670" s="56">
        <v>176576991</v>
      </c>
      <c r="B670" s="56" t="s">
        <v>1546</v>
      </c>
      <c r="C670" s="56" t="s">
        <v>2623</v>
      </c>
      <c r="D670" s="56" t="s">
        <v>1547</v>
      </c>
      <c r="E670" s="56" t="s">
        <v>1044</v>
      </c>
      <c r="F670" s="56">
        <v>61</v>
      </c>
      <c r="G670" s="56"/>
      <c r="H670" s="56">
        <v>16744</v>
      </c>
      <c r="I670" s="56">
        <v>6</v>
      </c>
      <c r="J670" s="56" t="s">
        <v>1045</v>
      </c>
      <c r="K670" s="56" t="s">
        <v>1064</v>
      </c>
      <c r="L670" s="121">
        <v>46266</v>
      </c>
      <c r="M670" s="122">
        <v>0.875</v>
      </c>
      <c r="N670" s="122">
        <v>0.88680555555555551</v>
      </c>
      <c r="O670" s="56" t="s">
        <v>1047</v>
      </c>
      <c r="P670" s="121">
        <v>46266</v>
      </c>
      <c r="Q670" s="122">
        <v>0.93402777777777779</v>
      </c>
      <c r="R670" s="122">
        <v>0.93232638888888886</v>
      </c>
      <c r="S670" s="56" t="s">
        <v>1047</v>
      </c>
      <c r="T670" s="56">
        <v>1</v>
      </c>
      <c r="U670" s="56">
        <v>46</v>
      </c>
      <c r="V670" s="56">
        <v>42.88</v>
      </c>
      <c r="W670" s="56">
        <v>40.5</v>
      </c>
      <c r="X670" s="56" t="s">
        <v>2624</v>
      </c>
      <c r="Y670" s="56" t="s">
        <v>2624</v>
      </c>
      <c r="Z670" s="56" t="s">
        <v>2624</v>
      </c>
      <c r="AA670" s="56" t="s">
        <v>270</v>
      </c>
      <c r="AB670" s="56">
        <v>14119956</v>
      </c>
      <c r="AC670" s="56" t="s">
        <v>270</v>
      </c>
      <c r="AD670" s="56">
        <v>14119956</v>
      </c>
      <c r="AE670" s="56" t="s">
        <v>2626</v>
      </c>
      <c r="AF670" s="56" t="s">
        <v>2627</v>
      </c>
      <c r="AG670" s="56" t="s">
        <v>2627</v>
      </c>
      <c r="AH670" s="56">
        <v>36</v>
      </c>
      <c r="AI670" s="56" t="s">
        <v>2628</v>
      </c>
      <c r="AJ670" s="56" t="s">
        <v>2629</v>
      </c>
      <c r="AK670" s="56">
        <v>530.63</v>
      </c>
      <c r="AL670" s="56" t="s">
        <v>2630</v>
      </c>
      <c r="AM670" s="56" t="s">
        <v>2631</v>
      </c>
      <c r="AN670" s="56" t="s">
        <v>2632</v>
      </c>
      <c r="AO670" s="56" t="s">
        <v>2627</v>
      </c>
      <c r="AP670" s="56" t="s">
        <v>2624</v>
      </c>
      <c r="AQ670" s="123">
        <v>1.1805555555555514E-2</v>
      </c>
      <c r="AR670" s="122">
        <v>-1.7013888888889328E-3</v>
      </c>
      <c r="AS670" s="56" t="s">
        <v>1048</v>
      </c>
      <c r="AT670" s="56" t="s">
        <v>1049</v>
      </c>
      <c r="AU670" s="56" t="s">
        <v>1050</v>
      </c>
      <c r="AV670" s="56">
        <v>36</v>
      </c>
      <c r="AW670" s="56" t="s">
        <v>1051</v>
      </c>
      <c r="AX670" s="56" t="s">
        <v>1548</v>
      </c>
      <c r="AY670" s="56" t="s">
        <v>1066</v>
      </c>
      <c r="AZ670" s="56" t="s">
        <v>1067</v>
      </c>
      <c r="BA670" s="56" t="s">
        <v>1549</v>
      </c>
      <c r="BB670" s="56" t="s">
        <v>1550</v>
      </c>
      <c r="BC670" s="56" t="s">
        <v>1157</v>
      </c>
      <c r="BD670" s="56" t="s">
        <v>1551</v>
      </c>
    </row>
    <row r="671" spans="1:56" x14ac:dyDescent="0.2">
      <c r="A671" s="56">
        <v>176585231</v>
      </c>
      <c r="B671" s="56" t="s">
        <v>1761</v>
      </c>
      <c r="C671" s="56" t="s">
        <v>2623</v>
      </c>
      <c r="D671" s="56" t="s">
        <v>1136</v>
      </c>
      <c r="E671" s="56" t="s">
        <v>1044</v>
      </c>
      <c r="F671" s="56">
        <v>25</v>
      </c>
      <c r="G671" s="56"/>
      <c r="H671" s="56">
        <v>4441</v>
      </c>
      <c r="I671" s="56">
        <v>6</v>
      </c>
      <c r="J671" s="56" t="s">
        <v>1045</v>
      </c>
      <c r="K671" s="56" t="s">
        <v>1091</v>
      </c>
      <c r="L671" s="121">
        <v>46266</v>
      </c>
      <c r="M671" s="122">
        <v>0.875</v>
      </c>
      <c r="N671" s="122">
        <v>0.88472222222222219</v>
      </c>
      <c r="O671" s="56" t="s">
        <v>1047</v>
      </c>
      <c r="P671" s="121">
        <v>46266</v>
      </c>
      <c r="Q671" s="122">
        <v>0.93402777777777779</v>
      </c>
      <c r="R671" s="122">
        <v>0.93611111111111112</v>
      </c>
      <c r="S671" s="56" t="s">
        <v>1047</v>
      </c>
      <c r="T671" s="56">
        <v>1</v>
      </c>
      <c r="U671" s="56">
        <v>24</v>
      </c>
      <c r="V671" s="56">
        <v>19.29</v>
      </c>
      <c r="W671" s="56">
        <v>18.54</v>
      </c>
      <c r="X671" s="56" t="s">
        <v>2624</v>
      </c>
      <c r="Y671" s="56" t="s">
        <v>2624</v>
      </c>
      <c r="Z671" s="56" t="s">
        <v>2624</v>
      </c>
      <c r="AA671" s="56" t="s">
        <v>72</v>
      </c>
      <c r="AB671" s="56">
        <v>14108222</v>
      </c>
      <c r="AC671" s="56" t="s">
        <v>72</v>
      </c>
      <c r="AD671" s="56">
        <v>14108222</v>
      </c>
      <c r="AE671" s="56" t="s">
        <v>2626</v>
      </c>
      <c r="AF671" s="56" t="s">
        <v>2627</v>
      </c>
      <c r="AG671" s="56" t="s">
        <v>2627</v>
      </c>
      <c r="AH671" s="56">
        <v>36</v>
      </c>
      <c r="AI671" s="56" t="s">
        <v>2628</v>
      </c>
      <c r="AJ671" s="56" t="s">
        <v>2640</v>
      </c>
      <c r="AK671" s="56">
        <v>0</v>
      </c>
      <c r="AL671" s="56" t="s">
        <v>2630</v>
      </c>
      <c r="AM671" s="56" t="s">
        <v>2631</v>
      </c>
      <c r="AN671" s="56" t="s">
        <v>2632</v>
      </c>
      <c r="AO671" s="56" t="s">
        <v>2627</v>
      </c>
      <c r="AP671" s="56" t="s">
        <v>2624</v>
      </c>
      <c r="AQ671" s="123">
        <v>9.7222222222221877E-3</v>
      </c>
      <c r="AR671" s="122">
        <v>2.0833333333333259E-3</v>
      </c>
      <c r="AS671" s="56" t="s">
        <v>1048</v>
      </c>
      <c r="AT671" s="56" t="s">
        <v>1049</v>
      </c>
      <c r="AU671" s="56" t="s">
        <v>1050</v>
      </c>
      <c r="AV671" s="56">
        <v>36</v>
      </c>
      <c r="AW671" s="56" t="s">
        <v>1051</v>
      </c>
      <c r="AX671" s="56" t="s">
        <v>1137</v>
      </c>
      <c r="AY671" s="56" t="s">
        <v>1093</v>
      </c>
      <c r="AZ671" s="56" t="s">
        <v>1067</v>
      </c>
      <c r="BA671" s="56" t="s">
        <v>1138</v>
      </c>
      <c r="BB671" s="56" t="s">
        <v>1139</v>
      </c>
      <c r="BC671" s="56" t="s">
        <v>1157</v>
      </c>
      <c r="BD671" s="56" t="s">
        <v>1762</v>
      </c>
    </row>
    <row r="672" spans="1:56" x14ac:dyDescent="0.2">
      <c r="A672" s="56">
        <v>176585425</v>
      </c>
      <c r="B672" s="56" t="s">
        <v>3518</v>
      </c>
      <c r="C672" s="56" t="s">
        <v>2623</v>
      </c>
      <c r="D672" s="56" t="s">
        <v>1278</v>
      </c>
      <c r="E672" s="56" t="s">
        <v>1044</v>
      </c>
      <c r="F672" s="56">
        <v>82</v>
      </c>
      <c r="G672" s="56"/>
      <c r="H672" s="56">
        <v>13537</v>
      </c>
      <c r="I672" s="56">
        <v>6</v>
      </c>
      <c r="J672" s="56" t="s">
        <v>1045</v>
      </c>
      <c r="K672" s="56" t="s">
        <v>1079</v>
      </c>
      <c r="L672" s="121">
        <v>46266</v>
      </c>
      <c r="M672" s="122">
        <v>0.875</v>
      </c>
      <c r="N672" s="122">
        <v>0.87916666666666665</v>
      </c>
      <c r="O672" s="56" t="s">
        <v>1047</v>
      </c>
      <c r="P672" s="121">
        <v>46266</v>
      </c>
      <c r="Q672" s="122">
        <v>0.93402777777777779</v>
      </c>
      <c r="R672" s="122">
        <v>0.92228009259259258</v>
      </c>
      <c r="S672" s="56" t="s">
        <v>1047</v>
      </c>
      <c r="T672" s="56">
        <v>1</v>
      </c>
      <c r="U672" s="56">
        <v>32</v>
      </c>
      <c r="V672" s="56">
        <v>28.88</v>
      </c>
      <c r="W672" s="56">
        <v>27.75</v>
      </c>
      <c r="X672" s="56" t="s">
        <v>2624</v>
      </c>
      <c r="Y672" s="56" t="s">
        <v>2624</v>
      </c>
      <c r="Z672" s="56" t="s">
        <v>2624</v>
      </c>
      <c r="AA672" s="56" t="s">
        <v>171</v>
      </c>
      <c r="AB672" s="56">
        <v>14116855</v>
      </c>
      <c r="AC672" s="56" t="s">
        <v>171</v>
      </c>
      <c r="AD672" s="56">
        <v>14116855</v>
      </c>
      <c r="AE672" s="56" t="s">
        <v>2626</v>
      </c>
      <c r="AF672" s="56" t="s">
        <v>2627</v>
      </c>
      <c r="AG672" s="56" t="s">
        <v>2627</v>
      </c>
      <c r="AH672" s="56">
        <v>36</v>
      </c>
      <c r="AI672" s="56" t="s">
        <v>2628</v>
      </c>
      <c r="AJ672" s="56" t="s">
        <v>2629</v>
      </c>
      <c r="AK672" s="56">
        <v>0</v>
      </c>
      <c r="AL672" s="56" t="s">
        <v>2630</v>
      </c>
      <c r="AM672" s="56" t="s">
        <v>2631</v>
      </c>
      <c r="AN672" s="56" t="s">
        <v>2632</v>
      </c>
      <c r="AO672" s="56" t="s">
        <v>2627</v>
      </c>
      <c r="AP672" s="56">
        <v>10</v>
      </c>
      <c r="AQ672" s="123">
        <v>4.1666666666666519E-3</v>
      </c>
      <c r="AR672" s="122">
        <v>-1.1747685185185208E-2</v>
      </c>
      <c r="AS672" s="56" t="s">
        <v>1048</v>
      </c>
      <c r="AT672" s="56" t="s">
        <v>1049</v>
      </c>
      <c r="AU672" s="56" t="s">
        <v>1050</v>
      </c>
      <c r="AV672" s="56">
        <v>36</v>
      </c>
      <c r="AW672" s="56" t="s">
        <v>1051</v>
      </c>
      <c r="AX672" s="56" t="s">
        <v>1279</v>
      </c>
      <c r="AY672" s="56" t="s">
        <v>1081</v>
      </c>
      <c r="AZ672" s="56" t="s">
        <v>1067</v>
      </c>
      <c r="BA672" s="56" t="s">
        <v>1280</v>
      </c>
      <c r="BB672" s="56" t="s">
        <v>1281</v>
      </c>
      <c r="BC672" s="56" t="s">
        <v>1157</v>
      </c>
      <c r="BD672" s="56" t="s">
        <v>3519</v>
      </c>
    </row>
    <row r="673" spans="1:56" x14ac:dyDescent="0.2">
      <c r="A673" s="56">
        <v>176592809</v>
      </c>
      <c r="B673" s="56" t="s">
        <v>1697</v>
      </c>
      <c r="C673" s="56" t="s">
        <v>2623</v>
      </c>
      <c r="D673" s="56" t="s">
        <v>1298</v>
      </c>
      <c r="E673" s="56" t="s">
        <v>1044</v>
      </c>
      <c r="F673" s="56">
        <v>204</v>
      </c>
      <c r="G673" s="56"/>
      <c r="H673" s="56">
        <v>7915</v>
      </c>
      <c r="I673" s="56">
        <v>6</v>
      </c>
      <c r="J673" s="56" t="s">
        <v>1045</v>
      </c>
      <c r="K673" s="56" t="s">
        <v>1079</v>
      </c>
      <c r="L673" s="121">
        <v>46266</v>
      </c>
      <c r="M673" s="122">
        <v>0.875</v>
      </c>
      <c r="N673" s="122">
        <v>0.87916666666666665</v>
      </c>
      <c r="O673" s="56" t="s">
        <v>1047</v>
      </c>
      <c r="P673" s="121">
        <v>46266</v>
      </c>
      <c r="Q673" s="122">
        <v>0.93402777777777779</v>
      </c>
      <c r="R673" s="122">
        <v>0.93194444444444446</v>
      </c>
      <c r="S673" s="56" t="s">
        <v>1047</v>
      </c>
      <c r="T673" s="56">
        <v>1</v>
      </c>
      <c r="U673" s="56">
        <v>37</v>
      </c>
      <c r="V673" s="56">
        <v>31.85</v>
      </c>
      <c r="W673" s="56">
        <v>33.880000000000003</v>
      </c>
      <c r="X673" s="56" t="s">
        <v>2624</v>
      </c>
      <c r="Y673" s="56" t="s">
        <v>2624</v>
      </c>
      <c r="Z673" s="56" t="s">
        <v>2624</v>
      </c>
      <c r="AA673" s="56" t="s">
        <v>243</v>
      </c>
      <c r="AB673" s="56">
        <v>14119324</v>
      </c>
      <c r="AC673" s="56" t="s">
        <v>243</v>
      </c>
      <c r="AD673" s="56">
        <v>14119324</v>
      </c>
      <c r="AE673" s="56" t="s">
        <v>2626</v>
      </c>
      <c r="AF673" s="56" t="s">
        <v>2627</v>
      </c>
      <c r="AG673" s="56" t="s">
        <v>2627</v>
      </c>
      <c r="AH673" s="56">
        <v>36</v>
      </c>
      <c r="AI673" s="56" t="s">
        <v>2628</v>
      </c>
      <c r="AJ673" s="56" t="s">
        <v>2629</v>
      </c>
      <c r="AK673" s="56">
        <v>0</v>
      </c>
      <c r="AL673" s="56" t="s">
        <v>2630</v>
      </c>
      <c r="AM673" s="56" t="s">
        <v>2631</v>
      </c>
      <c r="AN673" s="56" t="s">
        <v>2632</v>
      </c>
      <c r="AO673" s="56" t="s">
        <v>2627</v>
      </c>
      <c r="AP673" s="56" t="s">
        <v>2624</v>
      </c>
      <c r="AQ673" s="123">
        <v>4.1666666666666519E-3</v>
      </c>
      <c r="AR673" s="122">
        <v>-2.0833333333333259E-3</v>
      </c>
      <c r="AS673" s="56" t="s">
        <v>1048</v>
      </c>
      <c r="AT673" s="56" t="s">
        <v>1049</v>
      </c>
      <c r="AU673" s="56" t="s">
        <v>1050</v>
      </c>
      <c r="AV673" s="56">
        <v>36</v>
      </c>
      <c r="AW673" s="56" t="s">
        <v>1051</v>
      </c>
      <c r="AX673" s="56" t="s">
        <v>1299</v>
      </c>
      <c r="AY673" s="56" t="s">
        <v>1081</v>
      </c>
      <c r="AZ673" s="56" t="s">
        <v>1067</v>
      </c>
      <c r="BA673" s="56" t="s">
        <v>1300</v>
      </c>
      <c r="BB673" s="56" t="s">
        <v>1301</v>
      </c>
      <c r="BC673" s="56" t="s">
        <v>1157</v>
      </c>
      <c r="BD673" s="56" t="s">
        <v>1698</v>
      </c>
    </row>
    <row r="674" spans="1:56" x14ac:dyDescent="0.2">
      <c r="A674" s="56">
        <v>176596692</v>
      </c>
      <c r="B674" s="56" t="s">
        <v>2867</v>
      </c>
      <c r="C674" s="56" t="s">
        <v>2623</v>
      </c>
      <c r="D674" s="56" t="s">
        <v>1754</v>
      </c>
      <c r="E674" s="56" t="s">
        <v>1044</v>
      </c>
      <c r="F674" s="56">
        <v>143</v>
      </c>
      <c r="G674" s="56" t="s">
        <v>2693</v>
      </c>
      <c r="H674" s="56">
        <v>14708</v>
      </c>
      <c r="I674" s="56">
        <v>6</v>
      </c>
      <c r="J674" s="56" t="s">
        <v>1045</v>
      </c>
      <c r="K674" s="56" t="s">
        <v>1116</v>
      </c>
      <c r="L674" s="121">
        <v>46266</v>
      </c>
      <c r="M674" s="122">
        <v>0.87638888888888888</v>
      </c>
      <c r="N674" s="122">
        <v>0.88472222222222219</v>
      </c>
      <c r="O674" s="56" t="s">
        <v>1047</v>
      </c>
      <c r="P674" s="121">
        <v>46266</v>
      </c>
      <c r="Q674" s="122">
        <v>0.92708333333333337</v>
      </c>
      <c r="R674" s="122">
        <v>0.91521990740740744</v>
      </c>
      <c r="S674" s="56" t="s">
        <v>1047</v>
      </c>
      <c r="T674" s="56">
        <v>1</v>
      </c>
      <c r="U674" s="56">
        <v>21</v>
      </c>
      <c r="V674" s="56">
        <v>20.79</v>
      </c>
      <c r="W674" s="56">
        <v>20.87</v>
      </c>
      <c r="X674" s="56" t="s">
        <v>2624</v>
      </c>
      <c r="Y674" s="56" t="s">
        <v>2624</v>
      </c>
      <c r="Z674" s="56" t="s">
        <v>2624</v>
      </c>
      <c r="AA674" s="56" t="s">
        <v>382</v>
      </c>
      <c r="AB674" s="56">
        <v>14122072</v>
      </c>
      <c r="AC674" s="56" t="s">
        <v>382</v>
      </c>
      <c r="AD674" s="56">
        <v>14122072</v>
      </c>
      <c r="AE674" s="56" t="s">
        <v>2626</v>
      </c>
      <c r="AF674" s="56" t="s">
        <v>2627</v>
      </c>
      <c r="AG674" s="56" t="s">
        <v>2627</v>
      </c>
      <c r="AH674" s="56">
        <v>36</v>
      </c>
      <c r="AI674" s="56" t="s">
        <v>2628</v>
      </c>
      <c r="AJ674" s="56" t="s">
        <v>2629</v>
      </c>
      <c r="AK674" s="56">
        <v>0</v>
      </c>
      <c r="AL674" s="56" t="s">
        <v>2630</v>
      </c>
      <c r="AM674" s="56" t="s">
        <v>2631</v>
      </c>
      <c r="AN674" s="56" t="s">
        <v>2632</v>
      </c>
      <c r="AO674" s="56" t="s">
        <v>2627</v>
      </c>
      <c r="AP674" s="56">
        <v>10</v>
      </c>
      <c r="AQ674" s="123">
        <v>8.3333333333333037E-3</v>
      </c>
      <c r="AR674" s="122">
        <v>-1.186342592592593E-2</v>
      </c>
      <c r="AS674" s="56" t="s">
        <v>1048</v>
      </c>
      <c r="AT674" s="56" t="s">
        <v>1049</v>
      </c>
      <c r="AU674" s="56" t="s">
        <v>1050</v>
      </c>
      <c r="AV674" s="56">
        <v>36</v>
      </c>
      <c r="AW674" s="56" t="s">
        <v>1051</v>
      </c>
      <c r="AX674" s="56" t="s">
        <v>1755</v>
      </c>
      <c r="AY674" s="56" t="s">
        <v>1128</v>
      </c>
      <c r="AZ674" s="56" t="s">
        <v>1054</v>
      </c>
      <c r="BA674" s="56" t="s">
        <v>1756</v>
      </c>
      <c r="BB674" s="56" t="s">
        <v>1757</v>
      </c>
      <c r="BC674" s="56" t="s">
        <v>1157</v>
      </c>
      <c r="BD674" s="56" t="s">
        <v>2868</v>
      </c>
    </row>
    <row r="675" spans="1:56" x14ac:dyDescent="0.2">
      <c r="A675" s="56">
        <v>176597061</v>
      </c>
      <c r="B675" s="56" t="s">
        <v>1596</v>
      </c>
      <c r="C675" s="56" t="s">
        <v>2623</v>
      </c>
      <c r="D675" s="56" t="s">
        <v>1226</v>
      </c>
      <c r="E675" s="56" t="s">
        <v>1044</v>
      </c>
      <c r="F675" s="56">
        <v>173</v>
      </c>
      <c r="G675" s="56" t="s">
        <v>2670</v>
      </c>
      <c r="H675" s="56">
        <v>15319</v>
      </c>
      <c r="I675" s="56">
        <v>6</v>
      </c>
      <c r="J675" s="56" t="s">
        <v>1045</v>
      </c>
      <c r="K675" s="56" t="s">
        <v>1116</v>
      </c>
      <c r="L675" s="121">
        <v>46266</v>
      </c>
      <c r="M675" s="122">
        <v>0.87638888888888888</v>
      </c>
      <c r="N675" s="122">
        <v>0.88541666666666663</v>
      </c>
      <c r="O675" s="56" t="s">
        <v>1047</v>
      </c>
      <c r="P675" s="121">
        <v>46266</v>
      </c>
      <c r="Q675" s="122">
        <v>0.92708333333333337</v>
      </c>
      <c r="R675" s="122">
        <v>0.924224537037037</v>
      </c>
      <c r="S675" s="56" t="s">
        <v>1047</v>
      </c>
      <c r="T675" s="56">
        <v>1</v>
      </c>
      <c r="U675" s="56">
        <v>21</v>
      </c>
      <c r="V675" s="56">
        <v>13.77</v>
      </c>
      <c r="W675" s="56">
        <v>17.41</v>
      </c>
      <c r="X675" s="56" t="s">
        <v>2624</v>
      </c>
      <c r="Y675" s="56" t="s">
        <v>2624</v>
      </c>
      <c r="Z675" s="56" t="s">
        <v>2624</v>
      </c>
      <c r="AA675" s="56"/>
      <c r="AB675" s="56"/>
      <c r="AC675" s="56"/>
      <c r="AD675" s="56"/>
      <c r="AE675" s="56" t="s">
        <v>2626</v>
      </c>
      <c r="AF675" s="56" t="s">
        <v>2627</v>
      </c>
      <c r="AG675" s="56" t="s">
        <v>2627</v>
      </c>
      <c r="AH675" s="56">
        <v>36</v>
      </c>
      <c r="AI675" s="56" t="s">
        <v>2628</v>
      </c>
      <c r="AJ675" s="56" t="s">
        <v>2629</v>
      </c>
      <c r="AK675" s="56">
        <v>0</v>
      </c>
      <c r="AL675" s="56" t="s">
        <v>2630</v>
      </c>
      <c r="AM675" s="56" t="s">
        <v>2631</v>
      </c>
      <c r="AN675" s="56" t="s">
        <v>2632</v>
      </c>
      <c r="AO675" s="56" t="s">
        <v>2627</v>
      </c>
      <c r="AP675" s="56" t="s">
        <v>2624</v>
      </c>
      <c r="AQ675" s="123">
        <v>9.0277777777777457E-3</v>
      </c>
      <c r="AR675" s="122">
        <v>-2.8587962962963731E-3</v>
      </c>
      <c r="AS675" s="56" t="s">
        <v>1048</v>
      </c>
      <c r="AT675" s="56" t="s">
        <v>1049</v>
      </c>
      <c r="AU675" s="56" t="s">
        <v>1050</v>
      </c>
      <c r="AV675" s="56">
        <v>36</v>
      </c>
      <c r="AW675" s="56" t="s">
        <v>1051</v>
      </c>
      <c r="AX675" s="56" t="s">
        <v>1227</v>
      </c>
      <c r="AY675" s="56" t="s">
        <v>1118</v>
      </c>
      <c r="AZ675" s="56" t="s">
        <v>1054</v>
      </c>
      <c r="BA675" s="56" t="s">
        <v>1228</v>
      </c>
      <c r="BB675" s="56" t="s">
        <v>1229</v>
      </c>
      <c r="BC675" s="56" t="s">
        <v>1157</v>
      </c>
      <c r="BD675" s="56" t="s">
        <v>1597</v>
      </c>
    </row>
    <row r="676" spans="1:56" x14ac:dyDescent="0.2">
      <c r="A676" s="56">
        <v>176585497</v>
      </c>
      <c r="B676" s="56" t="s">
        <v>3679</v>
      </c>
      <c r="C676" s="56" t="s">
        <v>2623</v>
      </c>
      <c r="D676" s="56" t="s">
        <v>1283</v>
      </c>
      <c r="E676" s="56" t="s">
        <v>1044</v>
      </c>
      <c r="F676" s="56">
        <v>109</v>
      </c>
      <c r="G676" s="56"/>
      <c r="H676" s="56">
        <v>5672</v>
      </c>
      <c r="I676" s="56">
        <v>6</v>
      </c>
      <c r="J676" s="56" t="s">
        <v>1045</v>
      </c>
      <c r="K676" s="56" t="s">
        <v>1079</v>
      </c>
      <c r="L676" s="121">
        <v>46266</v>
      </c>
      <c r="M676" s="122">
        <v>0.87847222222222221</v>
      </c>
      <c r="N676" s="122">
        <v>0.88263888888888886</v>
      </c>
      <c r="O676" s="56" t="s">
        <v>1047</v>
      </c>
      <c r="P676" s="121">
        <v>46266</v>
      </c>
      <c r="Q676" s="122">
        <v>0.93402777777777779</v>
      </c>
      <c r="R676" s="122">
        <v>0.92222222222222228</v>
      </c>
      <c r="S676" s="56" t="s">
        <v>1047</v>
      </c>
      <c r="T676" s="56">
        <v>1</v>
      </c>
      <c r="U676" s="56">
        <v>42</v>
      </c>
      <c r="V676" s="56">
        <v>25.28</v>
      </c>
      <c r="W676" s="56">
        <v>25.14</v>
      </c>
      <c r="X676" s="56" t="s">
        <v>2624</v>
      </c>
      <c r="Y676" s="56" t="s">
        <v>2624</v>
      </c>
      <c r="Z676" s="56" t="s">
        <v>2624</v>
      </c>
      <c r="AA676" s="56" t="s">
        <v>1003</v>
      </c>
      <c r="AB676" s="56">
        <v>14124002</v>
      </c>
      <c r="AC676" s="56" t="s">
        <v>1003</v>
      </c>
      <c r="AD676" s="56">
        <v>14124002</v>
      </c>
      <c r="AE676" s="56" t="s">
        <v>2626</v>
      </c>
      <c r="AF676" s="56" t="s">
        <v>2627</v>
      </c>
      <c r="AG676" s="56" t="s">
        <v>2627</v>
      </c>
      <c r="AH676" s="56">
        <v>36</v>
      </c>
      <c r="AI676" s="56" t="s">
        <v>2628</v>
      </c>
      <c r="AJ676" s="56" t="s">
        <v>2629</v>
      </c>
      <c r="AK676" s="56">
        <v>0</v>
      </c>
      <c r="AL676" s="56" t="s">
        <v>2630</v>
      </c>
      <c r="AM676" s="56" t="s">
        <v>2631</v>
      </c>
      <c r="AN676" s="56" t="s">
        <v>2632</v>
      </c>
      <c r="AO676" s="56" t="s">
        <v>2627</v>
      </c>
      <c r="AP676" s="56">
        <v>49</v>
      </c>
      <c r="AQ676" s="123">
        <v>4.1666666666666519E-3</v>
      </c>
      <c r="AR676" s="122">
        <v>-1.1805555555555514E-2</v>
      </c>
      <c r="AS676" s="56" t="s">
        <v>1048</v>
      </c>
      <c r="AT676" s="56" t="s">
        <v>1049</v>
      </c>
      <c r="AU676" s="56" t="s">
        <v>1050</v>
      </c>
      <c r="AV676" s="56">
        <v>36</v>
      </c>
      <c r="AW676" s="56" t="s">
        <v>1051</v>
      </c>
      <c r="AX676" s="56" t="s">
        <v>1284</v>
      </c>
      <c r="AY676" s="56" t="s">
        <v>1081</v>
      </c>
      <c r="AZ676" s="56" t="s">
        <v>1067</v>
      </c>
      <c r="BA676" s="56" t="s">
        <v>1285</v>
      </c>
      <c r="BB676" s="56" t="s">
        <v>1286</v>
      </c>
      <c r="BC676" s="56" t="s">
        <v>1157</v>
      </c>
      <c r="BD676" s="56" t="s">
        <v>3680</v>
      </c>
    </row>
    <row r="677" spans="1:56" x14ac:dyDescent="0.2">
      <c r="A677" s="56">
        <v>176585578</v>
      </c>
      <c r="B677" s="56" t="s">
        <v>2203</v>
      </c>
      <c r="C677" s="56" t="s">
        <v>2623</v>
      </c>
      <c r="D677" s="56" t="s">
        <v>2204</v>
      </c>
      <c r="E677" s="56" t="s">
        <v>1044</v>
      </c>
      <c r="F677" s="56">
        <v>109</v>
      </c>
      <c r="G677" s="56"/>
      <c r="H677" s="56">
        <v>6473</v>
      </c>
      <c r="I677" s="56">
        <v>6</v>
      </c>
      <c r="J677" s="56" t="s">
        <v>1045</v>
      </c>
      <c r="K677" s="56" t="s">
        <v>1296</v>
      </c>
      <c r="L677" s="121">
        <v>46266</v>
      </c>
      <c r="M677" s="122">
        <v>0.87847222222222221</v>
      </c>
      <c r="N677" s="122">
        <v>0.88194444444444442</v>
      </c>
      <c r="O677" s="56" t="s">
        <v>1047</v>
      </c>
      <c r="P677" s="121">
        <v>46266</v>
      </c>
      <c r="Q677" s="122">
        <v>0.93402777777777779</v>
      </c>
      <c r="R677" s="122">
        <v>0.93121527777777779</v>
      </c>
      <c r="S677" s="56" t="s">
        <v>1047</v>
      </c>
      <c r="T677" s="56">
        <v>1</v>
      </c>
      <c r="U677" s="56">
        <v>45</v>
      </c>
      <c r="V677" s="56">
        <v>43.12</v>
      </c>
      <c r="W677" s="56">
        <v>43.23</v>
      </c>
      <c r="X677" s="56" t="s">
        <v>2624</v>
      </c>
      <c r="Y677" s="56" t="s">
        <v>2624</v>
      </c>
      <c r="Z677" s="56" t="s">
        <v>2624</v>
      </c>
      <c r="AA677" s="56" t="s">
        <v>1598</v>
      </c>
      <c r="AB677" s="56">
        <v>14104932</v>
      </c>
      <c r="AC677" s="56" t="s">
        <v>1598</v>
      </c>
      <c r="AD677" s="56">
        <v>14104932</v>
      </c>
      <c r="AE677" s="56" t="s">
        <v>2626</v>
      </c>
      <c r="AF677" s="56" t="s">
        <v>2627</v>
      </c>
      <c r="AG677" s="56" t="s">
        <v>2627</v>
      </c>
      <c r="AH677" s="56">
        <v>36</v>
      </c>
      <c r="AI677" s="56" t="s">
        <v>2628</v>
      </c>
      <c r="AJ677" s="56" t="s">
        <v>2629</v>
      </c>
      <c r="AK677" s="56">
        <v>0</v>
      </c>
      <c r="AL677" s="56" t="s">
        <v>2630</v>
      </c>
      <c r="AM677" s="56" t="s">
        <v>2631</v>
      </c>
      <c r="AN677" s="56" t="s">
        <v>2632</v>
      </c>
      <c r="AO677" s="56" t="s">
        <v>2627</v>
      </c>
      <c r="AP677" s="56" t="s">
        <v>2624</v>
      </c>
      <c r="AQ677" s="123">
        <v>3.4722222222222099E-3</v>
      </c>
      <c r="AR677" s="122">
        <v>-2.8124999999999956E-3</v>
      </c>
      <c r="AS677" s="56" t="s">
        <v>1048</v>
      </c>
      <c r="AT677" s="56" t="s">
        <v>1049</v>
      </c>
      <c r="AU677" s="56" t="s">
        <v>1050</v>
      </c>
      <c r="AV677" s="56">
        <v>36</v>
      </c>
      <c r="AW677" s="56" t="s">
        <v>1051</v>
      </c>
      <c r="AX677" s="56" t="s">
        <v>2205</v>
      </c>
      <c r="AY677" s="56" t="s">
        <v>1297</v>
      </c>
      <c r="AZ677" s="56" t="s">
        <v>1067</v>
      </c>
      <c r="BA677" s="56" t="s">
        <v>2206</v>
      </c>
      <c r="BB677" s="56" t="s">
        <v>2207</v>
      </c>
      <c r="BC677" s="56" t="s">
        <v>1157</v>
      </c>
      <c r="BD677" s="56" t="s">
        <v>2208</v>
      </c>
    </row>
    <row r="678" spans="1:56" x14ac:dyDescent="0.2">
      <c r="A678" s="56">
        <v>176596278</v>
      </c>
      <c r="B678" s="56" t="s">
        <v>3520</v>
      </c>
      <c r="C678" s="56" t="s">
        <v>2623</v>
      </c>
      <c r="D678" s="56" t="s">
        <v>1224</v>
      </c>
      <c r="E678" s="56" t="s">
        <v>1044</v>
      </c>
      <c r="F678" s="56">
        <v>227</v>
      </c>
      <c r="G678" s="56"/>
      <c r="H678" s="56">
        <v>16766</v>
      </c>
      <c r="I678" s="56">
        <v>6</v>
      </c>
      <c r="J678" s="56" t="s">
        <v>1045</v>
      </c>
      <c r="K678" s="56" t="s">
        <v>1079</v>
      </c>
      <c r="L678" s="121">
        <v>46266</v>
      </c>
      <c r="M678" s="122">
        <v>0.87847222222222221</v>
      </c>
      <c r="N678" s="122">
        <v>0.88194444444444442</v>
      </c>
      <c r="O678" s="56" t="s">
        <v>1047</v>
      </c>
      <c r="P678" s="121">
        <v>46266</v>
      </c>
      <c r="Q678" s="122">
        <v>0.93402777777777779</v>
      </c>
      <c r="R678" s="122">
        <v>0.92986111111111114</v>
      </c>
      <c r="S678" s="56" t="s">
        <v>1047</v>
      </c>
      <c r="T678" s="56">
        <v>1</v>
      </c>
      <c r="U678" s="56">
        <v>30</v>
      </c>
      <c r="V678" s="56">
        <v>24.61</v>
      </c>
      <c r="W678" s="56">
        <v>27.65</v>
      </c>
      <c r="X678" s="56" t="s">
        <v>2624</v>
      </c>
      <c r="Y678" s="56" t="s">
        <v>2624</v>
      </c>
      <c r="Z678" s="56" t="s">
        <v>2624</v>
      </c>
      <c r="AA678" s="56" t="s">
        <v>263</v>
      </c>
      <c r="AB678" s="56">
        <v>14119825</v>
      </c>
      <c r="AC678" s="56" t="s">
        <v>263</v>
      </c>
      <c r="AD678" s="56">
        <v>14119825</v>
      </c>
      <c r="AE678" s="56" t="s">
        <v>2626</v>
      </c>
      <c r="AF678" s="56" t="s">
        <v>2627</v>
      </c>
      <c r="AG678" s="56" t="s">
        <v>2627</v>
      </c>
      <c r="AH678" s="56">
        <v>36</v>
      </c>
      <c r="AI678" s="56" t="s">
        <v>2628</v>
      </c>
      <c r="AJ678" s="56" t="s">
        <v>2629</v>
      </c>
      <c r="AK678" s="56">
        <v>0</v>
      </c>
      <c r="AL678" s="56" t="s">
        <v>2630</v>
      </c>
      <c r="AM678" s="56" t="s">
        <v>2631</v>
      </c>
      <c r="AN678" s="56" t="s">
        <v>2632</v>
      </c>
      <c r="AO678" s="56" t="s">
        <v>2627</v>
      </c>
      <c r="AP678" s="56" t="s">
        <v>2624</v>
      </c>
      <c r="AQ678" s="123">
        <v>3.4722222222222099E-3</v>
      </c>
      <c r="AR678" s="122">
        <v>-4.1666666666666519E-3</v>
      </c>
      <c r="AS678" s="56" t="s">
        <v>1048</v>
      </c>
      <c r="AT678" s="56" t="s">
        <v>1049</v>
      </c>
      <c r="AU678" s="56" t="s">
        <v>1050</v>
      </c>
      <c r="AV678" s="56">
        <v>36</v>
      </c>
      <c r="AW678" s="56" t="s">
        <v>1051</v>
      </c>
      <c r="AX678" s="56" t="s">
        <v>2664</v>
      </c>
      <c r="AY678" s="56" t="s">
        <v>1081</v>
      </c>
      <c r="AZ678" s="56" t="s">
        <v>1067</v>
      </c>
      <c r="BA678" s="56" t="s">
        <v>2665</v>
      </c>
      <c r="BB678" s="56" t="s">
        <v>2666</v>
      </c>
      <c r="BC678" s="56" t="s">
        <v>1157</v>
      </c>
      <c r="BD678" s="56" t="s">
        <v>3521</v>
      </c>
    </row>
    <row r="679" spans="1:56" x14ac:dyDescent="0.2">
      <c r="A679" s="56">
        <v>176598254</v>
      </c>
      <c r="B679" s="56" t="s">
        <v>1599</v>
      </c>
      <c r="C679" s="56" t="s">
        <v>2623</v>
      </c>
      <c r="D679" s="56" t="s">
        <v>1600</v>
      </c>
      <c r="E679" s="56" t="s">
        <v>1044</v>
      </c>
      <c r="F679" s="56">
        <v>50</v>
      </c>
      <c r="G679" s="56"/>
      <c r="H679" s="56">
        <v>12897</v>
      </c>
      <c r="I679" s="56">
        <v>6</v>
      </c>
      <c r="J679" s="56" t="s">
        <v>1045</v>
      </c>
      <c r="K679" s="56" t="s">
        <v>1125</v>
      </c>
      <c r="L679" s="121">
        <v>46266</v>
      </c>
      <c r="M679" s="122">
        <v>0.87847222222222221</v>
      </c>
      <c r="N679" s="122">
        <v>0.88472222222222219</v>
      </c>
      <c r="O679" s="56" t="s">
        <v>1047</v>
      </c>
      <c r="P679" s="121">
        <v>46266</v>
      </c>
      <c r="Q679" s="122">
        <v>0.95833333333333337</v>
      </c>
      <c r="R679" s="122">
        <v>0.97083333333333333</v>
      </c>
      <c r="S679" s="56" t="s">
        <v>1047</v>
      </c>
      <c r="T679" s="56">
        <v>1</v>
      </c>
      <c r="U679" s="56">
        <v>60</v>
      </c>
      <c r="V679" s="56">
        <v>55.78</v>
      </c>
      <c r="W679" s="56">
        <v>54.97</v>
      </c>
      <c r="X679" s="56" t="s">
        <v>2624</v>
      </c>
      <c r="Y679" s="56" t="s">
        <v>2624</v>
      </c>
      <c r="Z679" s="56" t="s">
        <v>2624</v>
      </c>
      <c r="AA679" s="56" t="s">
        <v>1966</v>
      </c>
      <c r="AB679" s="56">
        <v>14124164</v>
      </c>
      <c r="AC679" s="56" t="s">
        <v>1966</v>
      </c>
      <c r="AD679" s="56">
        <v>14124164</v>
      </c>
      <c r="AE679" s="56" t="s">
        <v>2626</v>
      </c>
      <c r="AF679" s="56" t="s">
        <v>2627</v>
      </c>
      <c r="AG679" s="56" t="s">
        <v>2627</v>
      </c>
      <c r="AH679" s="56">
        <v>36</v>
      </c>
      <c r="AI679" s="56" t="s">
        <v>2628</v>
      </c>
      <c r="AJ679" s="56" t="s">
        <v>2640</v>
      </c>
      <c r="AK679" s="56">
        <v>2760</v>
      </c>
      <c r="AL679" s="56">
        <v>0</v>
      </c>
      <c r="AM679" s="56" t="s">
        <v>2694</v>
      </c>
      <c r="AN679" s="56" t="s">
        <v>2702</v>
      </c>
      <c r="AO679" s="56" t="s">
        <v>2627</v>
      </c>
      <c r="AP679" s="56" t="s">
        <v>2624</v>
      </c>
      <c r="AQ679" s="123">
        <v>6.2499999999999778E-3</v>
      </c>
      <c r="AR679" s="122">
        <v>1.2499999999999956E-2</v>
      </c>
      <c r="AS679" s="56" t="s">
        <v>1048</v>
      </c>
      <c r="AT679" s="56" t="s">
        <v>1059</v>
      </c>
      <c r="AU679" s="56" t="s">
        <v>1060</v>
      </c>
      <c r="AV679" s="56">
        <v>36</v>
      </c>
      <c r="AW679" s="56" t="s">
        <v>1051</v>
      </c>
      <c r="AX679" s="56" t="s">
        <v>1601</v>
      </c>
      <c r="AY679" s="56" t="s">
        <v>1127</v>
      </c>
      <c r="AZ679" s="56" t="s">
        <v>1054</v>
      </c>
      <c r="BA679" s="56" t="s">
        <v>1602</v>
      </c>
      <c r="BB679" s="56" t="s">
        <v>1603</v>
      </c>
      <c r="BC679" s="56" t="s">
        <v>1157</v>
      </c>
      <c r="BD679" s="56" t="s">
        <v>1604</v>
      </c>
    </row>
    <row r="680" spans="1:56" x14ac:dyDescent="0.2">
      <c r="A680" s="56">
        <v>176592896</v>
      </c>
      <c r="B680" s="56" t="s">
        <v>2229</v>
      </c>
      <c r="C680" s="56" t="s">
        <v>2623</v>
      </c>
      <c r="D680" s="56" t="s">
        <v>2230</v>
      </c>
      <c r="E680" s="56" t="s">
        <v>1044</v>
      </c>
      <c r="F680" s="56">
        <v>59</v>
      </c>
      <c r="G680" s="56"/>
      <c r="H680" s="56">
        <v>5437</v>
      </c>
      <c r="I680" s="56">
        <v>6</v>
      </c>
      <c r="J680" s="56" t="s">
        <v>1045</v>
      </c>
      <c r="K680" s="56" t="s">
        <v>1091</v>
      </c>
      <c r="L680" s="121">
        <v>46266</v>
      </c>
      <c r="M680" s="122">
        <v>0.88055555555555554</v>
      </c>
      <c r="N680" s="122">
        <v>0.88472222222222219</v>
      </c>
      <c r="O680" s="56" t="s">
        <v>1047</v>
      </c>
      <c r="P680" s="121">
        <v>46266</v>
      </c>
      <c r="Q680" s="122">
        <v>0.93402777777777779</v>
      </c>
      <c r="R680" s="122">
        <v>0.93263888888888891</v>
      </c>
      <c r="S680" s="56" t="s">
        <v>1047</v>
      </c>
      <c r="T680" s="56">
        <v>1</v>
      </c>
      <c r="U680" s="56">
        <v>27</v>
      </c>
      <c r="V680" s="56">
        <v>22.15</v>
      </c>
      <c r="W680" s="56">
        <v>21.92</v>
      </c>
      <c r="X680" s="56" t="s">
        <v>2624</v>
      </c>
      <c r="Y680" s="56" t="s">
        <v>2624</v>
      </c>
      <c r="Z680" s="56" t="s">
        <v>2624</v>
      </c>
      <c r="AA680" s="56" t="s">
        <v>407</v>
      </c>
      <c r="AB680" s="56">
        <v>14122263</v>
      </c>
      <c r="AC680" s="56" t="s">
        <v>407</v>
      </c>
      <c r="AD680" s="56">
        <v>14122263</v>
      </c>
      <c r="AE680" s="56" t="s">
        <v>2626</v>
      </c>
      <c r="AF680" s="56" t="s">
        <v>2627</v>
      </c>
      <c r="AG680" s="56" t="s">
        <v>2627</v>
      </c>
      <c r="AH680" s="56">
        <v>36</v>
      </c>
      <c r="AI680" s="56" t="s">
        <v>2628</v>
      </c>
      <c r="AJ680" s="56" t="s">
        <v>2629</v>
      </c>
      <c r="AK680" s="56">
        <v>0</v>
      </c>
      <c r="AL680" s="56" t="s">
        <v>2630</v>
      </c>
      <c r="AM680" s="56" t="s">
        <v>2631</v>
      </c>
      <c r="AN680" s="56" t="s">
        <v>2632</v>
      </c>
      <c r="AO680" s="56" t="s">
        <v>2627</v>
      </c>
      <c r="AP680" s="56" t="s">
        <v>2624</v>
      </c>
      <c r="AQ680" s="123">
        <v>4.1666666666666519E-3</v>
      </c>
      <c r="AR680" s="122">
        <v>-1.388888888888884E-3</v>
      </c>
      <c r="AS680" s="56" t="s">
        <v>1048</v>
      </c>
      <c r="AT680" s="56" t="s">
        <v>1049</v>
      </c>
      <c r="AU680" s="56" t="s">
        <v>1050</v>
      </c>
      <c r="AV680" s="56">
        <v>36</v>
      </c>
      <c r="AW680" s="56" t="s">
        <v>1051</v>
      </c>
      <c r="AX680" s="56" t="s">
        <v>2231</v>
      </c>
      <c r="AY680" s="56" t="s">
        <v>1093</v>
      </c>
      <c r="AZ680" s="56" t="s">
        <v>1067</v>
      </c>
      <c r="BA680" s="56" t="s">
        <v>2232</v>
      </c>
      <c r="BB680" s="56" t="s">
        <v>2233</v>
      </c>
      <c r="BC680" s="56" t="s">
        <v>1157</v>
      </c>
      <c r="BD680" s="56" t="s">
        <v>2234</v>
      </c>
    </row>
    <row r="681" spans="1:56" x14ac:dyDescent="0.2">
      <c r="A681" s="56">
        <v>176599156</v>
      </c>
      <c r="B681" s="56" t="s">
        <v>2869</v>
      </c>
      <c r="C681" s="56" t="s">
        <v>2623</v>
      </c>
      <c r="D681" s="56" t="s">
        <v>2181</v>
      </c>
      <c r="E681" s="56" t="s">
        <v>1044</v>
      </c>
      <c r="F681" s="56">
        <v>254</v>
      </c>
      <c r="G681" s="56" t="s">
        <v>2693</v>
      </c>
      <c r="H681" s="56">
        <v>13850</v>
      </c>
      <c r="I681" s="56">
        <v>6</v>
      </c>
      <c r="J681" s="56" t="s">
        <v>1045</v>
      </c>
      <c r="K681" s="56" t="s">
        <v>1116</v>
      </c>
      <c r="L681" s="121">
        <v>46266</v>
      </c>
      <c r="M681" s="122">
        <v>0.88124999999999998</v>
      </c>
      <c r="N681" s="122">
        <v>0.88541666666666663</v>
      </c>
      <c r="O681" s="56" t="s">
        <v>1047</v>
      </c>
      <c r="P681" s="121">
        <v>46266</v>
      </c>
      <c r="Q681" s="122">
        <v>0.92708333333333337</v>
      </c>
      <c r="R681" s="122">
        <v>0.91874999999999996</v>
      </c>
      <c r="S681" s="56" t="s">
        <v>1047</v>
      </c>
      <c r="T681" s="56">
        <v>1</v>
      </c>
      <c r="U681" s="56">
        <v>47</v>
      </c>
      <c r="V681" s="56">
        <v>42.59</v>
      </c>
      <c r="W681" s="56">
        <v>41.75</v>
      </c>
      <c r="X681" s="56">
        <v>67.540000000000006</v>
      </c>
      <c r="Y681" s="56">
        <v>23.25</v>
      </c>
      <c r="Z681" s="56">
        <v>2.54</v>
      </c>
      <c r="AA681" s="56" t="s">
        <v>907</v>
      </c>
      <c r="AB681" s="56">
        <v>14123649</v>
      </c>
      <c r="AC681" s="56" t="s">
        <v>907</v>
      </c>
      <c r="AD681" s="56">
        <v>14123649</v>
      </c>
      <c r="AE681" s="56" t="s">
        <v>2626</v>
      </c>
      <c r="AF681" s="56" t="s">
        <v>2627</v>
      </c>
      <c r="AG681" s="56" t="s">
        <v>2627</v>
      </c>
      <c r="AH681" s="56">
        <v>36</v>
      </c>
      <c r="AI681" s="56" t="s">
        <v>2628</v>
      </c>
      <c r="AJ681" s="56" t="s">
        <v>2629</v>
      </c>
      <c r="AK681" s="56">
        <v>0</v>
      </c>
      <c r="AL681" s="56" t="s">
        <v>2630</v>
      </c>
      <c r="AM681" s="56" t="s">
        <v>2631</v>
      </c>
      <c r="AN681" s="56" t="s">
        <v>2632</v>
      </c>
      <c r="AO681" s="56" t="s">
        <v>2627</v>
      </c>
      <c r="AP681" s="56" t="s">
        <v>2624</v>
      </c>
      <c r="AQ681" s="123">
        <v>4.1666666666666519E-3</v>
      </c>
      <c r="AR681" s="122">
        <v>-8.3333333333334147E-3</v>
      </c>
      <c r="AS681" s="56" t="s">
        <v>1048</v>
      </c>
      <c r="AT681" s="56" t="s">
        <v>1049</v>
      </c>
      <c r="AU681" s="56" t="s">
        <v>1050</v>
      </c>
      <c r="AV681" s="56">
        <v>36</v>
      </c>
      <c r="AW681" s="56" t="s">
        <v>1051</v>
      </c>
      <c r="AX681" s="56" t="s">
        <v>2182</v>
      </c>
      <c r="AY681" s="56" t="s">
        <v>1128</v>
      </c>
      <c r="AZ681" s="56" t="s">
        <v>1054</v>
      </c>
      <c r="BA681" s="56" t="s">
        <v>2183</v>
      </c>
      <c r="BB681" s="56" t="s">
        <v>2184</v>
      </c>
      <c r="BC681" s="56" t="s">
        <v>1157</v>
      </c>
      <c r="BD681" s="56" t="s">
        <v>2870</v>
      </c>
    </row>
    <row r="682" spans="1:56" x14ac:dyDescent="0.2">
      <c r="A682" s="56">
        <v>176591191</v>
      </c>
      <c r="B682" s="56" t="s">
        <v>3681</v>
      </c>
      <c r="C682" s="56" t="s">
        <v>2623</v>
      </c>
      <c r="D682" s="56" t="s">
        <v>3238</v>
      </c>
      <c r="E682" s="56" t="s">
        <v>1044</v>
      </c>
      <c r="F682" s="56">
        <v>65</v>
      </c>
      <c r="G682" s="56" t="s">
        <v>2693</v>
      </c>
      <c r="H682" s="56">
        <v>5524</v>
      </c>
      <c r="I682" s="56">
        <v>6</v>
      </c>
      <c r="J682" s="56" t="s">
        <v>1045</v>
      </c>
      <c r="K682" s="56" t="s">
        <v>1116</v>
      </c>
      <c r="L682" s="121">
        <v>46266</v>
      </c>
      <c r="M682" s="122">
        <v>0.88194444444444442</v>
      </c>
      <c r="N682" s="122">
        <v>0.88611111111111107</v>
      </c>
      <c r="O682" s="56" t="s">
        <v>1047</v>
      </c>
      <c r="P682" s="121">
        <v>46266</v>
      </c>
      <c r="Q682" s="122">
        <v>0.92708333333333337</v>
      </c>
      <c r="R682" s="122">
        <v>0.92168981481481482</v>
      </c>
      <c r="S682" s="56" t="s">
        <v>1047</v>
      </c>
      <c r="T682" s="56">
        <v>1</v>
      </c>
      <c r="U682" s="56">
        <v>21</v>
      </c>
      <c r="V682" s="56">
        <v>18.690000000000001</v>
      </c>
      <c r="W682" s="56">
        <v>18.57</v>
      </c>
      <c r="X682" s="56" t="s">
        <v>2624</v>
      </c>
      <c r="Y682" s="56" t="s">
        <v>2624</v>
      </c>
      <c r="Z682" s="56" t="s">
        <v>2624</v>
      </c>
      <c r="AA682" s="56"/>
      <c r="AB682" s="56"/>
      <c r="AC682" s="56"/>
      <c r="AD682" s="56"/>
      <c r="AE682" s="56" t="s">
        <v>2626</v>
      </c>
      <c r="AF682" s="56" t="s">
        <v>2627</v>
      </c>
      <c r="AG682" s="56" t="s">
        <v>2627</v>
      </c>
      <c r="AH682" s="56">
        <v>36</v>
      </c>
      <c r="AI682" s="56" t="s">
        <v>2628</v>
      </c>
      <c r="AJ682" s="56" t="s">
        <v>2629</v>
      </c>
      <c r="AK682" s="56">
        <v>0</v>
      </c>
      <c r="AL682" s="56" t="s">
        <v>2630</v>
      </c>
      <c r="AM682" s="56" t="s">
        <v>2631</v>
      </c>
      <c r="AN682" s="56" t="s">
        <v>2632</v>
      </c>
      <c r="AO682" s="56" t="s">
        <v>2627</v>
      </c>
      <c r="AP682" s="56" t="s">
        <v>2624</v>
      </c>
      <c r="AQ682" s="123">
        <v>4.1666666666666519E-3</v>
      </c>
      <c r="AR682" s="122">
        <v>-5.3935185185185475E-3</v>
      </c>
      <c r="AS682" s="56" t="s">
        <v>1048</v>
      </c>
      <c r="AT682" s="56" t="s">
        <v>1049</v>
      </c>
      <c r="AU682" s="56" t="s">
        <v>1050</v>
      </c>
      <c r="AV682" s="56">
        <v>36</v>
      </c>
      <c r="AW682" s="56" t="s">
        <v>1051</v>
      </c>
      <c r="AX682" s="56" t="s">
        <v>3591</v>
      </c>
      <c r="AY682" s="56" t="s">
        <v>1128</v>
      </c>
      <c r="AZ682" s="56" t="s">
        <v>1054</v>
      </c>
      <c r="BA682" s="56" t="s">
        <v>3592</v>
      </c>
      <c r="BB682" s="56" t="s">
        <v>3593</v>
      </c>
      <c r="BC682" s="56" t="s">
        <v>1157</v>
      </c>
      <c r="BD682" s="56" t="s">
        <v>3682</v>
      </c>
    </row>
    <row r="683" spans="1:56" x14ac:dyDescent="0.2">
      <c r="A683" s="56">
        <v>176595290</v>
      </c>
      <c r="B683" s="56" t="s">
        <v>1422</v>
      </c>
      <c r="C683" s="56" t="s">
        <v>2623</v>
      </c>
      <c r="D683" s="56" t="s">
        <v>1115</v>
      </c>
      <c r="E683" s="56" t="s">
        <v>1044</v>
      </c>
      <c r="F683" s="56">
        <v>98</v>
      </c>
      <c r="G683" s="56" t="s">
        <v>2670</v>
      </c>
      <c r="H683" s="56">
        <v>14692</v>
      </c>
      <c r="I683" s="56">
        <v>6</v>
      </c>
      <c r="J683" s="56" t="s">
        <v>1045</v>
      </c>
      <c r="K683" s="56" t="s">
        <v>1116</v>
      </c>
      <c r="L683" s="121">
        <v>46266</v>
      </c>
      <c r="M683" s="122">
        <v>0.88194444444444442</v>
      </c>
      <c r="N683" s="122">
        <v>0.89166666666666672</v>
      </c>
      <c r="O683" s="56" t="s">
        <v>1047</v>
      </c>
      <c r="P683" s="121">
        <v>46266</v>
      </c>
      <c r="Q683" s="122">
        <v>0.92708333333333337</v>
      </c>
      <c r="R683" s="122">
        <v>0.96550925925925923</v>
      </c>
      <c r="S683" s="56" t="s">
        <v>1047</v>
      </c>
      <c r="T683" s="56">
        <v>1</v>
      </c>
      <c r="U683" s="56">
        <v>31</v>
      </c>
      <c r="V683" s="56">
        <v>26.97</v>
      </c>
      <c r="W683" s="56">
        <v>32.89</v>
      </c>
      <c r="X683" s="56" t="s">
        <v>2624</v>
      </c>
      <c r="Y683" s="56" t="s">
        <v>2624</v>
      </c>
      <c r="Z683" s="56" t="s">
        <v>2624</v>
      </c>
      <c r="AA683" s="56" t="s">
        <v>958</v>
      </c>
      <c r="AB683" s="56">
        <v>14123725</v>
      </c>
      <c r="AC683" s="56" t="s">
        <v>958</v>
      </c>
      <c r="AD683" s="56">
        <v>14123725</v>
      </c>
      <c r="AE683" s="56" t="s">
        <v>2626</v>
      </c>
      <c r="AF683" s="56" t="s">
        <v>2627</v>
      </c>
      <c r="AG683" s="56" t="s">
        <v>2627</v>
      </c>
      <c r="AH683" s="56">
        <v>36</v>
      </c>
      <c r="AI683" s="56" t="s">
        <v>2628</v>
      </c>
      <c r="AJ683" s="56" t="s">
        <v>2640</v>
      </c>
      <c r="AK683" s="56">
        <v>0</v>
      </c>
      <c r="AL683" s="56" t="s">
        <v>2630</v>
      </c>
      <c r="AM683" s="56" t="s">
        <v>2631</v>
      </c>
      <c r="AN683" s="56" t="s">
        <v>2632</v>
      </c>
      <c r="AO683" s="56" t="s">
        <v>2627</v>
      </c>
      <c r="AP683" s="56" t="s">
        <v>2624</v>
      </c>
      <c r="AQ683" s="123">
        <v>9.7222222222222987E-3</v>
      </c>
      <c r="AR683" s="122">
        <v>3.8425925925925863E-2</v>
      </c>
      <c r="AS683" s="56" t="s">
        <v>1048</v>
      </c>
      <c r="AT683" s="56" t="s">
        <v>1059</v>
      </c>
      <c r="AU683" s="56" t="s">
        <v>1060</v>
      </c>
      <c r="AV683" s="56">
        <v>36</v>
      </c>
      <c r="AW683" s="56" t="s">
        <v>1051</v>
      </c>
      <c r="AX683" s="56" t="s">
        <v>1117</v>
      </c>
      <c r="AY683" s="56" t="s">
        <v>1118</v>
      </c>
      <c r="AZ683" s="56" t="s">
        <v>1054</v>
      </c>
      <c r="BA683" s="56" t="s">
        <v>1119</v>
      </c>
      <c r="BB683" s="56" t="s">
        <v>1120</v>
      </c>
      <c r="BC683" s="56" t="s">
        <v>1157</v>
      </c>
      <c r="BD683" s="56" t="s">
        <v>1423</v>
      </c>
    </row>
    <row r="684" spans="1:56" x14ac:dyDescent="0.2">
      <c r="A684" s="56">
        <v>176587692</v>
      </c>
      <c r="B684" s="56" t="s">
        <v>1497</v>
      </c>
      <c r="C684" s="56" t="s">
        <v>2623</v>
      </c>
      <c r="D684" s="56" t="s">
        <v>1498</v>
      </c>
      <c r="E684" s="56" t="s">
        <v>1044</v>
      </c>
      <c r="F684" s="56">
        <v>424</v>
      </c>
      <c r="G684" s="56"/>
      <c r="H684" s="56">
        <v>16003</v>
      </c>
      <c r="I684" s="56">
        <v>6</v>
      </c>
      <c r="J684" s="56" t="s">
        <v>1045</v>
      </c>
      <c r="K684" s="56" t="s">
        <v>1064</v>
      </c>
      <c r="L684" s="121">
        <v>46266</v>
      </c>
      <c r="M684" s="122">
        <v>0.88541666666666663</v>
      </c>
      <c r="N684" s="122">
        <v>0.89236111111111116</v>
      </c>
      <c r="O684" s="56" t="s">
        <v>1047</v>
      </c>
      <c r="P684" s="121">
        <v>46266</v>
      </c>
      <c r="Q684" s="122">
        <v>0.93402777777777779</v>
      </c>
      <c r="R684" s="122">
        <v>0.95780092592592592</v>
      </c>
      <c r="S684" s="56" t="s">
        <v>1047</v>
      </c>
      <c r="T684" s="56">
        <v>1</v>
      </c>
      <c r="U684" s="56">
        <v>31</v>
      </c>
      <c r="V684" s="56">
        <v>31.38</v>
      </c>
      <c r="W684" s="56">
        <v>33.700000000000003</v>
      </c>
      <c r="X684" s="56" t="s">
        <v>2624</v>
      </c>
      <c r="Y684" s="56" t="s">
        <v>2624</v>
      </c>
      <c r="Z684" s="56" t="s">
        <v>2624</v>
      </c>
      <c r="AA684" s="56" t="s">
        <v>2022</v>
      </c>
      <c r="AB684" s="56">
        <v>14124187</v>
      </c>
      <c r="AC684" s="56" t="s">
        <v>2022</v>
      </c>
      <c r="AD684" s="56">
        <v>14124187</v>
      </c>
      <c r="AE684" s="56" t="s">
        <v>2626</v>
      </c>
      <c r="AF684" s="56" t="s">
        <v>2627</v>
      </c>
      <c r="AG684" s="56" t="s">
        <v>2627</v>
      </c>
      <c r="AH684" s="56">
        <v>36</v>
      </c>
      <c r="AI684" s="56" t="s">
        <v>2628</v>
      </c>
      <c r="AJ684" s="56" t="s">
        <v>2640</v>
      </c>
      <c r="AK684" s="56">
        <v>0</v>
      </c>
      <c r="AL684" s="56" t="s">
        <v>2630</v>
      </c>
      <c r="AM684" s="56" t="s">
        <v>2631</v>
      </c>
      <c r="AN684" s="56" t="s">
        <v>2632</v>
      </c>
      <c r="AO684" s="56" t="s">
        <v>2627</v>
      </c>
      <c r="AP684" s="56" t="s">
        <v>2624</v>
      </c>
      <c r="AQ684" s="123">
        <v>6.9444444444445308E-3</v>
      </c>
      <c r="AR684" s="122">
        <v>2.3773148148148127E-2</v>
      </c>
      <c r="AS684" s="56" t="s">
        <v>1048</v>
      </c>
      <c r="AT684" s="56" t="s">
        <v>1059</v>
      </c>
      <c r="AU684" s="56" t="s">
        <v>1060</v>
      </c>
      <c r="AV684" s="56">
        <v>36</v>
      </c>
      <c r="AW684" s="56" t="s">
        <v>1051</v>
      </c>
      <c r="AX684" s="56" t="s">
        <v>1499</v>
      </c>
      <c r="AY684" s="56" t="s">
        <v>1066</v>
      </c>
      <c r="AZ684" s="56" t="s">
        <v>1067</v>
      </c>
      <c r="BA684" s="56" t="s">
        <v>1500</v>
      </c>
      <c r="BB684" s="56" t="s">
        <v>1501</v>
      </c>
      <c r="BC684" s="56" t="s">
        <v>1157</v>
      </c>
      <c r="BD684" s="56" t="s">
        <v>1502</v>
      </c>
    </row>
    <row r="685" spans="1:56" x14ac:dyDescent="0.2">
      <c r="A685" s="56">
        <v>176596680</v>
      </c>
      <c r="B685" s="56" t="s">
        <v>2254</v>
      </c>
      <c r="C685" s="56" t="s">
        <v>2623</v>
      </c>
      <c r="D685" s="56" t="s">
        <v>1231</v>
      </c>
      <c r="E685" s="56" t="s">
        <v>1044</v>
      </c>
      <c r="F685" s="56">
        <v>139</v>
      </c>
      <c r="G685" s="56" t="s">
        <v>2693</v>
      </c>
      <c r="H685" s="56">
        <v>10359</v>
      </c>
      <c r="I685" s="56">
        <v>6</v>
      </c>
      <c r="J685" s="56" t="s">
        <v>1045</v>
      </c>
      <c r="K685" s="56" t="s">
        <v>1116</v>
      </c>
      <c r="L685" s="121">
        <v>46266</v>
      </c>
      <c r="M685" s="122">
        <v>0.88611111111111107</v>
      </c>
      <c r="N685" s="122">
        <v>0.89097222222222228</v>
      </c>
      <c r="O685" s="56" t="s">
        <v>1047</v>
      </c>
      <c r="P685" s="121">
        <v>46266</v>
      </c>
      <c r="Q685" s="122">
        <v>0.92708333333333337</v>
      </c>
      <c r="R685" s="122">
        <v>0.92130787037037032</v>
      </c>
      <c r="S685" s="56" t="s">
        <v>1047</v>
      </c>
      <c r="T685" s="56">
        <v>1</v>
      </c>
      <c r="U685" s="56">
        <v>23</v>
      </c>
      <c r="V685" s="56">
        <v>23.89</v>
      </c>
      <c r="W685" s="56">
        <v>22.19</v>
      </c>
      <c r="X685" s="56" t="s">
        <v>2624</v>
      </c>
      <c r="Y685" s="56" t="s">
        <v>2624</v>
      </c>
      <c r="Z685" s="56" t="s">
        <v>2624</v>
      </c>
      <c r="AA685" s="56" t="s">
        <v>1232</v>
      </c>
      <c r="AB685" s="56">
        <v>14112026</v>
      </c>
      <c r="AC685" s="56" t="s">
        <v>1232</v>
      </c>
      <c r="AD685" s="56">
        <v>14112026</v>
      </c>
      <c r="AE685" s="56" t="s">
        <v>2626</v>
      </c>
      <c r="AF685" s="56" t="s">
        <v>2627</v>
      </c>
      <c r="AG685" s="56" t="s">
        <v>2627</v>
      </c>
      <c r="AH685" s="56">
        <v>36</v>
      </c>
      <c r="AI685" s="56" t="s">
        <v>2628</v>
      </c>
      <c r="AJ685" s="56" t="s">
        <v>2629</v>
      </c>
      <c r="AK685" s="56">
        <v>0</v>
      </c>
      <c r="AL685" s="56" t="s">
        <v>2630</v>
      </c>
      <c r="AM685" s="56" t="s">
        <v>2631</v>
      </c>
      <c r="AN685" s="56" t="s">
        <v>2632</v>
      </c>
      <c r="AO685" s="56" t="s">
        <v>2627</v>
      </c>
      <c r="AP685" s="56">
        <v>1</v>
      </c>
      <c r="AQ685" s="123">
        <v>4.8611111111112049E-3</v>
      </c>
      <c r="AR685" s="122">
        <v>-5.7754629629630516E-3</v>
      </c>
      <c r="AS685" s="56" t="s">
        <v>1048</v>
      </c>
      <c r="AT685" s="56" t="s">
        <v>1049</v>
      </c>
      <c r="AU685" s="56" t="s">
        <v>1050</v>
      </c>
      <c r="AV685" s="56">
        <v>36</v>
      </c>
      <c r="AW685" s="56" t="s">
        <v>1051</v>
      </c>
      <c r="AX685" s="56" t="s">
        <v>1233</v>
      </c>
      <c r="AY685" s="56" t="s">
        <v>1128</v>
      </c>
      <c r="AZ685" s="56" t="s">
        <v>1054</v>
      </c>
      <c r="BA685" s="56" t="s">
        <v>1234</v>
      </c>
      <c r="BB685" s="56" t="s">
        <v>1235</v>
      </c>
      <c r="BC685" s="56" t="s">
        <v>1157</v>
      </c>
      <c r="BD685" s="56" t="s">
        <v>2255</v>
      </c>
    </row>
    <row r="686" spans="1:56" x14ac:dyDescent="0.2">
      <c r="A686" s="56">
        <v>176593576</v>
      </c>
      <c r="B686" s="56" t="s">
        <v>2878</v>
      </c>
      <c r="C686" s="56" t="s">
        <v>2623</v>
      </c>
      <c r="D686" s="56" t="s">
        <v>2879</v>
      </c>
      <c r="E686" s="56" t="s">
        <v>1044</v>
      </c>
      <c r="F686" s="56">
        <v>86</v>
      </c>
      <c r="G686" s="56" t="s">
        <v>2693</v>
      </c>
      <c r="H686" s="56">
        <v>4539</v>
      </c>
      <c r="I686" s="56">
        <v>6</v>
      </c>
      <c r="J686" s="56" t="s">
        <v>1045</v>
      </c>
      <c r="K686" s="56" t="s">
        <v>1116</v>
      </c>
      <c r="L686" s="121">
        <v>46266</v>
      </c>
      <c r="M686" s="122">
        <v>0.88888888888888884</v>
      </c>
      <c r="N686" s="122">
        <v>0.8930555555555556</v>
      </c>
      <c r="O686" s="56" t="s">
        <v>1047</v>
      </c>
      <c r="P686" s="121">
        <v>46266</v>
      </c>
      <c r="Q686" s="122">
        <v>0.92708333333333337</v>
      </c>
      <c r="R686" s="122">
        <v>0.91712962962962963</v>
      </c>
      <c r="S686" s="56" t="s">
        <v>1047</v>
      </c>
      <c r="T686" s="56">
        <v>1</v>
      </c>
      <c r="U686" s="56">
        <v>15</v>
      </c>
      <c r="V686" s="56">
        <v>10.18</v>
      </c>
      <c r="W686" s="56">
        <v>9.83</v>
      </c>
      <c r="X686" s="56" t="s">
        <v>2624</v>
      </c>
      <c r="Y686" s="56" t="s">
        <v>2624</v>
      </c>
      <c r="Z686" s="56" t="s">
        <v>2624</v>
      </c>
      <c r="AA686" s="56" t="s">
        <v>497</v>
      </c>
      <c r="AB686" s="56">
        <v>14123246</v>
      </c>
      <c r="AC686" s="56" t="s">
        <v>497</v>
      </c>
      <c r="AD686" s="56">
        <v>14123246</v>
      </c>
      <c r="AE686" s="56" t="s">
        <v>2626</v>
      </c>
      <c r="AF686" s="56" t="s">
        <v>2627</v>
      </c>
      <c r="AG686" s="56" t="s">
        <v>2627</v>
      </c>
      <c r="AH686" s="56">
        <v>36</v>
      </c>
      <c r="AI686" s="56" t="s">
        <v>2628</v>
      </c>
      <c r="AJ686" s="56" t="s">
        <v>2629</v>
      </c>
      <c r="AK686" s="56">
        <v>0</v>
      </c>
      <c r="AL686" s="56" t="s">
        <v>2630</v>
      </c>
      <c r="AM686" s="56" t="s">
        <v>2631</v>
      </c>
      <c r="AN686" s="56" t="s">
        <v>2632</v>
      </c>
      <c r="AO686" s="56" t="s">
        <v>2627</v>
      </c>
      <c r="AP686" s="56" t="s">
        <v>2624</v>
      </c>
      <c r="AQ686" s="123">
        <v>4.1666666666667629E-3</v>
      </c>
      <c r="AR686" s="122">
        <v>-9.9537037037037424E-3</v>
      </c>
      <c r="AS686" s="56" t="s">
        <v>1048</v>
      </c>
      <c r="AT686" s="56" t="s">
        <v>1049</v>
      </c>
      <c r="AU686" s="56" t="s">
        <v>1050</v>
      </c>
      <c r="AV686" s="56">
        <v>36</v>
      </c>
      <c r="AW686" s="56" t="s">
        <v>1051</v>
      </c>
      <c r="AX686" s="56" t="s">
        <v>2881</v>
      </c>
      <c r="AY686" s="56" t="s">
        <v>1128</v>
      </c>
      <c r="AZ686" s="56" t="s">
        <v>1054</v>
      </c>
      <c r="BA686" s="56" t="s">
        <v>2882</v>
      </c>
      <c r="BB686" s="56" t="s">
        <v>2883</v>
      </c>
      <c r="BC686" s="56" t="s">
        <v>1157</v>
      </c>
      <c r="BD686" s="56" t="s">
        <v>2884</v>
      </c>
    </row>
    <row r="687" spans="1:56" x14ac:dyDescent="0.2">
      <c r="A687" s="56">
        <v>176594362</v>
      </c>
      <c r="B687" s="56" t="s">
        <v>2885</v>
      </c>
      <c r="C687" s="56" t="s">
        <v>2623</v>
      </c>
      <c r="D687" s="56" t="s">
        <v>2886</v>
      </c>
      <c r="E687" s="56" t="s">
        <v>1044</v>
      </c>
      <c r="F687" s="56">
        <v>67</v>
      </c>
      <c r="G687" s="56"/>
      <c r="H687" s="56">
        <v>13901</v>
      </c>
      <c r="I687" s="56">
        <v>6</v>
      </c>
      <c r="J687" s="56" t="s">
        <v>1045</v>
      </c>
      <c r="K687" s="56" t="s">
        <v>1091</v>
      </c>
      <c r="L687" s="121">
        <v>46266</v>
      </c>
      <c r="M687" s="122">
        <v>0.88888888888888884</v>
      </c>
      <c r="N687" s="122">
        <v>0.89513888888888893</v>
      </c>
      <c r="O687" s="56" t="s">
        <v>1047</v>
      </c>
      <c r="P687" s="121">
        <v>46266</v>
      </c>
      <c r="Q687" s="122">
        <v>0.93402777777777779</v>
      </c>
      <c r="R687" s="122">
        <v>0.9375</v>
      </c>
      <c r="S687" s="56" t="s">
        <v>1047</v>
      </c>
      <c r="T687" s="56">
        <v>1</v>
      </c>
      <c r="U687" s="56">
        <v>26</v>
      </c>
      <c r="V687" s="56">
        <v>21.81</v>
      </c>
      <c r="W687" s="56">
        <v>22.3</v>
      </c>
      <c r="X687" s="56" t="s">
        <v>2624</v>
      </c>
      <c r="Y687" s="56" t="s">
        <v>2624</v>
      </c>
      <c r="Z687" s="56" t="s">
        <v>2624</v>
      </c>
      <c r="AA687" s="56" t="s">
        <v>909</v>
      </c>
      <c r="AB687" s="56">
        <v>14123651</v>
      </c>
      <c r="AC687" s="56" t="s">
        <v>909</v>
      </c>
      <c r="AD687" s="56">
        <v>14123651</v>
      </c>
      <c r="AE687" s="56" t="s">
        <v>2626</v>
      </c>
      <c r="AF687" s="56" t="s">
        <v>2627</v>
      </c>
      <c r="AG687" s="56" t="s">
        <v>2627</v>
      </c>
      <c r="AH687" s="56">
        <v>36</v>
      </c>
      <c r="AI687" s="56" t="s">
        <v>2628</v>
      </c>
      <c r="AJ687" s="56" t="s">
        <v>2640</v>
      </c>
      <c r="AK687" s="56">
        <v>0</v>
      </c>
      <c r="AL687" s="56" t="s">
        <v>2630</v>
      </c>
      <c r="AM687" s="56" t="s">
        <v>2631</v>
      </c>
      <c r="AN687" s="56" t="s">
        <v>2632</v>
      </c>
      <c r="AO687" s="56" t="s">
        <v>2627</v>
      </c>
      <c r="AP687" s="56" t="s">
        <v>2624</v>
      </c>
      <c r="AQ687" s="123">
        <v>6.2500000000000888E-3</v>
      </c>
      <c r="AR687" s="122">
        <v>3.4722222222222099E-3</v>
      </c>
      <c r="AS687" s="56" t="s">
        <v>1048</v>
      </c>
      <c r="AT687" s="56" t="s">
        <v>1059</v>
      </c>
      <c r="AU687" s="56" t="s">
        <v>1060</v>
      </c>
      <c r="AV687" s="56">
        <v>36</v>
      </c>
      <c r="AW687" s="56" t="s">
        <v>1051</v>
      </c>
      <c r="AX687" s="56" t="s">
        <v>2887</v>
      </c>
      <c r="AY687" s="56" t="s">
        <v>1093</v>
      </c>
      <c r="AZ687" s="56" t="s">
        <v>1067</v>
      </c>
      <c r="BA687" s="56" t="s">
        <v>2888</v>
      </c>
      <c r="BB687" s="56" t="s">
        <v>2889</v>
      </c>
      <c r="BC687" s="56" t="s">
        <v>1157</v>
      </c>
      <c r="BD687" s="56" t="s">
        <v>2890</v>
      </c>
    </row>
    <row r="688" spans="1:56" x14ac:dyDescent="0.2">
      <c r="A688" s="56">
        <v>176594444</v>
      </c>
      <c r="B688" s="56" t="s">
        <v>3683</v>
      </c>
      <c r="C688" s="56" t="s">
        <v>2623</v>
      </c>
      <c r="D688" s="56" t="s">
        <v>2676</v>
      </c>
      <c r="E688" s="56" t="s">
        <v>1044</v>
      </c>
      <c r="F688" s="56">
        <v>221</v>
      </c>
      <c r="G688" s="56"/>
      <c r="H688" s="56">
        <v>5423</v>
      </c>
      <c r="I688" s="56">
        <v>6</v>
      </c>
      <c r="J688" s="56" t="s">
        <v>1045</v>
      </c>
      <c r="K688" s="56" t="s">
        <v>1296</v>
      </c>
      <c r="L688" s="121">
        <v>46266</v>
      </c>
      <c r="M688" s="122">
        <v>0.88888888888888884</v>
      </c>
      <c r="N688" s="122">
        <v>0.89236111111111116</v>
      </c>
      <c r="O688" s="56" t="s">
        <v>1047</v>
      </c>
      <c r="P688" s="121">
        <v>46266</v>
      </c>
      <c r="Q688" s="122">
        <v>0.93402777777777779</v>
      </c>
      <c r="R688" s="122">
        <v>0.92854166666666671</v>
      </c>
      <c r="S688" s="56" t="s">
        <v>1047</v>
      </c>
      <c r="T688" s="56">
        <v>1</v>
      </c>
      <c r="U688" s="56">
        <v>12</v>
      </c>
      <c r="V688" s="56">
        <v>17.690000000000001</v>
      </c>
      <c r="W688" s="56">
        <v>18.38</v>
      </c>
      <c r="X688" s="56" t="s">
        <v>2624</v>
      </c>
      <c r="Y688" s="56" t="s">
        <v>2624</v>
      </c>
      <c r="Z688" s="56" t="s">
        <v>2624</v>
      </c>
      <c r="AA688" s="56" t="s">
        <v>993</v>
      </c>
      <c r="AB688" s="56">
        <v>14123926</v>
      </c>
      <c r="AC688" s="56" t="s">
        <v>993</v>
      </c>
      <c r="AD688" s="56">
        <v>14123926</v>
      </c>
      <c r="AE688" s="56" t="s">
        <v>2626</v>
      </c>
      <c r="AF688" s="56" t="s">
        <v>2627</v>
      </c>
      <c r="AG688" s="56" t="s">
        <v>2627</v>
      </c>
      <c r="AH688" s="56">
        <v>36</v>
      </c>
      <c r="AI688" s="56" t="s">
        <v>2628</v>
      </c>
      <c r="AJ688" s="56" t="s">
        <v>2629</v>
      </c>
      <c r="AK688" s="56">
        <v>0</v>
      </c>
      <c r="AL688" s="56" t="s">
        <v>2630</v>
      </c>
      <c r="AM688" s="56" t="s">
        <v>2631</v>
      </c>
      <c r="AN688" s="56" t="s">
        <v>2632</v>
      </c>
      <c r="AO688" s="56" t="s">
        <v>2627</v>
      </c>
      <c r="AP688" s="56">
        <v>49</v>
      </c>
      <c r="AQ688" s="123">
        <v>3.4722222222223209E-3</v>
      </c>
      <c r="AR688" s="122">
        <v>-5.4861111111110805E-3</v>
      </c>
      <c r="AS688" s="56" t="s">
        <v>1048</v>
      </c>
      <c r="AT688" s="56" t="s">
        <v>1049</v>
      </c>
      <c r="AU688" s="56" t="s">
        <v>1050</v>
      </c>
      <c r="AV688" s="56">
        <v>36</v>
      </c>
      <c r="AW688" s="56" t="s">
        <v>1051</v>
      </c>
      <c r="AX688" s="56" t="s">
        <v>2677</v>
      </c>
      <c r="AY688" s="56" t="s">
        <v>1297</v>
      </c>
      <c r="AZ688" s="56" t="s">
        <v>1067</v>
      </c>
      <c r="BA688" s="56" t="s">
        <v>2678</v>
      </c>
      <c r="BB688" s="56" t="s">
        <v>2679</v>
      </c>
      <c r="BC688" s="56" t="s">
        <v>1157</v>
      </c>
      <c r="BD688" s="56" t="s">
        <v>3684</v>
      </c>
    </row>
    <row r="689" spans="1:56" x14ac:dyDescent="0.2">
      <c r="A689" s="56">
        <v>176585221</v>
      </c>
      <c r="B689" s="56" t="s">
        <v>3685</v>
      </c>
      <c r="C689" s="56" t="s">
        <v>2623</v>
      </c>
      <c r="D689" s="56" t="s">
        <v>1518</v>
      </c>
      <c r="E689" s="56" t="s">
        <v>1044</v>
      </c>
      <c r="F689" s="56">
        <v>21</v>
      </c>
      <c r="G689" s="56"/>
      <c r="H689" s="56">
        <v>6352</v>
      </c>
      <c r="I689" s="56">
        <v>6</v>
      </c>
      <c r="J689" s="56" t="s">
        <v>1045</v>
      </c>
      <c r="K689" s="56" t="s">
        <v>1091</v>
      </c>
      <c r="L689" s="121">
        <v>46266</v>
      </c>
      <c r="M689" s="122">
        <v>0.89027777777777772</v>
      </c>
      <c r="N689" s="122">
        <v>0.89513888888888893</v>
      </c>
      <c r="O689" s="56" t="s">
        <v>1047</v>
      </c>
      <c r="P689" s="121">
        <v>46266</v>
      </c>
      <c r="Q689" s="122">
        <v>0.93402777777777779</v>
      </c>
      <c r="R689" s="122">
        <v>0.9291666666666667</v>
      </c>
      <c r="S689" s="56" t="s">
        <v>1047</v>
      </c>
      <c r="T689" s="56">
        <v>1</v>
      </c>
      <c r="U689" s="56">
        <v>22</v>
      </c>
      <c r="V689" s="56">
        <v>15.03</v>
      </c>
      <c r="W689" s="56">
        <v>14.94</v>
      </c>
      <c r="X689" s="56" t="s">
        <v>2624</v>
      </c>
      <c r="Y689" s="56" t="s">
        <v>2624</v>
      </c>
      <c r="Z689" s="56" t="s">
        <v>2624</v>
      </c>
      <c r="AA689" s="56" t="s">
        <v>1618</v>
      </c>
      <c r="AB689" s="56">
        <v>14124104</v>
      </c>
      <c r="AC689" s="56" t="s">
        <v>1618</v>
      </c>
      <c r="AD689" s="56">
        <v>14124104</v>
      </c>
      <c r="AE689" s="56" t="s">
        <v>2626</v>
      </c>
      <c r="AF689" s="56" t="s">
        <v>2627</v>
      </c>
      <c r="AG689" s="56" t="s">
        <v>2627</v>
      </c>
      <c r="AH689" s="56">
        <v>36</v>
      </c>
      <c r="AI689" s="56" t="s">
        <v>2628</v>
      </c>
      <c r="AJ689" s="56" t="s">
        <v>2629</v>
      </c>
      <c r="AK689" s="56">
        <v>0</v>
      </c>
      <c r="AL689" s="56" t="s">
        <v>2630</v>
      </c>
      <c r="AM689" s="56" t="s">
        <v>2631</v>
      </c>
      <c r="AN689" s="56" t="s">
        <v>2632</v>
      </c>
      <c r="AO689" s="56" t="s">
        <v>2627</v>
      </c>
      <c r="AP689" s="56" t="s">
        <v>2624</v>
      </c>
      <c r="AQ689" s="123">
        <v>4.8611111111112049E-3</v>
      </c>
      <c r="AR689" s="122">
        <v>-4.8611111111110938E-3</v>
      </c>
      <c r="AS689" s="56" t="s">
        <v>1048</v>
      </c>
      <c r="AT689" s="56" t="s">
        <v>1049</v>
      </c>
      <c r="AU689" s="56" t="s">
        <v>1050</v>
      </c>
      <c r="AV689" s="56">
        <v>36</v>
      </c>
      <c r="AW689" s="56" t="s">
        <v>1051</v>
      </c>
      <c r="AX689" s="56" t="s">
        <v>1519</v>
      </c>
      <c r="AY689" s="56" t="s">
        <v>1093</v>
      </c>
      <c r="AZ689" s="56" t="s">
        <v>1067</v>
      </c>
      <c r="BA689" s="56" t="s">
        <v>1520</v>
      </c>
      <c r="BB689" s="56" t="s">
        <v>1521</v>
      </c>
      <c r="BC689" s="56" t="s">
        <v>1157</v>
      </c>
      <c r="BD689" s="56" t="s">
        <v>3686</v>
      </c>
    </row>
    <row r="690" spans="1:56" x14ac:dyDescent="0.2">
      <c r="A690" s="56">
        <v>176599170</v>
      </c>
      <c r="B690" s="56" t="s">
        <v>3530</v>
      </c>
      <c r="C690" s="56" t="s">
        <v>2623</v>
      </c>
      <c r="D690" s="56" t="s">
        <v>3312</v>
      </c>
      <c r="E690" s="56" t="s">
        <v>1044</v>
      </c>
      <c r="F690" s="56">
        <v>258</v>
      </c>
      <c r="G690" s="56" t="s">
        <v>2693</v>
      </c>
      <c r="H690" s="56">
        <v>14691</v>
      </c>
      <c r="I690" s="56">
        <v>6</v>
      </c>
      <c r="J690" s="56" t="s">
        <v>1045</v>
      </c>
      <c r="K690" s="56" t="s">
        <v>1116</v>
      </c>
      <c r="L690" s="121">
        <v>46266</v>
      </c>
      <c r="M690" s="122">
        <v>0.89027777777777772</v>
      </c>
      <c r="N690" s="122">
        <v>0.90694444444444444</v>
      </c>
      <c r="O690" s="56" t="s">
        <v>1047</v>
      </c>
      <c r="P690" s="121">
        <v>46266</v>
      </c>
      <c r="Q690" s="122">
        <v>0.92708333333333337</v>
      </c>
      <c r="R690" s="122">
        <v>0.93031249999999999</v>
      </c>
      <c r="S690" s="56" t="s">
        <v>1047</v>
      </c>
      <c r="T690" s="56">
        <v>1</v>
      </c>
      <c r="U690" s="56">
        <v>15</v>
      </c>
      <c r="V690" s="56">
        <v>9.91</v>
      </c>
      <c r="W690" s="56">
        <v>11.04</v>
      </c>
      <c r="X690" s="56" t="s">
        <v>2624</v>
      </c>
      <c r="Y690" s="56" t="s">
        <v>2624</v>
      </c>
      <c r="Z690" s="56" t="s">
        <v>2624</v>
      </c>
      <c r="AA690" s="56" t="s">
        <v>1903</v>
      </c>
      <c r="AB690" s="56">
        <v>14119482</v>
      </c>
      <c r="AC690" s="56" t="s">
        <v>1903</v>
      </c>
      <c r="AD690" s="56">
        <v>14119482</v>
      </c>
      <c r="AE690" s="56" t="s">
        <v>2626</v>
      </c>
      <c r="AF690" s="56" t="s">
        <v>2627</v>
      </c>
      <c r="AG690" s="56" t="s">
        <v>2627</v>
      </c>
      <c r="AH690" s="56">
        <v>36</v>
      </c>
      <c r="AI690" s="56" t="s">
        <v>2628</v>
      </c>
      <c r="AJ690" s="56" t="s">
        <v>2640</v>
      </c>
      <c r="AK690" s="56">
        <v>0</v>
      </c>
      <c r="AL690" s="56" t="s">
        <v>2630</v>
      </c>
      <c r="AM690" s="56" t="s">
        <v>2631</v>
      </c>
      <c r="AN690" s="56" t="s">
        <v>2632</v>
      </c>
      <c r="AO690" s="56" t="s">
        <v>2627</v>
      </c>
      <c r="AP690" s="56" t="s">
        <v>2624</v>
      </c>
      <c r="AQ690" s="123">
        <v>1.6666666666666718E-2</v>
      </c>
      <c r="AR690" s="122">
        <v>3.2291666666666163E-3</v>
      </c>
      <c r="AS690" s="56" t="s">
        <v>1048</v>
      </c>
      <c r="AT690" s="56" t="s">
        <v>1049</v>
      </c>
      <c r="AU690" s="56" t="s">
        <v>1050</v>
      </c>
      <c r="AV690" s="56">
        <v>36</v>
      </c>
      <c r="AW690" s="56" t="s">
        <v>1051</v>
      </c>
      <c r="AX690" s="56" t="s">
        <v>3313</v>
      </c>
      <c r="AY690" s="56" t="s">
        <v>1128</v>
      </c>
      <c r="AZ690" s="56" t="s">
        <v>1054</v>
      </c>
      <c r="BA690" s="56" t="s">
        <v>3314</v>
      </c>
      <c r="BB690" s="56" t="s">
        <v>3315</v>
      </c>
      <c r="BC690" s="56" t="s">
        <v>1157</v>
      </c>
      <c r="BD690" s="56" t="s">
        <v>3531</v>
      </c>
    </row>
    <row r="691" spans="1:56" x14ac:dyDescent="0.2">
      <c r="A691" s="56">
        <v>176587785</v>
      </c>
      <c r="B691" s="56" t="s">
        <v>3687</v>
      </c>
      <c r="C691" s="56" t="s">
        <v>2623</v>
      </c>
      <c r="D691" s="56" t="s">
        <v>3380</v>
      </c>
      <c r="E691" s="56" t="s">
        <v>1044</v>
      </c>
      <c r="F691" s="56">
        <v>9</v>
      </c>
      <c r="G691" s="56"/>
      <c r="H691" s="56">
        <v>6982</v>
      </c>
      <c r="I691" s="56">
        <v>6</v>
      </c>
      <c r="J691" s="56" t="s">
        <v>1045</v>
      </c>
      <c r="K691" s="56" t="s">
        <v>1162</v>
      </c>
      <c r="L691" s="121">
        <v>46266</v>
      </c>
      <c r="M691" s="122">
        <v>0.89236111111111116</v>
      </c>
      <c r="N691" s="122">
        <v>0.89583333333333337</v>
      </c>
      <c r="O691" s="56" t="s">
        <v>1047</v>
      </c>
      <c r="P691" s="121">
        <v>46266</v>
      </c>
      <c r="Q691" s="122">
        <v>0.93055555555555558</v>
      </c>
      <c r="R691" s="122">
        <v>0.93194444444444446</v>
      </c>
      <c r="S691" s="56" t="s">
        <v>1047</v>
      </c>
      <c r="T691" s="56">
        <v>1</v>
      </c>
      <c r="U691" s="56">
        <v>23</v>
      </c>
      <c r="V691" s="56">
        <v>22.47</v>
      </c>
      <c r="W691" s="56">
        <v>22.19</v>
      </c>
      <c r="X691" s="56" t="s">
        <v>2624</v>
      </c>
      <c r="Y691" s="56" t="s">
        <v>2624</v>
      </c>
      <c r="Z691" s="56" t="s">
        <v>2624</v>
      </c>
      <c r="AA691" s="56" t="s">
        <v>122</v>
      </c>
      <c r="AB691" s="56">
        <v>14112630</v>
      </c>
      <c r="AC691" s="56" t="s">
        <v>122</v>
      </c>
      <c r="AD691" s="56">
        <v>14112630</v>
      </c>
      <c r="AE691" s="56" t="s">
        <v>2626</v>
      </c>
      <c r="AF691" s="56" t="s">
        <v>2627</v>
      </c>
      <c r="AG691" s="56" t="s">
        <v>2627</v>
      </c>
      <c r="AH691" s="56">
        <v>36</v>
      </c>
      <c r="AI691" s="56" t="s">
        <v>2628</v>
      </c>
      <c r="AJ691" s="56" t="s">
        <v>2640</v>
      </c>
      <c r="AK691" s="56">
        <v>0</v>
      </c>
      <c r="AL691" s="56" t="s">
        <v>2630</v>
      </c>
      <c r="AM691" s="56" t="s">
        <v>2631</v>
      </c>
      <c r="AN691" s="56" t="s">
        <v>2632</v>
      </c>
      <c r="AO691" s="56" t="s">
        <v>2627</v>
      </c>
      <c r="AP691" s="56" t="s">
        <v>2624</v>
      </c>
      <c r="AQ691" s="123">
        <v>3.4722222222222099E-3</v>
      </c>
      <c r="AR691" s="122">
        <v>1.388888888888884E-3</v>
      </c>
      <c r="AS691" s="56" t="s">
        <v>1048</v>
      </c>
      <c r="AT691" s="56" t="s">
        <v>1049</v>
      </c>
      <c r="AU691" s="56" t="s">
        <v>1050</v>
      </c>
      <c r="AV691" s="56">
        <v>36</v>
      </c>
      <c r="AW691" s="56" t="s">
        <v>1051</v>
      </c>
      <c r="AX691" s="56" t="s">
        <v>3381</v>
      </c>
      <c r="AY691" s="56" t="s">
        <v>1164</v>
      </c>
      <c r="AZ691" s="56" t="s">
        <v>1062</v>
      </c>
      <c r="BA691" s="56" t="s">
        <v>3382</v>
      </c>
      <c r="BB691" s="56" t="s">
        <v>3383</v>
      </c>
      <c r="BC691" s="56" t="s">
        <v>1157</v>
      </c>
      <c r="BD691" s="56" t="s">
        <v>3688</v>
      </c>
    </row>
    <row r="692" spans="1:56" x14ac:dyDescent="0.2">
      <c r="A692" s="56">
        <v>176595071</v>
      </c>
      <c r="B692" s="56" t="s">
        <v>3689</v>
      </c>
      <c r="C692" s="56" t="s">
        <v>2623</v>
      </c>
      <c r="D692" s="56" t="s">
        <v>3012</v>
      </c>
      <c r="E692" s="56" t="s">
        <v>1044</v>
      </c>
      <c r="F692" s="56">
        <v>96</v>
      </c>
      <c r="G692" s="56" t="s">
        <v>2670</v>
      </c>
      <c r="H692" s="56">
        <v>17195</v>
      </c>
      <c r="I692" s="56">
        <v>6</v>
      </c>
      <c r="J692" s="56" t="s">
        <v>1045</v>
      </c>
      <c r="K692" s="56" t="s">
        <v>1116</v>
      </c>
      <c r="L692" s="121">
        <v>46266</v>
      </c>
      <c r="M692" s="122">
        <v>0.89236111111111116</v>
      </c>
      <c r="N692" s="122">
        <v>0.8979166666666667</v>
      </c>
      <c r="O692" s="56" t="s">
        <v>1047</v>
      </c>
      <c r="P692" s="121">
        <v>46266</v>
      </c>
      <c r="Q692" s="122">
        <v>0.92708333333333337</v>
      </c>
      <c r="R692" s="122">
        <v>0.92611111111111111</v>
      </c>
      <c r="S692" s="56" t="s">
        <v>1047</v>
      </c>
      <c r="T692" s="56">
        <v>1</v>
      </c>
      <c r="U692" s="56">
        <v>15</v>
      </c>
      <c r="V692" s="56">
        <v>10.85</v>
      </c>
      <c r="W692" s="56">
        <v>11.03</v>
      </c>
      <c r="X692" s="56" t="s">
        <v>2624</v>
      </c>
      <c r="Y692" s="56" t="s">
        <v>2624</v>
      </c>
      <c r="Z692" s="56" t="s">
        <v>2624</v>
      </c>
      <c r="AA692" s="56" t="s">
        <v>345</v>
      </c>
      <c r="AB692" s="56">
        <v>14121598</v>
      </c>
      <c r="AC692" s="56" t="s">
        <v>345</v>
      </c>
      <c r="AD692" s="56">
        <v>14121598</v>
      </c>
      <c r="AE692" s="56" t="s">
        <v>2626</v>
      </c>
      <c r="AF692" s="56" t="s">
        <v>2627</v>
      </c>
      <c r="AG692" s="56" t="s">
        <v>2627</v>
      </c>
      <c r="AH692" s="56">
        <v>36</v>
      </c>
      <c r="AI692" s="56" t="s">
        <v>2628</v>
      </c>
      <c r="AJ692" s="56" t="s">
        <v>2629</v>
      </c>
      <c r="AK692" s="56">
        <v>0</v>
      </c>
      <c r="AL692" s="56" t="s">
        <v>2630</v>
      </c>
      <c r="AM692" s="56" t="s">
        <v>2631</v>
      </c>
      <c r="AN692" s="56" t="s">
        <v>2632</v>
      </c>
      <c r="AO692" s="56" t="s">
        <v>2627</v>
      </c>
      <c r="AP692" s="56" t="s">
        <v>2624</v>
      </c>
      <c r="AQ692" s="123">
        <v>5.5555555555555358E-3</v>
      </c>
      <c r="AR692" s="122">
        <v>-9.7222222222226318E-4</v>
      </c>
      <c r="AS692" s="56" t="s">
        <v>1048</v>
      </c>
      <c r="AT692" s="56" t="s">
        <v>1049</v>
      </c>
      <c r="AU692" s="56" t="s">
        <v>1050</v>
      </c>
      <c r="AV692" s="56">
        <v>36</v>
      </c>
      <c r="AW692" s="56" t="s">
        <v>1051</v>
      </c>
      <c r="AX692" s="56" t="s">
        <v>3013</v>
      </c>
      <c r="AY692" s="56" t="s">
        <v>1118</v>
      </c>
      <c r="AZ692" s="56" t="s">
        <v>1054</v>
      </c>
      <c r="BA692" s="56" t="s">
        <v>3014</v>
      </c>
      <c r="BB692" s="56" t="s">
        <v>3015</v>
      </c>
      <c r="BC692" s="56" t="s">
        <v>1157</v>
      </c>
      <c r="BD692" s="56" t="s">
        <v>3690</v>
      </c>
    </row>
    <row r="693" spans="1:56" x14ac:dyDescent="0.2">
      <c r="A693" s="56">
        <v>176588633</v>
      </c>
      <c r="B693" s="56" t="s">
        <v>2891</v>
      </c>
      <c r="C693" s="56" t="s">
        <v>2623</v>
      </c>
      <c r="D693" s="56" t="s">
        <v>2688</v>
      </c>
      <c r="E693" s="56" t="s">
        <v>1044</v>
      </c>
      <c r="F693" s="56">
        <v>11</v>
      </c>
      <c r="G693" s="56"/>
      <c r="H693" s="56">
        <v>15185</v>
      </c>
      <c r="I693" s="56">
        <v>6</v>
      </c>
      <c r="J693" s="56" t="s">
        <v>1045</v>
      </c>
      <c r="K693" s="56" t="s">
        <v>1058</v>
      </c>
      <c r="L693" s="121">
        <v>46266</v>
      </c>
      <c r="M693" s="122">
        <v>0.8930555555555556</v>
      </c>
      <c r="N693" s="122">
        <v>0.89861111111111114</v>
      </c>
      <c r="O693" s="56" t="s">
        <v>1047</v>
      </c>
      <c r="P693" s="121">
        <v>46266</v>
      </c>
      <c r="Q693" s="122">
        <v>0.91666666666666663</v>
      </c>
      <c r="R693" s="122">
        <v>0.9115509259259259</v>
      </c>
      <c r="S693" s="56" t="s">
        <v>1047</v>
      </c>
      <c r="T693" s="56">
        <v>1</v>
      </c>
      <c r="U693" s="56">
        <v>14</v>
      </c>
      <c r="V693" s="56">
        <v>9.49</v>
      </c>
      <c r="W693" s="56">
        <v>8.41</v>
      </c>
      <c r="X693" s="56" t="s">
        <v>2624</v>
      </c>
      <c r="Y693" s="56" t="s">
        <v>2624</v>
      </c>
      <c r="Z693" s="56" t="s">
        <v>2624</v>
      </c>
      <c r="AA693" s="56" t="s">
        <v>467</v>
      </c>
      <c r="AB693" s="56">
        <v>14122925</v>
      </c>
      <c r="AC693" s="56" t="s">
        <v>467</v>
      </c>
      <c r="AD693" s="56">
        <v>14122925</v>
      </c>
      <c r="AE693" s="56" t="s">
        <v>2626</v>
      </c>
      <c r="AF693" s="56" t="s">
        <v>2627</v>
      </c>
      <c r="AG693" s="56" t="s">
        <v>2627</v>
      </c>
      <c r="AH693" s="56">
        <v>36</v>
      </c>
      <c r="AI693" s="56" t="s">
        <v>2628</v>
      </c>
      <c r="AJ693" s="56" t="s">
        <v>2629</v>
      </c>
      <c r="AK693" s="56">
        <v>730</v>
      </c>
      <c r="AL693" s="56" t="s">
        <v>2630</v>
      </c>
      <c r="AM693" s="56" t="s">
        <v>2631</v>
      </c>
      <c r="AN693" s="56" t="s">
        <v>2632</v>
      </c>
      <c r="AO693" s="56" t="s">
        <v>2627</v>
      </c>
      <c r="AP693" s="56" t="s">
        <v>2624</v>
      </c>
      <c r="AQ693" s="123">
        <v>5.5555555555555358E-3</v>
      </c>
      <c r="AR693" s="122">
        <v>-5.1157407407407263E-3</v>
      </c>
      <c r="AS693" s="56" t="s">
        <v>1048</v>
      </c>
      <c r="AT693" s="56" t="s">
        <v>1049</v>
      </c>
      <c r="AU693" s="56" t="s">
        <v>1050</v>
      </c>
      <c r="AV693" s="56">
        <v>36</v>
      </c>
      <c r="AW693" s="56" t="s">
        <v>1051</v>
      </c>
      <c r="AX693" s="56" t="s">
        <v>2689</v>
      </c>
      <c r="AY693" s="56" t="s">
        <v>1061</v>
      </c>
      <c r="AZ693" s="56" t="s">
        <v>1062</v>
      </c>
      <c r="BA693" s="56" t="s">
        <v>2690</v>
      </c>
      <c r="BB693" s="56" t="s">
        <v>2691</v>
      </c>
      <c r="BC693" s="56" t="s">
        <v>1157</v>
      </c>
      <c r="BD693" s="56" t="s">
        <v>2892</v>
      </c>
    </row>
    <row r="694" spans="1:56" x14ac:dyDescent="0.2">
      <c r="A694" s="56">
        <v>176585471</v>
      </c>
      <c r="B694" s="56" t="s">
        <v>3691</v>
      </c>
      <c r="C694" s="56" t="s">
        <v>2623</v>
      </c>
      <c r="D694" s="56" t="s">
        <v>1074</v>
      </c>
      <c r="E694" s="56" t="s">
        <v>1044</v>
      </c>
      <c r="F694" s="56">
        <v>99</v>
      </c>
      <c r="G694" s="56"/>
      <c r="H694" s="56">
        <v>6251</v>
      </c>
      <c r="I694" s="56">
        <v>6</v>
      </c>
      <c r="J694" s="56" t="s">
        <v>1045</v>
      </c>
      <c r="K694" s="56" t="s">
        <v>1079</v>
      </c>
      <c r="L694" s="121">
        <v>46266</v>
      </c>
      <c r="M694" s="122">
        <v>0.89652777777777781</v>
      </c>
      <c r="N694" s="122">
        <v>0.9</v>
      </c>
      <c r="O694" s="56" t="s">
        <v>1047</v>
      </c>
      <c r="P694" s="121">
        <v>46266</v>
      </c>
      <c r="Q694" s="122">
        <v>0.93402777777777779</v>
      </c>
      <c r="R694" s="122">
        <v>0.92142361111111115</v>
      </c>
      <c r="S694" s="56" t="s">
        <v>1047</v>
      </c>
      <c r="T694" s="56">
        <v>1</v>
      </c>
      <c r="U694" s="56">
        <v>22</v>
      </c>
      <c r="V694" s="56">
        <v>17.850000000000001</v>
      </c>
      <c r="W694" s="56">
        <v>18</v>
      </c>
      <c r="X694" s="56" t="s">
        <v>2624</v>
      </c>
      <c r="Y694" s="56" t="s">
        <v>2624</v>
      </c>
      <c r="Z694" s="56" t="s">
        <v>2624</v>
      </c>
      <c r="AA694" s="56" t="s">
        <v>457</v>
      </c>
      <c r="AB694" s="56">
        <v>14122855</v>
      </c>
      <c r="AC694" s="56" t="s">
        <v>457</v>
      </c>
      <c r="AD694" s="56">
        <v>14122855</v>
      </c>
      <c r="AE694" s="56" t="s">
        <v>2626</v>
      </c>
      <c r="AF694" s="56" t="s">
        <v>2627</v>
      </c>
      <c r="AG694" s="56" t="s">
        <v>2627</v>
      </c>
      <c r="AH694" s="56">
        <v>36</v>
      </c>
      <c r="AI694" s="56" t="s">
        <v>2628</v>
      </c>
      <c r="AJ694" s="56" t="s">
        <v>2629</v>
      </c>
      <c r="AK694" s="56">
        <v>0</v>
      </c>
      <c r="AL694" s="56" t="s">
        <v>2630</v>
      </c>
      <c r="AM694" s="56" t="s">
        <v>2631</v>
      </c>
      <c r="AN694" s="56" t="s">
        <v>2632</v>
      </c>
      <c r="AO694" s="56" t="s">
        <v>2627</v>
      </c>
      <c r="AP694" s="56" t="s">
        <v>2624</v>
      </c>
      <c r="AQ694" s="123">
        <v>3.4722222222222099E-3</v>
      </c>
      <c r="AR694" s="122">
        <v>-1.2604166666666639E-2</v>
      </c>
      <c r="AS694" s="56" t="s">
        <v>1048</v>
      </c>
      <c r="AT694" s="56" t="s">
        <v>1049</v>
      </c>
      <c r="AU694" s="56" t="s">
        <v>1050</v>
      </c>
      <c r="AV694" s="56">
        <v>36</v>
      </c>
      <c r="AW694" s="56" t="s">
        <v>1051</v>
      </c>
      <c r="AX694" s="56" t="s">
        <v>1312</v>
      </c>
      <c r="AY694" s="56" t="s">
        <v>1081</v>
      </c>
      <c r="AZ694" s="56" t="s">
        <v>1067</v>
      </c>
      <c r="BA694" s="56" t="s">
        <v>1313</v>
      </c>
      <c r="BB694" s="56" t="s">
        <v>1314</v>
      </c>
      <c r="BC694" s="56" t="s">
        <v>1157</v>
      </c>
      <c r="BD694" s="56" t="s">
        <v>3692</v>
      </c>
    </row>
    <row r="695" spans="1:56" x14ac:dyDescent="0.2">
      <c r="A695" s="56">
        <v>176596142</v>
      </c>
      <c r="B695" s="56" t="s">
        <v>2318</v>
      </c>
      <c r="C695" s="56" t="s">
        <v>2623</v>
      </c>
      <c r="D695" s="56" t="s">
        <v>2285</v>
      </c>
      <c r="E695" s="56" t="s">
        <v>1044</v>
      </c>
      <c r="F695" s="56">
        <v>46</v>
      </c>
      <c r="G695" s="56"/>
      <c r="H695" s="56">
        <v>13011</v>
      </c>
      <c r="I695" s="56">
        <v>6</v>
      </c>
      <c r="J695" s="56" t="s">
        <v>1045</v>
      </c>
      <c r="K695" s="56" t="s">
        <v>1125</v>
      </c>
      <c r="L695" s="121">
        <v>46266</v>
      </c>
      <c r="M695" s="122">
        <v>0.90277777777777779</v>
      </c>
      <c r="N695" s="122">
        <v>0.90763888888888888</v>
      </c>
      <c r="O695" s="56" t="s">
        <v>1047</v>
      </c>
      <c r="P695" s="121">
        <v>46266</v>
      </c>
      <c r="Q695" s="122">
        <v>0.95833333333333337</v>
      </c>
      <c r="R695" s="122">
        <v>0.95763888888888893</v>
      </c>
      <c r="S695" s="56" t="s">
        <v>1047</v>
      </c>
      <c r="T695" s="56">
        <v>1</v>
      </c>
      <c r="U695" s="56">
        <v>30</v>
      </c>
      <c r="V695" s="56">
        <v>24.9</v>
      </c>
      <c r="W695" s="56">
        <v>25.11</v>
      </c>
      <c r="X695" s="56">
        <v>25.33</v>
      </c>
      <c r="Y695" s="56">
        <v>0.12</v>
      </c>
      <c r="Z695" s="56">
        <v>0.1</v>
      </c>
      <c r="AA695" s="56" t="s">
        <v>320</v>
      </c>
      <c r="AB695" s="56">
        <v>14121152</v>
      </c>
      <c r="AC695" s="56" t="s">
        <v>320</v>
      </c>
      <c r="AD695" s="56">
        <v>14121152</v>
      </c>
      <c r="AE695" s="56" t="s">
        <v>2626</v>
      </c>
      <c r="AF695" s="56" t="s">
        <v>2627</v>
      </c>
      <c r="AG695" s="56" t="s">
        <v>2627</v>
      </c>
      <c r="AH695" s="56">
        <v>36</v>
      </c>
      <c r="AI695" s="56" t="s">
        <v>2628</v>
      </c>
      <c r="AJ695" s="56" t="s">
        <v>2629</v>
      </c>
      <c r="AK695" s="56">
        <v>1380</v>
      </c>
      <c r="AL695" s="56">
        <v>0</v>
      </c>
      <c r="AM695" s="56" t="s">
        <v>2694</v>
      </c>
      <c r="AN695" s="56" t="s">
        <v>2702</v>
      </c>
      <c r="AO695" s="56" t="s">
        <v>2627</v>
      </c>
      <c r="AP695" s="56" t="s">
        <v>2624</v>
      </c>
      <c r="AQ695" s="123">
        <v>4.8611111111110938E-3</v>
      </c>
      <c r="AR695" s="122">
        <v>-6.9444444444444198E-4</v>
      </c>
      <c r="AS695" s="56" t="s">
        <v>1048</v>
      </c>
      <c r="AT695" s="56" t="s">
        <v>1049</v>
      </c>
      <c r="AU695" s="56" t="s">
        <v>1050</v>
      </c>
      <c r="AV695" s="56">
        <v>36</v>
      </c>
      <c r="AW695" s="56" t="s">
        <v>1051</v>
      </c>
      <c r="AX695" s="56" t="s">
        <v>2286</v>
      </c>
      <c r="AY695" s="56" t="s">
        <v>1127</v>
      </c>
      <c r="AZ695" s="56" t="s">
        <v>1054</v>
      </c>
      <c r="BA695" s="56" t="s">
        <v>2287</v>
      </c>
      <c r="BB695" s="56" t="e">
        <v>#N/A</v>
      </c>
      <c r="BC695" s="56" t="s">
        <v>1157</v>
      </c>
      <c r="BD695" s="56" t="s">
        <v>2899</v>
      </c>
    </row>
    <row r="696" spans="1:56" x14ac:dyDescent="0.2">
      <c r="A696" s="56">
        <v>176596173</v>
      </c>
      <c r="B696" s="56" t="s">
        <v>2900</v>
      </c>
      <c r="C696" s="56" t="s">
        <v>2623</v>
      </c>
      <c r="D696" s="56" t="s">
        <v>2281</v>
      </c>
      <c r="E696" s="56" t="s">
        <v>1044</v>
      </c>
      <c r="F696" s="56">
        <v>112</v>
      </c>
      <c r="G696" s="56" t="s">
        <v>2693</v>
      </c>
      <c r="H696" s="56">
        <v>13374</v>
      </c>
      <c r="I696" s="56">
        <v>6</v>
      </c>
      <c r="J696" s="56" t="s">
        <v>1045</v>
      </c>
      <c r="K696" s="56" t="s">
        <v>1116</v>
      </c>
      <c r="L696" s="121">
        <v>46266</v>
      </c>
      <c r="M696" s="122">
        <v>0.90277777777777779</v>
      </c>
      <c r="N696" s="122">
        <v>0.90763888888888888</v>
      </c>
      <c r="O696" s="56" t="s">
        <v>1047</v>
      </c>
      <c r="P696" s="121">
        <v>46266</v>
      </c>
      <c r="Q696" s="122">
        <v>0.92708333333333337</v>
      </c>
      <c r="R696" s="122">
        <v>0.92277777777777781</v>
      </c>
      <c r="S696" s="56" t="s">
        <v>1047</v>
      </c>
      <c r="T696" s="56">
        <v>1</v>
      </c>
      <c r="U696" s="56">
        <v>17</v>
      </c>
      <c r="V696" s="56">
        <v>11.67</v>
      </c>
      <c r="W696" s="56">
        <v>11</v>
      </c>
      <c r="X696" s="56" t="s">
        <v>2624</v>
      </c>
      <c r="Y696" s="56" t="s">
        <v>2624</v>
      </c>
      <c r="Z696" s="56" t="s">
        <v>2624</v>
      </c>
      <c r="AA696" s="56" t="s">
        <v>247</v>
      </c>
      <c r="AB696" s="56">
        <v>14119437</v>
      </c>
      <c r="AC696" s="56" t="s">
        <v>247</v>
      </c>
      <c r="AD696" s="56">
        <v>14119437</v>
      </c>
      <c r="AE696" s="56" t="s">
        <v>2626</v>
      </c>
      <c r="AF696" s="56" t="s">
        <v>2627</v>
      </c>
      <c r="AG696" s="56" t="s">
        <v>2627</v>
      </c>
      <c r="AH696" s="56">
        <v>36</v>
      </c>
      <c r="AI696" s="56" t="s">
        <v>2628</v>
      </c>
      <c r="AJ696" s="56" t="s">
        <v>2629</v>
      </c>
      <c r="AK696" s="56">
        <v>0</v>
      </c>
      <c r="AL696" s="56" t="s">
        <v>2630</v>
      </c>
      <c r="AM696" s="56" t="s">
        <v>2631</v>
      </c>
      <c r="AN696" s="56" t="s">
        <v>2632</v>
      </c>
      <c r="AO696" s="56" t="s">
        <v>2627</v>
      </c>
      <c r="AP696" s="56" t="s">
        <v>2624</v>
      </c>
      <c r="AQ696" s="123">
        <v>4.8611111111110938E-3</v>
      </c>
      <c r="AR696" s="122">
        <v>-4.3055555555555625E-3</v>
      </c>
      <c r="AS696" s="56" t="s">
        <v>1048</v>
      </c>
      <c r="AT696" s="56" t="s">
        <v>1049</v>
      </c>
      <c r="AU696" s="56" t="s">
        <v>1050</v>
      </c>
      <c r="AV696" s="56">
        <v>36</v>
      </c>
      <c r="AW696" s="56" t="s">
        <v>1051</v>
      </c>
      <c r="AX696" s="56" t="s">
        <v>2825</v>
      </c>
      <c r="AY696" s="56" t="s">
        <v>1128</v>
      </c>
      <c r="AZ696" s="56" t="s">
        <v>1054</v>
      </c>
      <c r="BA696" s="56" t="s">
        <v>2826</v>
      </c>
      <c r="BB696" s="56" t="s">
        <v>2827</v>
      </c>
      <c r="BC696" s="56" t="s">
        <v>1157</v>
      </c>
      <c r="BD696" s="56" t="s">
        <v>2901</v>
      </c>
    </row>
    <row r="697" spans="1:56" x14ac:dyDescent="0.2">
      <c r="A697" s="56">
        <v>176585373</v>
      </c>
      <c r="B697" s="56" t="s">
        <v>2209</v>
      </c>
      <c r="C697" s="56" t="s">
        <v>2623</v>
      </c>
      <c r="D697" s="56" t="s">
        <v>2106</v>
      </c>
      <c r="E697" s="56" t="s">
        <v>1044</v>
      </c>
      <c r="F697" s="56">
        <v>76</v>
      </c>
      <c r="G697" s="56" t="s">
        <v>3177</v>
      </c>
      <c r="H697" s="56">
        <v>15999</v>
      </c>
      <c r="I697" s="56">
        <v>6</v>
      </c>
      <c r="J697" s="56" t="s">
        <v>1045</v>
      </c>
      <c r="K697" s="56" t="s">
        <v>1296</v>
      </c>
      <c r="L697" s="121">
        <v>46266</v>
      </c>
      <c r="M697" s="122">
        <v>0.90555555555555556</v>
      </c>
      <c r="N697" s="122">
        <v>0.90902777777777777</v>
      </c>
      <c r="O697" s="56" t="s">
        <v>1047</v>
      </c>
      <c r="P697" s="121">
        <v>46266</v>
      </c>
      <c r="Q697" s="122">
        <v>0.93402777777777779</v>
      </c>
      <c r="R697" s="122">
        <v>0.92274305555555558</v>
      </c>
      <c r="S697" s="56" t="s">
        <v>1047</v>
      </c>
      <c r="T697" s="56">
        <v>1</v>
      </c>
      <c r="U697" s="56">
        <v>16</v>
      </c>
      <c r="V697" s="56">
        <v>7.73</v>
      </c>
      <c r="W697" s="56">
        <v>9.57</v>
      </c>
      <c r="X697" s="56" t="s">
        <v>2624</v>
      </c>
      <c r="Y697" s="56" t="s">
        <v>2624</v>
      </c>
      <c r="Z697" s="56" t="s">
        <v>2624</v>
      </c>
      <c r="AA697" s="56" t="s">
        <v>1972</v>
      </c>
      <c r="AB697" s="56">
        <v>14124160</v>
      </c>
      <c r="AC697" s="56" t="s">
        <v>1972</v>
      </c>
      <c r="AD697" s="56">
        <v>14124160</v>
      </c>
      <c r="AE697" s="56" t="s">
        <v>2626</v>
      </c>
      <c r="AF697" s="56" t="s">
        <v>2627</v>
      </c>
      <c r="AG697" s="56" t="s">
        <v>2627</v>
      </c>
      <c r="AH697" s="56">
        <v>36</v>
      </c>
      <c r="AI697" s="56" t="s">
        <v>2628</v>
      </c>
      <c r="AJ697" s="56" t="s">
        <v>2629</v>
      </c>
      <c r="AK697" s="56">
        <v>0</v>
      </c>
      <c r="AL697" s="56" t="s">
        <v>2630</v>
      </c>
      <c r="AM697" s="56" t="s">
        <v>2631</v>
      </c>
      <c r="AN697" s="56" t="s">
        <v>2632</v>
      </c>
      <c r="AO697" s="56" t="s">
        <v>2627</v>
      </c>
      <c r="AP697" s="56" t="s">
        <v>2624</v>
      </c>
      <c r="AQ697" s="123">
        <v>3.4722222222222099E-3</v>
      </c>
      <c r="AR697" s="122">
        <v>-1.128472222222221E-2</v>
      </c>
      <c r="AS697" s="56" t="s">
        <v>1048</v>
      </c>
      <c r="AT697" s="56" t="s">
        <v>1049</v>
      </c>
      <c r="AU697" s="56" t="s">
        <v>1050</v>
      </c>
      <c r="AV697" s="56">
        <v>36</v>
      </c>
      <c r="AW697" s="56" t="s">
        <v>1051</v>
      </c>
      <c r="AX697" s="56" t="s">
        <v>2107</v>
      </c>
      <c r="AY697" s="56" t="s">
        <v>1297</v>
      </c>
      <c r="AZ697" s="56" t="s">
        <v>1067</v>
      </c>
      <c r="BA697" s="56" t="s">
        <v>2108</v>
      </c>
      <c r="BB697" s="56" t="s">
        <v>2109</v>
      </c>
      <c r="BC697" s="56" t="s">
        <v>1157</v>
      </c>
      <c r="BD697" s="56" t="s">
        <v>2210</v>
      </c>
    </row>
    <row r="698" spans="1:56" x14ac:dyDescent="0.2">
      <c r="A698" s="56">
        <v>176600199</v>
      </c>
      <c r="B698" s="56" t="s">
        <v>1726</v>
      </c>
      <c r="C698" s="56" t="s">
        <v>2623</v>
      </c>
      <c r="D698" s="56" t="s">
        <v>1244</v>
      </c>
      <c r="E698" s="56" t="s">
        <v>1044</v>
      </c>
      <c r="F698" s="56">
        <v>267</v>
      </c>
      <c r="G698" s="56"/>
      <c r="H698" s="56">
        <v>17094</v>
      </c>
      <c r="I698" s="56">
        <v>6</v>
      </c>
      <c r="J698" s="56" t="s">
        <v>1045</v>
      </c>
      <c r="K698" s="56" t="s">
        <v>1116</v>
      </c>
      <c r="L698" s="121">
        <v>46266</v>
      </c>
      <c r="M698" s="122">
        <v>0.95138888888888884</v>
      </c>
      <c r="N698" s="122">
        <v>0.9555555555555556</v>
      </c>
      <c r="O698" s="56" t="s">
        <v>1047</v>
      </c>
      <c r="P698" s="121">
        <v>46266</v>
      </c>
      <c r="Q698" s="122">
        <v>0.95833333333333337</v>
      </c>
      <c r="R698" s="122">
        <v>0.95208333333333328</v>
      </c>
      <c r="S698" s="56" t="s">
        <v>1047</v>
      </c>
      <c r="T698" s="56">
        <v>1</v>
      </c>
      <c r="U698" s="56">
        <v>2</v>
      </c>
      <c r="V698" s="56">
        <v>0.39</v>
      </c>
      <c r="W698" s="56">
        <v>0.26</v>
      </c>
      <c r="X698" s="56" t="s">
        <v>2624</v>
      </c>
      <c r="Y698" s="56" t="s">
        <v>2624</v>
      </c>
      <c r="Z698" s="56" t="s">
        <v>2624</v>
      </c>
      <c r="AA698" s="56"/>
      <c r="AB698" s="56"/>
      <c r="AC698" s="56"/>
      <c r="AD698" s="56"/>
      <c r="AE698" s="56" t="s">
        <v>2626</v>
      </c>
      <c r="AF698" s="56" t="s">
        <v>2627</v>
      </c>
      <c r="AG698" s="56" t="s">
        <v>2627</v>
      </c>
      <c r="AH698" s="56">
        <v>36</v>
      </c>
      <c r="AI698" s="56" t="s">
        <v>2628</v>
      </c>
      <c r="AJ698" s="56" t="s">
        <v>2629</v>
      </c>
      <c r="AK698" s="56">
        <v>0</v>
      </c>
      <c r="AL698" s="56" t="s">
        <v>2630</v>
      </c>
      <c r="AM698" s="56" t="s">
        <v>2631</v>
      </c>
      <c r="AN698" s="56" t="s">
        <v>2632</v>
      </c>
      <c r="AO698" s="56" t="s">
        <v>2627</v>
      </c>
      <c r="AP698" s="56">
        <v>24</v>
      </c>
      <c r="AQ698" s="123">
        <v>4.1666666666667629E-3</v>
      </c>
      <c r="AR698" s="122">
        <v>-6.2500000000000888E-3</v>
      </c>
      <c r="AS698" s="56" t="s">
        <v>1048</v>
      </c>
      <c r="AT698" s="56" t="s">
        <v>1049</v>
      </c>
      <c r="AU698" s="56" t="s">
        <v>1050</v>
      </c>
      <c r="AV698" s="56">
        <v>36</v>
      </c>
      <c r="AW698" s="56" t="s">
        <v>1051</v>
      </c>
      <c r="AX698" s="56" t="s">
        <v>1245</v>
      </c>
      <c r="AY698" s="56" t="s">
        <v>1246</v>
      </c>
      <c r="AZ698" s="56" t="s">
        <v>1054</v>
      </c>
      <c r="BA698" s="56" t="s">
        <v>1247</v>
      </c>
      <c r="BB698" s="56" t="e">
        <v>#N/A</v>
      </c>
      <c r="BC698" s="56" t="s">
        <v>1157</v>
      </c>
      <c r="BD698" s="56" t="s">
        <v>1727</v>
      </c>
    </row>
  </sheetData>
  <conditionalFormatting sqref="A1:A113">
    <cfRule type="duplicateValues" dxfId="63" priority="2"/>
  </conditionalFormatting>
  <conditionalFormatting sqref="A114:A698">
    <cfRule type="duplicateValues" dxfId="6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2193-0441-46BA-B74F-B0A61DF3411F}">
  <dimension ref="A1:F7256"/>
  <sheetViews>
    <sheetView tabSelected="1" workbookViewId="0">
      <selection activeCell="D16" sqref="D16"/>
    </sheetView>
  </sheetViews>
  <sheetFormatPr baseColWidth="10" defaultRowHeight="12.75" x14ac:dyDescent="0.2"/>
  <cols>
    <col min="1" max="1" width="15.7109375" bestFit="1" customWidth="1"/>
    <col min="2" max="2" width="19.7109375" bestFit="1" customWidth="1"/>
    <col min="3" max="3" width="9" bestFit="1" customWidth="1"/>
    <col min="4" max="4" width="48.28515625" bestFit="1" customWidth="1"/>
    <col min="5" max="6" width="8" bestFit="1" customWidth="1"/>
  </cols>
  <sheetData>
    <row r="1" spans="1:6" ht="15" x14ac:dyDescent="0.25">
      <c r="A1" s="141" t="s">
        <v>2339</v>
      </c>
      <c r="B1" s="142" t="s">
        <v>2340</v>
      </c>
      <c r="C1" s="142" t="s">
        <v>2341</v>
      </c>
      <c r="D1" s="142" t="s">
        <v>2342</v>
      </c>
      <c r="E1" s="142" t="s">
        <v>2343</v>
      </c>
      <c r="F1" s="143" t="s">
        <v>2344</v>
      </c>
    </row>
    <row r="2" spans="1:6" x14ac:dyDescent="0.2">
      <c r="A2" s="163" t="s">
        <v>3724</v>
      </c>
      <c r="B2" s="164" t="s">
        <v>2519</v>
      </c>
      <c r="C2" s="164">
        <v>16124304</v>
      </c>
      <c r="D2" s="164" t="s">
        <v>2501</v>
      </c>
      <c r="E2" s="164" t="s">
        <v>3699</v>
      </c>
      <c r="F2" s="165">
        <v>1950</v>
      </c>
    </row>
    <row r="3" spans="1:6" x14ac:dyDescent="0.2">
      <c r="A3" s="166" t="s">
        <v>3724</v>
      </c>
      <c r="B3" s="167" t="s">
        <v>2519</v>
      </c>
      <c r="C3" s="167">
        <v>16123865</v>
      </c>
      <c r="D3" s="167" t="s">
        <v>2488</v>
      </c>
      <c r="E3" s="167" t="s">
        <v>3699</v>
      </c>
      <c r="F3" s="168">
        <v>2350</v>
      </c>
    </row>
    <row r="4" spans="1:6" x14ac:dyDescent="0.2">
      <c r="A4" s="163" t="s">
        <v>3724</v>
      </c>
      <c r="B4" s="164" t="s">
        <v>2518</v>
      </c>
      <c r="C4" s="164">
        <v>14124376</v>
      </c>
      <c r="D4" s="164" t="s">
        <v>2559</v>
      </c>
      <c r="E4" s="164" t="s">
        <v>3699</v>
      </c>
      <c r="F4" s="165">
        <v>268.36</v>
      </c>
    </row>
    <row r="5" spans="1:6" x14ac:dyDescent="0.2">
      <c r="A5" s="166" t="s">
        <v>3724</v>
      </c>
      <c r="B5" s="167" t="s">
        <v>2518</v>
      </c>
      <c r="C5" s="167">
        <v>14124352</v>
      </c>
      <c r="D5" s="167" t="s">
        <v>2555</v>
      </c>
      <c r="E5" s="167" t="s">
        <v>3699</v>
      </c>
      <c r="F5" s="168">
        <v>268.36</v>
      </c>
    </row>
    <row r="6" spans="1:6" x14ac:dyDescent="0.2">
      <c r="A6" s="163" t="s">
        <v>3724</v>
      </c>
      <c r="B6" s="164" t="s">
        <v>2518</v>
      </c>
      <c r="C6" s="164">
        <v>14124334</v>
      </c>
      <c r="D6" s="164" t="s">
        <v>2538</v>
      </c>
      <c r="E6" s="164" t="s">
        <v>3699</v>
      </c>
      <c r="F6" s="165">
        <v>645.79999999999995</v>
      </c>
    </row>
    <row r="7" spans="1:6" x14ac:dyDescent="0.2">
      <c r="A7" s="166" t="s">
        <v>3724</v>
      </c>
      <c r="B7" s="167" t="s">
        <v>2518</v>
      </c>
      <c r="C7" s="167">
        <v>14124320</v>
      </c>
      <c r="D7" s="167" t="s">
        <v>2404</v>
      </c>
      <c r="E7" s="167" t="s">
        <v>3699</v>
      </c>
      <c r="F7" s="168">
        <v>468.36</v>
      </c>
    </row>
    <row r="8" spans="1:6" x14ac:dyDescent="0.2">
      <c r="A8" s="163" t="s">
        <v>3724</v>
      </c>
      <c r="B8" s="164" t="s">
        <v>2518</v>
      </c>
      <c r="C8" s="164">
        <v>14124303</v>
      </c>
      <c r="D8" s="164" t="s">
        <v>2403</v>
      </c>
      <c r="E8" s="164" t="s">
        <v>3699</v>
      </c>
      <c r="F8" s="165">
        <v>645.79999999999995</v>
      </c>
    </row>
    <row r="9" spans="1:6" x14ac:dyDescent="0.2">
      <c r="A9" s="166" t="s">
        <v>3724</v>
      </c>
      <c r="B9" s="167" t="s">
        <v>2518</v>
      </c>
      <c r="C9" s="167">
        <v>14124286</v>
      </c>
      <c r="D9" s="167" t="s">
        <v>2401</v>
      </c>
      <c r="E9" s="167" t="s">
        <v>3699</v>
      </c>
      <c r="F9" s="168">
        <v>645.79999999999995</v>
      </c>
    </row>
    <row r="10" spans="1:6" x14ac:dyDescent="0.2">
      <c r="A10" s="163" t="s">
        <v>3724</v>
      </c>
      <c r="B10" s="164" t="s">
        <v>2518</v>
      </c>
      <c r="C10" s="164">
        <v>14124263</v>
      </c>
      <c r="D10" s="164" t="s">
        <v>2400</v>
      </c>
      <c r="E10" s="164" t="s">
        <v>3699</v>
      </c>
      <c r="F10" s="165">
        <v>268.36</v>
      </c>
    </row>
    <row r="11" spans="1:6" x14ac:dyDescent="0.2">
      <c r="A11" s="166" t="s">
        <v>3724</v>
      </c>
      <c r="B11" s="167" t="s">
        <v>2518</v>
      </c>
      <c r="C11" s="167">
        <v>14124260</v>
      </c>
      <c r="D11" s="167" t="s">
        <v>2397</v>
      </c>
      <c r="E11" s="167" t="s">
        <v>3699</v>
      </c>
      <c r="F11" s="168">
        <v>645.79999999999995</v>
      </c>
    </row>
    <row r="12" spans="1:6" x14ac:dyDescent="0.2">
      <c r="A12" s="163" t="s">
        <v>3724</v>
      </c>
      <c r="B12" s="164" t="s">
        <v>2518</v>
      </c>
      <c r="C12" s="164">
        <v>14124254</v>
      </c>
      <c r="D12" s="164" t="s">
        <v>2396</v>
      </c>
      <c r="E12" s="164" t="s">
        <v>3699</v>
      </c>
      <c r="F12" s="165">
        <v>645.79999999999995</v>
      </c>
    </row>
    <row r="13" spans="1:6" x14ac:dyDescent="0.2">
      <c r="A13" s="166" t="s">
        <v>3724</v>
      </c>
      <c r="B13" s="167" t="s">
        <v>2518</v>
      </c>
      <c r="C13" s="167">
        <v>14124244</v>
      </c>
      <c r="D13" s="167" t="s">
        <v>2393</v>
      </c>
      <c r="E13" s="167" t="s">
        <v>3699</v>
      </c>
      <c r="F13" s="168">
        <v>511.62</v>
      </c>
    </row>
    <row r="14" spans="1:6" x14ac:dyDescent="0.2">
      <c r="A14" s="163" t="s">
        <v>3724</v>
      </c>
      <c r="B14" s="164" t="s">
        <v>2518</v>
      </c>
      <c r="C14" s="164">
        <v>14124243</v>
      </c>
      <c r="D14" s="164" t="s">
        <v>2392</v>
      </c>
      <c r="E14" s="164" t="s">
        <v>3699</v>
      </c>
      <c r="F14" s="165">
        <v>645.79999999999995</v>
      </c>
    </row>
    <row r="15" spans="1:6" x14ac:dyDescent="0.2">
      <c r="A15" s="166" t="s">
        <v>3724</v>
      </c>
      <c r="B15" s="167" t="s">
        <v>2518</v>
      </c>
      <c r="C15" s="167">
        <v>14124240</v>
      </c>
      <c r="D15" s="167" t="s">
        <v>3700</v>
      </c>
      <c r="E15" s="167" t="s">
        <v>3699</v>
      </c>
      <c r="F15" s="168">
        <v>1291.5999999999999</v>
      </c>
    </row>
    <row r="16" spans="1:6" x14ac:dyDescent="0.2">
      <c r="A16" s="163" t="s">
        <v>3724</v>
      </c>
      <c r="B16" s="164" t="s">
        <v>2518</v>
      </c>
      <c r="C16" s="164">
        <v>14124206</v>
      </c>
      <c r="D16" s="164" t="s">
        <v>2391</v>
      </c>
      <c r="E16" s="164" t="s">
        <v>3699</v>
      </c>
      <c r="F16" s="165">
        <v>645.79999999999995</v>
      </c>
    </row>
    <row r="17" spans="1:6" x14ac:dyDescent="0.2">
      <c r="A17" s="166" t="s">
        <v>3724</v>
      </c>
      <c r="B17" s="167" t="s">
        <v>2518</v>
      </c>
      <c r="C17" s="167">
        <v>14124190</v>
      </c>
      <c r="D17" s="167" t="s">
        <v>2027</v>
      </c>
      <c r="E17" s="167" t="s">
        <v>3699</v>
      </c>
      <c r="F17" s="168">
        <v>134.18</v>
      </c>
    </row>
    <row r="18" spans="1:6" x14ac:dyDescent="0.2">
      <c r="A18" s="163" t="s">
        <v>3724</v>
      </c>
      <c r="B18" s="164" t="s">
        <v>2518</v>
      </c>
      <c r="C18" s="164">
        <v>14124189</v>
      </c>
      <c r="D18" s="164" t="s">
        <v>2390</v>
      </c>
      <c r="E18" s="164" t="s">
        <v>3699</v>
      </c>
      <c r="F18" s="165">
        <v>268.36</v>
      </c>
    </row>
    <row r="19" spans="1:6" x14ac:dyDescent="0.2">
      <c r="A19" s="166" t="s">
        <v>3724</v>
      </c>
      <c r="B19" s="167" t="s">
        <v>2518</v>
      </c>
      <c r="C19" s="167">
        <v>14124188</v>
      </c>
      <c r="D19" s="167" t="s">
        <v>2016</v>
      </c>
      <c r="E19" s="167" t="s">
        <v>3699</v>
      </c>
      <c r="F19" s="168">
        <v>268.36</v>
      </c>
    </row>
    <row r="20" spans="1:6" x14ac:dyDescent="0.2">
      <c r="A20" s="163" t="s">
        <v>3724</v>
      </c>
      <c r="B20" s="164" t="s">
        <v>2518</v>
      </c>
      <c r="C20" s="164">
        <v>14124187</v>
      </c>
      <c r="D20" s="164" t="s">
        <v>2022</v>
      </c>
      <c r="E20" s="164" t="s">
        <v>3699</v>
      </c>
      <c r="F20" s="165">
        <v>268.36</v>
      </c>
    </row>
    <row r="21" spans="1:6" x14ac:dyDescent="0.2">
      <c r="A21" s="166" t="s">
        <v>3724</v>
      </c>
      <c r="B21" s="167" t="s">
        <v>2518</v>
      </c>
      <c r="C21" s="167">
        <v>14124186</v>
      </c>
      <c r="D21" s="167" t="s">
        <v>2021</v>
      </c>
      <c r="E21" s="167" t="s">
        <v>3699</v>
      </c>
      <c r="F21" s="168">
        <v>645.79999999999995</v>
      </c>
    </row>
    <row r="22" spans="1:6" x14ac:dyDescent="0.2">
      <c r="A22" s="163" t="s">
        <v>3724</v>
      </c>
      <c r="B22" s="164" t="s">
        <v>2518</v>
      </c>
      <c r="C22" s="164">
        <v>14124185</v>
      </c>
      <c r="D22" s="164" t="s">
        <v>2018</v>
      </c>
      <c r="E22" s="164" t="s">
        <v>3699</v>
      </c>
      <c r="F22" s="165">
        <v>268.36</v>
      </c>
    </row>
    <row r="23" spans="1:6" x14ac:dyDescent="0.2">
      <c r="A23" s="166" t="s">
        <v>3724</v>
      </c>
      <c r="B23" s="167" t="s">
        <v>2518</v>
      </c>
      <c r="C23" s="167">
        <v>14124166</v>
      </c>
      <c r="D23" s="167" t="s">
        <v>1963</v>
      </c>
      <c r="E23" s="167" t="s">
        <v>3699</v>
      </c>
      <c r="F23" s="168">
        <v>645.79999999999995</v>
      </c>
    </row>
    <row r="24" spans="1:6" x14ac:dyDescent="0.2">
      <c r="A24" s="163" t="s">
        <v>3724</v>
      </c>
      <c r="B24" s="164" t="s">
        <v>2518</v>
      </c>
      <c r="C24" s="164">
        <v>14124165</v>
      </c>
      <c r="D24" s="164" t="s">
        <v>1923</v>
      </c>
      <c r="E24" s="164" t="s">
        <v>3699</v>
      </c>
      <c r="F24" s="165">
        <v>645.79999999999995</v>
      </c>
    </row>
    <row r="25" spans="1:6" x14ac:dyDescent="0.2">
      <c r="A25" s="166" t="s">
        <v>3724</v>
      </c>
      <c r="B25" s="167" t="s">
        <v>2518</v>
      </c>
      <c r="C25" s="167">
        <v>14124164</v>
      </c>
      <c r="D25" s="167" t="s">
        <v>1966</v>
      </c>
      <c r="E25" s="167" t="s">
        <v>3699</v>
      </c>
      <c r="F25" s="168">
        <v>268.36</v>
      </c>
    </row>
    <row r="26" spans="1:6" x14ac:dyDescent="0.2">
      <c r="A26" s="163" t="s">
        <v>3724</v>
      </c>
      <c r="B26" s="164" t="s">
        <v>2518</v>
      </c>
      <c r="C26" s="164">
        <v>14124162</v>
      </c>
      <c r="D26" s="164" t="s">
        <v>1998</v>
      </c>
      <c r="E26" s="164" t="s">
        <v>3699</v>
      </c>
      <c r="F26" s="165">
        <v>645.79999999999995</v>
      </c>
    </row>
    <row r="27" spans="1:6" x14ac:dyDescent="0.2">
      <c r="A27" s="166" t="s">
        <v>3724</v>
      </c>
      <c r="B27" s="167" t="s">
        <v>2518</v>
      </c>
      <c r="C27" s="167">
        <v>14124161</v>
      </c>
      <c r="D27" s="167" t="s">
        <v>2031</v>
      </c>
      <c r="E27" s="167" t="s">
        <v>3699</v>
      </c>
      <c r="F27" s="168">
        <v>268.36</v>
      </c>
    </row>
    <row r="28" spans="1:6" x14ac:dyDescent="0.2">
      <c r="A28" s="163" t="s">
        <v>3724</v>
      </c>
      <c r="B28" s="164" t="s">
        <v>2518</v>
      </c>
      <c r="C28" s="164">
        <v>14124160</v>
      </c>
      <c r="D28" s="164" t="s">
        <v>1972</v>
      </c>
      <c r="E28" s="164" t="s">
        <v>3699</v>
      </c>
      <c r="F28" s="165">
        <v>268.36</v>
      </c>
    </row>
    <row r="29" spans="1:6" x14ac:dyDescent="0.2">
      <c r="A29" s="166" t="s">
        <v>3724</v>
      </c>
      <c r="B29" s="167" t="s">
        <v>2518</v>
      </c>
      <c r="C29" s="167">
        <v>14124159</v>
      </c>
      <c r="D29" s="167" t="s">
        <v>2389</v>
      </c>
      <c r="E29" s="167" t="s">
        <v>3699</v>
      </c>
      <c r="F29" s="168">
        <v>268.36</v>
      </c>
    </row>
    <row r="30" spans="1:6" x14ac:dyDescent="0.2">
      <c r="A30" s="163" t="s">
        <v>3724</v>
      </c>
      <c r="B30" s="164" t="s">
        <v>2518</v>
      </c>
      <c r="C30" s="164">
        <v>14124157</v>
      </c>
      <c r="D30" s="164" t="s">
        <v>1918</v>
      </c>
      <c r="E30" s="164" t="s">
        <v>3699</v>
      </c>
      <c r="F30" s="165">
        <v>645.79999999999995</v>
      </c>
    </row>
    <row r="31" spans="1:6" x14ac:dyDescent="0.2">
      <c r="A31" s="166" t="s">
        <v>3724</v>
      </c>
      <c r="B31" s="167" t="s">
        <v>2518</v>
      </c>
      <c r="C31" s="167">
        <v>14124146</v>
      </c>
      <c r="D31" s="167" t="s">
        <v>2003</v>
      </c>
      <c r="E31" s="167" t="s">
        <v>3699</v>
      </c>
      <c r="F31" s="168">
        <v>268.36</v>
      </c>
    </row>
    <row r="32" spans="1:6" x14ac:dyDescent="0.2">
      <c r="A32" s="163" t="s">
        <v>3724</v>
      </c>
      <c r="B32" s="164" t="s">
        <v>2518</v>
      </c>
      <c r="C32" s="164">
        <v>14124144</v>
      </c>
      <c r="D32" s="164" t="s">
        <v>2388</v>
      </c>
      <c r="E32" s="164" t="s">
        <v>3699</v>
      </c>
      <c r="F32" s="165">
        <v>468.36</v>
      </c>
    </row>
    <row r="33" spans="1:6" x14ac:dyDescent="0.2">
      <c r="A33" s="166" t="s">
        <v>3724</v>
      </c>
      <c r="B33" s="167" t="s">
        <v>2518</v>
      </c>
      <c r="C33" s="167">
        <v>14124114</v>
      </c>
      <c r="D33" s="167" t="s">
        <v>1626</v>
      </c>
      <c r="E33" s="167" t="s">
        <v>3699</v>
      </c>
      <c r="F33" s="168">
        <v>645.79999999999995</v>
      </c>
    </row>
    <row r="34" spans="1:6" x14ac:dyDescent="0.2">
      <c r="A34" s="163" t="s">
        <v>3724</v>
      </c>
      <c r="B34" s="164" t="s">
        <v>2518</v>
      </c>
      <c r="C34" s="164">
        <v>14124113</v>
      </c>
      <c r="D34" s="164" t="s">
        <v>1624</v>
      </c>
      <c r="E34" s="164" t="s">
        <v>3699</v>
      </c>
      <c r="F34" s="165">
        <v>268.36</v>
      </c>
    </row>
    <row r="35" spans="1:6" x14ac:dyDescent="0.2">
      <c r="A35" s="166" t="s">
        <v>3724</v>
      </c>
      <c r="B35" s="167" t="s">
        <v>2518</v>
      </c>
      <c r="C35" s="167">
        <v>14124111</v>
      </c>
      <c r="D35" s="167" t="s">
        <v>1622</v>
      </c>
      <c r="E35" s="167" t="s">
        <v>3699</v>
      </c>
      <c r="F35" s="168">
        <v>645.79999999999995</v>
      </c>
    </row>
    <row r="36" spans="1:6" x14ac:dyDescent="0.2">
      <c r="A36" s="163" t="s">
        <v>3724</v>
      </c>
      <c r="B36" s="164" t="s">
        <v>2518</v>
      </c>
      <c r="C36" s="164">
        <v>14124106</v>
      </c>
      <c r="D36" s="164" t="s">
        <v>1621</v>
      </c>
      <c r="E36" s="164" t="s">
        <v>3699</v>
      </c>
      <c r="F36" s="165">
        <v>645.79999999999995</v>
      </c>
    </row>
    <row r="37" spans="1:6" x14ac:dyDescent="0.2">
      <c r="A37" s="166" t="s">
        <v>3724</v>
      </c>
      <c r="B37" s="167" t="s">
        <v>2518</v>
      </c>
      <c r="C37" s="167">
        <v>14124105</v>
      </c>
      <c r="D37" s="167" t="s">
        <v>1620</v>
      </c>
      <c r="E37" s="167" t="s">
        <v>3699</v>
      </c>
      <c r="F37" s="168">
        <v>1291.68</v>
      </c>
    </row>
    <row r="38" spans="1:6" x14ac:dyDescent="0.2">
      <c r="A38" s="163" t="s">
        <v>3724</v>
      </c>
      <c r="B38" s="164" t="s">
        <v>2518</v>
      </c>
      <c r="C38" s="164">
        <v>14124104</v>
      </c>
      <c r="D38" s="164" t="s">
        <v>1618</v>
      </c>
      <c r="E38" s="164" t="s">
        <v>3699</v>
      </c>
      <c r="F38" s="165">
        <v>268.36</v>
      </c>
    </row>
    <row r="39" spans="1:6" x14ac:dyDescent="0.2">
      <c r="A39" s="166" t="s">
        <v>3724</v>
      </c>
      <c r="B39" s="167" t="s">
        <v>2518</v>
      </c>
      <c r="C39" s="167">
        <v>14124091</v>
      </c>
      <c r="D39" s="167" t="s">
        <v>1617</v>
      </c>
      <c r="E39" s="167" t="s">
        <v>3699</v>
      </c>
      <c r="F39" s="168">
        <v>268.36</v>
      </c>
    </row>
    <row r="40" spans="1:6" x14ac:dyDescent="0.2">
      <c r="A40" s="163" t="s">
        <v>3724</v>
      </c>
      <c r="B40" s="164" t="s">
        <v>2518</v>
      </c>
      <c r="C40" s="164">
        <v>14124090</v>
      </c>
      <c r="D40" s="164" t="s">
        <v>1615</v>
      </c>
      <c r="E40" s="164" t="s">
        <v>3699</v>
      </c>
      <c r="F40" s="165">
        <v>468.36</v>
      </c>
    </row>
    <row r="41" spans="1:6" x14ac:dyDescent="0.2">
      <c r="A41" s="166" t="s">
        <v>3724</v>
      </c>
      <c r="B41" s="167" t="s">
        <v>2518</v>
      </c>
      <c r="C41" s="167">
        <v>14124076</v>
      </c>
      <c r="D41" s="167" t="s">
        <v>1613</v>
      </c>
      <c r="E41" s="167" t="s">
        <v>3699</v>
      </c>
      <c r="F41" s="168">
        <v>645.79999999999995</v>
      </c>
    </row>
    <row r="42" spans="1:6" x14ac:dyDescent="0.2">
      <c r="A42" s="163" t="s">
        <v>3724</v>
      </c>
      <c r="B42" s="164" t="s">
        <v>2518</v>
      </c>
      <c r="C42" s="164">
        <v>14124062</v>
      </c>
      <c r="D42" s="164" t="s">
        <v>1612</v>
      </c>
      <c r="E42" s="164" t="s">
        <v>3699</v>
      </c>
      <c r="F42" s="165">
        <v>645.79999999999995</v>
      </c>
    </row>
    <row r="43" spans="1:6" x14ac:dyDescent="0.2">
      <c r="A43" s="166" t="s">
        <v>3724</v>
      </c>
      <c r="B43" s="167" t="s">
        <v>2518</v>
      </c>
      <c r="C43" s="167">
        <v>14124061</v>
      </c>
      <c r="D43" s="167" t="s">
        <v>1610</v>
      </c>
      <c r="E43" s="167" t="s">
        <v>3699</v>
      </c>
      <c r="F43" s="168">
        <v>645.79999999999995</v>
      </c>
    </row>
    <row r="44" spans="1:6" x14ac:dyDescent="0.2">
      <c r="A44" s="163" t="s">
        <v>3724</v>
      </c>
      <c r="B44" s="164" t="s">
        <v>2518</v>
      </c>
      <c r="C44" s="164">
        <v>14124031</v>
      </c>
      <c r="D44" s="164" t="s">
        <v>1008</v>
      </c>
      <c r="E44" s="164" t="s">
        <v>3699</v>
      </c>
      <c r="F44" s="165">
        <v>1291.5999999999999</v>
      </c>
    </row>
    <row r="45" spans="1:6" x14ac:dyDescent="0.2">
      <c r="A45" s="166" t="s">
        <v>3724</v>
      </c>
      <c r="B45" s="167" t="s">
        <v>2518</v>
      </c>
      <c r="C45" s="167">
        <v>14124028</v>
      </c>
      <c r="D45" s="167" t="s">
        <v>1006</v>
      </c>
      <c r="E45" s="167" t="s">
        <v>3699</v>
      </c>
      <c r="F45" s="168">
        <v>1937.4</v>
      </c>
    </row>
    <row r="46" spans="1:6" x14ac:dyDescent="0.2">
      <c r="A46" s="163" t="s">
        <v>3724</v>
      </c>
      <c r="B46" s="164" t="s">
        <v>2518</v>
      </c>
      <c r="C46" s="164">
        <v>14124020</v>
      </c>
      <c r="D46" s="164" t="s">
        <v>1004</v>
      </c>
      <c r="E46" s="164" t="s">
        <v>3699</v>
      </c>
      <c r="F46" s="165">
        <v>1937.4</v>
      </c>
    </row>
    <row r="47" spans="1:6" x14ac:dyDescent="0.2">
      <c r="A47" s="166" t="s">
        <v>3724</v>
      </c>
      <c r="B47" s="167" t="s">
        <v>2518</v>
      </c>
      <c r="C47" s="167">
        <v>14124002</v>
      </c>
      <c r="D47" s="167" t="s">
        <v>1003</v>
      </c>
      <c r="E47" s="167" t="s">
        <v>3699</v>
      </c>
      <c r="F47" s="168">
        <v>268.36</v>
      </c>
    </row>
    <row r="48" spans="1:6" x14ac:dyDescent="0.2">
      <c r="A48" s="163" t="s">
        <v>3724</v>
      </c>
      <c r="B48" s="164" t="s">
        <v>2518</v>
      </c>
      <c r="C48" s="164">
        <v>14123988</v>
      </c>
      <c r="D48" s="164" t="s">
        <v>1002</v>
      </c>
      <c r="E48" s="164" t="s">
        <v>3699</v>
      </c>
      <c r="F48" s="165">
        <v>1291.5999999999999</v>
      </c>
    </row>
    <row r="49" spans="1:6" x14ac:dyDescent="0.2">
      <c r="A49" s="166" t="s">
        <v>3724</v>
      </c>
      <c r="B49" s="167" t="s">
        <v>2518</v>
      </c>
      <c r="C49" s="167">
        <v>14123987</v>
      </c>
      <c r="D49" s="167" t="s">
        <v>1001</v>
      </c>
      <c r="E49" s="167" t="s">
        <v>3699</v>
      </c>
      <c r="F49" s="168">
        <v>645.79999999999995</v>
      </c>
    </row>
    <row r="50" spans="1:6" x14ac:dyDescent="0.2">
      <c r="A50" s="163" t="s">
        <v>3724</v>
      </c>
      <c r="B50" s="164" t="s">
        <v>2518</v>
      </c>
      <c r="C50" s="164">
        <v>14123985</v>
      </c>
      <c r="D50" s="164" t="s">
        <v>999</v>
      </c>
      <c r="E50" s="164" t="s">
        <v>3699</v>
      </c>
      <c r="F50" s="165">
        <v>645.79999999999995</v>
      </c>
    </row>
    <row r="51" spans="1:6" x14ac:dyDescent="0.2">
      <c r="A51" s="166" t="s">
        <v>3724</v>
      </c>
      <c r="B51" s="167" t="s">
        <v>2518</v>
      </c>
      <c r="C51" s="167">
        <v>14123971</v>
      </c>
      <c r="D51" s="167" t="s">
        <v>997</v>
      </c>
      <c r="E51" s="167" t="s">
        <v>3699</v>
      </c>
      <c r="F51" s="168">
        <v>268.36</v>
      </c>
    </row>
    <row r="52" spans="1:6" x14ac:dyDescent="0.2">
      <c r="A52" s="163" t="s">
        <v>3724</v>
      </c>
      <c r="B52" s="164" t="s">
        <v>2518</v>
      </c>
      <c r="C52" s="164">
        <v>14123950</v>
      </c>
      <c r="D52" s="164" t="s">
        <v>995</v>
      </c>
      <c r="E52" s="164" t="s">
        <v>3699</v>
      </c>
      <c r="F52" s="165">
        <v>268.36</v>
      </c>
    </row>
    <row r="53" spans="1:6" x14ac:dyDescent="0.2">
      <c r="A53" s="166" t="s">
        <v>3724</v>
      </c>
      <c r="B53" s="167" t="s">
        <v>2518</v>
      </c>
      <c r="C53" s="167">
        <v>14123925</v>
      </c>
      <c r="D53" s="167" t="s">
        <v>992</v>
      </c>
      <c r="E53" s="167" t="s">
        <v>3699</v>
      </c>
      <c r="F53" s="168">
        <v>268.36</v>
      </c>
    </row>
    <row r="54" spans="1:6" x14ac:dyDescent="0.2">
      <c r="A54" s="163" t="s">
        <v>3724</v>
      </c>
      <c r="B54" s="164" t="s">
        <v>2518</v>
      </c>
      <c r="C54" s="164">
        <v>14123919</v>
      </c>
      <c r="D54" s="164" t="s">
        <v>990</v>
      </c>
      <c r="E54" s="164" t="s">
        <v>3699</v>
      </c>
      <c r="F54" s="165">
        <v>268.36</v>
      </c>
    </row>
    <row r="55" spans="1:6" x14ac:dyDescent="0.2">
      <c r="A55" s="166" t="s">
        <v>3724</v>
      </c>
      <c r="B55" s="167" t="s">
        <v>2518</v>
      </c>
      <c r="C55" s="167">
        <v>14123894</v>
      </c>
      <c r="D55" s="167" t="s">
        <v>982</v>
      </c>
      <c r="E55" s="167" t="s">
        <v>3699</v>
      </c>
      <c r="F55" s="168">
        <v>268.36</v>
      </c>
    </row>
    <row r="56" spans="1:6" x14ac:dyDescent="0.2">
      <c r="A56" s="163" t="s">
        <v>3724</v>
      </c>
      <c r="B56" s="164" t="s">
        <v>2518</v>
      </c>
      <c r="C56" s="164">
        <v>14123893</v>
      </c>
      <c r="D56" s="164" t="s">
        <v>980</v>
      </c>
      <c r="E56" s="164" t="s">
        <v>3699</v>
      </c>
      <c r="F56" s="165">
        <v>645.79999999999995</v>
      </c>
    </row>
    <row r="57" spans="1:6" x14ac:dyDescent="0.2">
      <c r="A57" s="166" t="s">
        <v>3724</v>
      </c>
      <c r="B57" s="167" t="s">
        <v>2518</v>
      </c>
      <c r="C57" s="167">
        <v>14123885</v>
      </c>
      <c r="D57" s="167" t="s">
        <v>979</v>
      </c>
      <c r="E57" s="167" t="s">
        <v>3699</v>
      </c>
      <c r="F57" s="168">
        <v>134.18</v>
      </c>
    </row>
    <row r="58" spans="1:6" x14ac:dyDescent="0.2">
      <c r="A58" s="163" t="s">
        <v>3724</v>
      </c>
      <c r="B58" s="164" t="s">
        <v>2518</v>
      </c>
      <c r="C58" s="164">
        <v>14123884</v>
      </c>
      <c r="D58" s="164" t="s">
        <v>977</v>
      </c>
      <c r="E58" s="164" t="s">
        <v>3699</v>
      </c>
      <c r="F58" s="165">
        <v>645.79999999999995</v>
      </c>
    </row>
    <row r="59" spans="1:6" x14ac:dyDescent="0.2">
      <c r="A59" s="166" t="s">
        <v>3724</v>
      </c>
      <c r="B59" s="167" t="s">
        <v>2518</v>
      </c>
      <c r="C59" s="167">
        <v>14123855</v>
      </c>
      <c r="D59" s="167" t="s">
        <v>976</v>
      </c>
      <c r="E59" s="167" t="s">
        <v>3699</v>
      </c>
      <c r="F59" s="168">
        <v>268.36</v>
      </c>
    </row>
    <row r="60" spans="1:6" x14ac:dyDescent="0.2">
      <c r="A60" s="163" t="s">
        <v>3724</v>
      </c>
      <c r="B60" s="164" t="s">
        <v>2518</v>
      </c>
      <c r="C60" s="164">
        <v>14123846</v>
      </c>
      <c r="D60" s="164" t="s">
        <v>975</v>
      </c>
      <c r="E60" s="164" t="s">
        <v>3699</v>
      </c>
      <c r="F60" s="165">
        <v>645.79999999999995</v>
      </c>
    </row>
    <row r="61" spans="1:6" x14ac:dyDescent="0.2">
      <c r="A61" s="166" t="s">
        <v>3724</v>
      </c>
      <c r="B61" s="167" t="s">
        <v>2518</v>
      </c>
      <c r="C61" s="167">
        <v>14123845</v>
      </c>
      <c r="D61" s="167" t="s">
        <v>974</v>
      </c>
      <c r="E61" s="167" t="s">
        <v>3699</v>
      </c>
      <c r="F61" s="168">
        <v>645.79999999999995</v>
      </c>
    </row>
    <row r="62" spans="1:6" x14ac:dyDescent="0.2">
      <c r="A62" s="163" t="s">
        <v>3724</v>
      </c>
      <c r="B62" s="164" t="s">
        <v>2518</v>
      </c>
      <c r="C62" s="164">
        <v>14123819</v>
      </c>
      <c r="D62" s="164" t="s">
        <v>968</v>
      </c>
      <c r="E62" s="164" t="s">
        <v>3699</v>
      </c>
      <c r="F62" s="165">
        <v>268.36</v>
      </c>
    </row>
    <row r="63" spans="1:6" x14ac:dyDescent="0.2">
      <c r="A63" s="166" t="s">
        <v>3724</v>
      </c>
      <c r="B63" s="167" t="s">
        <v>2518</v>
      </c>
      <c r="C63" s="167">
        <v>14123808</v>
      </c>
      <c r="D63" s="167" t="s">
        <v>966</v>
      </c>
      <c r="E63" s="167" t="s">
        <v>3699</v>
      </c>
      <c r="F63" s="168">
        <v>268.36</v>
      </c>
    </row>
    <row r="64" spans="1:6" x14ac:dyDescent="0.2">
      <c r="A64" s="163" t="s">
        <v>3724</v>
      </c>
      <c r="B64" s="164" t="s">
        <v>2518</v>
      </c>
      <c r="C64" s="164">
        <v>14123789</v>
      </c>
      <c r="D64" s="164" t="s">
        <v>965</v>
      </c>
      <c r="E64" s="164" t="s">
        <v>3699</v>
      </c>
      <c r="F64" s="165">
        <v>268.36</v>
      </c>
    </row>
    <row r="65" spans="1:6" x14ac:dyDescent="0.2">
      <c r="A65" s="166" t="s">
        <v>3724</v>
      </c>
      <c r="B65" s="167" t="s">
        <v>2518</v>
      </c>
      <c r="C65" s="167">
        <v>14123771</v>
      </c>
      <c r="D65" s="167" t="s">
        <v>962</v>
      </c>
      <c r="E65" s="167" t="s">
        <v>3699</v>
      </c>
      <c r="F65" s="168">
        <v>645.79999999999995</v>
      </c>
    </row>
    <row r="66" spans="1:6" x14ac:dyDescent="0.2">
      <c r="A66" s="163" t="s">
        <v>3724</v>
      </c>
      <c r="B66" s="164" t="s">
        <v>2518</v>
      </c>
      <c r="C66" s="164">
        <v>14123770</v>
      </c>
      <c r="D66" s="164" t="s">
        <v>961</v>
      </c>
      <c r="E66" s="164" t="s">
        <v>3699</v>
      </c>
      <c r="F66" s="165">
        <v>268.36</v>
      </c>
    </row>
    <row r="67" spans="1:6" x14ac:dyDescent="0.2">
      <c r="A67" s="166" t="s">
        <v>3724</v>
      </c>
      <c r="B67" s="167" t="s">
        <v>2518</v>
      </c>
      <c r="C67" s="167">
        <v>14123725</v>
      </c>
      <c r="D67" s="167" t="s">
        <v>958</v>
      </c>
      <c r="E67" s="167" t="s">
        <v>3699</v>
      </c>
      <c r="F67" s="168">
        <v>268.36</v>
      </c>
    </row>
    <row r="68" spans="1:6" x14ac:dyDescent="0.2">
      <c r="A68" s="163" t="s">
        <v>3724</v>
      </c>
      <c r="B68" s="164" t="s">
        <v>2518</v>
      </c>
      <c r="C68" s="164">
        <v>14123720</v>
      </c>
      <c r="D68" s="164" t="s">
        <v>957</v>
      </c>
      <c r="E68" s="164" t="s">
        <v>3699</v>
      </c>
      <c r="F68" s="165">
        <v>268.36</v>
      </c>
    </row>
    <row r="69" spans="1:6" x14ac:dyDescent="0.2">
      <c r="A69" s="166" t="s">
        <v>3724</v>
      </c>
      <c r="B69" s="167" t="s">
        <v>2518</v>
      </c>
      <c r="C69" s="167">
        <v>14123708</v>
      </c>
      <c r="D69" s="167" t="s">
        <v>949</v>
      </c>
      <c r="E69" s="167" t="s">
        <v>3699</v>
      </c>
      <c r="F69" s="168">
        <v>645.79999999999995</v>
      </c>
    </row>
    <row r="70" spans="1:6" x14ac:dyDescent="0.2">
      <c r="A70" s="163" t="s">
        <v>3724</v>
      </c>
      <c r="B70" s="164" t="s">
        <v>2518</v>
      </c>
      <c r="C70" s="164">
        <v>14123704</v>
      </c>
      <c r="D70" s="164" t="s">
        <v>946</v>
      </c>
      <c r="E70" s="164" t="s">
        <v>3699</v>
      </c>
      <c r="F70" s="165">
        <v>268.36</v>
      </c>
    </row>
    <row r="71" spans="1:6" x14ac:dyDescent="0.2">
      <c r="A71" s="166" t="s">
        <v>3724</v>
      </c>
      <c r="B71" s="167" t="s">
        <v>2518</v>
      </c>
      <c r="C71" s="167">
        <v>14123702</v>
      </c>
      <c r="D71" s="167" t="s">
        <v>944</v>
      </c>
      <c r="E71" s="167" t="s">
        <v>3699</v>
      </c>
      <c r="F71" s="168">
        <v>645.79999999999995</v>
      </c>
    </row>
    <row r="72" spans="1:6" x14ac:dyDescent="0.2">
      <c r="A72" s="163" t="s">
        <v>3724</v>
      </c>
      <c r="B72" s="164" t="s">
        <v>2518</v>
      </c>
      <c r="C72" s="164">
        <v>14123657</v>
      </c>
      <c r="D72" s="164" t="s">
        <v>941</v>
      </c>
      <c r="E72" s="164" t="s">
        <v>3699</v>
      </c>
      <c r="F72" s="165">
        <v>1937.4</v>
      </c>
    </row>
    <row r="73" spans="1:6" x14ac:dyDescent="0.2">
      <c r="A73" s="166" t="s">
        <v>3724</v>
      </c>
      <c r="B73" s="167" t="s">
        <v>2518</v>
      </c>
      <c r="C73" s="167">
        <v>14123656</v>
      </c>
      <c r="D73" s="167" t="s">
        <v>940</v>
      </c>
      <c r="E73" s="167" t="s">
        <v>3699</v>
      </c>
      <c r="F73" s="168">
        <v>645.79999999999995</v>
      </c>
    </row>
    <row r="74" spans="1:6" x14ac:dyDescent="0.2">
      <c r="A74" s="163" t="s">
        <v>3724</v>
      </c>
      <c r="B74" s="164" t="s">
        <v>2518</v>
      </c>
      <c r="C74" s="164">
        <v>14123654</v>
      </c>
      <c r="D74" s="164" t="s">
        <v>938</v>
      </c>
      <c r="E74" s="164" t="s">
        <v>3699</v>
      </c>
      <c r="F74" s="165">
        <v>645.79999999999995</v>
      </c>
    </row>
    <row r="75" spans="1:6" x14ac:dyDescent="0.2">
      <c r="A75" s="166" t="s">
        <v>3724</v>
      </c>
      <c r="B75" s="167" t="s">
        <v>2518</v>
      </c>
      <c r="C75" s="167">
        <v>14123652</v>
      </c>
      <c r="D75" s="167" t="s">
        <v>910</v>
      </c>
      <c r="E75" s="167" t="s">
        <v>3699</v>
      </c>
      <c r="F75" s="168">
        <v>268.36</v>
      </c>
    </row>
    <row r="76" spans="1:6" x14ac:dyDescent="0.2">
      <c r="A76" s="163" t="s">
        <v>3724</v>
      </c>
      <c r="B76" s="164" t="s">
        <v>2518</v>
      </c>
      <c r="C76" s="164">
        <v>14123651</v>
      </c>
      <c r="D76" s="164" t="s">
        <v>909</v>
      </c>
      <c r="E76" s="164" t="s">
        <v>3699</v>
      </c>
      <c r="F76" s="165">
        <v>268.36</v>
      </c>
    </row>
    <row r="77" spans="1:6" x14ac:dyDescent="0.2">
      <c r="A77" s="166" t="s">
        <v>3724</v>
      </c>
      <c r="B77" s="167" t="s">
        <v>2518</v>
      </c>
      <c r="C77" s="167">
        <v>14123649</v>
      </c>
      <c r="D77" s="167" t="s">
        <v>907</v>
      </c>
      <c r="E77" s="167" t="s">
        <v>3699</v>
      </c>
      <c r="F77" s="168">
        <v>268.36</v>
      </c>
    </row>
    <row r="78" spans="1:6" x14ac:dyDescent="0.2">
      <c r="A78" s="163" t="s">
        <v>3724</v>
      </c>
      <c r="B78" s="164" t="s">
        <v>2518</v>
      </c>
      <c r="C78" s="164">
        <v>14123642</v>
      </c>
      <c r="D78" s="164" t="s">
        <v>906</v>
      </c>
      <c r="E78" s="164" t="s">
        <v>3699</v>
      </c>
      <c r="F78" s="165">
        <v>645.79999999999995</v>
      </c>
    </row>
    <row r="79" spans="1:6" x14ac:dyDescent="0.2">
      <c r="A79" s="166" t="s">
        <v>3724</v>
      </c>
      <c r="B79" s="167" t="s">
        <v>2518</v>
      </c>
      <c r="C79" s="167">
        <v>14123640</v>
      </c>
      <c r="D79" s="167" t="s">
        <v>905</v>
      </c>
      <c r="E79" s="167" t="s">
        <v>3699</v>
      </c>
      <c r="F79" s="168">
        <v>645.79999999999995</v>
      </c>
    </row>
    <row r="80" spans="1:6" x14ac:dyDescent="0.2">
      <c r="A80" s="163" t="s">
        <v>3724</v>
      </c>
      <c r="B80" s="164" t="s">
        <v>2518</v>
      </c>
      <c r="C80" s="164">
        <v>14123635</v>
      </c>
      <c r="D80" s="164" t="s">
        <v>904</v>
      </c>
      <c r="E80" s="164" t="s">
        <v>3699</v>
      </c>
      <c r="F80" s="165">
        <v>268.36</v>
      </c>
    </row>
    <row r="81" spans="1:6" x14ac:dyDescent="0.2">
      <c r="A81" s="166" t="s">
        <v>3724</v>
      </c>
      <c r="B81" s="167" t="s">
        <v>2518</v>
      </c>
      <c r="C81" s="167">
        <v>14123634</v>
      </c>
      <c r="D81" s="167" t="s">
        <v>902</v>
      </c>
      <c r="E81" s="167" t="s">
        <v>3699</v>
      </c>
      <c r="F81" s="168">
        <v>134.18</v>
      </c>
    </row>
    <row r="82" spans="1:6" x14ac:dyDescent="0.2">
      <c r="A82" s="163" t="s">
        <v>3724</v>
      </c>
      <c r="B82" s="164" t="s">
        <v>2518</v>
      </c>
      <c r="C82" s="164">
        <v>14123599</v>
      </c>
      <c r="D82" s="164" t="s">
        <v>555</v>
      </c>
      <c r="E82" s="164" t="s">
        <v>3699</v>
      </c>
      <c r="F82" s="165">
        <v>445.8</v>
      </c>
    </row>
    <row r="83" spans="1:6" x14ac:dyDescent="0.2">
      <c r="A83" s="166" t="s">
        <v>3724</v>
      </c>
      <c r="B83" s="167" t="s">
        <v>2518</v>
      </c>
      <c r="C83" s="167">
        <v>14123591</v>
      </c>
      <c r="D83" s="167" t="s">
        <v>554</v>
      </c>
      <c r="E83" s="167" t="s">
        <v>3699</v>
      </c>
      <c r="F83" s="168">
        <v>134.18</v>
      </c>
    </row>
    <row r="84" spans="1:6" x14ac:dyDescent="0.2">
      <c r="A84" s="163" t="s">
        <v>3724</v>
      </c>
      <c r="B84" s="164" t="s">
        <v>2518</v>
      </c>
      <c r="C84" s="164">
        <v>14123573</v>
      </c>
      <c r="D84" s="164" t="s">
        <v>552</v>
      </c>
      <c r="E84" s="164" t="s">
        <v>3699</v>
      </c>
      <c r="F84" s="165">
        <v>268.36</v>
      </c>
    </row>
    <row r="85" spans="1:6" x14ac:dyDescent="0.2">
      <c r="A85" s="166" t="s">
        <v>3724</v>
      </c>
      <c r="B85" s="167" t="s">
        <v>2518</v>
      </c>
      <c r="C85" s="167">
        <v>14123572</v>
      </c>
      <c r="D85" s="167" t="s">
        <v>551</v>
      </c>
      <c r="E85" s="167" t="s">
        <v>3699</v>
      </c>
      <c r="F85" s="168">
        <v>268.36</v>
      </c>
    </row>
    <row r="86" spans="1:6" x14ac:dyDescent="0.2">
      <c r="A86" s="163" t="s">
        <v>3724</v>
      </c>
      <c r="B86" s="164" t="s">
        <v>2518</v>
      </c>
      <c r="C86" s="164">
        <v>14123570</v>
      </c>
      <c r="D86" s="164" t="s">
        <v>549</v>
      </c>
      <c r="E86" s="164" t="s">
        <v>3699</v>
      </c>
      <c r="F86" s="165">
        <v>268.36</v>
      </c>
    </row>
    <row r="87" spans="1:6" x14ac:dyDescent="0.2">
      <c r="A87" s="166" t="s">
        <v>3724</v>
      </c>
      <c r="B87" s="167" t="s">
        <v>2518</v>
      </c>
      <c r="C87" s="167">
        <v>14123568</v>
      </c>
      <c r="D87" s="167" t="s">
        <v>547</v>
      </c>
      <c r="E87" s="167" t="s">
        <v>3699</v>
      </c>
      <c r="F87" s="168">
        <v>268.36</v>
      </c>
    </row>
    <row r="88" spans="1:6" x14ac:dyDescent="0.2">
      <c r="A88" s="163" t="s">
        <v>3724</v>
      </c>
      <c r="B88" s="164" t="s">
        <v>2518</v>
      </c>
      <c r="C88" s="164">
        <v>14123562</v>
      </c>
      <c r="D88" s="164" t="s">
        <v>546</v>
      </c>
      <c r="E88" s="164" t="s">
        <v>3699</v>
      </c>
      <c r="F88" s="165">
        <v>645.79999999999995</v>
      </c>
    </row>
    <row r="89" spans="1:6" x14ac:dyDescent="0.2">
      <c r="A89" s="166" t="s">
        <v>3724</v>
      </c>
      <c r="B89" s="167" t="s">
        <v>2518</v>
      </c>
      <c r="C89" s="167">
        <v>14123559</v>
      </c>
      <c r="D89" s="167" t="s">
        <v>545</v>
      </c>
      <c r="E89" s="167" t="s">
        <v>3699</v>
      </c>
      <c r="F89" s="168">
        <v>268.36</v>
      </c>
    </row>
    <row r="90" spans="1:6" x14ac:dyDescent="0.2">
      <c r="A90" s="163" t="s">
        <v>3724</v>
      </c>
      <c r="B90" s="164" t="s">
        <v>2518</v>
      </c>
      <c r="C90" s="164">
        <v>14123541</v>
      </c>
      <c r="D90" s="164" t="s">
        <v>543</v>
      </c>
      <c r="E90" s="164" t="s">
        <v>3699</v>
      </c>
      <c r="F90" s="165">
        <v>268.36</v>
      </c>
    </row>
    <row r="91" spans="1:6" x14ac:dyDescent="0.2">
      <c r="A91" s="166" t="s">
        <v>3724</v>
      </c>
      <c r="B91" s="167" t="s">
        <v>2518</v>
      </c>
      <c r="C91" s="167">
        <v>14123536</v>
      </c>
      <c r="D91" s="167" t="s">
        <v>542</v>
      </c>
      <c r="E91" s="167" t="s">
        <v>3699</v>
      </c>
      <c r="F91" s="168">
        <v>268.36</v>
      </c>
    </row>
    <row r="92" spans="1:6" x14ac:dyDescent="0.2">
      <c r="A92" s="163" t="s">
        <v>3724</v>
      </c>
      <c r="B92" s="164" t="s">
        <v>2518</v>
      </c>
      <c r="C92" s="164">
        <v>14123530</v>
      </c>
      <c r="D92" s="164" t="s">
        <v>541</v>
      </c>
      <c r="E92" s="164" t="s">
        <v>3699</v>
      </c>
      <c r="F92" s="165">
        <v>268.36</v>
      </c>
    </row>
    <row r="93" spans="1:6" x14ac:dyDescent="0.2">
      <c r="A93" s="166" t="s">
        <v>3724</v>
      </c>
      <c r="B93" s="167" t="s">
        <v>2518</v>
      </c>
      <c r="C93" s="167">
        <v>14123528</v>
      </c>
      <c r="D93" s="167" t="s">
        <v>540</v>
      </c>
      <c r="E93" s="167" t="s">
        <v>3699</v>
      </c>
      <c r="F93" s="168">
        <v>445.8</v>
      </c>
    </row>
    <row r="94" spans="1:6" x14ac:dyDescent="0.2">
      <c r="A94" s="163" t="s">
        <v>3724</v>
      </c>
      <c r="B94" s="164" t="s">
        <v>2518</v>
      </c>
      <c r="C94" s="164">
        <v>14123527</v>
      </c>
      <c r="D94" s="164" t="s">
        <v>539</v>
      </c>
      <c r="E94" s="164" t="s">
        <v>3699</v>
      </c>
      <c r="F94" s="165">
        <v>468.36</v>
      </c>
    </row>
    <row r="95" spans="1:6" x14ac:dyDescent="0.2">
      <c r="A95" s="166" t="s">
        <v>3724</v>
      </c>
      <c r="B95" s="167" t="s">
        <v>2518</v>
      </c>
      <c r="C95" s="167">
        <v>14123526</v>
      </c>
      <c r="D95" s="167" t="s">
        <v>538</v>
      </c>
      <c r="E95" s="167" t="s">
        <v>3699</v>
      </c>
      <c r="F95" s="168">
        <v>645.79999999999995</v>
      </c>
    </row>
    <row r="96" spans="1:6" x14ac:dyDescent="0.2">
      <c r="A96" s="163" t="s">
        <v>3724</v>
      </c>
      <c r="B96" s="164" t="s">
        <v>2518</v>
      </c>
      <c r="C96" s="164">
        <v>14123523</v>
      </c>
      <c r="D96" s="164" t="s">
        <v>537</v>
      </c>
      <c r="E96" s="164" t="s">
        <v>3699</v>
      </c>
      <c r="F96" s="165">
        <v>645.79999999999995</v>
      </c>
    </row>
    <row r="97" spans="1:6" x14ac:dyDescent="0.2">
      <c r="A97" s="166" t="s">
        <v>3724</v>
      </c>
      <c r="B97" s="167" t="s">
        <v>2518</v>
      </c>
      <c r="C97" s="167">
        <v>14123519</v>
      </c>
      <c r="D97" s="167" t="s">
        <v>535</v>
      </c>
      <c r="E97" s="167" t="s">
        <v>3699</v>
      </c>
      <c r="F97" s="168">
        <v>645.79999999999995</v>
      </c>
    </row>
    <row r="98" spans="1:6" x14ac:dyDescent="0.2">
      <c r="A98" s="163" t="s">
        <v>3724</v>
      </c>
      <c r="B98" s="164" t="s">
        <v>2518</v>
      </c>
      <c r="C98" s="164">
        <v>14123516</v>
      </c>
      <c r="D98" s="164" t="s">
        <v>534</v>
      </c>
      <c r="E98" s="164" t="s">
        <v>3699</v>
      </c>
      <c r="F98" s="165">
        <v>645.79999999999995</v>
      </c>
    </row>
    <row r="99" spans="1:6" x14ac:dyDescent="0.2">
      <c r="A99" s="166" t="s">
        <v>3724</v>
      </c>
      <c r="B99" s="167" t="s">
        <v>2518</v>
      </c>
      <c r="C99" s="167">
        <v>14123514</v>
      </c>
      <c r="D99" s="167" t="s">
        <v>533</v>
      </c>
      <c r="E99" s="167" t="s">
        <v>3699</v>
      </c>
      <c r="F99" s="168">
        <v>645.79999999999995</v>
      </c>
    </row>
    <row r="100" spans="1:6" x14ac:dyDescent="0.2">
      <c r="A100" s="163" t="s">
        <v>3724</v>
      </c>
      <c r="B100" s="164" t="s">
        <v>2518</v>
      </c>
      <c r="C100" s="164">
        <v>14123489</v>
      </c>
      <c r="D100" s="164" t="s">
        <v>528</v>
      </c>
      <c r="E100" s="164" t="s">
        <v>3699</v>
      </c>
      <c r="F100" s="165">
        <v>645.79999999999995</v>
      </c>
    </row>
    <row r="101" spans="1:6" x14ac:dyDescent="0.2">
      <c r="A101" s="166" t="s">
        <v>3724</v>
      </c>
      <c r="B101" s="167" t="s">
        <v>2518</v>
      </c>
      <c r="C101" s="167">
        <v>14123488</v>
      </c>
      <c r="D101" s="167" t="s">
        <v>527</v>
      </c>
      <c r="E101" s="167" t="s">
        <v>3699</v>
      </c>
      <c r="F101" s="168">
        <v>268.36</v>
      </c>
    </row>
    <row r="102" spans="1:6" x14ac:dyDescent="0.2">
      <c r="A102" s="163" t="s">
        <v>3724</v>
      </c>
      <c r="B102" s="164" t="s">
        <v>2518</v>
      </c>
      <c r="C102" s="164">
        <v>14123473</v>
      </c>
      <c r="D102" s="164" t="s">
        <v>526</v>
      </c>
      <c r="E102" s="164" t="s">
        <v>3699</v>
      </c>
      <c r="F102" s="165">
        <v>268.36</v>
      </c>
    </row>
    <row r="103" spans="1:6" x14ac:dyDescent="0.2">
      <c r="A103" s="166" t="s">
        <v>3724</v>
      </c>
      <c r="B103" s="167" t="s">
        <v>2518</v>
      </c>
      <c r="C103" s="167">
        <v>14123471</v>
      </c>
      <c r="D103" s="167" t="s">
        <v>525</v>
      </c>
      <c r="E103" s="167" t="s">
        <v>3699</v>
      </c>
      <c r="F103" s="168">
        <v>645.79999999999995</v>
      </c>
    </row>
    <row r="104" spans="1:6" x14ac:dyDescent="0.2">
      <c r="A104" s="163" t="s">
        <v>3724</v>
      </c>
      <c r="B104" s="164" t="s">
        <v>2518</v>
      </c>
      <c r="C104" s="164">
        <v>14123461</v>
      </c>
      <c r="D104" s="164" t="s">
        <v>523</v>
      </c>
      <c r="E104" s="164" t="s">
        <v>3699</v>
      </c>
      <c r="F104" s="165">
        <v>645.79999999999995</v>
      </c>
    </row>
    <row r="105" spans="1:6" x14ac:dyDescent="0.2">
      <c r="A105" s="166" t="s">
        <v>3724</v>
      </c>
      <c r="B105" s="167" t="s">
        <v>2518</v>
      </c>
      <c r="C105" s="167">
        <v>14123460</v>
      </c>
      <c r="D105" s="167" t="s">
        <v>522</v>
      </c>
      <c r="E105" s="167" t="s">
        <v>3699</v>
      </c>
      <c r="F105" s="168">
        <v>268.36</v>
      </c>
    </row>
    <row r="106" spans="1:6" x14ac:dyDescent="0.2">
      <c r="A106" s="163" t="s">
        <v>3724</v>
      </c>
      <c r="B106" s="164" t="s">
        <v>2518</v>
      </c>
      <c r="C106" s="164">
        <v>14123447</v>
      </c>
      <c r="D106" s="164" t="s">
        <v>520</v>
      </c>
      <c r="E106" s="164" t="s">
        <v>3699</v>
      </c>
      <c r="F106" s="165">
        <v>645.79999999999995</v>
      </c>
    </row>
    <row r="107" spans="1:6" x14ac:dyDescent="0.2">
      <c r="A107" s="166" t="s">
        <v>3724</v>
      </c>
      <c r="B107" s="167" t="s">
        <v>2518</v>
      </c>
      <c r="C107" s="167">
        <v>14123445</v>
      </c>
      <c r="D107" s="167" t="s">
        <v>518</v>
      </c>
      <c r="E107" s="167" t="s">
        <v>3699</v>
      </c>
      <c r="F107" s="168">
        <v>645.79999999999995</v>
      </c>
    </row>
    <row r="108" spans="1:6" x14ac:dyDescent="0.2">
      <c r="A108" s="163" t="s">
        <v>3724</v>
      </c>
      <c r="B108" s="164" t="s">
        <v>2518</v>
      </c>
      <c r="C108" s="164">
        <v>14123377</v>
      </c>
      <c r="D108" s="164" t="s">
        <v>516</v>
      </c>
      <c r="E108" s="164" t="s">
        <v>3699</v>
      </c>
      <c r="F108" s="165">
        <v>645.79999999999995</v>
      </c>
    </row>
    <row r="109" spans="1:6" x14ac:dyDescent="0.2">
      <c r="A109" s="166" t="s">
        <v>3724</v>
      </c>
      <c r="B109" s="167" t="s">
        <v>2518</v>
      </c>
      <c r="C109" s="167">
        <v>14123375</v>
      </c>
      <c r="D109" s="167" t="s">
        <v>515</v>
      </c>
      <c r="E109" s="167" t="s">
        <v>3699</v>
      </c>
      <c r="F109" s="168">
        <v>268.36</v>
      </c>
    </row>
    <row r="110" spans="1:6" x14ac:dyDescent="0.2">
      <c r="A110" s="163" t="s">
        <v>3724</v>
      </c>
      <c r="B110" s="164" t="s">
        <v>2518</v>
      </c>
      <c r="C110" s="164">
        <v>14123336</v>
      </c>
      <c r="D110" s="164" t="s">
        <v>514</v>
      </c>
      <c r="E110" s="164" t="s">
        <v>3699</v>
      </c>
      <c r="F110" s="165">
        <v>268.36</v>
      </c>
    </row>
    <row r="111" spans="1:6" x14ac:dyDescent="0.2">
      <c r="A111" s="166" t="s">
        <v>3724</v>
      </c>
      <c r="B111" s="167" t="s">
        <v>2518</v>
      </c>
      <c r="C111" s="167">
        <v>14123334</v>
      </c>
      <c r="D111" s="167" t="s">
        <v>513</v>
      </c>
      <c r="E111" s="167" t="s">
        <v>3699</v>
      </c>
      <c r="F111" s="168">
        <v>645.79999999999995</v>
      </c>
    </row>
    <row r="112" spans="1:6" x14ac:dyDescent="0.2">
      <c r="A112" s="163" t="s">
        <v>3724</v>
      </c>
      <c r="B112" s="164" t="s">
        <v>2518</v>
      </c>
      <c r="C112" s="164">
        <v>14123332</v>
      </c>
      <c r="D112" s="164" t="s">
        <v>512</v>
      </c>
      <c r="E112" s="164" t="s">
        <v>3699</v>
      </c>
      <c r="F112" s="165">
        <v>916.16</v>
      </c>
    </row>
    <row r="113" spans="1:6" x14ac:dyDescent="0.2">
      <c r="A113" s="166" t="s">
        <v>3724</v>
      </c>
      <c r="B113" s="167" t="s">
        <v>2518</v>
      </c>
      <c r="C113" s="167">
        <v>14123331</v>
      </c>
      <c r="D113" s="167" t="s">
        <v>511</v>
      </c>
      <c r="E113" s="167" t="s">
        <v>3699</v>
      </c>
      <c r="F113" s="168">
        <v>645.79999999999995</v>
      </c>
    </row>
    <row r="114" spans="1:6" x14ac:dyDescent="0.2">
      <c r="A114" s="163" t="s">
        <v>3724</v>
      </c>
      <c r="B114" s="164" t="s">
        <v>2518</v>
      </c>
      <c r="C114" s="164">
        <v>14123312</v>
      </c>
      <c r="D114" s="164" t="s">
        <v>507</v>
      </c>
      <c r="E114" s="164" t="s">
        <v>3699</v>
      </c>
      <c r="F114" s="165">
        <v>268.36</v>
      </c>
    </row>
    <row r="115" spans="1:6" x14ac:dyDescent="0.2">
      <c r="A115" s="166" t="s">
        <v>3724</v>
      </c>
      <c r="B115" s="167" t="s">
        <v>2518</v>
      </c>
      <c r="C115" s="167">
        <v>14123277</v>
      </c>
      <c r="D115" s="167" t="s">
        <v>505</v>
      </c>
      <c r="E115" s="167" t="s">
        <v>3699</v>
      </c>
      <c r="F115" s="168">
        <v>445.8</v>
      </c>
    </row>
    <row r="116" spans="1:6" x14ac:dyDescent="0.2">
      <c r="A116" s="163" t="s">
        <v>3724</v>
      </c>
      <c r="B116" s="164" t="s">
        <v>2518</v>
      </c>
      <c r="C116" s="164">
        <v>14123273</v>
      </c>
      <c r="D116" s="164" t="s">
        <v>501</v>
      </c>
      <c r="E116" s="164" t="s">
        <v>3699</v>
      </c>
      <c r="F116" s="165">
        <v>268.36</v>
      </c>
    </row>
    <row r="117" spans="1:6" x14ac:dyDescent="0.2">
      <c r="A117" s="166" t="s">
        <v>3724</v>
      </c>
      <c r="B117" s="167" t="s">
        <v>2518</v>
      </c>
      <c r="C117" s="167">
        <v>14123254</v>
      </c>
      <c r="D117" s="167" t="s">
        <v>499</v>
      </c>
      <c r="E117" s="167" t="s">
        <v>3699</v>
      </c>
      <c r="F117" s="168">
        <v>268.36</v>
      </c>
    </row>
    <row r="118" spans="1:6" x14ac:dyDescent="0.2">
      <c r="A118" s="163" t="s">
        <v>3724</v>
      </c>
      <c r="B118" s="164" t="s">
        <v>2518</v>
      </c>
      <c r="C118" s="164">
        <v>14123246</v>
      </c>
      <c r="D118" s="164" t="s">
        <v>497</v>
      </c>
      <c r="E118" s="164" t="s">
        <v>3699</v>
      </c>
      <c r="F118" s="165">
        <v>268.36</v>
      </c>
    </row>
    <row r="119" spans="1:6" x14ac:dyDescent="0.2">
      <c r="A119" s="166" t="s">
        <v>3724</v>
      </c>
      <c r="B119" s="167" t="s">
        <v>2518</v>
      </c>
      <c r="C119" s="167">
        <v>14123238</v>
      </c>
      <c r="D119" s="167" t="s">
        <v>495</v>
      </c>
      <c r="E119" s="167" t="s">
        <v>3699</v>
      </c>
      <c r="F119" s="168">
        <v>268.36</v>
      </c>
    </row>
    <row r="120" spans="1:6" x14ac:dyDescent="0.2">
      <c r="A120" s="163" t="s">
        <v>3724</v>
      </c>
      <c r="B120" s="164" t="s">
        <v>2518</v>
      </c>
      <c r="C120" s="164">
        <v>14123228</v>
      </c>
      <c r="D120" s="164" t="s">
        <v>494</v>
      </c>
      <c r="E120" s="164" t="s">
        <v>3699</v>
      </c>
      <c r="F120" s="165">
        <v>645.79999999999995</v>
      </c>
    </row>
    <row r="121" spans="1:6" x14ac:dyDescent="0.2">
      <c r="A121" s="166" t="s">
        <v>3724</v>
      </c>
      <c r="B121" s="167" t="s">
        <v>2518</v>
      </c>
      <c r="C121" s="167">
        <v>14123193</v>
      </c>
      <c r="D121" s="167" t="s">
        <v>492</v>
      </c>
      <c r="E121" s="167" t="s">
        <v>3699</v>
      </c>
      <c r="F121" s="168">
        <v>268.36</v>
      </c>
    </row>
    <row r="122" spans="1:6" x14ac:dyDescent="0.2">
      <c r="A122" s="163" t="s">
        <v>3724</v>
      </c>
      <c r="B122" s="164" t="s">
        <v>2518</v>
      </c>
      <c r="C122" s="164">
        <v>14123145</v>
      </c>
      <c r="D122" s="164" t="s">
        <v>490</v>
      </c>
      <c r="E122" s="164" t="s">
        <v>3699</v>
      </c>
      <c r="F122" s="165">
        <v>645.79999999999995</v>
      </c>
    </row>
    <row r="123" spans="1:6" x14ac:dyDescent="0.2">
      <c r="A123" s="166" t="s">
        <v>3724</v>
      </c>
      <c r="B123" s="167" t="s">
        <v>2518</v>
      </c>
      <c r="C123" s="167">
        <v>14123107</v>
      </c>
      <c r="D123" s="167" t="s">
        <v>487</v>
      </c>
      <c r="E123" s="167" t="s">
        <v>3699</v>
      </c>
      <c r="F123" s="168">
        <v>268.36</v>
      </c>
    </row>
    <row r="124" spans="1:6" x14ac:dyDescent="0.2">
      <c r="A124" s="163" t="s">
        <v>3724</v>
      </c>
      <c r="B124" s="164" t="s">
        <v>2518</v>
      </c>
      <c r="C124" s="164">
        <v>14123082</v>
      </c>
      <c r="D124" s="164" t="s">
        <v>484</v>
      </c>
      <c r="E124" s="164" t="s">
        <v>3699</v>
      </c>
      <c r="F124" s="165">
        <v>268.36</v>
      </c>
    </row>
    <row r="125" spans="1:6" x14ac:dyDescent="0.2">
      <c r="A125" s="166" t="s">
        <v>3724</v>
      </c>
      <c r="B125" s="167" t="s">
        <v>2518</v>
      </c>
      <c r="C125" s="167">
        <v>14123081</v>
      </c>
      <c r="D125" s="167" t="s">
        <v>483</v>
      </c>
      <c r="E125" s="167" t="s">
        <v>3699</v>
      </c>
      <c r="F125" s="168">
        <v>468.36</v>
      </c>
    </row>
    <row r="126" spans="1:6" x14ac:dyDescent="0.2">
      <c r="A126" s="163" t="s">
        <v>3724</v>
      </c>
      <c r="B126" s="164" t="s">
        <v>2518</v>
      </c>
      <c r="C126" s="164">
        <v>14123080</v>
      </c>
      <c r="D126" s="164" t="s">
        <v>482</v>
      </c>
      <c r="E126" s="164" t="s">
        <v>3699</v>
      </c>
      <c r="F126" s="165">
        <v>268.36</v>
      </c>
    </row>
    <row r="127" spans="1:6" x14ac:dyDescent="0.2">
      <c r="A127" s="166" t="s">
        <v>3724</v>
      </c>
      <c r="B127" s="167" t="s">
        <v>2518</v>
      </c>
      <c r="C127" s="167">
        <v>14123066</v>
      </c>
      <c r="D127" s="167" t="s">
        <v>481</v>
      </c>
      <c r="E127" s="167" t="s">
        <v>3699</v>
      </c>
      <c r="F127" s="168">
        <v>445.8</v>
      </c>
    </row>
    <row r="128" spans="1:6" x14ac:dyDescent="0.2">
      <c r="A128" s="163" t="s">
        <v>3724</v>
      </c>
      <c r="B128" s="164" t="s">
        <v>2518</v>
      </c>
      <c r="C128" s="164">
        <v>14123063</v>
      </c>
      <c r="D128" s="164" t="s">
        <v>479</v>
      </c>
      <c r="E128" s="164" t="s">
        <v>3699</v>
      </c>
      <c r="F128" s="165">
        <v>268.36</v>
      </c>
    </row>
    <row r="129" spans="1:6" x14ac:dyDescent="0.2">
      <c r="A129" s="166" t="s">
        <v>3724</v>
      </c>
      <c r="B129" s="167" t="s">
        <v>2518</v>
      </c>
      <c r="C129" s="167">
        <v>14123010</v>
      </c>
      <c r="D129" s="167" t="s">
        <v>477</v>
      </c>
      <c r="E129" s="167" t="s">
        <v>3699</v>
      </c>
      <c r="F129" s="168">
        <v>445.8</v>
      </c>
    </row>
    <row r="130" spans="1:6" x14ac:dyDescent="0.2">
      <c r="A130" s="163" t="s">
        <v>3724</v>
      </c>
      <c r="B130" s="164" t="s">
        <v>2518</v>
      </c>
      <c r="C130" s="164">
        <v>14123008</v>
      </c>
      <c r="D130" s="164" t="s">
        <v>476</v>
      </c>
      <c r="E130" s="164" t="s">
        <v>3699</v>
      </c>
      <c r="F130" s="165">
        <v>645.79999999999995</v>
      </c>
    </row>
    <row r="131" spans="1:6" x14ac:dyDescent="0.2">
      <c r="A131" s="166" t="s">
        <v>3724</v>
      </c>
      <c r="B131" s="167" t="s">
        <v>2518</v>
      </c>
      <c r="C131" s="167">
        <v>14122993</v>
      </c>
      <c r="D131" s="167" t="s">
        <v>473</v>
      </c>
      <c r="E131" s="167" t="s">
        <v>3699</v>
      </c>
      <c r="F131" s="168">
        <v>445.8</v>
      </c>
    </row>
    <row r="132" spans="1:6" x14ac:dyDescent="0.2">
      <c r="A132" s="163" t="s">
        <v>3724</v>
      </c>
      <c r="B132" s="164" t="s">
        <v>2518</v>
      </c>
      <c r="C132" s="164">
        <v>14122992</v>
      </c>
      <c r="D132" s="164" t="s">
        <v>472</v>
      </c>
      <c r="E132" s="164" t="s">
        <v>3699</v>
      </c>
      <c r="F132" s="165">
        <v>645.79999999999995</v>
      </c>
    </row>
    <row r="133" spans="1:6" x14ac:dyDescent="0.2">
      <c r="A133" s="166" t="s">
        <v>3724</v>
      </c>
      <c r="B133" s="167" t="s">
        <v>2518</v>
      </c>
      <c r="C133" s="167">
        <v>14122929</v>
      </c>
      <c r="D133" s="167" t="s">
        <v>470</v>
      </c>
      <c r="E133" s="167" t="s">
        <v>3699</v>
      </c>
      <c r="F133" s="168">
        <v>445.8</v>
      </c>
    </row>
    <row r="134" spans="1:6" x14ac:dyDescent="0.2">
      <c r="A134" s="163" t="s">
        <v>3724</v>
      </c>
      <c r="B134" s="164" t="s">
        <v>2518</v>
      </c>
      <c r="C134" s="164">
        <v>14122928</v>
      </c>
      <c r="D134" s="164" t="s">
        <v>469</v>
      </c>
      <c r="E134" s="164" t="s">
        <v>3699</v>
      </c>
      <c r="F134" s="165">
        <v>268.36</v>
      </c>
    </row>
    <row r="135" spans="1:6" x14ac:dyDescent="0.2">
      <c r="A135" s="166" t="s">
        <v>3724</v>
      </c>
      <c r="B135" s="167" t="s">
        <v>2518</v>
      </c>
      <c r="C135" s="167">
        <v>14122927</v>
      </c>
      <c r="D135" s="167" t="s">
        <v>468</v>
      </c>
      <c r="E135" s="167" t="s">
        <v>3699</v>
      </c>
      <c r="F135" s="168">
        <v>645.79999999999995</v>
      </c>
    </row>
    <row r="136" spans="1:6" x14ac:dyDescent="0.2">
      <c r="A136" s="163" t="s">
        <v>3724</v>
      </c>
      <c r="B136" s="164" t="s">
        <v>2518</v>
      </c>
      <c r="C136" s="164">
        <v>14122925</v>
      </c>
      <c r="D136" s="164" t="s">
        <v>467</v>
      </c>
      <c r="E136" s="164" t="s">
        <v>3699</v>
      </c>
      <c r="F136" s="165">
        <v>268.36</v>
      </c>
    </row>
    <row r="137" spans="1:6" x14ac:dyDescent="0.2">
      <c r="A137" s="166" t="s">
        <v>3724</v>
      </c>
      <c r="B137" s="167" t="s">
        <v>2518</v>
      </c>
      <c r="C137" s="167">
        <v>14122923</v>
      </c>
      <c r="D137" s="167" t="s">
        <v>466</v>
      </c>
      <c r="E137" s="167" t="s">
        <v>3699</v>
      </c>
      <c r="F137" s="168">
        <v>445.8</v>
      </c>
    </row>
    <row r="138" spans="1:6" x14ac:dyDescent="0.2">
      <c r="A138" s="163" t="s">
        <v>3724</v>
      </c>
      <c r="B138" s="164" t="s">
        <v>2518</v>
      </c>
      <c r="C138" s="164">
        <v>14122904</v>
      </c>
      <c r="D138" s="164" t="s">
        <v>464</v>
      </c>
      <c r="E138" s="164" t="s">
        <v>3699</v>
      </c>
      <c r="F138" s="165">
        <v>268.36</v>
      </c>
    </row>
    <row r="139" spans="1:6" x14ac:dyDescent="0.2">
      <c r="A139" s="166" t="s">
        <v>3724</v>
      </c>
      <c r="B139" s="167" t="s">
        <v>2518</v>
      </c>
      <c r="C139" s="167">
        <v>14122873</v>
      </c>
      <c r="D139" s="167" t="s">
        <v>460</v>
      </c>
      <c r="E139" s="167" t="s">
        <v>3699</v>
      </c>
      <c r="F139" s="168">
        <v>268.36</v>
      </c>
    </row>
    <row r="140" spans="1:6" x14ac:dyDescent="0.2">
      <c r="A140" s="163" t="s">
        <v>3724</v>
      </c>
      <c r="B140" s="164" t="s">
        <v>2518</v>
      </c>
      <c r="C140" s="164">
        <v>14122871</v>
      </c>
      <c r="D140" s="164" t="s">
        <v>459</v>
      </c>
      <c r="E140" s="164" t="s">
        <v>3699</v>
      </c>
      <c r="F140" s="165">
        <v>268.36</v>
      </c>
    </row>
    <row r="141" spans="1:6" x14ac:dyDescent="0.2">
      <c r="A141" s="166" t="s">
        <v>3724</v>
      </c>
      <c r="B141" s="167" t="s">
        <v>2518</v>
      </c>
      <c r="C141" s="167">
        <v>14122856</v>
      </c>
      <c r="D141" s="167" t="s">
        <v>458</v>
      </c>
      <c r="E141" s="167" t="s">
        <v>3699</v>
      </c>
      <c r="F141" s="168">
        <v>645.79999999999995</v>
      </c>
    </row>
    <row r="142" spans="1:6" x14ac:dyDescent="0.2">
      <c r="A142" s="163" t="s">
        <v>3724</v>
      </c>
      <c r="B142" s="164" t="s">
        <v>2518</v>
      </c>
      <c r="C142" s="164">
        <v>14122855</v>
      </c>
      <c r="D142" s="164" t="s">
        <v>457</v>
      </c>
      <c r="E142" s="164" t="s">
        <v>3699</v>
      </c>
      <c r="F142" s="165">
        <v>268.36</v>
      </c>
    </row>
    <row r="143" spans="1:6" x14ac:dyDescent="0.2">
      <c r="A143" s="166" t="s">
        <v>3724</v>
      </c>
      <c r="B143" s="167" t="s">
        <v>2518</v>
      </c>
      <c r="C143" s="167">
        <v>14122854</v>
      </c>
      <c r="D143" s="167" t="s">
        <v>456</v>
      </c>
      <c r="E143" s="167" t="s">
        <v>3699</v>
      </c>
      <c r="F143" s="168">
        <v>645.79999999999995</v>
      </c>
    </row>
    <row r="144" spans="1:6" x14ac:dyDescent="0.2">
      <c r="A144" s="163" t="s">
        <v>3724</v>
      </c>
      <c r="B144" s="164" t="s">
        <v>2518</v>
      </c>
      <c r="C144" s="164">
        <v>14122852</v>
      </c>
      <c r="D144" s="164" t="s">
        <v>455</v>
      </c>
      <c r="E144" s="164" t="s">
        <v>3699</v>
      </c>
      <c r="F144" s="165">
        <v>645.79999999999995</v>
      </c>
    </row>
    <row r="145" spans="1:6" x14ac:dyDescent="0.2">
      <c r="A145" s="166" t="s">
        <v>3724</v>
      </c>
      <c r="B145" s="167" t="s">
        <v>2518</v>
      </c>
      <c r="C145" s="167">
        <v>14122832</v>
      </c>
      <c r="D145" s="167" t="s">
        <v>453</v>
      </c>
      <c r="E145" s="167" t="s">
        <v>3699</v>
      </c>
      <c r="F145" s="168">
        <v>645.79999999999995</v>
      </c>
    </row>
    <row r="146" spans="1:6" x14ac:dyDescent="0.2">
      <c r="A146" s="163" t="s">
        <v>3724</v>
      </c>
      <c r="B146" s="164" t="s">
        <v>2518</v>
      </c>
      <c r="C146" s="164">
        <v>14122831</v>
      </c>
      <c r="D146" s="164" t="s">
        <v>452</v>
      </c>
      <c r="E146" s="164" t="s">
        <v>3699</v>
      </c>
      <c r="F146" s="165">
        <v>445.8</v>
      </c>
    </row>
    <row r="147" spans="1:6" x14ac:dyDescent="0.2">
      <c r="A147" s="166" t="s">
        <v>3724</v>
      </c>
      <c r="B147" s="167" t="s">
        <v>2518</v>
      </c>
      <c r="C147" s="167">
        <v>14122809</v>
      </c>
      <c r="D147" s="167" t="s">
        <v>451</v>
      </c>
      <c r="E147" s="167" t="s">
        <v>3699</v>
      </c>
      <c r="F147" s="168">
        <v>134.18</v>
      </c>
    </row>
    <row r="148" spans="1:6" x14ac:dyDescent="0.2">
      <c r="A148" s="163" t="s">
        <v>3724</v>
      </c>
      <c r="B148" s="164" t="s">
        <v>2518</v>
      </c>
      <c r="C148" s="164">
        <v>14122775</v>
      </c>
      <c r="D148" s="164" t="s">
        <v>450</v>
      </c>
      <c r="E148" s="164" t="s">
        <v>3699</v>
      </c>
      <c r="F148" s="165">
        <v>645.79999999999995</v>
      </c>
    </row>
    <row r="149" spans="1:6" x14ac:dyDescent="0.2">
      <c r="A149" s="166" t="s">
        <v>3724</v>
      </c>
      <c r="B149" s="167" t="s">
        <v>2518</v>
      </c>
      <c r="C149" s="167">
        <v>14122773</v>
      </c>
      <c r="D149" s="167" t="s">
        <v>449</v>
      </c>
      <c r="E149" s="167" t="s">
        <v>3699</v>
      </c>
      <c r="F149" s="168">
        <v>645.79999999999995</v>
      </c>
    </row>
    <row r="150" spans="1:6" x14ac:dyDescent="0.2">
      <c r="A150" s="163" t="s">
        <v>3724</v>
      </c>
      <c r="B150" s="164" t="s">
        <v>2518</v>
      </c>
      <c r="C150" s="164">
        <v>14122772</v>
      </c>
      <c r="D150" s="164" t="s">
        <v>448</v>
      </c>
      <c r="E150" s="164" t="s">
        <v>3699</v>
      </c>
      <c r="F150" s="165">
        <v>645.79999999999995</v>
      </c>
    </row>
    <row r="151" spans="1:6" x14ac:dyDescent="0.2">
      <c r="A151" s="166" t="s">
        <v>3724</v>
      </c>
      <c r="B151" s="167" t="s">
        <v>2518</v>
      </c>
      <c r="C151" s="167">
        <v>14122758</v>
      </c>
      <c r="D151" s="167" t="s">
        <v>447</v>
      </c>
      <c r="E151" s="167" t="s">
        <v>3699</v>
      </c>
      <c r="F151" s="168">
        <v>645.79999999999995</v>
      </c>
    </row>
    <row r="152" spans="1:6" x14ac:dyDescent="0.2">
      <c r="A152" s="163" t="s">
        <v>3724</v>
      </c>
      <c r="B152" s="164" t="s">
        <v>2518</v>
      </c>
      <c r="C152" s="164">
        <v>14122709</v>
      </c>
      <c r="D152" s="164" t="s">
        <v>446</v>
      </c>
      <c r="E152" s="164" t="s">
        <v>3699</v>
      </c>
      <c r="F152" s="165">
        <v>268.36</v>
      </c>
    </row>
    <row r="153" spans="1:6" x14ac:dyDescent="0.2">
      <c r="A153" s="166" t="s">
        <v>3724</v>
      </c>
      <c r="B153" s="167" t="s">
        <v>2518</v>
      </c>
      <c r="C153" s="167">
        <v>14122708</v>
      </c>
      <c r="D153" s="167" t="s">
        <v>445</v>
      </c>
      <c r="E153" s="167" t="s">
        <v>3699</v>
      </c>
      <c r="F153" s="168">
        <v>268.36</v>
      </c>
    </row>
    <row r="154" spans="1:6" x14ac:dyDescent="0.2">
      <c r="A154" s="163" t="s">
        <v>3724</v>
      </c>
      <c r="B154" s="164" t="s">
        <v>2518</v>
      </c>
      <c r="C154" s="164">
        <v>14122687</v>
      </c>
      <c r="D154" s="164" t="s">
        <v>443</v>
      </c>
      <c r="E154" s="164" t="s">
        <v>3699</v>
      </c>
      <c r="F154" s="165">
        <v>645.79999999999995</v>
      </c>
    </row>
    <row r="155" spans="1:6" x14ac:dyDescent="0.2">
      <c r="A155" s="166" t="s">
        <v>3724</v>
      </c>
      <c r="B155" s="167" t="s">
        <v>2518</v>
      </c>
      <c r="C155" s="167">
        <v>14122685</v>
      </c>
      <c r="D155" s="167" t="s">
        <v>442</v>
      </c>
      <c r="E155" s="167" t="s">
        <v>3699</v>
      </c>
      <c r="F155" s="168">
        <v>268.36</v>
      </c>
    </row>
    <row r="156" spans="1:6" x14ac:dyDescent="0.2">
      <c r="A156" s="163" t="s">
        <v>3724</v>
      </c>
      <c r="B156" s="164" t="s">
        <v>2518</v>
      </c>
      <c r="C156" s="164">
        <v>14122683</v>
      </c>
      <c r="D156" s="164" t="s">
        <v>441</v>
      </c>
      <c r="E156" s="164" t="s">
        <v>3699</v>
      </c>
      <c r="F156" s="165">
        <v>268.36</v>
      </c>
    </row>
    <row r="157" spans="1:6" x14ac:dyDescent="0.2">
      <c r="A157" s="166" t="s">
        <v>3724</v>
      </c>
      <c r="B157" s="167" t="s">
        <v>2518</v>
      </c>
      <c r="C157" s="167">
        <v>14122681</v>
      </c>
      <c r="D157" s="167" t="s">
        <v>439</v>
      </c>
      <c r="E157" s="167" t="s">
        <v>3699</v>
      </c>
      <c r="F157" s="168">
        <v>645.79999999999995</v>
      </c>
    </row>
    <row r="158" spans="1:6" x14ac:dyDescent="0.2">
      <c r="A158" s="163" t="s">
        <v>3724</v>
      </c>
      <c r="B158" s="164" t="s">
        <v>2518</v>
      </c>
      <c r="C158" s="164">
        <v>14122618</v>
      </c>
      <c r="D158" s="164" t="s">
        <v>436</v>
      </c>
      <c r="E158" s="164" t="s">
        <v>3699</v>
      </c>
      <c r="F158" s="165">
        <v>268.36</v>
      </c>
    </row>
    <row r="159" spans="1:6" x14ac:dyDescent="0.2">
      <c r="A159" s="166" t="s">
        <v>3724</v>
      </c>
      <c r="B159" s="167" t="s">
        <v>2518</v>
      </c>
      <c r="C159" s="167">
        <v>14122617</v>
      </c>
      <c r="D159" s="167" t="s">
        <v>435</v>
      </c>
      <c r="E159" s="167" t="s">
        <v>3699</v>
      </c>
      <c r="F159" s="168">
        <v>645.79999999999995</v>
      </c>
    </row>
    <row r="160" spans="1:6" x14ac:dyDescent="0.2">
      <c r="A160" s="163" t="s">
        <v>3724</v>
      </c>
      <c r="B160" s="164" t="s">
        <v>2518</v>
      </c>
      <c r="C160" s="164">
        <v>14122543</v>
      </c>
      <c r="D160" s="164" t="s">
        <v>433</v>
      </c>
      <c r="E160" s="164" t="s">
        <v>3699</v>
      </c>
      <c r="F160" s="165">
        <v>645.79999999999995</v>
      </c>
    </row>
    <row r="161" spans="1:6" x14ac:dyDescent="0.2">
      <c r="A161" s="166" t="s">
        <v>3724</v>
      </c>
      <c r="B161" s="167" t="s">
        <v>2518</v>
      </c>
      <c r="C161" s="167">
        <v>14122510</v>
      </c>
      <c r="D161" s="167" t="s">
        <v>430</v>
      </c>
      <c r="E161" s="167" t="s">
        <v>3699</v>
      </c>
      <c r="F161" s="168">
        <v>268.36</v>
      </c>
    </row>
    <row r="162" spans="1:6" x14ac:dyDescent="0.2">
      <c r="A162" s="163" t="s">
        <v>3724</v>
      </c>
      <c r="B162" s="164" t="s">
        <v>2518</v>
      </c>
      <c r="C162" s="164">
        <v>14122481</v>
      </c>
      <c r="D162" s="164" t="s">
        <v>426</v>
      </c>
      <c r="E162" s="164" t="s">
        <v>3699</v>
      </c>
      <c r="F162" s="165">
        <v>468.36</v>
      </c>
    </row>
    <row r="163" spans="1:6" x14ac:dyDescent="0.2">
      <c r="A163" s="166" t="s">
        <v>3724</v>
      </c>
      <c r="B163" s="167" t="s">
        <v>2518</v>
      </c>
      <c r="C163" s="167">
        <v>14122431</v>
      </c>
      <c r="D163" s="167" t="s">
        <v>425</v>
      </c>
      <c r="E163" s="167" t="s">
        <v>3699</v>
      </c>
      <c r="F163" s="168">
        <v>645.79999999999995</v>
      </c>
    </row>
    <row r="164" spans="1:6" x14ac:dyDescent="0.2">
      <c r="A164" s="163" t="s">
        <v>3724</v>
      </c>
      <c r="B164" s="164" t="s">
        <v>2518</v>
      </c>
      <c r="C164" s="164">
        <v>14122429</v>
      </c>
      <c r="D164" s="164" t="s">
        <v>424</v>
      </c>
      <c r="E164" s="164" t="s">
        <v>3699</v>
      </c>
      <c r="F164" s="165">
        <v>445.8</v>
      </c>
    </row>
    <row r="165" spans="1:6" x14ac:dyDescent="0.2">
      <c r="A165" s="166" t="s">
        <v>3724</v>
      </c>
      <c r="B165" s="167" t="s">
        <v>2518</v>
      </c>
      <c r="C165" s="167">
        <v>14122419</v>
      </c>
      <c r="D165" s="167" t="s">
        <v>422</v>
      </c>
      <c r="E165" s="167" t="s">
        <v>3699</v>
      </c>
      <c r="F165" s="168">
        <v>268.36</v>
      </c>
    </row>
    <row r="166" spans="1:6" x14ac:dyDescent="0.2">
      <c r="A166" s="163" t="s">
        <v>3724</v>
      </c>
      <c r="B166" s="164" t="s">
        <v>2518</v>
      </c>
      <c r="C166" s="164">
        <v>14122417</v>
      </c>
      <c r="D166" s="164" t="s">
        <v>421</v>
      </c>
      <c r="E166" s="164" t="s">
        <v>3699</v>
      </c>
      <c r="F166" s="165">
        <v>645.79999999999995</v>
      </c>
    </row>
    <row r="167" spans="1:6" x14ac:dyDescent="0.2">
      <c r="A167" s="166" t="s">
        <v>3724</v>
      </c>
      <c r="B167" s="167" t="s">
        <v>2518</v>
      </c>
      <c r="C167" s="167">
        <v>14122416</v>
      </c>
      <c r="D167" s="167" t="s">
        <v>420</v>
      </c>
      <c r="E167" s="167" t="s">
        <v>3699</v>
      </c>
      <c r="F167" s="168">
        <v>645.79999999999995</v>
      </c>
    </row>
    <row r="168" spans="1:6" x14ac:dyDescent="0.2">
      <c r="A168" s="163" t="s">
        <v>3724</v>
      </c>
      <c r="B168" s="164" t="s">
        <v>2518</v>
      </c>
      <c r="C168" s="164">
        <v>14122394</v>
      </c>
      <c r="D168" s="164" t="s">
        <v>419</v>
      </c>
      <c r="E168" s="164" t="s">
        <v>3699</v>
      </c>
      <c r="F168" s="165">
        <v>268.36</v>
      </c>
    </row>
    <row r="169" spans="1:6" x14ac:dyDescent="0.2">
      <c r="A169" s="166" t="s">
        <v>3724</v>
      </c>
      <c r="B169" s="167" t="s">
        <v>2518</v>
      </c>
      <c r="C169" s="167">
        <v>14122355</v>
      </c>
      <c r="D169" s="167" t="s">
        <v>417</v>
      </c>
      <c r="E169" s="167" t="s">
        <v>3699</v>
      </c>
      <c r="F169" s="168">
        <v>268.36</v>
      </c>
    </row>
    <row r="170" spans="1:6" x14ac:dyDescent="0.2">
      <c r="A170" s="163" t="s">
        <v>3724</v>
      </c>
      <c r="B170" s="164" t="s">
        <v>2518</v>
      </c>
      <c r="C170" s="164">
        <v>14122353</v>
      </c>
      <c r="D170" s="164" t="s">
        <v>415</v>
      </c>
      <c r="E170" s="164" t="s">
        <v>3699</v>
      </c>
      <c r="F170" s="165">
        <v>645.79999999999995</v>
      </c>
    </row>
    <row r="171" spans="1:6" x14ac:dyDescent="0.2">
      <c r="A171" s="166" t="s">
        <v>3724</v>
      </c>
      <c r="B171" s="167" t="s">
        <v>2518</v>
      </c>
      <c r="C171" s="167">
        <v>14122331</v>
      </c>
      <c r="D171" s="167" t="s">
        <v>414</v>
      </c>
      <c r="E171" s="167" t="s">
        <v>3699</v>
      </c>
      <c r="F171" s="168">
        <v>645.79999999999995</v>
      </c>
    </row>
    <row r="172" spans="1:6" x14ac:dyDescent="0.2">
      <c r="A172" s="163" t="s">
        <v>3724</v>
      </c>
      <c r="B172" s="164" t="s">
        <v>2518</v>
      </c>
      <c r="C172" s="164">
        <v>14122330</v>
      </c>
      <c r="D172" s="164" t="s">
        <v>413</v>
      </c>
      <c r="E172" s="164" t="s">
        <v>3699</v>
      </c>
      <c r="F172" s="165">
        <v>645.79999999999995</v>
      </c>
    </row>
    <row r="173" spans="1:6" x14ac:dyDescent="0.2">
      <c r="A173" s="166" t="s">
        <v>3724</v>
      </c>
      <c r="B173" s="167" t="s">
        <v>2518</v>
      </c>
      <c r="C173" s="167">
        <v>14122320</v>
      </c>
      <c r="D173" s="167" t="s">
        <v>411</v>
      </c>
      <c r="E173" s="167" t="s">
        <v>3699</v>
      </c>
      <c r="F173" s="168">
        <v>268.36</v>
      </c>
    </row>
    <row r="174" spans="1:6" x14ac:dyDescent="0.2">
      <c r="A174" s="163" t="s">
        <v>3724</v>
      </c>
      <c r="B174" s="164" t="s">
        <v>2518</v>
      </c>
      <c r="C174" s="164">
        <v>14122294</v>
      </c>
      <c r="D174" s="164" t="s">
        <v>410</v>
      </c>
      <c r="E174" s="164" t="s">
        <v>3699</v>
      </c>
      <c r="F174" s="165">
        <v>268.36</v>
      </c>
    </row>
    <row r="175" spans="1:6" x14ac:dyDescent="0.2">
      <c r="A175" s="166" t="s">
        <v>3724</v>
      </c>
      <c r="B175" s="167" t="s">
        <v>2518</v>
      </c>
      <c r="C175" s="167">
        <v>14122293</v>
      </c>
      <c r="D175" s="167" t="s">
        <v>409</v>
      </c>
      <c r="E175" s="167" t="s">
        <v>3699</v>
      </c>
      <c r="F175" s="168">
        <v>268.36</v>
      </c>
    </row>
    <row r="176" spans="1:6" x14ac:dyDescent="0.2">
      <c r="A176" s="163" t="s">
        <v>3724</v>
      </c>
      <c r="B176" s="164" t="s">
        <v>2518</v>
      </c>
      <c r="C176" s="164">
        <v>14122291</v>
      </c>
      <c r="D176" s="164" t="s">
        <v>408</v>
      </c>
      <c r="E176" s="164" t="s">
        <v>3699</v>
      </c>
      <c r="F176" s="165">
        <v>268.36</v>
      </c>
    </row>
    <row r="177" spans="1:6" x14ac:dyDescent="0.2">
      <c r="A177" s="166" t="s">
        <v>3724</v>
      </c>
      <c r="B177" s="167" t="s">
        <v>2518</v>
      </c>
      <c r="C177" s="167">
        <v>14122263</v>
      </c>
      <c r="D177" s="167" t="s">
        <v>407</v>
      </c>
      <c r="E177" s="167" t="s">
        <v>3699</v>
      </c>
      <c r="F177" s="168">
        <v>268.36</v>
      </c>
    </row>
    <row r="178" spans="1:6" x14ac:dyDescent="0.2">
      <c r="A178" s="163" t="s">
        <v>3724</v>
      </c>
      <c r="B178" s="164" t="s">
        <v>2518</v>
      </c>
      <c r="C178" s="164">
        <v>14122230</v>
      </c>
      <c r="D178" s="164" t="s">
        <v>403</v>
      </c>
      <c r="E178" s="164" t="s">
        <v>3699</v>
      </c>
      <c r="F178" s="165">
        <v>645.79999999999995</v>
      </c>
    </row>
    <row r="179" spans="1:6" x14ac:dyDescent="0.2">
      <c r="A179" s="166" t="s">
        <v>3724</v>
      </c>
      <c r="B179" s="167" t="s">
        <v>2518</v>
      </c>
      <c r="C179" s="167">
        <v>14122221</v>
      </c>
      <c r="D179" s="167" t="s">
        <v>402</v>
      </c>
      <c r="E179" s="167" t="s">
        <v>3699</v>
      </c>
      <c r="F179" s="168">
        <v>268.36</v>
      </c>
    </row>
    <row r="180" spans="1:6" x14ac:dyDescent="0.2">
      <c r="A180" s="163" t="s">
        <v>3724</v>
      </c>
      <c r="B180" s="164" t="s">
        <v>2518</v>
      </c>
      <c r="C180" s="164">
        <v>14122194</v>
      </c>
      <c r="D180" s="164" t="s">
        <v>401</v>
      </c>
      <c r="E180" s="164" t="s">
        <v>3699</v>
      </c>
      <c r="F180" s="165">
        <v>268.36</v>
      </c>
    </row>
    <row r="181" spans="1:6" x14ac:dyDescent="0.2">
      <c r="A181" s="166" t="s">
        <v>3724</v>
      </c>
      <c r="B181" s="167" t="s">
        <v>2518</v>
      </c>
      <c r="C181" s="167">
        <v>14122191</v>
      </c>
      <c r="D181" s="167" t="s">
        <v>400</v>
      </c>
      <c r="E181" s="167" t="s">
        <v>3699</v>
      </c>
      <c r="F181" s="168">
        <v>268.36</v>
      </c>
    </row>
    <row r="182" spans="1:6" x14ac:dyDescent="0.2">
      <c r="A182" s="163" t="s">
        <v>3724</v>
      </c>
      <c r="B182" s="164" t="s">
        <v>2518</v>
      </c>
      <c r="C182" s="164">
        <v>14122158</v>
      </c>
      <c r="D182" s="164" t="s">
        <v>396</v>
      </c>
      <c r="E182" s="164" t="s">
        <v>3699</v>
      </c>
      <c r="F182" s="165">
        <v>645.79999999999995</v>
      </c>
    </row>
    <row r="183" spans="1:6" x14ac:dyDescent="0.2">
      <c r="A183" s="166" t="s">
        <v>3724</v>
      </c>
      <c r="B183" s="167" t="s">
        <v>2518</v>
      </c>
      <c r="C183" s="167">
        <v>14122149</v>
      </c>
      <c r="D183" s="167" t="s">
        <v>395</v>
      </c>
      <c r="E183" s="167" t="s">
        <v>3699</v>
      </c>
      <c r="F183" s="168">
        <v>268.36</v>
      </c>
    </row>
    <row r="184" spans="1:6" x14ac:dyDescent="0.2">
      <c r="A184" s="163" t="s">
        <v>3724</v>
      </c>
      <c r="B184" s="164" t="s">
        <v>2518</v>
      </c>
      <c r="C184" s="164">
        <v>14122148</v>
      </c>
      <c r="D184" s="164" t="s">
        <v>394</v>
      </c>
      <c r="E184" s="164" t="s">
        <v>3699</v>
      </c>
      <c r="F184" s="165">
        <v>645.79999999999995</v>
      </c>
    </row>
    <row r="185" spans="1:6" x14ac:dyDescent="0.2">
      <c r="A185" s="166" t="s">
        <v>3724</v>
      </c>
      <c r="B185" s="167" t="s">
        <v>2518</v>
      </c>
      <c r="C185" s="167">
        <v>14122137</v>
      </c>
      <c r="D185" s="167" t="s">
        <v>393</v>
      </c>
      <c r="E185" s="167" t="s">
        <v>3699</v>
      </c>
      <c r="F185" s="168">
        <v>268.36</v>
      </c>
    </row>
    <row r="186" spans="1:6" x14ac:dyDescent="0.2">
      <c r="A186" s="163" t="s">
        <v>3724</v>
      </c>
      <c r="B186" s="164" t="s">
        <v>2518</v>
      </c>
      <c r="C186" s="164">
        <v>14122136</v>
      </c>
      <c r="D186" s="164" t="s">
        <v>392</v>
      </c>
      <c r="E186" s="164" t="s">
        <v>3699</v>
      </c>
      <c r="F186" s="165">
        <v>645.79999999999995</v>
      </c>
    </row>
    <row r="187" spans="1:6" x14ac:dyDescent="0.2">
      <c r="A187" s="166" t="s">
        <v>3724</v>
      </c>
      <c r="B187" s="167" t="s">
        <v>2518</v>
      </c>
      <c r="C187" s="167">
        <v>14122133</v>
      </c>
      <c r="D187" s="167" t="s">
        <v>391</v>
      </c>
      <c r="E187" s="167" t="s">
        <v>3699</v>
      </c>
      <c r="F187" s="168">
        <v>511.62</v>
      </c>
    </row>
    <row r="188" spans="1:6" x14ac:dyDescent="0.2">
      <c r="A188" s="163" t="s">
        <v>3724</v>
      </c>
      <c r="B188" s="164" t="s">
        <v>2518</v>
      </c>
      <c r="C188" s="164">
        <v>14122113</v>
      </c>
      <c r="D188" s="164" t="s">
        <v>390</v>
      </c>
      <c r="E188" s="164" t="s">
        <v>3699</v>
      </c>
      <c r="F188" s="165">
        <v>268.36</v>
      </c>
    </row>
    <row r="189" spans="1:6" x14ac:dyDescent="0.2">
      <c r="A189" s="166" t="s">
        <v>3724</v>
      </c>
      <c r="B189" s="167" t="s">
        <v>2518</v>
      </c>
      <c r="C189" s="167">
        <v>14122103</v>
      </c>
      <c r="D189" s="167" t="s">
        <v>389</v>
      </c>
      <c r="E189" s="167" t="s">
        <v>3699</v>
      </c>
      <c r="F189" s="168">
        <v>134.18</v>
      </c>
    </row>
    <row r="190" spans="1:6" x14ac:dyDescent="0.2">
      <c r="A190" s="163" t="s">
        <v>3724</v>
      </c>
      <c r="B190" s="164" t="s">
        <v>2518</v>
      </c>
      <c r="C190" s="164">
        <v>14122096</v>
      </c>
      <c r="D190" s="164" t="s">
        <v>388</v>
      </c>
      <c r="E190" s="164" t="s">
        <v>3699</v>
      </c>
      <c r="F190" s="165">
        <v>645.79999999999995</v>
      </c>
    </row>
    <row r="191" spans="1:6" x14ac:dyDescent="0.2">
      <c r="A191" s="166" t="s">
        <v>3724</v>
      </c>
      <c r="B191" s="167" t="s">
        <v>2518</v>
      </c>
      <c r="C191" s="167">
        <v>14122095</v>
      </c>
      <c r="D191" s="167" t="s">
        <v>387</v>
      </c>
      <c r="E191" s="167" t="s">
        <v>3699</v>
      </c>
      <c r="F191" s="168">
        <v>645.79999999999995</v>
      </c>
    </row>
    <row r="192" spans="1:6" x14ac:dyDescent="0.2">
      <c r="A192" s="163" t="s">
        <v>3724</v>
      </c>
      <c r="B192" s="164" t="s">
        <v>2518</v>
      </c>
      <c r="C192" s="164">
        <v>14122094</v>
      </c>
      <c r="D192" s="164" t="s">
        <v>386</v>
      </c>
      <c r="E192" s="164" t="s">
        <v>3699</v>
      </c>
      <c r="F192" s="165">
        <v>268.36</v>
      </c>
    </row>
    <row r="193" spans="1:6" x14ac:dyDescent="0.2">
      <c r="A193" s="166" t="s">
        <v>3724</v>
      </c>
      <c r="B193" s="167" t="s">
        <v>2518</v>
      </c>
      <c r="C193" s="167">
        <v>14122083</v>
      </c>
      <c r="D193" s="167" t="s">
        <v>385</v>
      </c>
      <c r="E193" s="167" t="s">
        <v>3699</v>
      </c>
      <c r="F193" s="168">
        <v>268.36</v>
      </c>
    </row>
    <row r="194" spans="1:6" x14ac:dyDescent="0.2">
      <c r="A194" s="163" t="s">
        <v>3724</v>
      </c>
      <c r="B194" s="164" t="s">
        <v>2518</v>
      </c>
      <c r="C194" s="164">
        <v>14122073</v>
      </c>
      <c r="D194" s="164" t="s">
        <v>383</v>
      </c>
      <c r="E194" s="164" t="s">
        <v>3699</v>
      </c>
      <c r="F194" s="165">
        <v>468.36</v>
      </c>
    </row>
    <row r="195" spans="1:6" x14ac:dyDescent="0.2">
      <c r="A195" s="166" t="s">
        <v>3724</v>
      </c>
      <c r="B195" s="167" t="s">
        <v>2518</v>
      </c>
      <c r="C195" s="167">
        <v>14122072</v>
      </c>
      <c r="D195" s="167" t="s">
        <v>382</v>
      </c>
      <c r="E195" s="167" t="s">
        <v>3699</v>
      </c>
      <c r="F195" s="168">
        <v>268.36</v>
      </c>
    </row>
    <row r="196" spans="1:6" x14ac:dyDescent="0.2">
      <c r="A196" s="163" t="s">
        <v>3724</v>
      </c>
      <c r="B196" s="164" t="s">
        <v>2518</v>
      </c>
      <c r="C196" s="164">
        <v>14122067</v>
      </c>
      <c r="D196" s="164" t="s">
        <v>381</v>
      </c>
      <c r="E196" s="164" t="s">
        <v>3699</v>
      </c>
      <c r="F196" s="165">
        <v>268.36</v>
      </c>
    </row>
    <row r="197" spans="1:6" x14ac:dyDescent="0.2">
      <c r="A197" s="166" t="s">
        <v>3724</v>
      </c>
      <c r="B197" s="167" t="s">
        <v>2518</v>
      </c>
      <c r="C197" s="167">
        <v>14122035</v>
      </c>
      <c r="D197" s="167" t="s">
        <v>380</v>
      </c>
      <c r="E197" s="167" t="s">
        <v>3699</v>
      </c>
      <c r="F197" s="168">
        <v>268.36</v>
      </c>
    </row>
    <row r="198" spans="1:6" x14ac:dyDescent="0.2">
      <c r="A198" s="163" t="s">
        <v>3724</v>
      </c>
      <c r="B198" s="164" t="s">
        <v>2518</v>
      </c>
      <c r="C198" s="164">
        <v>14122034</v>
      </c>
      <c r="D198" s="164" t="s">
        <v>379</v>
      </c>
      <c r="E198" s="164" t="s">
        <v>3699</v>
      </c>
      <c r="F198" s="165">
        <v>645.79999999999995</v>
      </c>
    </row>
    <row r="199" spans="1:6" x14ac:dyDescent="0.2">
      <c r="A199" s="166" t="s">
        <v>3724</v>
      </c>
      <c r="B199" s="167" t="s">
        <v>2518</v>
      </c>
      <c r="C199" s="167">
        <v>14122033</v>
      </c>
      <c r="D199" s="167" t="s">
        <v>378</v>
      </c>
      <c r="E199" s="167" t="s">
        <v>3699</v>
      </c>
      <c r="F199" s="168">
        <v>445.8</v>
      </c>
    </row>
    <row r="200" spans="1:6" x14ac:dyDescent="0.2">
      <c r="A200" s="163" t="s">
        <v>3724</v>
      </c>
      <c r="B200" s="164" t="s">
        <v>2518</v>
      </c>
      <c r="C200" s="164">
        <v>14121985</v>
      </c>
      <c r="D200" s="164" t="s">
        <v>376</v>
      </c>
      <c r="E200" s="164" t="s">
        <v>3699</v>
      </c>
      <c r="F200" s="165">
        <v>268.36</v>
      </c>
    </row>
    <row r="201" spans="1:6" x14ac:dyDescent="0.2">
      <c r="A201" s="166" t="s">
        <v>3724</v>
      </c>
      <c r="B201" s="167" t="s">
        <v>2518</v>
      </c>
      <c r="C201" s="167">
        <v>14121964</v>
      </c>
      <c r="D201" s="167" t="s">
        <v>375</v>
      </c>
      <c r="E201" s="167" t="s">
        <v>3699</v>
      </c>
      <c r="F201" s="168">
        <v>645.79999999999995</v>
      </c>
    </row>
    <row r="202" spans="1:6" x14ac:dyDescent="0.2">
      <c r="A202" s="163" t="s">
        <v>3724</v>
      </c>
      <c r="B202" s="164" t="s">
        <v>2518</v>
      </c>
      <c r="C202" s="164">
        <v>14121917</v>
      </c>
      <c r="D202" s="164" t="s">
        <v>370</v>
      </c>
      <c r="E202" s="164" t="s">
        <v>3699</v>
      </c>
      <c r="F202" s="165">
        <v>645.79999999999995</v>
      </c>
    </row>
    <row r="203" spans="1:6" x14ac:dyDescent="0.2">
      <c r="A203" s="166" t="s">
        <v>3724</v>
      </c>
      <c r="B203" s="167" t="s">
        <v>2518</v>
      </c>
      <c r="C203" s="167">
        <v>14121896</v>
      </c>
      <c r="D203" s="167" t="s">
        <v>369</v>
      </c>
      <c r="E203" s="167" t="s">
        <v>3699</v>
      </c>
      <c r="F203" s="168">
        <v>645.79999999999995</v>
      </c>
    </row>
    <row r="204" spans="1:6" x14ac:dyDescent="0.2">
      <c r="A204" s="163" t="s">
        <v>3724</v>
      </c>
      <c r="B204" s="164" t="s">
        <v>2518</v>
      </c>
      <c r="C204" s="164">
        <v>14121860</v>
      </c>
      <c r="D204" s="164" t="s">
        <v>367</v>
      </c>
      <c r="E204" s="164" t="s">
        <v>3699</v>
      </c>
      <c r="F204" s="165">
        <v>268.36</v>
      </c>
    </row>
    <row r="205" spans="1:6" x14ac:dyDescent="0.2">
      <c r="A205" s="166" t="s">
        <v>3724</v>
      </c>
      <c r="B205" s="167" t="s">
        <v>2518</v>
      </c>
      <c r="C205" s="167">
        <v>14121859</v>
      </c>
      <c r="D205" s="167" t="s">
        <v>366</v>
      </c>
      <c r="E205" s="167" t="s">
        <v>3699</v>
      </c>
      <c r="F205" s="168">
        <v>645.79999999999995</v>
      </c>
    </row>
    <row r="206" spans="1:6" x14ac:dyDescent="0.2">
      <c r="A206" s="163" t="s">
        <v>3724</v>
      </c>
      <c r="B206" s="164" t="s">
        <v>2518</v>
      </c>
      <c r="C206" s="164">
        <v>14121856</v>
      </c>
      <c r="D206" s="164" t="s">
        <v>365</v>
      </c>
      <c r="E206" s="164" t="s">
        <v>3699</v>
      </c>
      <c r="F206" s="165">
        <v>445.8</v>
      </c>
    </row>
    <row r="207" spans="1:6" x14ac:dyDescent="0.2">
      <c r="A207" s="166" t="s">
        <v>3724</v>
      </c>
      <c r="B207" s="167" t="s">
        <v>2518</v>
      </c>
      <c r="C207" s="167">
        <v>14121821</v>
      </c>
      <c r="D207" s="167" t="s">
        <v>364</v>
      </c>
      <c r="E207" s="167" t="s">
        <v>3699</v>
      </c>
      <c r="F207" s="168">
        <v>645.79999999999995</v>
      </c>
    </row>
    <row r="208" spans="1:6" x14ac:dyDescent="0.2">
      <c r="A208" s="163" t="s">
        <v>3724</v>
      </c>
      <c r="B208" s="164" t="s">
        <v>2518</v>
      </c>
      <c r="C208" s="164">
        <v>14121811</v>
      </c>
      <c r="D208" s="164" t="s">
        <v>363</v>
      </c>
      <c r="E208" s="164" t="s">
        <v>3699</v>
      </c>
      <c r="F208" s="165">
        <v>445.8</v>
      </c>
    </row>
    <row r="209" spans="1:6" x14ac:dyDescent="0.2">
      <c r="A209" s="166" t="s">
        <v>3724</v>
      </c>
      <c r="B209" s="167" t="s">
        <v>2518</v>
      </c>
      <c r="C209" s="167">
        <v>14121809</v>
      </c>
      <c r="D209" s="167" t="s">
        <v>362</v>
      </c>
      <c r="E209" s="167" t="s">
        <v>3699</v>
      </c>
      <c r="F209" s="168">
        <v>445.8</v>
      </c>
    </row>
    <row r="210" spans="1:6" x14ac:dyDescent="0.2">
      <c r="A210" s="163" t="s">
        <v>3724</v>
      </c>
      <c r="B210" s="164" t="s">
        <v>2518</v>
      </c>
      <c r="C210" s="164">
        <v>14121791</v>
      </c>
      <c r="D210" s="164" t="s">
        <v>361</v>
      </c>
      <c r="E210" s="164" t="s">
        <v>3699</v>
      </c>
      <c r="F210" s="165">
        <v>268.36</v>
      </c>
    </row>
    <row r="211" spans="1:6" x14ac:dyDescent="0.2">
      <c r="A211" s="166" t="s">
        <v>3724</v>
      </c>
      <c r="B211" s="167" t="s">
        <v>2518</v>
      </c>
      <c r="C211" s="167">
        <v>14121785</v>
      </c>
      <c r="D211" s="167" t="s">
        <v>360</v>
      </c>
      <c r="E211" s="167" t="s">
        <v>3699</v>
      </c>
      <c r="F211" s="168">
        <v>445.8</v>
      </c>
    </row>
    <row r="212" spans="1:6" x14ac:dyDescent="0.2">
      <c r="A212" s="163" t="s">
        <v>3724</v>
      </c>
      <c r="B212" s="164" t="s">
        <v>2518</v>
      </c>
      <c r="C212" s="164">
        <v>14121784</v>
      </c>
      <c r="D212" s="164" t="s">
        <v>359</v>
      </c>
      <c r="E212" s="164" t="s">
        <v>3699</v>
      </c>
      <c r="F212" s="165">
        <v>268.36</v>
      </c>
    </row>
    <row r="213" spans="1:6" x14ac:dyDescent="0.2">
      <c r="A213" s="166" t="s">
        <v>3724</v>
      </c>
      <c r="B213" s="167" t="s">
        <v>2518</v>
      </c>
      <c r="C213" s="167">
        <v>14121766</v>
      </c>
      <c r="D213" s="167" t="s">
        <v>358</v>
      </c>
      <c r="E213" s="167" t="s">
        <v>3699</v>
      </c>
      <c r="F213" s="168">
        <v>268.36</v>
      </c>
    </row>
    <row r="214" spans="1:6" x14ac:dyDescent="0.2">
      <c r="A214" s="163" t="s">
        <v>3724</v>
      </c>
      <c r="B214" s="164" t="s">
        <v>2518</v>
      </c>
      <c r="C214" s="164">
        <v>14121756</v>
      </c>
      <c r="D214" s="164" t="s">
        <v>357</v>
      </c>
      <c r="E214" s="164" t="s">
        <v>3699</v>
      </c>
      <c r="F214" s="165">
        <v>468.36</v>
      </c>
    </row>
    <row r="215" spans="1:6" x14ac:dyDescent="0.2">
      <c r="A215" s="166" t="s">
        <v>3724</v>
      </c>
      <c r="B215" s="167" t="s">
        <v>2518</v>
      </c>
      <c r="C215" s="167">
        <v>14121733</v>
      </c>
      <c r="D215" s="167" t="s">
        <v>353</v>
      </c>
      <c r="E215" s="167" t="s">
        <v>3699</v>
      </c>
      <c r="F215" s="168">
        <v>268.36</v>
      </c>
    </row>
    <row r="216" spans="1:6" x14ac:dyDescent="0.2">
      <c r="A216" s="163" t="s">
        <v>3724</v>
      </c>
      <c r="B216" s="164" t="s">
        <v>2518</v>
      </c>
      <c r="C216" s="164">
        <v>14121728</v>
      </c>
      <c r="D216" s="164" t="s">
        <v>352</v>
      </c>
      <c r="E216" s="164" t="s">
        <v>3699</v>
      </c>
      <c r="F216" s="165">
        <v>268.36</v>
      </c>
    </row>
    <row r="217" spans="1:6" x14ac:dyDescent="0.2">
      <c r="A217" s="166" t="s">
        <v>3724</v>
      </c>
      <c r="B217" s="167" t="s">
        <v>2518</v>
      </c>
      <c r="C217" s="167">
        <v>14121677</v>
      </c>
      <c r="D217" s="167" t="s">
        <v>350</v>
      </c>
      <c r="E217" s="167" t="s">
        <v>3699</v>
      </c>
      <c r="F217" s="168">
        <v>268.36</v>
      </c>
    </row>
    <row r="218" spans="1:6" x14ac:dyDescent="0.2">
      <c r="A218" s="163" t="s">
        <v>3724</v>
      </c>
      <c r="B218" s="164" t="s">
        <v>2518</v>
      </c>
      <c r="C218" s="164">
        <v>14121672</v>
      </c>
      <c r="D218" s="164" t="s">
        <v>349</v>
      </c>
      <c r="E218" s="164" t="s">
        <v>3699</v>
      </c>
      <c r="F218" s="165">
        <v>645.79999999999995</v>
      </c>
    </row>
    <row r="219" spans="1:6" x14ac:dyDescent="0.2">
      <c r="A219" s="166" t="s">
        <v>3724</v>
      </c>
      <c r="B219" s="167" t="s">
        <v>2518</v>
      </c>
      <c r="C219" s="167">
        <v>14121600</v>
      </c>
      <c r="D219" s="167" t="s">
        <v>346</v>
      </c>
      <c r="E219" s="167" t="s">
        <v>3699</v>
      </c>
      <c r="F219" s="168">
        <v>268.36</v>
      </c>
    </row>
    <row r="220" spans="1:6" x14ac:dyDescent="0.2">
      <c r="A220" s="163" t="s">
        <v>3724</v>
      </c>
      <c r="B220" s="164" t="s">
        <v>2518</v>
      </c>
      <c r="C220" s="164">
        <v>14121598</v>
      </c>
      <c r="D220" s="164" t="s">
        <v>345</v>
      </c>
      <c r="E220" s="164" t="s">
        <v>3699</v>
      </c>
      <c r="F220" s="165">
        <v>268.36</v>
      </c>
    </row>
    <row r="221" spans="1:6" x14ac:dyDescent="0.2">
      <c r="A221" s="166" t="s">
        <v>3724</v>
      </c>
      <c r="B221" s="167" t="s">
        <v>2518</v>
      </c>
      <c r="C221" s="167">
        <v>14121582</v>
      </c>
      <c r="D221" s="167" t="s">
        <v>343</v>
      </c>
      <c r="E221" s="167" t="s">
        <v>3699</v>
      </c>
      <c r="F221" s="168">
        <v>645.79999999999995</v>
      </c>
    </row>
    <row r="222" spans="1:6" x14ac:dyDescent="0.2">
      <c r="A222" s="163" t="s">
        <v>3724</v>
      </c>
      <c r="B222" s="164" t="s">
        <v>2518</v>
      </c>
      <c r="C222" s="164">
        <v>14121571</v>
      </c>
      <c r="D222" s="164" t="s">
        <v>342</v>
      </c>
      <c r="E222" s="164" t="s">
        <v>3699</v>
      </c>
      <c r="F222" s="165">
        <v>645.79999999999995</v>
      </c>
    </row>
    <row r="223" spans="1:6" x14ac:dyDescent="0.2">
      <c r="A223" s="166" t="s">
        <v>3724</v>
      </c>
      <c r="B223" s="167" t="s">
        <v>2518</v>
      </c>
      <c r="C223" s="167">
        <v>14121545</v>
      </c>
      <c r="D223" s="167" t="s">
        <v>340</v>
      </c>
      <c r="E223" s="167" t="s">
        <v>3699</v>
      </c>
      <c r="F223" s="168">
        <v>645.79999999999995</v>
      </c>
    </row>
    <row r="224" spans="1:6" x14ac:dyDescent="0.2">
      <c r="A224" s="163" t="s">
        <v>3724</v>
      </c>
      <c r="B224" s="164" t="s">
        <v>2518</v>
      </c>
      <c r="C224" s="164">
        <v>14121543</v>
      </c>
      <c r="D224" s="164" t="s">
        <v>339</v>
      </c>
      <c r="E224" s="164" t="s">
        <v>3699</v>
      </c>
      <c r="F224" s="165">
        <v>645.79999999999995</v>
      </c>
    </row>
    <row r="225" spans="1:6" x14ac:dyDescent="0.2">
      <c r="A225" s="166" t="s">
        <v>3724</v>
      </c>
      <c r="B225" s="167" t="s">
        <v>2518</v>
      </c>
      <c r="C225" s="167">
        <v>14121523</v>
      </c>
      <c r="D225" s="167" t="s">
        <v>338</v>
      </c>
      <c r="E225" s="167" t="s">
        <v>3699</v>
      </c>
      <c r="F225" s="168">
        <v>268.36</v>
      </c>
    </row>
    <row r="226" spans="1:6" x14ac:dyDescent="0.2">
      <c r="A226" s="163" t="s">
        <v>3724</v>
      </c>
      <c r="B226" s="164" t="s">
        <v>2518</v>
      </c>
      <c r="C226" s="164">
        <v>14121522</v>
      </c>
      <c r="D226" s="164" t="s">
        <v>337</v>
      </c>
      <c r="E226" s="164" t="s">
        <v>3699</v>
      </c>
      <c r="F226" s="165">
        <v>645.79999999999995</v>
      </c>
    </row>
    <row r="227" spans="1:6" x14ac:dyDescent="0.2">
      <c r="A227" s="166" t="s">
        <v>3724</v>
      </c>
      <c r="B227" s="167" t="s">
        <v>2518</v>
      </c>
      <c r="C227" s="167">
        <v>14121398</v>
      </c>
      <c r="D227" s="167" t="s">
        <v>333</v>
      </c>
      <c r="E227" s="167" t="s">
        <v>3699</v>
      </c>
      <c r="F227" s="168">
        <v>645.79999999999995</v>
      </c>
    </row>
    <row r="228" spans="1:6" x14ac:dyDescent="0.2">
      <c r="A228" s="163" t="s">
        <v>3724</v>
      </c>
      <c r="B228" s="164" t="s">
        <v>2518</v>
      </c>
      <c r="C228" s="164">
        <v>14121328</v>
      </c>
      <c r="D228" s="164" t="s">
        <v>331</v>
      </c>
      <c r="E228" s="164" t="s">
        <v>3699</v>
      </c>
      <c r="F228" s="165">
        <v>268.36</v>
      </c>
    </row>
    <row r="229" spans="1:6" x14ac:dyDescent="0.2">
      <c r="A229" s="166" t="s">
        <v>3724</v>
      </c>
      <c r="B229" s="167" t="s">
        <v>2518</v>
      </c>
      <c r="C229" s="167">
        <v>14121271</v>
      </c>
      <c r="D229" s="167" t="s">
        <v>330</v>
      </c>
      <c r="E229" s="167" t="s">
        <v>3699</v>
      </c>
      <c r="F229" s="168">
        <v>268.36</v>
      </c>
    </row>
    <row r="230" spans="1:6" x14ac:dyDescent="0.2">
      <c r="A230" s="163" t="s">
        <v>3724</v>
      </c>
      <c r="B230" s="164" t="s">
        <v>2518</v>
      </c>
      <c r="C230" s="164">
        <v>14121266</v>
      </c>
      <c r="D230" s="164" t="s">
        <v>329</v>
      </c>
      <c r="E230" s="164" t="s">
        <v>3699</v>
      </c>
      <c r="F230" s="165">
        <v>645.79999999999995</v>
      </c>
    </row>
    <row r="231" spans="1:6" x14ac:dyDescent="0.2">
      <c r="A231" s="166" t="s">
        <v>3724</v>
      </c>
      <c r="B231" s="167" t="s">
        <v>2518</v>
      </c>
      <c r="C231" s="167">
        <v>14121239</v>
      </c>
      <c r="D231" s="167" t="s">
        <v>328</v>
      </c>
      <c r="E231" s="167" t="s">
        <v>3699</v>
      </c>
      <c r="F231" s="168">
        <v>268.36</v>
      </c>
    </row>
    <row r="232" spans="1:6" x14ac:dyDescent="0.2">
      <c r="A232" s="163" t="s">
        <v>3724</v>
      </c>
      <c r="B232" s="164" t="s">
        <v>2518</v>
      </c>
      <c r="C232" s="164">
        <v>14121238</v>
      </c>
      <c r="D232" s="164" t="s">
        <v>327</v>
      </c>
      <c r="E232" s="164" t="s">
        <v>3699</v>
      </c>
      <c r="F232" s="165">
        <v>134.18</v>
      </c>
    </row>
    <row r="233" spans="1:6" x14ac:dyDescent="0.2">
      <c r="A233" s="166" t="s">
        <v>3724</v>
      </c>
      <c r="B233" s="167" t="s">
        <v>2518</v>
      </c>
      <c r="C233" s="167">
        <v>14121235</v>
      </c>
      <c r="D233" s="167" t="s">
        <v>326</v>
      </c>
      <c r="E233" s="167" t="s">
        <v>3699</v>
      </c>
      <c r="F233" s="168">
        <v>645.79999999999995</v>
      </c>
    </row>
    <row r="234" spans="1:6" x14ac:dyDescent="0.2">
      <c r="A234" s="163" t="s">
        <v>3724</v>
      </c>
      <c r="B234" s="164" t="s">
        <v>2518</v>
      </c>
      <c r="C234" s="164">
        <v>14121193</v>
      </c>
      <c r="D234" s="164" t="s">
        <v>324</v>
      </c>
      <c r="E234" s="164" t="s">
        <v>3699</v>
      </c>
      <c r="F234" s="165">
        <v>645.79999999999995</v>
      </c>
    </row>
    <row r="235" spans="1:6" x14ac:dyDescent="0.2">
      <c r="A235" s="166" t="s">
        <v>3724</v>
      </c>
      <c r="B235" s="167" t="s">
        <v>2518</v>
      </c>
      <c r="C235" s="167">
        <v>14121159</v>
      </c>
      <c r="D235" s="167" t="s">
        <v>323</v>
      </c>
      <c r="E235" s="167" t="s">
        <v>3699</v>
      </c>
      <c r="F235" s="168">
        <v>468.36</v>
      </c>
    </row>
    <row r="236" spans="1:6" x14ac:dyDescent="0.2">
      <c r="A236" s="163" t="s">
        <v>3724</v>
      </c>
      <c r="B236" s="164" t="s">
        <v>2518</v>
      </c>
      <c r="C236" s="164">
        <v>14121158</v>
      </c>
      <c r="D236" s="164" t="s">
        <v>322</v>
      </c>
      <c r="E236" s="164" t="s">
        <v>3699</v>
      </c>
      <c r="F236" s="165">
        <v>268.36</v>
      </c>
    </row>
    <row r="237" spans="1:6" x14ac:dyDescent="0.2">
      <c r="A237" s="166" t="s">
        <v>3724</v>
      </c>
      <c r="B237" s="167" t="s">
        <v>2518</v>
      </c>
      <c r="C237" s="167">
        <v>14121153</v>
      </c>
      <c r="D237" s="167" t="s">
        <v>321</v>
      </c>
      <c r="E237" s="167" t="s">
        <v>3699</v>
      </c>
      <c r="F237" s="168">
        <v>268.36</v>
      </c>
    </row>
    <row r="238" spans="1:6" x14ac:dyDescent="0.2">
      <c r="A238" s="163" t="s">
        <v>3724</v>
      </c>
      <c r="B238" s="164" t="s">
        <v>2518</v>
      </c>
      <c r="C238" s="164">
        <v>14121152</v>
      </c>
      <c r="D238" s="164" t="s">
        <v>320</v>
      </c>
      <c r="E238" s="164" t="s">
        <v>3699</v>
      </c>
      <c r="F238" s="165">
        <v>845.8</v>
      </c>
    </row>
    <row r="239" spans="1:6" x14ac:dyDescent="0.2">
      <c r="A239" s="166" t="s">
        <v>3724</v>
      </c>
      <c r="B239" s="167" t="s">
        <v>2518</v>
      </c>
      <c r="C239" s="167">
        <v>14121116</v>
      </c>
      <c r="D239" s="167" t="s">
        <v>319</v>
      </c>
      <c r="E239" s="167" t="s">
        <v>3699</v>
      </c>
      <c r="F239" s="168">
        <v>645.79999999999995</v>
      </c>
    </row>
    <row r="240" spans="1:6" x14ac:dyDescent="0.2">
      <c r="A240" s="163" t="s">
        <v>3724</v>
      </c>
      <c r="B240" s="164" t="s">
        <v>2518</v>
      </c>
      <c r="C240" s="164">
        <v>14121104</v>
      </c>
      <c r="D240" s="164" t="s">
        <v>313</v>
      </c>
      <c r="E240" s="164" t="s">
        <v>3699</v>
      </c>
      <c r="F240" s="165">
        <v>268.36</v>
      </c>
    </row>
    <row r="241" spans="1:6" x14ac:dyDescent="0.2">
      <c r="A241" s="166" t="s">
        <v>3724</v>
      </c>
      <c r="B241" s="167" t="s">
        <v>2518</v>
      </c>
      <c r="C241" s="167">
        <v>14121103</v>
      </c>
      <c r="D241" s="167" t="s">
        <v>312</v>
      </c>
      <c r="E241" s="167" t="s">
        <v>3699</v>
      </c>
      <c r="F241" s="168">
        <v>645.79999999999995</v>
      </c>
    </row>
    <row r="242" spans="1:6" x14ac:dyDescent="0.2">
      <c r="A242" s="163" t="s">
        <v>3724</v>
      </c>
      <c r="B242" s="164" t="s">
        <v>2518</v>
      </c>
      <c r="C242" s="164">
        <v>14121015</v>
      </c>
      <c r="D242" s="164" t="s">
        <v>311</v>
      </c>
      <c r="E242" s="164" t="s">
        <v>3699</v>
      </c>
      <c r="F242" s="165">
        <v>268.36</v>
      </c>
    </row>
    <row r="243" spans="1:6" x14ac:dyDescent="0.2">
      <c r="A243" s="166" t="s">
        <v>3724</v>
      </c>
      <c r="B243" s="167" t="s">
        <v>2518</v>
      </c>
      <c r="C243" s="167">
        <v>14121013</v>
      </c>
      <c r="D243" s="167" t="s">
        <v>310</v>
      </c>
      <c r="E243" s="167" t="s">
        <v>3699</v>
      </c>
      <c r="F243" s="168">
        <v>268.36</v>
      </c>
    </row>
    <row r="244" spans="1:6" x14ac:dyDescent="0.2">
      <c r="A244" s="163" t="s">
        <v>3724</v>
      </c>
      <c r="B244" s="164" t="s">
        <v>2518</v>
      </c>
      <c r="C244" s="164">
        <v>14120925</v>
      </c>
      <c r="D244" s="164" t="s">
        <v>309</v>
      </c>
      <c r="E244" s="164" t="s">
        <v>3699</v>
      </c>
      <c r="F244" s="165">
        <v>268.36</v>
      </c>
    </row>
    <row r="245" spans="1:6" x14ac:dyDescent="0.2">
      <c r="A245" s="166" t="s">
        <v>3724</v>
      </c>
      <c r="B245" s="167" t="s">
        <v>2518</v>
      </c>
      <c r="C245" s="167">
        <v>14120885</v>
      </c>
      <c r="D245" s="167" t="s">
        <v>307</v>
      </c>
      <c r="E245" s="167" t="s">
        <v>3699</v>
      </c>
      <c r="F245" s="168">
        <v>645.79999999999995</v>
      </c>
    </row>
    <row r="246" spans="1:6" x14ac:dyDescent="0.2">
      <c r="A246" s="163" t="s">
        <v>3724</v>
      </c>
      <c r="B246" s="164" t="s">
        <v>2518</v>
      </c>
      <c r="C246" s="164">
        <v>14120850</v>
      </c>
      <c r="D246" s="164" t="s">
        <v>306</v>
      </c>
      <c r="E246" s="164" t="s">
        <v>3699</v>
      </c>
      <c r="F246" s="165">
        <v>645.79999999999995</v>
      </c>
    </row>
    <row r="247" spans="1:6" x14ac:dyDescent="0.2">
      <c r="A247" s="166" t="s">
        <v>3724</v>
      </c>
      <c r="B247" s="167" t="s">
        <v>2518</v>
      </c>
      <c r="C247" s="167">
        <v>14120807</v>
      </c>
      <c r="D247" s="167" t="s">
        <v>304</v>
      </c>
      <c r="E247" s="167" t="s">
        <v>3699</v>
      </c>
      <c r="F247" s="168">
        <v>645.79999999999995</v>
      </c>
    </row>
    <row r="248" spans="1:6" x14ac:dyDescent="0.2">
      <c r="A248" s="163" t="s">
        <v>3724</v>
      </c>
      <c r="B248" s="164" t="s">
        <v>2518</v>
      </c>
      <c r="C248" s="164">
        <v>14120806</v>
      </c>
      <c r="D248" s="164" t="s">
        <v>303</v>
      </c>
      <c r="E248" s="164" t="s">
        <v>3699</v>
      </c>
      <c r="F248" s="165">
        <v>268.36</v>
      </c>
    </row>
    <row r="249" spans="1:6" x14ac:dyDescent="0.2">
      <c r="A249" s="166" t="s">
        <v>3724</v>
      </c>
      <c r="B249" s="167" t="s">
        <v>2518</v>
      </c>
      <c r="C249" s="167">
        <v>14120789</v>
      </c>
      <c r="D249" s="167" t="s">
        <v>302</v>
      </c>
      <c r="E249" s="167" t="s">
        <v>3699</v>
      </c>
      <c r="F249" s="168">
        <v>268.36</v>
      </c>
    </row>
    <row r="250" spans="1:6" x14ac:dyDescent="0.2">
      <c r="A250" s="163" t="s">
        <v>3724</v>
      </c>
      <c r="B250" s="164" t="s">
        <v>2518</v>
      </c>
      <c r="C250" s="164">
        <v>14120788</v>
      </c>
      <c r="D250" s="164" t="s">
        <v>301</v>
      </c>
      <c r="E250" s="164" t="s">
        <v>3699</v>
      </c>
      <c r="F250" s="165">
        <v>645.79999999999995</v>
      </c>
    </row>
    <row r="251" spans="1:6" x14ac:dyDescent="0.2">
      <c r="A251" s="166" t="s">
        <v>3724</v>
      </c>
      <c r="B251" s="167" t="s">
        <v>2518</v>
      </c>
      <c r="C251" s="167">
        <v>14120715</v>
      </c>
      <c r="D251" s="167" t="s">
        <v>298</v>
      </c>
      <c r="E251" s="167" t="s">
        <v>3699</v>
      </c>
      <c r="F251" s="168">
        <v>645.79999999999995</v>
      </c>
    </row>
    <row r="252" spans="1:6" x14ac:dyDescent="0.2">
      <c r="A252" s="163" t="s">
        <v>3724</v>
      </c>
      <c r="B252" s="164" t="s">
        <v>2518</v>
      </c>
      <c r="C252" s="164">
        <v>14120668</v>
      </c>
      <c r="D252" s="164" t="s">
        <v>297</v>
      </c>
      <c r="E252" s="164" t="s">
        <v>3699</v>
      </c>
      <c r="F252" s="165">
        <v>511.62</v>
      </c>
    </row>
    <row r="253" spans="1:6" x14ac:dyDescent="0.2">
      <c r="A253" s="166" t="s">
        <v>3724</v>
      </c>
      <c r="B253" s="167" t="s">
        <v>2518</v>
      </c>
      <c r="C253" s="167">
        <v>14120655</v>
      </c>
      <c r="D253" s="167" t="s">
        <v>296</v>
      </c>
      <c r="E253" s="167" t="s">
        <v>3699</v>
      </c>
      <c r="F253" s="168">
        <v>445.8</v>
      </c>
    </row>
    <row r="254" spans="1:6" x14ac:dyDescent="0.2">
      <c r="A254" s="163" t="s">
        <v>3724</v>
      </c>
      <c r="B254" s="164" t="s">
        <v>2518</v>
      </c>
      <c r="C254" s="164">
        <v>14120613</v>
      </c>
      <c r="D254" s="164" t="s">
        <v>293</v>
      </c>
      <c r="E254" s="164" t="s">
        <v>3699</v>
      </c>
      <c r="F254" s="165">
        <v>445.8</v>
      </c>
    </row>
    <row r="255" spans="1:6" x14ac:dyDescent="0.2">
      <c r="A255" s="166" t="s">
        <v>3724</v>
      </c>
      <c r="B255" s="167" t="s">
        <v>2518</v>
      </c>
      <c r="C255" s="167">
        <v>14120611</v>
      </c>
      <c r="D255" s="167" t="s">
        <v>292</v>
      </c>
      <c r="E255" s="167" t="s">
        <v>3699</v>
      </c>
      <c r="F255" s="168">
        <v>445.8</v>
      </c>
    </row>
    <row r="256" spans="1:6" x14ac:dyDescent="0.2">
      <c r="A256" s="163" t="s">
        <v>3724</v>
      </c>
      <c r="B256" s="164" t="s">
        <v>2518</v>
      </c>
      <c r="C256" s="164">
        <v>14120455</v>
      </c>
      <c r="D256" s="164" t="s">
        <v>290</v>
      </c>
      <c r="E256" s="164" t="s">
        <v>3699</v>
      </c>
      <c r="F256" s="165">
        <v>645.79999999999995</v>
      </c>
    </row>
    <row r="257" spans="1:6" x14ac:dyDescent="0.2">
      <c r="A257" s="166" t="s">
        <v>3724</v>
      </c>
      <c r="B257" s="167" t="s">
        <v>2518</v>
      </c>
      <c r="C257" s="167">
        <v>14120415</v>
      </c>
      <c r="D257" s="167" t="s">
        <v>287</v>
      </c>
      <c r="E257" s="167" t="s">
        <v>3699</v>
      </c>
      <c r="F257" s="168">
        <v>645.79999999999995</v>
      </c>
    </row>
    <row r="258" spans="1:6" x14ac:dyDescent="0.2">
      <c r="A258" s="163" t="s">
        <v>3724</v>
      </c>
      <c r="B258" s="164" t="s">
        <v>2518</v>
      </c>
      <c r="C258" s="164">
        <v>14120351</v>
      </c>
      <c r="D258" s="164" t="s">
        <v>286</v>
      </c>
      <c r="E258" s="164" t="s">
        <v>3699</v>
      </c>
      <c r="F258" s="165">
        <v>445.8</v>
      </c>
    </row>
    <row r="259" spans="1:6" x14ac:dyDescent="0.2">
      <c r="A259" s="166" t="s">
        <v>3724</v>
      </c>
      <c r="B259" s="167" t="s">
        <v>2518</v>
      </c>
      <c r="C259" s="167">
        <v>14120349</v>
      </c>
      <c r="D259" s="167" t="s">
        <v>285</v>
      </c>
      <c r="E259" s="167" t="s">
        <v>3699</v>
      </c>
      <c r="F259" s="168">
        <v>645.79999999999995</v>
      </c>
    </row>
    <row r="260" spans="1:6" x14ac:dyDescent="0.2">
      <c r="A260" s="163" t="s">
        <v>3724</v>
      </c>
      <c r="B260" s="164" t="s">
        <v>2518</v>
      </c>
      <c r="C260" s="164">
        <v>14120276</v>
      </c>
      <c r="D260" s="164" t="s">
        <v>283</v>
      </c>
      <c r="E260" s="164" t="s">
        <v>3699</v>
      </c>
      <c r="F260" s="165">
        <v>268.36</v>
      </c>
    </row>
    <row r="261" spans="1:6" x14ac:dyDescent="0.2">
      <c r="A261" s="166" t="s">
        <v>3724</v>
      </c>
      <c r="B261" s="167" t="s">
        <v>2518</v>
      </c>
      <c r="C261" s="167">
        <v>14120270</v>
      </c>
      <c r="D261" s="167" t="s">
        <v>282</v>
      </c>
      <c r="E261" s="167" t="s">
        <v>3699</v>
      </c>
      <c r="F261" s="168">
        <v>268.36</v>
      </c>
    </row>
    <row r="262" spans="1:6" x14ac:dyDescent="0.2">
      <c r="A262" s="163" t="s">
        <v>3724</v>
      </c>
      <c r="B262" s="164" t="s">
        <v>2518</v>
      </c>
      <c r="C262" s="164">
        <v>14120199</v>
      </c>
      <c r="D262" s="164" t="s">
        <v>406</v>
      </c>
      <c r="E262" s="164" t="s">
        <v>3699</v>
      </c>
      <c r="F262" s="165">
        <v>445.8</v>
      </c>
    </row>
    <row r="263" spans="1:6" x14ac:dyDescent="0.2">
      <c r="A263" s="166" t="s">
        <v>3724</v>
      </c>
      <c r="B263" s="167" t="s">
        <v>2518</v>
      </c>
      <c r="C263" s="167">
        <v>14120196</v>
      </c>
      <c r="D263" s="167" t="s">
        <v>280</v>
      </c>
      <c r="E263" s="167" t="s">
        <v>3699</v>
      </c>
      <c r="F263" s="168">
        <v>268.36</v>
      </c>
    </row>
    <row r="264" spans="1:6" x14ac:dyDescent="0.2">
      <c r="A264" s="163" t="s">
        <v>3724</v>
      </c>
      <c r="B264" s="164" t="s">
        <v>2518</v>
      </c>
      <c r="C264" s="164">
        <v>14120121</v>
      </c>
      <c r="D264" s="164" t="s">
        <v>279</v>
      </c>
      <c r="E264" s="164" t="s">
        <v>3699</v>
      </c>
      <c r="F264" s="165">
        <v>645.79999999999995</v>
      </c>
    </row>
    <row r="265" spans="1:6" x14ac:dyDescent="0.2">
      <c r="A265" s="166" t="s">
        <v>3724</v>
      </c>
      <c r="B265" s="167" t="s">
        <v>2518</v>
      </c>
      <c r="C265" s="167">
        <v>14120104</v>
      </c>
      <c r="D265" s="167" t="s">
        <v>277</v>
      </c>
      <c r="E265" s="167" t="s">
        <v>3699</v>
      </c>
      <c r="F265" s="168">
        <v>268.36</v>
      </c>
    </row>
    <row r="266" spans="1:6" x14ac:dyDescent="0.2">
      <c r="A266" s="163" t="s">
        <v>3724</v>
      </c>
      <c r="B266" s="164" t="s">
        <v>2518</v>
      </c>
      <c r="C266" s="164">
        <v>14120091</v>
      </c>
      <c r="D266" s="164" t="s">
        <v>276</v>
      </c>
      <c r="E266" s="164" t="s">
        <v>3699</v>
      </c>
      <c r="F266" s="165">
        <v>268.36</v>
      </c>
    </row>
    <row r="267" spans="1:6" x14ac:dyDescent="0.2">
      <c r="A267" s="166" t="s">
        <v>3724</v>
      </c>
      <c r="B267" s="167" t="s">
        <v>2518</v>
      </c>
      <c r="C267" s="167">
        <v>14120041</v>
      </c>
      <c r="D267" s="167" t="s">
        <v>273</v>
      </c>
      <c r="E267" s="167" t="s">
        <v>3699</v>
      </c>
      <c r="F267" s="168">
        <v>268.36</v>
      </c>
    </row>
    <row r="268" spans="1:6" x14ac:dyDescent="0.2">
      <c r="A268" s="163" t="s">
        <v>3724</v>
      </c>
      <c r="B268" s="164" t="s">
        <v>2518</v>
      </c>
      <c r="C268" s="164">
        <v>14119958</v>
      </c>
      <c r="D268" s="164" t="s">
        <v>271</v>
      </c>
      <c r="E268" s="164" t="s">
        <v>3699</v>
      </c>
      <c r="F268" s="165">
        <v>268.36</v>
      </c>
    </row>
    <row r="269" spans="1:6" x14ac:dyDescent="0.2">
      <c r="A269" s="166" t="s">
        <v>3724</v>
      </c>
      <c r="B269" s="167" t="s">
        <v>2518</v>
      </c>
      <c r="C269" s="167">
        <v>14119956</v>
      </c>
      <c r="D269" s="167" t="s">
        <v>270</v>
      </c>
      <c r="E269" s="167" t="s">
        <v>3699</v>
      </c>
      <c r="F269" s="168">
        <v>268.36</v>
      </c>
    </row>
    <row r="270" spans="1:6" x14ac:dyDescent="0.2">
      <c r="A270" s="163" t="s">
        <v>3724</v>
      </c>
      <c r="B270" s="164" t="s">
        <v>2518</v>
      </c>
      <c r="C270" s="164">
        <v>14119890</v>
      </c>
      <c r="D270" s="164" t="s">
        <v>267</v>
      </c>
      <c r="E270" s="164" t="s">
        <v>3699</v>
      </c>
      <c r="F270" s="165">
        <v>268.36</v>
      </c>
    </row>
    <row r="271" spans="1:6" x14ac:dyDescent="0.2">
      <c r="A271" s="166" t="s">
        <v>3724</v>
      </c>
      <c r="B271" s="167" t="s">
        <v>2518</v>
      </c>
      <c r="C271" s="167">
        <v>14119838</v>
      </c>
      <c r="D271" s="167" t="s">
        <v>509</v>
      </c>
      <c r="E271" s="167" t="s">
        <v>3699</v>
      </c>
      <c r="F271" s="168">
        <v>645.79999999999995</v>
      </c>
    </row>
    <row r="272" spans="1:6" x14ac:dyDescent="0.2">
      <c r="A272" s="163" t="s">
        <v>3724</v>
      </c>
      <c r="B272" s="164" t="s">
        <v>2518</v>
      </c>
      <c r="C272" s="164">
        <v>14119837</v>
      </c>
      <c r="D272" s="164" t="s">
        <v>265</v>
      </c>
      <c r="E272" s="164" t="s">
        <v>3699</v>
      </c>
      <c r="F272" s="165">
        <v>268.36</v>
      </c>
    </row>
    <row r="273" spans="1:6" x14ac:dyDescent="0.2">
      <c r="A273" s="166" t="s">
        <v>3724</v>
      </c>
      <c r="B273" s="167" t="s">
        <v>2518</v>
      </c>
      <c r="C273" s="167">
        <v>14119787</v>
      </c>
      <c r="D273" s="167" t="s">
        <v>261</v>
      </c>
      <c r="E273" s="167" t="s">
        <v>3699</v>
      </c>
      <c r="F273" s="168">
        <v>468.36</v>
      </c>
    </row>
    <row r="274" spans="1:6" x14ac:dyDescent="0.2">
      <c r="A274" s="163" t="s">
        <v>3724</v>
      </c>
      <c r="B274" s="164" t="s">
        <v>2518</v>
      </c>
      <c r="C274" s="164">
        <v>14119785</v>
      </c>
      <c r="D274" s="164" t="s">
        <v>259</v>
      </c>
      <c r="E274" s="164" t="s">
        <v>3699</v>
      </c>
      <c r="F274" s="165">
        <v>645.79999999999995</v>
      </c>
    </row>
    <row r="275" spans="1:6" x14ac:dyDescent="0.2">
      <c r="A275" s="166" t="s">
        <v>3724</v>
      </c>
      <c r="B275" s="167" t="s">
        <v>2518</v>
      </c>
      <c r="C275" s="167">
        <v>14119751</v>
      </c>
      <c r="D275" s="167" t="s">
        <v>258</v>
      </c>
      <c r="E275" s="167" t="s">
        <v>3699</v>
      </c>
      <c r="F275" s="168">
        <v>268.36</v>
      </c>
    </row>
    <row r="276" spans="1:6" x14ac:dyDescent="0.2">
      <c r="A276" s="163" t="s">
        <v>3724</v>
      </c>
      <c r="B276" s="164" t="s">
        <v>2518</v>
      </c>
      <c r="C276" s="164">
        <v>14119701</v>
      </c>
      <c r="D276" s="164" t="s">
        <v>257</v>
      </c>
      <c r="E276" s="164" t="s">
        <v>3699</v>
      </c>
      <c r="F276" s="165">
        <v>268.36</v>
      </c>
    </row>
    <row r="277" spans="1:6" x14ac:dyDescent="0.2">
      <c r="A277" s="166" t="s">
        <v>3724</v>
      </c>
      <c r="B277" s="167" t="s">
        <v>2518</v>
      </c>
      <c r="C277" s="167">
        <v>14119598</v>
      </c>
      <c r="D277" s="167" t="s">
        <v>255</v>
      </c>
      <c r="E277" s="167" t="s">
        <v>3699</v>
      </c>
      <c r="F277" s="168">
        <v>468.36</v>
      </c>
    </row>
    <row r="278" spans="1:6" x14ac:dyDescent="0.2">
      <c r="A278" s="163" t="s">
        <v>3724</v>
      </c>
      <c r="B278" s="164" t="s">
        <v>2518</v>
      </c>
      <c r="C278" s="164">
        <v>14119540</v>
      </c>
      <c r="D278" s="164" t="s">
        <v>254</v>
      </c>
      <c r="E278" s="164" t="s">
        <v>3699</v>
      </c>
      <c r="F278" s="165">
        <v>468.36</v>
      </c>
    </row>
    <row r="279" spans="1:6" x14ac:dyDescent="0.2">
      <c r="A279" s="166" t="s">
        <v>3724</v>
      </c>
      <c r="B279" s="167" t="s">
        <v>2518</v>
      </c>
      <c r="C279" s="167">
        <v>14119539</v>
      </c>
      <c r="D279" s="167" t="s">
        <v>253</v>
      </c>
      <c r="E279" s="167" t="s">
        <v>3699</v>
      </c>
      <c r="F279" s="168">
        <v>645.79999999999995</v>
      </c>
    </row>
    <row r="280" spans="1:6" x14ac:dyDescent="0.2">
      <c r="A280" s="163" t="s">
        <v>3724</v>
      </c>
      <c r="B280" s="164" t="s">
        <v>2518</v>
      </c>
      <c r="C280" s="164">
        <v>14119517</v>
      </c>
      <c r="D280" s="164" t="s">
        <v>252</v>
      </c>
      <c r="E280" s="164" t="s">
        <v>3699</v>
      </c>
      <c r="F280" s="165">
        <v>445.8</v>
      </c>
    </row>
    <row r="281" spans="1:6" x14ac:dyDescent="0.2">
      <c r="A281" s="166" t="s">
        <v>3724</v>
      </c>
      <c r="B281" s="167" t="s">
        <v>2518</v>
      </c>
      <c r="C281" s="167">
        <v>14119481</v>
      </c>
      <c r="D281" s="167" t="s">
        <v>248</v>
      </c>
      <c r="E281" s="167" t="s">
        <v>3699</v>
      </c>
      <c r="F281" s="168">
        <v>268.36</v>
      </c>
    </row>
    <row r="282" spans="1:6" x14ac:dyDescent="0.2">
      <c r="A282" s="163" t="s">
        <v>3724</v>
      </c>
      <c r="B282" s="164" t="s">
        <v>2518</v>
      </c>
      <c r="C282" s="164">
        <v>14119437</v>
      </c>
      <c r="D282" s="164" t="s">
        <v>247</v>
      </c>
      <c r="E282" s="164" t="s">
        <v>3699</v>
      </c>
      <c r="F282" s="165">
        <v>268.36</v>
      </c>
    </row>
    <row r="283" spans="1:6" x14ac:dyDescent="0.2">
      <c r="A283" s="166" t="s">
        <v>3724</v>
      </c>
      <c r="B283" s="167" t="s">
        <v>2518</v>
      </c>
      <c r="C283" s="167">
        <v>14119357</v>
      </c>
      <c r="D283" s="167" t="s">
        <v>245</v>
      </c>
      <c r="E283" s="167" t="s">
        <v>3699</v>
      </c>
      <c r="F283" s="168">
        <v>645.79999999999995</v>
      </c>
    </row>
    <row r="284" spans="1:6" x14ac:dyDescent="0.2">
      <c r="A284" s="163" t="s">
        <v>3724</v>
      </c>
      <c r="B284" s="164" t="s">
        <v>2518</v>
      </c>
      <c r="C284" s="164">
        <v>14119324</v>
      </c>
      <c r="D284" s="164" t="s">
        <v>243</v>
      </c>
      <c r="E284" s="164" t="s">
        <v>3699</v>
      </c>
      <c r="F284" s="165">
        <v>268.36</v>
      </c>
    </row>
    <row r="285" spans="1:6" x14ac:dyDescent="0.2">
      <c r="A285" s="166" t="s">
        <v>3724</v>
      </c>
      <c r="B285" s="167" t="s">
        <v>2518</v>
      </c>
      <c r="C285" s="167">
        <v>14119323</v>
      </c>
      <c r="D285" s="167" t="s">
        <v>242</v>
      </c>
      <c r="E285" s="167" t="s">
        <v>3699</v>
      </c>
      <c r="F285" s="168">
        <v>645.79999999999995</v>
      </c>
    </row>
    <row r="286" spans="1:6" x14ac:dyDescent="0.2">
      <c r="A286" s="163" t="s">
        <v>3724</v>
      </c>
      <c r="B286" s="164" t="s">
        <v>2518</v>
      </c>
      <c r="C286" s="164">
        <v>14119271</v>
      </c>
      <c r="D286" s="164" t="s">
        <v>240</v>
      </c>
      <c r="E286" s="164" t="s">
        <v>3699</v>
      </c>
      <c r="F286" s="165">
        <v>268.36</v>
      </c>
    </row>
    <row r="287" spans="1:6" x14ac:dyDescent="0.2">
      <c r="A287" s="166" t="s">
        <v>3724</v>
      </c>
      <c r="B287" s="167" t="s">
        <v>2518</v>
      </c>
      <c r="C287" s="167">
        <v>14119175</v>
      </c>
      <c r="D287" s="167" t="s">
        <v>238</v>
      </c>
      <c r="E287" s="167" t="s">
        <v>3699</v>
      </c>
      <c r="F287" s="168">
        <v>645.79999999999995</v>
      </c>
    </row>
    <row r="288" spans="1:6" x14ac:dyDescent="0.2">
      <c r="A288" s="163" t="s">
        <v>3724</v>
      </c>
      <c r="B288" s="164" t="s">
        <v>2518</v>
      </c>
      <c r="C288" s="164">
        <v>14119155</v>
      </c>
      <c r="D288" s="164" t="s">
        <v>235</v>
      </c>
      <c r="E288" s="164" t="s">
        <v>3699</v>
      </c>
      <c r="F288" s="165">
        <v>468.36</v>
      </c>
    </row>
    <row r="289" spans="1:6" x14ac:dyDescent="0.2">
      <c r="A289" s="166" t="s">
        <v>3724</v>
      </c>
      <c r="B289" s="167" t="s">
        <v>2518</v>
      </c>
      <c r="C289" s="167">
        <v>14119154</v>
      </c>
      <c r="D289" s="167" t="s">
        <v>234</v>
      </c>
      <c r="E289" s="167" t="s">
        <v>3699</v>
      </c>
      <c r="F289" s="168">
        <v>268.36</v>
      </c>
    </row>
    <row r="290" spans="1:6" x14ac:dyDescent="0.2">
      <c r="A290" s="163" t="s">
        <v>3724</v>
      </c>
      <c r="B290" s="164" t="s">
        <v>2518</v>
      </c>
      <c r="C290" s="164">
        <v>14119153</v>
      </c>
      <c r="D290" s="164" t="s">
        <v>233</v>
      </c>
      <c r="E290" s="164" t="s">
        <v>3699</v>
      </c>
      <c r="F290" s="165">
        <v>268.36</v>
      </c>
    </row>
    <row r="291" spans="1:6" x14ac:dyDescent="0.2">
      <c r="A291" s="166" t="s">
        <v>3724</v>
      </c>
      <c r="B291" s="167" t="s">
        <v>2518</v>
      </c>
      <c r="C291" s="167">
        <v>14119076</v>
      </c>
      <c r="D291" s="167" t="s">
        <v>232</v>
      </c>
      <c r="E291" s="167" t="s">
        <v>3699</v>
      </c>
      <c r="F291" s="168">
        <v>268.36</v>
      </c>
    </row>
    <row r="292" spans="1:6" x14ac:dyDescent="0.2">
      <c r="A292" s="163" t="s">
        <v>3724</v>
      </c>
      <c r="B292" s="164" t="s">
        <v>2518</v>
      </c>
      <c r="C292" s="164">
        <v>14119057</v>
      </c>
      <c r="D292" s="164" t="s">
        <v>231</v>
      </c>
      <c r="E292" s="164" t="s">
        <v>3699</v>
      </c>
      <c r="F292" s="165">
        <v>268.36</v>
      </c>
    </row>
    <row r="293" spans="1:6" x14ac:dyDescent="0.2">
      <c r="A293" s="166" t="s">
        <v>3724</v>
      </c>
      <c r="B293" s="167" t="s">
        <v>2518</v>
      </c>
      <c r="C293" s="167">
        <v>14119018</v>
      </c>
      <c r="D293" s="167" t="s">
        <v>230</v>
      </c>
      <c r="E293" s="167" t="s">
        <v>3699</v>
      </c>
      <c r="F293" s="168">
        <v>268.36</v>
      </c>
    </row>
    <row r="294" spans="1:6" x14ac:dyDescent="0.2">
      <c r="A294" s="163" t="s">
        <v>3724</v>
      </c>
      <c r="B294" s="164" t="s">
        <v>2518</v>
      </c>
      <c r="C294" s="164">
        <v>14119017</v>
      </c>
      <c r="D294" s="164" t="s">
        <v>229</v>
      </c>
      <c r="E294" s="164" t="s">
        <v>3699</v>
      </c>
      <c r="F294" s="165">
        <v>645.79999999999995</v>
      </c>
    </row>
    <row r="295" spans="1:6" x14ac:dyDescent="0.2">
      <c r="A295" s="166" t="s">
        <v>3724</v>
      </c>
      <c r="B295" s="167" t="s">
        <v>2518</v>
      </c>
      <c r="C295" s="167">
        <v>14118957</v>
      </c>
      <c r="D295" s="167" t="s">
        <v>225</v>
      </c>
      <c r="E295" s="167" t="s">
        <v>3699</v>
      </c>
      <c r="F295" s="168">
        <v>645.79999999999995</v>
      </c>
    </row>
    <row r="296" spans="1:6" x14ac:dyDescent="0.2">
      <c r="A296" s="163" t="s">
        <v>3724</v>
      </c>
      <c r="B296" s="164" t="s">
        <v>2518</v>
      </c>
      <c r="C296" s="164">
        <v>14118956</v>
      </c>
      <c r="D296" s="164" t="s">
        <v>224</v>
      </c>
      <c r="E296" s="164" t="s">
        <v>3699</v>
      </c>
      <c r="F296" s="165">
        <v>268.36</v>
      </c>
    </row>
    <row r="297" spans="1:6" x14ac:dyDescent="0.2">
      <c r="A297" s="166" t="s">
        <v>3724</v>
      </c>
      <c r="B297" s="167" t="s">
        <v>2518</v>
      </c>
      <c r="C297" s="167">
        <v>14118892</v>
      </c>
      <c r="D297" s="167" t="s">
        <v>222</v>
      </c>
      <c r="E297" s="167" t="s">
        <v>3699</v>
      </c>
      <c r="F297" s="168">
        <v>645.79999999999995</v>
      </c>
    </row>
    <row r="298" spans="1:6" x14ac:dyDescent="0.2">
      <c r="A298" s="163" t="s">
        <v>3724</v>
      </c>
      <c r="B298" s="164" t="s">
        <v>2518</v>
      </c>
      <c r="C298" s="164">
        <v>14118889</v>
      </c>
      <c r="D298" s="164" t="s">
        <v>221</v>
      </c>
      <c r="E298" s="164" t="s">
        <v>3699</v>
      </c>
      <c r="F298" s="165">
        <v>268.36</v>
      </c>
    </row>
    <row r="299" spans="1:6" x14ac:dyDescent="0.2">
      <c r="A299" s="166" t="s">
        <v>3724</v>
      </c>
      <c r="B299" s="167" t="s">
        <v>2518</v>
      </c>
      <c r="C299" s="167">
        <v>14118887</v>
      </c>
      <c r="D299" s="167" t="s">
        <v>220</v>
      </c>
      <c r="E299" s="167" t="s">
        <v>3699</v>
      </c>
      <c r="F299" s="168">
        <v>268.36</v>
      </c>
    </row>
    <row r="300" spans="1:6" x14ac:dyDescent="0.2">
      <c r="A300" s="163" t="s">
        <v>3724</v>
      </c>
      <c r="B300" s="164" t="s">
        <v>2518</v>
      </c>
      <c r="C300" s="164">
        <v>14118849</v>
      </c>
      <c r="D300" s="164" t="s">
        <v>219</v>
      </c>
      <c r="E300" s="164" t="s">
        <v>3699</v>
      </c>
      <c r="F300" s="165">
        <v>445.8</v>
      </c>
    </row>
    <row r="301" spans="1:6" x14ac:dyDescent="0.2">
      <c r="A301" s="166" t="s">
        <v>3724</v>
      </c>
      <c r="B301" s="167" t="s">
        <v>2518</v>
      </c>
      <c r="C301" s="167">
        <v>14118811</v>
      </c>
      <c r="D301" s="167" t="s">
        <v>217</v>
      </c>
      <c r="E301" s="167" t="s">
        <v>3699</v>
      </c>
      <c r="F301" s="168">
        <v>268.36</v>
      </c>
    </row>
    <row r="302" spans="1:6" x14ac:dyDescent="0.2">
      <c r="A302" s="163" t="s">
        <v>3724</v>
      </c>
      <c r="B302" s="164" t="s">
        <v>2518</v>
      </c>
      <c r="C302" s="164">
        <v>14118809</v>
      </c>
      <c r="D302" s="164" t="s">
        <v>216</v>
      </c>
      <c r="E302" s="164" t="s">
        <v>3699</v>
      </c>
      <c r="F302" s="165">
        <v>645.79999999999995</v>
      </c>
    </row>
    <row r="303" spans="1:6" x14ac:dyDescent="0.2">
      <c r="A303" s="166" t="s">
        <v>3724</v>
      </c>
      <c r="B303" s="167" t="s">
        <v>2518</v>
      </c>
      <c r="C303" s="167">
        <v>14118773</v>
      </c>
      <c r="D303" s="167" t="s">
        <v>213</v>
      </c>
      <c r="E303" s="167" t="s">
        <v>3699</v>
      </c>
      <c r="F303" s="168">
        <v>268.36</v>
      </c>
    </row>
    <row r="304" spans="1:6" x14ac:dyDescent="0.2">
      <c r="A304" s="163" t="s">
        <v>3724</v>
      </c>
      <c r="B304" s="164" t="s">
        <v>2518</v>
      </c>
      <c r="C304" s="164">
        <v>14118745</v>
      </c>
      <c r="D304" s="164" t="s">
        <v>212</v>
      </c>
      <c r="E304" s="164" t="s">
        <v>3699</v>
      </c>
      <c r="F304" s="165">
        <v>268.36</v>
      </c>
    </row>
    <row r="305" spans="1:6" x14ac:dyDescent="0.2">
      <c r="A305" s="166" t="s">
        <v>3724</v>
      </c>
      <c r="B305" s="167" t="s">
        <v>2518</v>
      </c>
      <c r="C305" s="167">
        <v>14118663</v>
      </c>
      <c r="D305" s="167" t="s">
        <v>211</v>
      </c>
      <c r="E305" s="167" t="s">
        <v>3699</v>
      </c>
      <c r="F305" s="168">
        <v>645.79999999999995</v>
      </c>
    </row>
    <row r="306" spans="1:6" x14ac:dyDescent="0.2">
      <c r="A306" s="163" t="s">
        <v>3724</v>
      </c>
      <c r="B306" s="164" t="s">
        <v>2518</v>
      </c>
      <c r="C306" s="164">
        <v>14118660</v>
      </c>
      <c r="D306" s="164" t="s">
        <v>210</v>
      </c>
      <c r="E306" s="164" t="s">
        <v>3699</v>
      </c>
      <c r="F306" s="165">
        <v>268.36</v>
      </c>
    </row>
    <row r="307" spans="1:6" x14ac:dyDescent="0.2">
      <c r="A307" s="166" t="s">
        <v>3724</v>
      </c>
      <c r="B307" s="167" t="s">
        <v>2518</v>
      </c>
      <c r="C307" s="167">
        <v>14118640</v>
      </c>
      <c r="D307" s="167" t="s">
        <v>209</v>
      </c>
      <c r="E307" s="167" t="s">
        <v>3699</v>
      </c>
      <c r="F307" s="168">
        <v>445.8</v>
      </c>
    </row>
    <row r="308" spans="1:6" x14ac:dyDescent="0.2">
      <c r="A308" s="163" t="s">
        <v>3724</v>
      </c>
      <c r="B308" s="164" t="s">
        <v>2518</v>
      </c>
      <c r="C308" s="164">
        <v>14118625</v>
      </c>
      <c r="D308" s="164" t="s">
        <v>428</v>
      </c>
      <c r="E308" s="164" t="s">
        <v>3699</v>
      </c>
      <c r="F308" s="165">
        <v>268.36</v>
      </c>
    </row>
    <row r="309" spans="1:6" x14ac:dyDescent="0.2">
      <c r="A309" s="166" t="s">
        <v>3724</v>
      </c>
      <c r="B309" s="167" t="s">
        <v>2518</v>
      </c>
      <c r="C309" s="167">
        <v>14118622</v>
      </c>
      <c r="D309" s="167" t="s">
        <v>207</v>
      </c>
      <c r="E309" s="167" t="s">
        <v>3699</v>
      </c>
      <c r="F309" s="168">
        <v>268.36</v>
      </c>
    </row>
    <row r="310" spans="1:6" x14ac:dyDescent="0.2">
      <c r="A310" s="163" t="s">
        <v>3724</v>
      </c>
      <c r="B310" s="164" t="s">
        <v>2518</v>
      </c>
      <c r="C310" s="164">
        <v>14118621</v>
      </c>
      <c r="D310" s="164" t="s">
        <v>206</v>
      </c>
      <c r="E310" s="164" t="s">
        <v>3699</v>
      </c>
      <c r="F310" s="165">
        <v>645.79999999999995</v>
      </c>
    </row>
    <row r="311" spans="1:6" x14ac:dyDescent="0.2">
      <c r="A311" s="166" t="s">
        <v>3724</v>
      </c>
      <c r="B311" s="167" t="s">
        <v>2518</v>
      </c>
      <c r="C311" s="167">
        <v>14118620</v>
      </c>
      <c r="D311" s="167" t="s">
        <v>205</v>
      </c>
      <c r="E311" s="167" t="s">
        <v>3699</v>
      </c>
      <c r="F311" s="168">
        <v>268.36</v>
      </c>
    </row>
    <row r="312" spans="1:6" x14ac:dyDescent="0.2">
      <c r="A312" s="163" t="s">
        <v>3724</v>
      </c>
      <c r="B312" s="164" t="s">
        <v>2518</v>
      </c>
      <c r="C312" s="164">
        <v>14118579</v>
      </c>
      <c r="D312" s="164" t="s">
        <v>471</v>
      </c>
      <c r="E312" s="164" t="s">
        <v>3699</v>
      </c>
      <c r="F312" s="165">
        <v>645.79999999999995</v>
      </c>
    </row>
    <row r="313" spans="1:6" x14ac:dyDescent="0.2">
      <c r="A313" s="166" t="s">
        <v>3724</v>
      </c>
      <c r="B313" s="167" t="s">
        <v>2518</v>
      </c>
      <c r="C313" s="167">
        <v>14118505</v>
      </c>
      <c r="D313" s="167" t="s">
        <v>356</v>
      </c>
      <c r="E313" s="167" t="s">
        <v>3699</v>
      </c>
      <c r="F313" s="168">
        <v>468.36</v>
      </c>
    </row>
    <row r="314" spans="1:6" x14ac:dyDescent="0.2">
      <c r="A314" s="163" t="s">
        <v>3724</v>
      </c>
      <c r="B314" s="164" t="s">
        <v>2518</v>
      </c>
      <c r="C314" s="164">
        <v>14118501</v>
      </c>
      <c r="D314" s="164" t="s">
        <v>203</v>
      </c>
      <c r="E314" s="164" t="s">
        <v>3699</v>
      </c>
      <c r="F314" s="165">
        <v>268.36</v>
      </c>
    </row>
    <row r="315" spans="1:6" x14ac:dyDescent="0.2">
      <c r="A315" s="166" t="s">
        <v>3724</v>
      </c>
      <c r="B315" s="167" t="s">
        <v>2518</v>
      </c>
      <c r="C315" s="167">
        <v>14118499</v>
      </c>
      <c r="D315" s="167" t="s">
        <v>202</v>
      </c>
      <c r="E315" s="167" t="s">
        <v>3699</v>
      </c>
      <c r="F315" s="168">
        <v>645.79999999999995</v>
      </c>
    </row>
    <row r="316" spans="1:6" x14ac:dyDescent="0.2">
      <c r="A316" s="163" t="s">
        <v>3724</v>
      </c>
      <c r="B316" s="164" t="s">
        <v>2518</v>
      </c>
      <c r="C316" s="164">
        <v>14118440</v>
      </c>
      <c r="D316" s="164" t="s">
        <v>201</v>
      </c>
      <c r="E316" s="164" t="s">
        <v>3699</v>
      </c>
      <c r="F316" s="165">
        <v>268.36</v>
      </c>
    </row>
    <row r="317" spans="1:6" x14ac:dyDescent="0.2">
      <c r="A317" s="166" t="s">
        <v>3724</v>
      </c>
      <c r="B317" s="167" t="s">
        <v>2518</v>
      </c>
      <c r="C317" s="167">
        <v>14118397</v>
      </c>
      <c r="D317" s="167" t="s">
        <v>200</v>
      </c>
      <c r="E317" s="167" t="s">
        <v>3699</v>
      </c>
      <c r="F317" s="168">
        <v>268.36</v>
      </c>
    </row>
    <row r="318" spans="1:6" x14ac:dyDescent="0.2">
      <c r="A318" s="163" t="s">
        <v>3724</v>
      </c>
      <c r="B318" s="164" t="s">
        <v>2518</v>
      </c>
      <c r="C318" s="164">
        <v>14118341</v>
      </c>
      <c r="D318" s="164" t="s">
        <v>199</v>
      </c>
      <c r="E318" s="164" t="s">
        <v>3699</v>
      </c>
      <c r="F318" s="165">
        <v>268.36</v>
      </c>
    </row>
    <row r="319" spans="1:6" x14ac:dyDescent="0.2">
      <c r="A319" s="166" t="s">
        <v>3724</v>
      </c>
      <c r="B319" s="167" t="s">
        <v>2518</v>
      </c>
      <c r="C319" s="167">
        <v>14118225</v>
      </c>
      <c r="D319" s="167" t="s">
        <v>272</v>
      </c>
      <c r="E319" s="167" t="s">
        <v>3699</v>
      </c>
      <c r="F319" s="168">
        <v>645.79999999999995</v>
      </c>
    </row>
    <row r="320" spans="1:6" x14ac:dyDescent="0.2">
      <c r="A320" s="163" t="s">
        <v>3724</v>
      </c>
      <c r="B320" s="164" t="s">
        <v>2518</v>
      </c>
      <c r="C320" s="164">
        <v>14118210</v>
      </c>
      <c r="D320" s="164" t="s">
        <v>194</v>
      </c>
      <c r="E320" s="164" t="s">
        <v>3699</v>
      </c>
      <c r="F320" s="165">
        <v>645.79999999999995</v>
      </c>
    </row>
    <row r="321" spans="1:6" x14ac:dyDescent="0.2">
      <c r="A321" s="166" t="s">
        <v>3724</v>
      </c>
      <c r="B321" s="167" t="s">
        <v>2518</v>
      </c>
      <c r="C321" s="167">
        <v>14118196</v>
      </c>
      <c r="D321" s="167" t="s">
        <v>193</v>
      </c>
      <c r="E321" s="167" t="s">
        <v>3699</v>
      </c>
      <c r="F321" s="168">
        <v>645.79999999999995</v>
      </c>
    </row>
    <row r="322" spans="1:6" x14ac:dyDescent="0.2">
      <c r="A322" s="163" t="s">
        <v>3724</v>
      </c>
      <c r="B322" s="164" t="s">
        <v>2518</v>
      </c>
      <c r="C322" s="164">
        <v>14118186</v>
      </c>
      <c r="D322" s="164" t="s">
        <v>192</v>
      </c>
      <c r="E322" s="164" t="s">
        <v>3699</v>
      </c>
      <c r="F322" s="165">
        <v>511.62</v>
      </c>
    </row>
    <row r="323" spans="1:6" x14ac:dyDescent="0.2">
      <c r="A323" s="166" t="s">
        <v>3724</v>
      </c>
      <c r="B323" s="167" t="s">
        <v>2518</v>
      </c>
      <c r="C323" s="167">
        <v>14118184</v>
      </c>
      <c r="D323" s="167" t="s">
        <v>239</v>
      </c>
      <c r="E323" s="167" t="s">
        <v>3699</v>
      </c>
      <c r="F323" s="168">
        <v>645.79999999999995</v>
      </c>
    </row>
    <row r="324" spans="1:6" x14ac:dyDescent="0.2">
      <c r="A324" s="163" t="s">
        <v>3724</v>
      </c>
      <c r="B324" s="164" t="s">
        <v>2518</v>
      </c>
      <c r="C324" s="164">
        <v>14118065</v>
      </c>
      <c r="D324" s="164" t="s">
        <v>191</v>
      </c>
      <c r="E324" s="164" t="s">
        <v>3699</v>
      </c>
      <c r="F324" s="165">
        <v>268.36</v>
      </c>
    </row>
    <row r="325" spans="1:6" x14ac:dyDescent="0.2">
      <c r="A325" s="166" t="s">
        <v>3724</v>
      </c>
      <c r="B325" s="167" t="s">
        <v>2518</v>
      </c>
      <c r="C325" s="167">
        <v>14118028</v>
      </c>
      <c r="D325" s="167" t="s">
        <v>189</v>
      </c>
      <c r="E325" s="167" t="s">
        <v>3699</v>
      </c>
      <c r="F325" s="168">
        <v>645.79999999999995</v>
      </c>
    </row>
    <row r="326" spans="1:6" x14ac:dyDescent="0.2">
      <c r="A326" s="163" t="s">
        <v>3724</v>
      </c>
      <c r="B326" s="164" t="s">
        <v>2518</v>
      </c>
      <c r="C326" s="164">
        <v>14117986</v>
      </c>
      <c r="D326" s="164" t="s">
        <v>188</v>
      </c>
      <c r="E326" s="164" t="s">
        <v>3699</v>
      </c>
      <c r="F326" s="165">
        <v>645.79999999999995</v>
      </c>
    </row>
    <row r="327" spans="1:6" x14ac:dyDescent="0.2">
      <c r="A327" s="166" t="s">
        <v>3724</v>
      </c>
      <c r="B327" s="167" t="s">
        <v>2518</v>
      </c>
      <c r="C327" s="167">
        <v>14117969</v>
      </c>
      <c r="D327" s="167" t="s">
        <v>405</v>
      </c>
      <c r="E327" s="167" t="s">
        <v>3699</v>
      </c>
      <c r="F327" s="168">
        <v>268.36</v>
      </c>
    </row>
    <row r="328" spans="1:6" x14ac:dyDescent="0.2">
      <c r="A328" s="163" t="s">
        <v>3724</v>
      </c>
      <c r="B328" s="164" t="s">
        <v>2518</v>
      </c>
      <c r="C328" s="164">
        <v>14117967</v>
      </c>
      <c r="D328" s="164" t="s">
        <v>186</v>
      </c>
      <c r="E328" s="164" t="s">
        <v>3699</v>
      </c>
      <c r="F328" s="165">
        <v>268.36</v>
      </c>
    </row>
    <row r="329" spans="1:6" x14ac:dyDescent="0.2">
      <c r="A329" s="166" t="s">
        <v>3724</v>
      </c>
      <c r="B329" s="167" t="s">
        <v>2518</v>
      </c>
      <c r="C329" s="167">
        <v>14117542</v>
      </c>
      <c r="D329" s="167" t="s">
        <v>180</v>
      </c>
      <c r="E329" s="167" t="s">
        <v>3699</v>
      </c>
      <c r="F329" s="168">
        <v>268.36</v>
      </c>
    </row>
    <row r="330" spans="1:6" x14ac:dyDescent="0.2">
      <c r="A330" s="163" t="s">
        <v>3724</v>
      </c>
      <c r="B330" s="164" t="s">
        <v>2518</v>
      </c>
      <c r="C330" s="164">
        <v>14117509</v>
      </c>
      <c r="D330" s="164" t="s">
        <v>237</v>
      </c>
      <c r="E330" s="164" t="s">
        <v>3699</v>
      </c>
      <c r="F330" s="165">
        <v>268.36</v>
      </c>
    </row>
    <row r="331" spans="1:6" x14ac:dyDescent="0.2">
      <c r="A331" s="166" t="s">
        <v>3724</v>
      </c>
      <c r="B331" s="167" t="s">
        <v>2518</v>
      </c>
      <c r="C331" s="167">
        <v>14117508</v>
      </c>
      <c r="D331" s="167" t="s">
        <v>318</v>
      </c>
      <c r="E331" s="167" t="s">
        <v>3699</v>
      </c>
      <c r="F331" s="168">
        <v>645.79999999999995</v>
      </c>
    </row>
    <row r="332" spans="1:6" x14ac:dyDescent="0.2">
      <c r="A332" s="163" t="s">
        <v>3724</v>
      </c>
      <c r="B332" s="164" t="s">
        <v>2518</v>
      </c>
      <c r="C332" s="164">
        <v>14117400</v>
      </c>
      <c r="D332" s="164" t="s">
        <v>179</v>
      </c>
      <c r="E332" s="164" t="s">
        <v>3699</v>
      </c>
      <c r="F332" s="165">
        <v>268.36</v>
      </c>
    </row>
    <row r="333" spans="1:6" x14ac:dyDescent="0.2">
      <c r="A333" s="166" t="s">
        <v>3724</v>
      </c>
      <c r="B333" s="167" t="s">
        <v>2518</v>
      </c>
      <c r="C333" s="167">
        <v>14117297</v>
      </c>
      <c r="D333" s="167" t="s">
        <v>178</v>
      </c>
      <c r="E333" s="167" t="s">
        <v>3699</v>
      </c>
      <c r="F333" s="168">
        <v>268.36</v>
      </c>
    </row>
    <row r="334" spans="1:6" x14ac:dyDescent="0.2">
      <c r="A334" s="163" t="s">
        <v>3724</v>
      </c>
      <c r="B334" s="164" t="s">
        <v>2518</v>
      </c>
      <c r="C334" s="164">
        <v>14117160</v>
      </c>
      <c r="D334" s="164" t="s">
        <v>177</v>
      </c>
      <c r="E334" s="164" t="s">
        <v>3699</v>
      </c>
      <c r="F334" s="165">
        <v>268.36</v>
      </c>
    </row>
    <row r="335" spans="1:6" x14ac:dyDescent="0.2">
      <c r="A335" s="166" t="s">
        <v>3724</v>
      </c>
      <c r="B335" s="167" t="s">
        <v>2518</v>
      </c>
      <c r="C335" s="167">
        <v>14117158</v>
      </c>
      <c r="D335" s="167" t="s">
        <v>176</v>
      </c>
      <c r="E335" s="167" t="s">
        <v>3699</v>
      </c>
      <c r="F335" s="168">
        <v>445.8</v>
      </c>
    </row>
    <row r="336" spans="1:6" x14ac:dyDescent="0.2">
      <c r="A336" s="163" t="s">
        <v>3724</v>
      </c>
      <c r="B336" s="164" t="s">
        <v>2518</v>
      </c>
      <c r="C336" s="164">
        <v>14117157</v>
      </c>
      <c r="D336" s="164" t="s">
        <v>246</v>
      </c>
      <c r="E336" s="164" t="s">
        <v>3699</v>
      </c>
      <c r="F336" s="165">
        <v>645.79999999999995</v>
      </c>
    </row>
    <row r="337" spans="1:6" x14ac:dyDescent="0.2">
      <c r="A337" s="166" t="s">
        <v>3724</v>
      </c>
      <c r="B337" s="167" t="s">
        <v>2518</v>
      </c>
      <c r="C337" s="167">
        <v>14116929</v>
      </c>
      <c r="D337" s="167" t="s">
        <v>373</v>
      </c>
      <c r="E337" s="167" t="s">
        <v>3699</v>
      </c>
      <c r="F337" s="168">
        <v>268.36</v>
      </c>
    </row>
    <row r="338" spans="1:6" x14ac:dyDescent="0.2">
      <c r="A338" s="163" t="s">
        <v>3724</v>
      </c>
      <c r="B338" s="164" t="s">
        <v>2518</v>
      </c>
      <c r="C338" s="164">
        <v>14116917</v>
      </c>
      <c r="D338" s="164" t="s">
        <v>174</v>
      </c>
      <c r="E338" s="164" t="s">
        <v>3699</v>
      </c>
      <c r="F338" s="165">
        <v>268.36</v>
      </c>
    </row>
    <row r="339" spans="1:6" x14ac:dyDescent="0.2">
      <c r="A339" s="166" t="s">
        <v>3724</v>
      </c>
      <c r="B339" s="167" t="s">
        <v>2518</v>
      </c>
      <c r="C339" s="167">
        <v>14116860</v>
      </c>
      <c r="D339" s="167" t="s">
        <v>172</v>
      </c>
      <c r="E339" s="167" t="s">
        <v>3699</v>
      </c>
      <c r="F339" s="168">
        <v>468.36</v>
      </c>
    </row>
    <row r="340" spans="1:6" x14ac:dyDescent="0.2">
      <c r="A340" s="163" t="s">
        <v>3724</v>
      </c>
      <c r="B340" s="164" t="s">
        <v>2518</v>
      </c>
      <c r="C340" s="164">
        <v>14116855</v>
      </c>
      <c r="D340" s="164" t="s">
        <v>171</v>
      </c>
      <c r="E340" s="164" t="s">
        <v>3699</v>
      </c>
      <c r="F340" s="165">
        <v>268.36</v>
      </c>
    </row>
    <row r="341" spans="1:6" x14ac:dyDescent="0.2">
      <c r="A341" s="166" t="s">
        <v>3724</v>
      </c>
      <c r="B341" s="167" t="s">
        <v>2518</v>
      </c>
      <c r="C341" s="167">
        <v>14116853</v>
      </c>
      <c r="D341" s="167" t="s">
        <v>256</v>
      </c>
      <c r="E341" s="167" t="s">
        <v>3699</v>
      </c>
      <c r="F341" s="168">
        <v>268.36</v>
      </c>
    </row>
    <row r="342" spans="1:6" x14ac:dyDescent="0.2">
      <c r="A342" s="163" t="s">
        <v>3724</v>
      </c>
      <c r="B342" s="164" t="s">
        <v>2518</v>
      </c>
      <c r="C342" s="164">
        <v>14116723</v>
      </c>
      <c r="D342" s="164" t="s">
        <v>170</v>
      </c>
      <c r="E342" s="164" t="s">
        <v>3699</v>
      </c>
      <c r="F342" s="165">
        <v>268.36</v>
      </c>
    </row>
    <row r="343" spans="1:6" x14ac:dyDescent="0.2">
      <c r="A343" s="166" t="s">
        <v>3724</v>
      </c>
      <c r="B343" s="167" t="s">
        <v>2518</v>
      </c>
      <c r="C343" s="167">
        <v>14116643</v>
      </c>
      <c r="D343" s="167" t="s">
        <v>295</v>
      </c>
      <c r="E343" s="167" t="s">
        <v>3699</v>
      </c>
      <c r="F343" s="168">
        <v>268.36</v>
      </c>
    </row>
    <row r="344" spans="1:6" x14ac:dyDescent="0.2">
      <c r="A344" s="163" t="s">
        <v>3724</v>
      </c>
      <c r="B344" s="164" t="s">
        <v>2518</v>
      </c>
      <c r="C344" s="164">
        <v>14116565</v>
      </c>
      <c r="D344" s="164" t="s">
        <v>463</v>
      </c>
      <c r="E344" s="164" t="s">
        <v>3699</v>
      </c>
      <c r="F344" s="165">
        <v>645.79999999999995</v>
      </c>
    </row>
    <row r="345" spans="1:6" x14ac:dyDescent="0.2">
      <c r="A345" s="166" t="s">
        <v>3724</v>
      </c>
      <c r="B345" s="167" t="s">
        <v>2518</v>
      </c>
      <c r="C345" s="167">
        <v>14116564</v>
      </c>
      <c r="D345" s="167" t="s">
        <v>167</v>
      </c>
      <c r="E345" s="167" t="s">
        <v>3699</v>
      </c>
      <c r="F345" s="168">
        <v>268.36</v>
      </c>
    </row>
    <row r="346" spans="1:6" x14ac:dyDescent="0.2">
      <c r="A346" s="163" t="s">
        <v>3724</v>
      </c>
      <c r="B346" s="164" t="s">
        <v>2518</v>
      </c>
      <c r="C346" s="164">
        <v>14116504</v>
      </c>
      <c r="D346" s="164" t="s">
        <v>165</v>
      </c>
      <c r="E346" s="164" t="s">
        <v>3699</v>
      </c>
      <c r="F346" s="165">
        <v>645.79999999999995</v>
      </c>
    </row>
    <row r="347" spans="1:6" x14ac:dyDescent="0.2">
      <c r="A347" s="166" t="s">
        <v>3724</v>
      </c>
      <c r="B347" s="167" t="s">
        <v>2518</v>
      </c>
      <c r="C347" s="167">
        <v>14116431</v>
      </c>
      <c r="D347" s="167" t="s">
        <v>163</v>
      </c>
      <c r="E347" s="167" t="s">
        <v>3699</v>
      </c>
      <c r="F347" s="168">
        <v>268.36</v>
      </c>
    </row>
    <row r="348" spans="1:6" x14ac:dyDescent="0.2">
      <c r="A348" s="163" t="s">
        <v>3724</v>
      </c>
      <c r="B348" s="164" t="s">
        <v>2518</v>
      </c>
      <c r="C348" s="164">
        <v>14116373</v>
      </c>
      <c r="D348" s="164" t="s">
        <v>162</v>
      </c>
      <c r="E348" s="164" t="s">
        <v>3699</v>
      </c>
      <c r="F348" s="165">
        <v>645.79999999999995</v>
      </c>
    </row>
    <row r="349" spans="1:6" x14ac:dyDescent="0.2">
      <c r="A349" s="166" t="s">
        <v>3724</v>
      </c>
      <c r="B349" s="167" t="s">
        <v>2518</v>
      </c>
      <c r="C349" s="167">
        <v>14116352</v>
      </c>
      <c r="D349" s="167" t="s">
        <v>160</v>
      </c>
      <c r="E349" s="167" t="s">
        <v>3699</v>
      </c>
      <c r="F349" s="168">
        <v>645.79999999999995</v>
      </c>
    </row>
    <row r="350" spans="1:6" x14ac:dyDescent="0.2">
      <c r="A350" s="163" t="s">
        <v>3724</v>
      </c>
      <c r="B350" s="164" t="s">
        <v>2518</v>
      </c>
      <c r="C350" s="164">
        <v>14116295</v>
      </c>
      <c r="D350" s="164" t="s">
        <v>159</v>
      </c>
      <c r="E350" s="164" t="s">
        <v>3699</v>
      </c>
      <c r="F350" s="165">
        <v>645.79999999999995</v>
      </c>
    </row>
    <row r="351" spans="1:6" x14ac:dyDescent="0.2">
      <c r="A351" s="166" t="s">
        <v>3724</v>
      </c>
      <c r="B351" s="167" t="s">
        <v>2518</v>
      </c>
      <c r="C351" s="167">
        <v>14116262</v>
      </c>
      <c r="D351" s="167" t="s">
        <v>158</v>
      </c>
      <c r="E351" s="167" t="s">
        <v>3699</v>
      </c>
      <c r="F351" s="168">
        <v>134.18</v>
      </c>
    </row>
    <row r="352" spans="1:6" x14ac:dyDescent="0.2">
      <c r="A352" s="163" t="s">
        <v>3724</v>
      </c>
      <c r="B352" s="164" t="s">
        <v>2518</v>
      </c>
      <c r="C352" s="164">
        <v>14116250</v>
      </c>
      <c r="D352" s="164" t="s">
        <v>431</v>
      </c>
      <c r="E352" s="164" t="s">
        <v>3699</v>
      </c>
      <c r="F352" s="165">
        <v>645.79999999999995</v>
      </c>
    </row>
    <row r="353" spans="1:6" x14ac:dyDescent="0.2">
      <c r="A353" s="166" t="s">
        <v>3724</v>
      </c>
      <c r="B353" s="167" t="s">
        <v>2518</v>
      </c>
      <c r="C353" s="167">
        <v>14116134</v>
      </c>
      <c r="D353" s="167" t="s">
        <v>157</v>
      </c>
      <c r="E353" s="167" t="s">
        <v>3699</v>
      </c>
      <c r="F353" s="168">
        <v>268.36</v>
      </c>
    </row>
    <row r="354" spans="1:6" x14ac:dyDescent="0.2">
      <c r="A354" s="163" t="s">
        <v>3724</v>
      </c>
      <c r="B354" s="164" t="s">
        <v>2518</v>
      </c>
      <c r="C354" s="164">
        <v>14116058</v>
      </c>
      <c r="D354" s="164" t="s">
        <v>154</v>
      </c>
      <c r="E354" s="164" t="s">
        <v>3699</v>
      </c>
      <c r="F354" s="165">
        <v>311.62</v>
      </c>
    </row>
    <row r="355" spans="1:6" x14ac:dyDescent="0.2">
      <c r="A355" s="166" t="s">
        <v>3724</v>
      </c>
      <c r="B355" s="167" t="s">
        <v>2518</v>
      </c>
      <c r="C355" s="167">
        <v>14116046</v>
      </c>
      <c r="D355" s="167" t="s">
        <v>153</v>
      </c>
      <c r="E355" s="167" t="s">
        <v>3699</v>
      </c>
      <c r="F355" s="168">
        <v>645.79999999999995</v>
      </c>
    </row>
    <row r="356" spans="1:6" x14ac:dyDescent="0.2">
      <c r="A356" s="163" t="s">
        <v>3724</v>
      </c>
      <c r="B356" s="164" t="s">
        <v>2518</v>
      </c>
      <c r="C356" s="164">
        <v>14116000</v>
      </c>
      <c r="D356" s="164" t="s">
        <v>152</v>
      </c>
      <c r="E356" s="164" t="s">
        <v>3699</v>
      </c>
      <c r="F356" s="165">
        <v>268.36</v>
      </c>
    </row>
    <row r="357" spans="1:6" x14ac:dyDescent="0.2">
      <c r="A357" s="166" t="s">
        <v>3724</v>
      </c>
      <c r="B357" s="167" t="s">
        <v>2518</v>
      </c>
      <c r="C357" s="167">
        <v>14115917</v>
      </c>
      <c r="D357" s="167" t="s">
        <v>151</v>
      </c>
      <c r="E357" s="167" t="s">
        <v>3699</v>
      </c>
      <c r="F357" s="168">
        <v>268.36</v>
      </c>
    </row>
    <row r="358" spans="1:6" x14ac:dyDescent="0.2">
      <c r="A358" s="163" t="s">
        <v>3724</v>
      </c>
      <c r="B358" s="164" t="s">
        <v>2518</v>
      </c>
      <c r="C358" s="164">
        <v>14115909</v>
      </c>
      <c r="D358" s="164" t="s">
        <v>341</v>
      </c>
      <c r="E358" s="164" t="s">
        <v>3699</v>
      </c>
      <c r="F358" s="165">
        <v>445.8</v>
      </c>
    </row>
    <row r="359" spans="1:6" x14ac:dyDescent="0.2">
      <c r="A359" s="166" t="s">
        <v>3724</v>
      </c>
      <c r="B359" s="167" t="s">
        <v>2518</v>
      </c>
      <c r="C359" s="167">
        <v>14115908</v>
      </c>
      <c r="D359" s="167" t="s">
        <v>150</v>
      </c>
      <c r="E359" s="167" t="s">
        <v>3699</v>
      </c>
      <c r="F359" s="168">
        <v>645.79999999999995</v>
      </c>
    </row>
    <row r="360" spans="1:6" x14ac:dyDescent="0.2">
      <c r="A360" s="163" t="s">
        <v>3724</v>
      </c>
      <c r="B360" s="164" t="s">
        <v>2518</v>
      </c>
      <c r="C360" s="164">
        <v>14115830</v>
      </c>
      <c r="D360" s="164" t="s">
        <v>149</v>
      </c>
      <c r="E360" s="164" t="s">
        <v>3699</v>
      </c>
      <c r="F360" s="165">
        <v>268.36</v>
      </c>
    </row>
    <row r="361" spans="1:6" x14ac:dyDescent="0.2">
      <c r="A361" s="166" t="s">
        <v>3724</v>
      </c>
      <c r="B361" s="167" t="s">
        <v>2518</v>
      </c>
      <c r="C361" s="167">
        <v>14115820</v>
      </c>
      <c r="D361" s="167" t="s">
        <v>148</v>
      </c>
      <c r="E361" s="167" t="s">
        <v>3699</v>
      </c>
      <c r="F361" s="168">
        <v>268.36</v>
      </c>
    </row>
    <row r="362" spans="1:6" x14ac:dyDescent="0.2">
      <c r="A362" s="163" t="s">
        <v>3724</v>
      </c>
      <c r="B362" s="164" t="s">
        <v>2518</v>
      </c>
      <c r="C362" s="164">
        <v>14115630</v>
      </c>
      <c r="D362" s="164" t="s">
        <v>146</v>
      </c>
      <c r="E362" s="164" t="s">
        <v>3699</v>
      </c>
      <c r="F362" s="165">
        <v>645.79999999999995</v>
      </c>
    </row>
    <row r="363" spans="1:6" x14ac:dyDescent="0.2">
      <c r="A363" s="166" t="s">
        <v>3724</v>
      </c>
      <c r="B363" s="167" t="s">
        <v>2518</v>
      </c>
      <c r="C363" s="167">
        <v>14115536</v>
      </c>
      <c r="D363" s="167" t="s">
        <v>144</v>
      </c>
      <c r="E363" s="167" t="s">
        <v>3699</v>
      </c>
      <c r="F363" s="168">
        <v>268.36</v>
      </c>
    </row>
    <row r="364" spans="1:6" x14ac:dyDescent="0.2">
      <c r="A364" s="163" t="s">
        <v>3724</v>
      </c>
      <c r="B364" s="164" t="s">
        <v>2518</v>
      </c>
      <c r="C364" s="164">
        <v>14115535</v>
      </c>
      <c r="D364" s="164" t="s">
        <v>289</v>
      </c>
      <c r="E364" s="164" t="s">
        <v>3699</v>
      </c>
      <c r="F364" s="165">
        <v>645.79999999999995</v>
      </c>
    </row>
    <row r="365" spans="1:6" x14ac:dyDescent="0.2">
      <c r="A365" s="166" t="s">
        <v>3724</v>
      </c>
      <c r="B365" s="167" t="s">
        <v>2518</v>
      </c>
      <c r="C365" s="167">
        <v>14115435</v>
      </c>
      <c r="D365" s="167" t="s">
        <v>143</v>
      </c>
      <c r="E365" s="167" t="s">
        <v>3699</v>
      </c>
      <c r="F365" s="168">
        <v>268.36</v>
      </c>
    </row>
    <row r="366" spans="1:6" x14ac:dyDescent="0.2">
      <c r="A366" s="163" t="s">
        <v>3724</v>
      </c>
      <c r="B366" s="164" t="s">
        <v>2518</v>
      </c>
      <c r="C366" s="164">
        <v>14115136</v>
      </c>
      <c r="D366" s="164" t="s">
        <v>140</v>
      </c>
      <c r="E366" s="164" t="s">
        <v>3699</v>
      </c>
      <c r="F366" s="165">
        <v>268.36</v>
      </c>
    </row>
    <row r="367" spans="1:6" x14ac:dyDescent="0.2">
      <c r="A367" s="166" t="s">
        <v>3724</v>
      </c>
      <c r="B367" s="167" t="s">
        <v>2518</v>
      </c>
      <c r="C367" s="167">
        <v>14114709</v>
      </c>
      <c r="D367" s="167" t="s">
        <v>139</v>
      </c>
      <c r="E367" s="167" t="s">
        <v>3699</v>
      </c>
      <c r="F367" s="168">
        <v>645.79999999999995</v>
      </c>
    </row>
    <row r="368" spans="1:6" x14ac:dyDescent="0.2">
      <c r="A368" s="163" t="s">
        <v>3724</v>
      </c>
      <c r="B368" s="164" t="s">
        <v>2518</v>
      </c>
      <c r="C368" s="164">
        <v>14114667</v>
      </c>
      <c r="D368" s="164" t="s">
        <v>138</v>
      </c>
      <c r="E368" s="164" t="s">
        <v>3699</v>
      </c>
      <c r="F368" s="165">
        <v>268.36</v>
      </c>
    </row>
    <row r="369" spans="1:6" x14ac:dyDescent="0.2">
      <c r="A369" s="166" t="s">
        <v>3724</v>
      </c>
      <c r="B369" s="167" t="s">
        <v>2518</v>
      </c>
      <c r="C369" s="167">
        <v>14114665</v>
      </c>
      <c r="D369" s="167" t="s">
        <v>137</v>
      </c>
      <c r="E369" s="167" t="s">
        <v>3699</v>
      </c>
      <c r="F369" s="168">
        <v>468.36</v>
      </c>
    </row>
    <row r="370" spans="1:6" x14ac:dyDescent="0.2">
      <c r="A370" s="163" t="s">
        <v>3724</v>
      </c>
      <c r="B370" s="164" t="s">
        <v>2518</v>
      </c>
      <c r="C370" s="164">
        <v>14114431</v>
      </c>
      <c r="D370" s="164" t="s">
        <v>136</v>
      </c>
      <c r="E370" s="164" t="s">
        <v>3699</v>
      </c>
      <c r="F370" s="165">
        <v>268.36</v>
      </c>
    </row>
    <row r="371" spans="1:6" x14ac:dyDescent="0.2">
      <c r="A371" s="166" t="s">
        <v>3724</v>
      </c>
      <c r="B371" s="167" t="s">
        <v>2518</v>
      </c>
      <c r="C371" s="167">
        <v>14114330</v>
      </c>
      <c r="D371" s="167" t="s">
        <v>135</v>
      </c>
      <c r="E371" s="167" t="s">
        <v>3699</v>
      </c>
      <c r="F371" s="168">
        <v>645.79999999999995</v>
      </c>
    </row>
    <row r="372" spans="1:6" x14ac:dyDescent="0.2">
      <c r="A372" s="163" t="s">
        <v>3724</v>
      </c>
      <c r="B372" s="164" t="s">
        <v>2518</v>
      </c>
      <c r="C372" s="164">
        <v>14114324</v>
      </c>
      <c r="D372" s="164" t="s">
        <v>348</v>
      </c>
      <c r="E372" s="164" t="s">
        <v>3699</v>
      </c>
      <c r="F372" s="165">
        <v>268.36</v>
      </c>
    </row>
    <row r="373" spans="1:6" x14ac:dyDescent="0.2">
      <c r="A373" s="166" t="s">
        <v>3724</v>
      </c>
      <c r="B373" s="167" t="s">
        <v>2518</v>
      </c>
      <c r="C373" s="167">
        <v>14114320</v>
      </c>
      <c r="D373" s="167" t="s">
        <v>317</v>
      </c>
      <c r="E373" s="167" t="s">
        <v>3699</v>
      </c>
      <c r="F373" s="168">
        <v>445.8</v>
      </c>
    </row>
    <row r="374" spans="1:6" x14ac:dyDescent="0.2">
      <c r="A374" s="163" t="s">
        <v>3724</v>
      </c>
      <c r="B374" s="164" t="s">
        <v>2518</v>
      </c>
      <c r="C374" s="164">
        <v>14114062</v>
      </c>
      <c r="D374" s="164" t="s">
        <v>134</v>
      </c>
      <c r="E374" s="164" t="s">
        <v>3699</v>
      </c>
      <c r="F374" s="165">
        <v>845.8</v>
      </c>
    </row>
    <row r="375" spans="1:6" x14ac:dyDescent="0.2">
      <c r="A375" s="166" t="s">
        <v>3724</v>
      </c>
      <c r="B375" s="167" t="s">
        <v>2518</v>
      </c>
      <c r="C375" s="167">
        <v>14114037</v>
      </c>
      <c r="D375" s="167" t="s">
        <v>184</v>
      </c>
      <c r="E375" s="167" t="s">
        <v>3699</v>
      </c>
      <c r="F375" s="168">
        <v>445.8</v>
      </c>
    </row>
    <row r="376" spans="1:6" x14ac:dyDescent="0.2">
      <c r="A376" s="163" t="s">
        <v>3724</v>
      </c>
      <c r="B376" s="164" t="s">
        <v>2518</v>
      </c>
      <c r="C376" s="164">
        <v>14114030</v>
      </c>
      <c r="D376" s="164" t="s">
        <v>133</v>
      </c>
      <c r="E376" s="164" t="s">
        <v>3699</v>
      </c>
      <c r="F376" s="165">
        <v>645.79999999999995</v>
      </c>
    </row>
    <row r="377" spans="1:6" x14ac:dyDescent="0.2">
      <c r="A377" s="166" t="s">
        <v>3724</v>
      </c>
      <c r="B377" s="167" t="s">
        <v>2518</v>
      </c>
      <c r="C377" s="167">
        <v>14113837</v>
      </c>
      <c r="D377" s="167" t="s">
        <v>132</v>
      </c>
      <c r="E377" s="167" t="s">
        <v>3699</v>
      </c>
      <c r="F377" s="168">
        <v>645.79999999999995</v>
      </c>
    </row>
    <row r="378" spans="1:6" x14ac:dyDescent="0.2">
      <c r="A378" s="163" t="s">
        <v>3724</v>
      </c>
      <c r="B378" s="164" t="s">
        <v>2518</v>
      </c>
      <c r="C378" s="164">
        <v>14113803</v>
      </c>
      <c r="D378" s="164" t="s">
        <v>299</v>
      </c>
      <c r="E378" s="164" t="s">
        <v>3699</v>
      </c>
      <c r="F378" s="165">
        <v>268.36</v>
      </c>
    </row>
    <row r="379" spans="1:6" x14ac:dyDescent="0.2">
      <c r="A379" s="166" t="s">
        <v>3724</v>
      </c>
      <c r="B379" s="167" t="s">
        <v>2518</v>
      </c>
      <c r="C379" s="167">
        <v>14113619</v>
      </c>
      <c r="D379" s="167" t="s">
        <v>131</v>
      </c>
      <c r="E379" s="167" t="s">
        <v>3699</v>
      </c>
      <c r="F379" s="168">
        <v>914.16</v>
      </c>
    </row>
    <row r="380" spans="1:6" x14ac:dyDescent="0.2">
      <c r="A380" s="163" t="s">
        <v>3724</v>
      </c>
      <c r="B380" s="164" t="s">
        <v>2518</v>
      </c>
      <c r="C380" s="164">
        <v>14113565</v>
      </c>
      <c r="D380" s="164" t="s">
        <v>130</v>
      </c>
      <c r="E380" s="164" t="s">
        <v>3699</v>
      </c>
      <c r="F380" s="165">
        <v>468.36</v>
      </c>
    </row>
    <row r="381" spans="1:6" x14ac:dyDescent="0.2">
      <c r="A381" s="166" t="s">
        <v>3724</v>
      </c>
      <c r="B381" s="167" t="s">
        <v>2518</v>
      </c>
      <c r="C381" s="167">
        <v>14113349</v>
      </c>
      <c r="D381" s="167" t="s">
        <v>129</v>
      </c>
      <c r="E381" s="167" t="s">
        <v>3699</v>
      </c>
      <c r="F381" s="168">
        <v>445.8</v>
      </c>
    </row>
    <row r="382" spans="1:6" x14ac:dyDescent="0.2">
      <c r="A382" s="163" t="s">
        <v>3724</v>
      </c>
      <c r="B382" s="164" t="s">
        <v>2518</v>
      </c>
      <c r="C382" s="164">
        <v>14113320</v>
      </c>
      <c r="D382" s="164" t="s">
        <v>128</v>
      </c>
      <c r="E382" s="164" t="s">
        <v>3699</v>
      </c>
      <c r="F382" s="165">
        <v>268.36</v>
      </c>
    </row>
    <row r="383" spans="1:6" x14ac:dyDescent="0.2">
      <c r="A383" s="166" t="s">
        <v>3724</v>
      </c>
      <c r="B383" s="167" t="s">
        <v>2518</v>
      </c>
      <c r="C383" s="167">
        <v>14113311</v>
      </c>
      <c r="D383" s="167" t="s">
        <v>127</v>
      </c>
      <c r="E383" s="167" t="s">
        <v>3699</v>
      </c>
      <c r="F383" s="168">
        <v>268.36</v>
      </c>
    </row>
    <row r="384" spans="1:6" x14ac:dyDescent="0.2">
      <c r="A384" s="163" t="s">
        <v>3724</v>
      </c>
      <c r="B384" s="164" t="s">
        <v>2518</v>
      </c>
      <c r="C384" s="164">
        <v>14113200</v>
      </c>
      <c r="D384" s="164" t="s">
        <v>126</v>
      </c>
      <c r="E384" s="164" t="s">
        <v>3699</v>
      </c>
      <c r="F384" s="165">
        <v>645.79999999999995</v>
      </c>
    </row>
    <row r="385" spans="1:6" x14ac:dyDescent="0.2">
      <c r="A385" s="166" t="s">
        <v>3724</v>
      </c>
      <c r="B385" s="167" t="s">
        <v>2518</v>
      </c>
      <c r="C385" s="167">
        <v>14113198</v>
      </c>
      <c r="D385" s="167" t="s">
        <v>215</v>
      </c>
      <c r="E385" s="167" t="s">
        <v>3699</v>
      </c>
      <c r="F385" s="168">
        <v>268.36</v>
      </c>
    </row>
    <row r="386" spans="1:6" x14ac:dyDescent="0.2">
      <c r="A386" s="163" t="s">
        <v>3724</v>
      </c>
      <c r="B386" s="164" t="s">
        <v>2518</v>
      </c>
      <c r="C386" s="164">
        <v>14113146</v>
      </c>
      <c r="D386" s="164" t="s">
        <v>125</v>
      </c>
      <c r="E386" s="164" t="s">
        <v>3699</v>
      </c>
      <c r="F386" s="165">
        <v>645.79999999999995</v>
      </c>
    </row>
    <row r="387" spans="1:6" x14ac:dyDescent="0.2">
      <c r="A387" s="166" t="s">
        <v>3724</v>
      </c>
      <c r="B387" s="167" t="s">
        <v>2518</v>
      </c>
      <c r="C387" s="167">
        <v>14113140</v>
      </c>
      <c r="D387" s="167" t="s">
        <v>124</v>
      </c>
      <c r="E387" s="167" t="s">
        <v>3699</v>
      </c>
      <c r="F387" s="168">
        <v>645.79999999999995</v>
      </c>
    </row>
    <row r="388" spans="1:6" x14ac:dyDescent="0.2">
      <c r="A388" s="163" t="s">
        <v>3724</v>
      </c>
      <c r="B388" s="164" t="s">
        <v>2518</v>
      </c>
      <c r="C388" s="164">
        <v>14113056</v>
      </c>
      <c r="D388" s="164" t="s">
        <v>236</v>
      </c>
      <c r="E388" s="164" t="s">
        <v>3699</v>
      </c>
      <c r="F388" s="165">
        <v>268.36</v>
      </c>
    </row>
    <row r="389" spans="1:6" x14ac:dyDescent="0.2">
      <c r="A389" s="166" t="s">
        <v>3724</v>
      </c>
      <c r="B389" s="167" t="s">
        <v>2518</v>
      </c>
      <c r="C389" s="167">
        <v>14113054</v>
      </c>
      <c r="D389" s="167" t="s">
        <v>123</v>
      </c>
      <c r="E389" s="167" t="s">
        <v>3699</v>
      </c>
      <c r="F389" s="168">
        <v>268.36</v>
      </c>
    </row>
    <row r="390" spans="1:6" x14ac:dyDescent="0.2">
      <c r="A390" s="163" t="s">
        <v>3724</v>
      </c>
      <c r="B390" s="164" t="s">
        <v>2518</v>
      </c>
      <c r="C390" s="164">
        <v>14112757</v>
      </c>
      <c r="D390" s="164" t="s">
        <v>355</v>
      </c>
      <c r="E390" s="164" t="s">
        <v>3699</v>
      </c>
      <c r="F390" s="165">
        <v>134.18</v>
      </c>
    </row>
    <row r="391" spans="1:6" x14ac:dyDescent="0.2">
      <c r="A391" s="166" t="s">
        <v>3724</v>
      </c>
      <c r="B391" s="167" t="s">
        <v>2518</v>
      </c>
      <c r="C391" s="167">
        <v>14112730</v>
      </c>
      <c r="D391" s="167" t="s">
        <v>281</v>
      </c>
      <c r="E391" s="167" t="s">
        <v>3699</v>
      </c>
      <c r="F391" s="168">
        <v>268.36</v>
      </c>
    </row>
    <row r="392" spans="1:6" x14ac:dyDescent="0.2">
      <c r="A392" s="163" t="s">
        <v>3724</v>
      </c>
      <c r="B392" s="164" t="s">
        <v>2518</v>
      </c>
      <c r="C392" s="164">
        <v>14112635</v>
      </c>
      <c r="D392" s="164" t="s">
        <v>985</v>
      </c>
      <c r="E392" s="164" t="s">
        <v>3699</v>
      </c>
      <c r="F392" s="165">
        <v>645.79999999999995</v>
      </c>
    </row>
    <row r="393" spans="1:6" x14ac:dyDescent="0.2">
      <c r="A393" s="166" t="s">
        <v>3724</v>
      </c>
      <c r="B393" s="167" t="s">
        <v>2518</v>
      </c>
      <c r="C393" s="167">
        <v>14112630</v>
      </c>
      <c r="D393" s="167" t="s">
        <v>122</v>
      </c>
      <c r="E393" s="167" t="s">
        <v>3699</v>
      </c>
      <c r="F393" s="168">
        <v>268.36</v>
      </c>
    </row>
    <row r="394" spans="1:6" x14ac:dyDescent="0.2">
      <c r="A394" s="163" t="s">
        <v>3724</v>
      </c>
      <c r="B394" s="164" t="s">
        <v>2518</v>
      </c>
      <c r="C394" s="164">
        <v>14112605</v>
      </c>
      <c r="D394" s="164" t="s">
        <v>121</v>
      </c>
      <c r="E394" s="164" t="s">
        <v>3699</v>
      </c>
      <c r="F394" s="165">
        <v>645.79999999999995</v>
      </c>
    </row>
    <row r="395" spans="1:6" x14ac:dyDescent="0.2">
      <c r="A395" s="166" t="s">
        <v>3724</v>
      </c>
      <c r="B395" s="167" t="s">
        <v>2518</v>
      </c>
      <c r="C395" s="167">
        <v>14112603</v>
      </c>
      <c r="D395" s="167" t="s">
        <v>120</v>
      </c>
      <c r="E395" s="167" t="s">
        <v>3699</v>
      </c>
      <c r="F395" s="168">
        <v>268.36</v>
      </c>
    </row>
    <row r="396" spans="1:6" x14ac:dyDescent="0.2">
      <c r="A396" s="163" t="s">
        <v>3724</v>
      </c>
      <c r="B396" s="164" t="s">
        <v>2518</v>
      </c>
      <c r="C396" s="164">
        <v>14112602</v>
      </c>
      <c r="D396" s="164" t="s">
        <v>119</v>
      </c>
      <c r="E396" s="164" t="s">
        <v>3699</v>
      </c>
      <c r="F396" s="165">
        <v>645.79999999999995</v>
      </c>
    </row>
    <row r="397" spans="1:6" x14ac:dyDescent="0.2">
      <c r="A397" s="166" t="s">
        <v>3724</v>
      </c>
      <c r="B397" s="167" t="s">
        <v>2518</v>
      </c>
      <c r="C397" s="167">
        <v>14112597</v>
      </c>
      <c r="D397" s="167" t="s">
        <v>118</v>
      </c>
      <c r="E397" s="167" t="s">
        <v>3699</v>
      </c>
      <c r="F397" s="168">
        <v>645.79999999999995</v>
      </c>
    </row>
    <row r="398" spans="1:6" x14ac:dyDescent="0.2">
      <c r="A398" s="163" t="s">
        <v>3724</v>
      </c>
      <c r="B398" s="164" t="s">
        <v>2518</v>
      </c>
      <c r="C398" s="164">
        <v>14112595</v>
      </c>
      <c r="D398" s="164" t="s">
        <v>372</v>
      </c>
      <c r="E398" s="164" t="s">
        <v>3699</v>
      </c>
      <c r="F398" s="165">
        <v>645.79999999999995</v>
      </c>
    </row>
    <row r="399" spans="1:6" x14ac:dyDescent="0.2">
      <c r="A399" s="166" t="s">
        <v>3724</v>
      </c>
      <c r="B399" s="167" t="s">
        <v>2518</v>
      </c>
      <c r="C399" s="167">
        <v>14112592</v>
      </c>
      <c r="D399" s="167" t="s">
        <v>117</v>
      </c>
      <c r="E399" s="167" t="s">
        <v>3699</v>
      </c>
      <c r="F399" s="168">
        <v>645.79999999999995</v>
      </c>
    </row>
    <row r="400" spans="1:6" x14ac:dyDescent="0.2">
      <c r="A400" s="163" t="s">
        <v>3724</v>
      </c>
      <c r="B400" s="164" t="s">
        <v>2518</v>
      </c>
      <c r="C400" s="164">
        <v>14112591</v>
      </c>
      <c r="D400" s="164" t="s">
        <v>116</v>
      </c>
      <c r="E400" s="164" t="s">
        <v>3699</v>
      </c>
      <c r="F400" s="165">
        <v>268.36</v>
      </c>
    </row>
    <row r="401" spans="1:6" x14ac:dyDescent="0.2">
      <c r="A401" s="166" t="s">
        <v>3724</v>
      </c>
      <c r="B401" s="167" t="s">
        <v>2518</v>
      </c>
      <c r="C401" s="167">
        <v>14112588</v>
      </c>
      <c r="D401" s="167" t="s">
        <v>935</v>
      </c>
      <c r="E401" s="167" t="s">
        <v>3699</v>
      </c>
      <c r="F401" s="168">
        <v>645.79999999999995</v>
      </c>
    </row>
    <row r="402" spans="1:6" x14ac:dyDescent="0.2">
      <c r="A402" s="163" t="s">
        <v>3724</v>
      </c>
      <c r="B402" s="164" t="s">
        <v>2518</v>
      </c>
      <c r="C402" s="164">
        <v>14112449</v>
      </c>
      <c r="D402" s="164" t="s">
        <v>197</v>
      </c>
      <c r="E402" s="164" t="s">
        <v>3699</v>
      </c>
      <c r="F402" s="165">
        <v>645.79999999999995</v>
      </c>
    </row>
    <row r="403" spans="1:6" x14ac:dyDescent="0.2">
      <c r="A403" s="166" t="s">
        <v>3724</v>
      </c>
      <c r="B403" s="167" t="s">
        <v>2518</v>
      </c>
      <c r="C403" s="167">
        <v>14112292</v>
      </c>
      <c r="D403" s="167" t="s">
        <v>195</v>
      </c>
      <c r="E403" s="167" t="s">
        <v>3699</v>
      </c>
      <c r="F403" s="168">
        <v>268.36</v>
      </c>
    </row>
    <row r="404" spans="1:6" x14ac:dyDescent="0.2">
      <c r="A404" s="163" t="s">
        <v>3724</v>
      </c>
      <c r="B404" s="164" t="s">
        <v>2518</v>
      </c>
      <c r="C404" s="164">
        <v>14112197</v>
      </c>
      <c r="D404" s="164" t="s">
        <v>244</v>
      </c>
      <c r="E404" s="164" t="s">
        <v>3699</v>
      </c>
      <c r="F404" s="165">
        <v>268.36</v>
      </c>
    </row>
    <row r="405" spans="1:6" x14ac:dyDescent="0.2">
      <c r="A405" s="166" t="s">
        <v>3724</v>
      </c>
      <c r="B405" s="167" t="s">
        <v>2518</v>
      </c>
      <c r="C405" s="167">
        <v>14112174</v>
      </c>
      <c r="D405" s="167" t="s">
        <v>115</v>
      </c>
      <c r="E405" s="167" t="s">
        <v>3699</v>
      </c>
      <c r="F405" s="168">
        <v>268.36</v>
      </c>
    </row>
    <row r="406" spans="1:6" x14ac:dyDescent="0.2">
      <c r="A406" s="163" t="s">
        <v>3724</v>
      </c>
      <c r="B406" s="164" t="s">
        <v>2518</v>
      </c>
      <c r="C406" s="164">
        <v>14112124</v>
      </c>
      <c r="D406" s="164" t="s">
        <v>251</v>
      </c>
      <c r="E406" s="164" t="s">
        <v>3699</v>
      </c>
      <c r="F406" s="165">
        <v>311.62</v>
      </c>
    </row>
    <row r="407" spans="1:6" x14ac:dyDescent="0.2">
      <c r="A407" s="166" t="s">
        <v>3724</v>
      </c>
      <c r="B407" s="167" t="s">
        <v>2518</v>
      </c>
      <c r="C407" s="167">
        <v>14112026</v>
      </c>
      <c r="D407" s="167" t="s">
        <v>114</v>
      </c>
      <c r="E407" s="167" t="s">
        <v>3699</v>
      </c>
      <c r="F407" s="168">
        <v>268.36</v>
      </c>
    </row>
    <row r="408" spans="1:6" x14ac:dyDescent="0.2">
      <c r="A408" s="163" t="s">
        <v>3724</v>
      </c>
      <c r="B408" s="164" t="s">
        <v>2518</v>
      </c>
      <c r="C408" s="164">
        <v>14111754</v>
      </c>
      <c r="D408" s="164" t="s">
        <v>316</v>
      </c>
      <c r="E408" s="164" t="s">
        <v>3699</v>
      </c>
      <c r="F408" s="165">
        <v>445.8</v>
      </c>
    </row>
    <row r="409" spans="1:6" x14ac:dyDescent="0.2">
      <c r="A409" s="166" t="s">
        <v>3724</v>
      </c>
      <c r="B409" s="167" t="s">
        <v>2518</v>
      </c>
      <c r="C409" s="167">
        <v>14111678</v>
      </c>
      <c r="D409" s="167" t="s">
        <v>284</v>
      </c>
      <c r="E409" s="167" t="s">
        <v>3699</v>
      </c>
      <c r="F409" s="168">
        <v>268.36</v>
      </c>
    </row>
    <row r="410" spans="1:6" x14ac:dyDescent="0.2">
      <c r="A410" s="163" t="s">
        <v>3724</v>
      </c>
      <c r="B410" s="164" t="s">
        <v>2518</v>
      </c>
      <c r="C410" s="164">
        <v>14111675</v>
      </c>
      <c r="D410" s="164" t="s">
        <v>113</v>
      </c>
      <c r="E410" s="164" t="s">
        <v>3699</v>
      </c>
      <c r="F410" s="165">
        <v>645.79999999999995</v>
      </c>
    </row>
    <row r="411" spans="1:6" x14ac:dyDescent="0.2">
      <c r="A411" s="166" t="s">
        <v>3724</v>
      </c>
      <c r="B411" s="167" t="s">
        <v>2518</v>
      </c>
      <c r="C411" s="167">
        <v>14111557</v>
      </c>
      <c r="D411" s="167" t="s">
        <v>112</v>
      </c>
      <c r="E411" s="167" t="s">
        <v>3699</v>
      </c>
      <c r="F411" s="168">
        <v>268.36</v>
      </c>
    </row>
    <row r="412" spans="1:6" x14ac:dyDescent="0.2">
      <c r="A412" s="163" t="s">
        <v>3724</v>
      </c>
      <c r="B412" s="164" t="s">
        <v>2518</v>
      </c>
      <c r="C412" s="164">
        <v>14111266</v>
      </c>
      <c r="D412" s="164" t="s">
        <v>111</v>
      </c>
      <c r="E412" s="164" t="s">
        <v>3699</v>
      </c>
      <c r="F412" s="165">
        <v>845.8</v>
      </c>
    </row>
    <row r="413" spans="1:6" x14ac:dyDescent="0.2">
      <c r="A413" s="166" t="s">
        <v>3724</v>
      </c>
      <c r="B413" s="167" t="s">
        <v>2518</v>
      </c>
      <c r="C413" s="167">
        <v>14111143</v>
      </c>
      <c r="D413" s="167" t="s">
        <v>110</v>
      </c>
      <c r="E413" s="167" t="s">
        <v>3699</v>
      </c>
      <c r="F413" s="168">
        <v>645.79999999999995</v>
      </c>
    </row>
    <row r="414" spans="1:6" x14ac:dyDescent="0.2">
      <c r="A414" s="163" t="s">
        <v>3724</v>
      </c>
      <c r="B414" s="164" t="s">
        <v>2518</v>
      </c>
      <c r="C414" s="164">
        <v>14110978</v>
      </c>
      <c r="D414" s="164" t="s">
        <v>109</v>
      </c>
      <c r="E414" s="164" t="s">
        <v>3699</v>
      </c>
      <c r="F414" s="165">
        <v>645.79999999999995</v>
      </c>
    </row>
    <row r="415" spans="1:6" x14ac:dyDescent="0.2">
      <c r="A415" s="166" t="s">
        <v>3724</v>
      </c>
      <c r="B415" s="167" t="s">
        <v>2518</v>
      </c>
      <c r="C415" s="167">
        <v>14110973</v>
      </c>
      <c r="D415" s="167" t="s">
        <v>107</v>
      </c>
      <c r="E415" s="167" t="s">
        <v>3699</v>
      </c>
      <c r="F415" s="168">
        <v>445.8</v>
      </c>
    </row>
    <row r="416" spans="1:6" x14ac:dyDescent="0.2">
      <c r="A416" s="163" t="s">
        <v>3724</v>
      </c>
      <c r="B416" s="164" t="s">
        <v>2518</v>
      </c>
      <c r="C416" s="164">
        <v>14110929</v>
      </c>
      <c r="D416" s="164" t="s">
        <v>183</v>
      </c>
      <c r="E416" s="164" t="s">
        <v>3699</v>
      </c>
      <c r="F416" s="165">
        <v>645.79999999999995</v>
      </c>
    </row>
    <row r="417" spans="1:6" x14ac:dyDescent="0.2">
      <c r="A417" s="166" t="s">
        <v>3724</v>
      </c>
      <c r="B417" s="167" t="s">
        <v>2518</v>
      </c>
      <c r="C417" s="167">
        <v>14110799</v>
      </c>
      <c r="D417" s="167" t="s">
        <v>462</v>
      </c>
      <c r="E417" s="167" t="s">
        <v>3699</v>
      </c>
      <c r="F417" s="168">
        <v>268.36</v>
      </c>
    </row>
    <row r="418" spans="1:6" x14ac:dyDescent="0.2">
      <c r="A418" s="163" t="s">
        <v>3724</v>
      </c>
      <c r="B418" s="164" t="s">
        <v>2518</v>
      </c>
      <c r="C418" s="164">
        <v>14110761</v>
      </c>
      <c r="D418" s="164" t="s">
        <v>105</v>
      </c>
      <c r="E418" s="164" t="s">
        <v>3699</v>
      </c>
      <c r="F418" s="165">
        <v>268.36</v>
      </c>
    </row>
    <row r="419" spans="1:6" x14ac:dyDescent="0.2">
      <c r="A419" s="166" t="s">
        <v>3724</v>
      </c>
      <c r="B419" s="167" t="s">
        <v>2518</v>
      </c>
      <c r="C419" s="167">
        <v>14110707</v>
      </c>
      <c r="D419" s="167" t="s">
        <v>268</v>
      </c>
      <c r="E419" s="167" t="s">
        <v>3699</v>
      </c>
      <c r="F419" s="168">
        <v>445.8</v>
      </c>
    </row>
    <row r="420" spans="1:6" x14ac:dyDescent="0.2">
      <c r="A420" s="163" t="s">
        <v>3724</v>
      </c>
      <c r="B420" s="164" t="s">
        <v>2518</v>
      </c>
      <c r="C420" s="164">
        <v>14110604</v>
      </c>
      <c r="D420" s="164" t="s">
        <v>336</v>
      </c>
      <c r="E420" s="164" t="s">
        <v>3699</v>
      </c>
      <c r="F420" s="165">
        <v>268.36</v>
      </c>
    </row>
    <row r="421" spans="1:6" x14ac:dyDescent="0.2">
      <c r="A421" s="166" t="s">
        <v>3724</v>
      </c>
      <c r="B421" s="167" t="s">
        <v>2518</v>
      </c>
      <c r="C421" s="167">
        <v>14110550</v>
      </c>
      <c r="D421" s="167" t="s">
        <v>104</v>
      </c>
      <c r="E421" s="167" t="s">
        <v>3699</v>
      </c>
      <c r="F421" s="168">
        <v>645.79999999999995</v>
      </c>
    </row>
    <row r="422" spans="1:6" x14ac:dyDescent="0.2">
      <c r="A422" s="163" t="s">
        <v>3724</v>
      </c>
      <c r="B422" s="164" t="s">
        <v>2518</v>
      </c>
      <c r="C422" s="164">
        <v>14110512</v>
      </c>
      <c r="D422" s="164" t="s">
        <v>187</v>
      </c>
      <c r="E422" s="164" t="s">
        <v>3699</v>
      </c>
      <c r="F422" s="165">
        <v>445.8</v>
      </c>
    </row>
    <row r="423" spans="1:6" x14ac:dyDescent="0.2">
      <c r="A423" s="166" t="s">
        <v>3724</v>
      </c>
      <c r="B423" s="167" t="s">
        <v>2518</v>
      </c>
      <c r="C423" s="167">
        <v>14110506</v>
      </c>
      <c r="D423" s="167" t="s">
        <v>427</v>
      </c>
      <c r="E423" s="167" t="s">
        <v>3699</v>
      </c>
      <c r="F423" s="168">
        <v>311.62</v>
      </c>
    </row>
    <row r="424" spans="1:6" x14ac:dyDescent="0.2">
      <c r="A424" s="163" t="s">
        <v>3724</v>
      </c>
      <c r="B424" s="164" t="s">
        <v>2518</v>
      </c>
      <c r="C424" s="164">
        <v>14110465</v>
      </c>
      <c r="D424" s="164" t="s">
        <v>103</v>
      </c>
      <c r="E424" s="164" t="s">
        <v>3699</v>
      </c>
      <c r="F424" s="165">
        <v>914.16</v>
      </c>
    </row>
    <row r="425" spans="1:6" x14ac:dyDescent="0.2">
      <c r="A425" s="166" t="s">
        <v>3724</v>
      </c>
      <c r="B425" s="167" t="s">
        <v>2518</v>
      </c>
      <c r="C425" s="167">
        <v>14110339</v>
      </c>
      <c r="D425" s="167" t="s">
        <v>102</v>
      </c>
      <c r="E425" s="167" t="s">
        <v>3699</v>
      </c>
      <c r="F425" s="168">
        <v>268.36</v>
      </c>
    </row>
    <row r="426" spans="1:6" x14ac:dyDescent="0.2">
      <c r="A426" s="163" t="s">
        <v>3724</v>
      </c>
      <c r="B426" s="164" t="s">
        <v>2518</v>
      </c>
      <c r="C426" s="164">
        <v>14110336</v>
      </c>
      <c r="D426" s="164" t="s">
        <v>983</v>
      </c>
      <c r="E426" s="164" t="s">
        <v>3699</v>
      </c>
      <c r="F426" s="165">
        <v>268.36</v>
      </c>
    </row>
    <row r="427" spans="1:6" x14ac:dyDescent="0.2">
      <c r="A427" s="166" t="s">
        <v>3724</v>
      </c>
      <c r="B427" s="167" t="s">
        <v>2518</v>
      </c>
      <c r="C427" s="167">
        <v>14110044</v>
      </c>
      <c r="D427" s="167" t="s">
        <v>145</v>
      </c>
      <c r="E427" s="167" t="s">
        <v>3699</v>
      </c>
      <c r="F427" s="168">
        <v>268.36</v>
      </c>
    </row>
    <row r="428" spans="1:6" x14ac:dyDescent="0.2">
      <c r="A428" s="163" t="s">
        <v>3724</v>
      </c>
      <c r="B428" s="164" t="s">
        <v>2518</v>
      </c>
      <c r="C428" s="164">
        <v>14110042</v>
      </c>
      <c r="D428" s="164" t="s">
        <v>335</v>
      </c>
      <c r="E428" s="164" t="s">
        <v>3699</v>
      </c>
      <c r="F428" s="165">
        <v>445.8</v>
      </c>
    </row>
    <row r="429" spans="1:6" x14ac:dyDescent="0.2">
      <c r="A429" s="166" t="s">
        <v>3724</v>
      </c>
      <c r="B429" s="167" t="s">
        <v>2518</v>
      </c>
      <c r="C429" s="167">
        <v>14110040</v>
      </c>
      <c r="D429" s="167" t="s">
        <v>100</v>
      </c>
      <c r="E429" s="167" t="s">
        <v>3699</v>
      </c>
      <c r="F429" s="168">
        <v>468.36</v>
      </c>
    </row>
    <row r="430" spans="1:6" x14ac:dyDescent="0.2">
      <c r="A430" s="163" t="s">
        <v>3724</v>
      </c>
      <c r="B430" s="164" t="s">
        <v>2518</v>
      </c>
      <c r="C430" s="164">
        <v>14109948</v>
      </c>
      <c r="D430" s="164" t="s">
        <v>166</v>
      </c>
      <c r="E430" s="164" t="s">
        <v>3699</v>
      </c>
      <c r="F430" s="165">
        <v>268.36</v>
      </c>
    </row>
    <row r="431" spans="1:6" x14ac:dyDescent="0.2">
      <c r="A431" s="166" t="s">
        <v>3724</v>
      </c>
      <c r="B431" s="167" t="s">
        <v>2518</v>
      </c>
      <c r="C431" s="167">
        <v>14109874</v>
      </c>
      <c r="D431" s="167" t="s">
        <v>98</v>
      </c>
      <c r="E431" s="167" t="s">
        <v>3699</v>
      </c>
      <c r="F431" s="168">
        <v>445.8</v>
      </c>
    </row>
    <row r="432" spans="1:6" x14ac:dyDescent="0.2">
      <c r="A432" s="163" t="s">
        <v>3724</v>
      </c>
      <c r="B432" s="164" t="s">
        <v>2518</v>
      </c>
      <c r="C432" s="164">
        <v>14109808</v>
      </c>
      <c r="D432" s="164" t="s">
        <v>97</v>
      </c>
      <c r="E432" s="164" t="s">
        <v>3699</v>
      </c>
      <c r="F432" s="165">
        <v>645.79999999999995</v>
      </c>
    </row>
    <row r="433" spans="1:6" x14ac:dyDescent="0.2">
      <c r="A433" s="166" t="s">
        <v>3724</v>
      </c>
      <c r="B433" s="167" t="s">
        <v>2518</v>
      </c>
      <c r="C433" s="167">
        <v>14109802</v>
      </c>
      <c r="D433" s="167" t="s">
        <v>96</v>
      </c>
      <c r="E433" s="167" t="s">
        <v>3699</v>
      </c>
      <c r="F433" s="168">
        <v>645.79999999999995</v>
      </c>
    </row>
    <row r="434" spans="1:6" x14ac:dyDescent="0.2">
      <c r="A434" s="163" t="s">
        <v>3724</v>
      </c>
      <c r="B434" s="164" t="s">
        <v>2518</v>
      </c>
      <c r="C434" s="164">
        <v>14109738</v>
      </c>
      <c r="D434" s="164" t="s">
        <v>94</v>
      </c>
      <c r="E434" s="164" t="s">
        <v>3699</v>
      </c>
      <c r="F434" s="165">
        <v>268.36</v>
      </c>
    </row>
    <row r="435" spans="1:6" x14ac:dyDescent="0.2">
      <c r="A435" s="166" t="s">
        <v>3724</v>
      </c>
      <c r="B435" s="167" t="s">
        <v>2518</v>
      </c>
      <c r="C435" s="167">
        <v>14109707</v>
      </c>
      <c r="D435" s="167" t="s">
        <v>93</v>
      </c>
      <c r="E435" s="167" t="s">
        <v>3699</v>
      </c>
      <c r="F435" s="168">
        <v>645.79999999999995</v>
      </c>
    </row>
    <row r="436" spans="1:6" x14ac:dyDescent="0.2">
      <c r="A436" s="163" t="s">
        <v>3724</v>
      </c>
      <c r="B436" s="164" t="s">
        <v>2518</v>
      </c>
      <c r="C436" s="164">
        <v>14109674</v>
      </c>
      <c r="D436" s="164" t="s">
        <v>91</v>
      </c>
      <c r="E436" s="164" t="s">
        <v>3699</v>
      </c>
      <c r="F436" s="165">
        <v>645.79999999999995</v>
      </c>
    </row>
    <row r="437" spans="1:6" x14ac:dyDescent="0.2">
      <c r="A437" s="166" t="s">
        <v>3724</v>
      </c>
      <c r="B437" s="167" t="s">
        <v>2518</v>
      </c>
      <c r="C437" s="167">
        <v>14109648</v>
      </c>
      <c r="D437" s="167" t="s">
        <v>214</v>
      </c>
      <c r="E437" s="167" t="s">
        <v>3699</v>
      </c>
      <c r="F437" s="168">
        <v>645.79999999999995</v>
      </c>
    </row>
    <row r="438" spans="1:6" x14ac:dyDescent="0.2">
      <c r="A438" s="163" t="s">
        <v>3724</v>
      </c>
      <c r="B438" s="164" t="s">
        <v>2518</v>
      </c>
      <c r="C438" s="164">
        <v>14109436</v>
      </c>
      <c r="D438" s="164" t="s">
        <v>371</v>
      </c>
      <c r="E438" s="164" t="s">
        <v>3699</v>
      </c>
      <c r="F438" s="165">
        <v>645.79999999999995</v>
      </c>
    </row>
    <row r="439" spans="1:6" x14ac:dyDescent="0.2">
      <c r="A439" s="166" t="s">
        <v>3724</v>
      </c>
      <c r="B439" s="167" t="s">
        <v>2518</v>
      </c>
      <c r="C439" s="167">
        <v>14109435</v>
      </c>
      <c r="D439" s="167" t="s">
        <v>89</v>
      </c>
      <c r="E439" s="167" t="s">
        <v>3699</v>
      </c>
      <c r="F439" s="168">
        <v>645.79999999999995</v>
      </c>
    </row>
    <row r="440" spans="1:6" x14ac:dyDescent="0.2">
      <c r="A440" s="163" t="s">
        <v>3724</v>
      </c>
      <c r="B440" s="164" t="s">
        <v>2518</v>
      </c>
      <c r="C440" s="164">
        <v>14109408</v>
      </c>
      <c r="D440" s="164" t="s">
        <v>87</v>
      </c>
      <c r="E440" s="164" t="s">
        <v>3699</v>
      </c>
      <c r="F440" s="165">
        <v>468.36</v>
      </c>
    </row>
    <row r="441" spans="1:6" x14ac:dyDescent="0.2">
      <c r="A441" s="166" t="s">
        <v>3724</v>
      </c>
      <c r="B441" s="167" t="s">
        <v>2518</v>
      </c>
      <c r="C441" s="167">
        <v>14109378</v>
      </c>
      <c r="D441" s="167" t="s">
        <v>86</v>
      </c>
      <c r="E441" s="167" t="s">
        <v>3699</v>
      </c>
      <c r="F441" s="168">
        <v>645.79999999999995</v>
      </c>
    </row>
    <row r="442" spans="1:6" x14ac:dyDescent="0.2">
      <c r="A442" s="163" t="s">
        <v>3724</v>
      </c>
      <c r="B442" s="164" t="s">
        <v>2518</v>
      </c>
      <c r="C442" s="164">
        <v>14109134</v>
      </c>
      <c r="D442" s="164" t="s">
        <v>85</v>
      </c>
      <c r="E442" s="164" t="s">
        <v>3699</v>
      </c>
      <c r="F442" s="165">
        <v>268.36</v>
      </c>
    </row>
    <row r="443" spans="1:6" x14ac:dyDescent="0.2">
      <c r="A443" s="166" t="s">
        <v>3724</v>
      </c>
      <c r="B443" s="167" t="s">
        <v>2518</v>
      </c>
      <c r="C443" s="167">
        <v>14109133</v>
      </c>
      <c r="D443" s="167" t="s">
        <v>84</v>
      </c>
      <c r="E443" s="167" t="s">
        <v>3699</v>
      </c>
      <c r="F443" s="168">
        <v>645.79999999999995</v>
      </c>
    </row>
    <row r="444" spans="1:6" x14ac:dyDescent="0.2">
      <c r="A444" s="163" t="s">
        <v>3724</v>
      </c>
      <c r="B444" s="164" t="s">
        <v>2518</v>
      </c>
      <c r="C444" s="164">
        <v>14109131</v>
      </c>
      <c r="D444" s="164" t="s">
        <v>83</v>
      </c>
      <c r="E444" s="164" t="s">
        <v>3699</v>
      </c>
      <c r="F444" s="165">
        <v>645.79999999999995</v>
      </c>
    </row>
    <row r="445" spans="1:6" x14ac:dyDescent="0.2">
      <c r="A445" s="166" t="s">
        <v>3724</v>
      </c>
      <c r="B445" s="167" t="s">
        <v>2518</v>
      </c>
      <c r="C445" s="167">
        <v>14109097</v>
      </c>
      <c r="D445" s="167" t="s">
        <v>82</v>
      </c>
      <c r="E445" s="167" t="s">
        <v>3699</v>
      </c>
      <c r="F445" s="168">
        <v>645.79999999999995</v>
      </c>
    </row>
    <row r="446" spans="1:6" x14ac:dyDescent="0.2">
      <c r="A446" s="163" t="s">
        <v>3724</v>
      </c>
      <c r="B446" s="164" t="s">
        <v>2518</v>
      </c>
      <c r="C446" s="164">
        <v>14109032</v>
      </c>
      <c r="D446" s="164" t="s">
        <v>81</v>
      </c>
      <c r="E446" s="164" t="s">
        <v>3699</v>
      </c>
      <c r="F446" s="165">
        <v>645.79999999999995</v>
      </c>
    </row>
    <row r="447" spans="1:6" x14ac:dyDescent="0.2">
      <c r="A447" s="166" t="s">
        <v>3724</v>
      </c>
      <c r="B447" s="167" t="s">
        <v>2518</v>
      </c>
      <c r="C447" s="167">
        <v>14108916</v>
      </c>
      <c r="D447" s="167" t="s">
        <v>80</v>
      </c>
      <c r="E447" s="167" t="s">
        <v>3699</v>
      </c>
      <c r="F447" s="168">
        <v>268.36</v>
      </c>
    </row>
    <row r="448" spans="1:6" x14ac:dyDescent="0.2">
      <c r="A448" s="163" t="s">
        <v>3724</v>
      </c>
      <c r="B448" s="164" t="s">
        <v>2518</v>
      </c>
      <c r="C448" s="164">
        <v>14108828</v>
      </c>
      <c r="D448" s="164" t="s">
        <v>227</v>
      </c>
      <c r="E448" s="164" t="s">
        <v>3699</v>
      </c>
      <c r="F448" s="165">
        <v>645.79999999999995</v>
      </c>
    </row>
    <row r="449" spans="1:6" x14ac:dyDescent="0.2">
      <c r="A449" s="166" t="s">
        <v>3724</v>
      </c>
      <c r="B449" s="167" t="s">
        <v>2518</v>
      </c>
      <c r="C449" s="167">
        <v>14108571</v>
      </c>
      <c r="D449" s="167" t="s">
        <v>78</v>
      </c>
      <c r="E449" s="167" t="s">
        <v>3699</v>
      </c>
      <c r="F449" s="168">
        <v>445.8</v>
      </c>
    </row>
    <row r="450" spans="1:6" x14ac:dyDescent="0.2">
      <c r="A450" s="163" t="s">
        <v>3724</v>
      </c>
      <c r="B450" s="164" t="s">
        <v>2518</v>
      </c>
      <c r="C450" s="164">
        <v>14108552</v>
      </c>
      <c r="D450" s="164" t="s">
        <v>314</v>
      </c>
      <c r="E450" s="164" t="s">
        <v>3699</v>
      </c>
      <c r="F450" s="165">
        <v>268.36</v>
      </c>
    </row>
    <row r="451" spans="1:6" x14ac:dyDescent="0.2">
      <c r="A451" s="166" t="s">
        <v>3724</v>
      </c>
      <c r="B451" s="167" t="s">
        <v>2518</v>
      </c>
      <c r="C451" s="167">
        <v>14108483</v>
      </c>
      <c r="D451" s="167" t="s">
        <v>77</v>
      </c>
      <c r="E451" s="167" t="s">
        <v>3699</v>
      </c>
      <c r="F451" s="168">
        <v>268.36</v>
      </c>
    </row>
    <row r="452" spans="1:6" x14ac:dyDescent="0.2">
      <c r="A452" s="163" t="s">
        <v>3724</v>
      </c>
      <c r="B452" s="164" t="s">
        <v>2518</v>
      </c>
      <c r="C452" s="164">
        <v>14108361</v>
      </c>
      <c r="D452" s="164" t="s">
        <v>75</v>
      </c>
      <c r="E452" s="164" t="s">
        <v>3699</v>
      </c>
      <c r="F452" s="165">
        <v>268.36</v>
      </c>
    </row>
    <row r="453" spans="1:6" x14ac:dyDescent="0.2">
      <c r="A453" s="166" t="s">
        <v>3724</v>
      </c>
      <c r="B453" s="167" t="s">
        <v>2518</v>
      </c>
      <c r="C453" s="167">
        <v>14108271</v>
      </c>
      <c r="D453" s="167" t="s">
        <v>74</v>
      </c>
      <c r="E453" s="167" t="s">
        <v>3699</v>
      </c>
      <c r="F453" s="168">
        <v>645.79999999999995</v>
      </c>
    </row>
    <row r="454" spans="1:6" x14ac:dyDescent="0.2">
      <c r="A454" s="163" t="s">
        <v>3724</v>
      </c>
      <c r="B454" s="164" t="s">
        <v>2518</v>
      </c>
      <c r="C454" s="164">
        <v>14108267</v>
      </c>
      <c r="D454" s="164" t="s">
        <v>73</v>
      </c>
      <c r="E454" s="164" t="s">
        <v>3699</v>
      </c>
      <c r="F454" s="165">
        <v>268.36</v>
      </c>
    </row>
    <row r="455" spans="1:6" x14ac:dyDescent="0.2">
      <c r="A455" s="166" t="s">
        <v>3724</v>
      </c>
      <c r="B455" s="167" t="s">
        <v>2518</v>
      </c>
      <c r="C455" s="167">
        <v>14108222</v>
      </c>
      <c r="D455" s="167" t="s">
        <v>72</v>
      </c>
      <c r="E455" s="167" t="s">
        <v>3699</v>
      </c>
      <c r="F455" s="168">
        <v>268.36</v>
      </c>
    </row>
    <row r="456" spans="1:6" x14ac:dyDescent="0.2">
      <c r="A456" s="163" t="s">
        <v>3724</v>
      </c>
      <c r="B456" s="164" t="s">
        <v>2518</v>
      </c>
      <c r="C456" s="164">
        <v>14108111</v>
      </c>
      <c r="D456" s="164" t="s">
        <v>70</v>
      </c>
      <c r="E456" s="164" t="s">
        <v>3699</v>
      </c>
      <c r="F456" s="165">
        <v>268.36</v>
      </c>
    </row>
    <row r="457" spans="1:6" x14ac:dyDescent="0.2">
      <c r="A457" s="166" t="s">
        <v>3724</v>
      </c>
      <c r="B457" s="167" t="s">
        <v>2518</v>
      </c>
      <c r="C457" s="167">
        <v>14107978</v>
      </c>
      <c r="D457" s="167" t="s">
        <v>69</v>
      </c>
      <c r="E457" s="167" t="s">
        <v>3699</v>
      </c>
      <c r="F457" s="168">
        <v>511.62</v>
      </c>
    </row>
    <row r="458" spans="1:6" x14ac:dyDescent="0.2">
      <c r="A458" s="163" t="s">
        <v>3724</v>
      </c>
      <c r="B458" s="164" t="s">
        <v>2518</v>
      </c>
      <c r="C458" s="164">
        <v>14107840</v>
      </c>
      <c r="D458" s="164" t="s">
        <v>67</v>
      </c>
      <c r="E458" s="164" t="s">
        <v>3699</v>
      </c>
      <c r="F458" s="165">
        <v>736.72</v>
      </c>
    </row>
    <row r="459" spans="1:6" x14ac:dyDescent="0.2">
      <c r="A459" s="166" t="s">
        <v>3724</v>
      </c>
      <c r="B459" s="167" t="s">
        <v>2518</v>
      </c>
      <c r="C459" s="167">
        <v>14107754</v>
      </c>
      <c r="D459" s="167" t="s">
        <v>66</v>
      </c>
      <c r="E459" s="167" t="s">
        <v>3699</v>
      </c>
      <c r="F459" s="168">
        <v>645.79999999999995</v>
      </c>
    </row>
    <row r="460" spans="1:6" x14ac:dyDescent="0.2">
      <c r="A460" s="163" t="s">
        <v>3724</v>
      </c>
      <c r="B460" s="164" t="s">
        <v>2518</v>
      </c>
      <c r="C460" s="164">
        <v>14107735</v>
      </c>
      <c r="D460" s="164" t="s">
        <v>65</v>
      </c>
      <c r="E460" s="164" t="s">
        <v>3699</v>
      </c>
      <c r="F460" s="165">
        <v>645.79999999999995</v>
      </c>
    </row>
    <row r="461" spans="1:6" x14ac:dyDescent="0.2">
      <c r="A461" s="166" t="s">
        <v>3724</v>
      </c>
      <c r="B461" s="167" t="s">
        <v>2518</v>
      </c>
      <c r="C461" s="167">
        <v>14107552</v>
      </c>
      <c r="D461" s="167" t="s">
        <v>64</v>
      </c>
      <c r="E461" s="167" t="s">
        <v>3699</v>
      </c>
      <c r="F461" s="168">
        <v>268.36</v>
      </c>
    </row>
    <row r="462" spans="1:6" x14ac:dyDescent="0.2">
      <c r="A462" s="163" t="s">
        <v>3724</v>
      </c>
      <c r="B462" s="164" t="s">
        <v>2518</v>
      </c>
      <c r="C462" s="164">
        <v>14107484</v>
      </c>
      <c r="D462" s="164" t="s">
        <v>63</v>
      </c>
      <c r="E462" s="164" t="s">
        <v>3699</v>
      </c>
      <c r="F462" s="165">
        <v>645.79999999999995</v>
      </c>
    </row>
    <row r="463" spans="1:6" x14ac:dyDescent="0.2">
      <c r="A463" s="166" t="s">
        <v>3724</v>
      </c>
      <c r="B463" s="167" t="s">
        <v>2518</v>
      </c>
      <c r="C463" s="167">
        <v>14107393</v>
      </c>
      <c r="D463" s="167" t="s">
        <v>62</v>
      </c>
      <c r="E463" s="167" t="s">
        <v>3699</v>
      </c>
      <c r="F463" s="168">
        <v>268.36</v>
      </c>
    </row>
    <row r="464" spans="1:6" x14ac:dyDescent="0.2">
      <c r="A464" s="163" t="s">
        <v>3724</v>
      </c>
      <c r="B464" s="164" t="s">
        <v>2518</v>
      </c>
      <c r="C464" s="164">
        <v>14107271</v>
      </c>
      <c r="D464" s="164" t="s">
        <v>61</v>
      </c>
      <c r="E464" s="164" t="s">
        <v>3699</v>
      </c>
      <c r="F464" s="165">
        <v>268.36</v>
      </c>
    </row>
    <row r="465" spans="1:6" x14ac:dyDescent="0.2">
      <c r="A465" s="166" t="s">
        <v>3724</v>
      </c>
      <c r="B465" s="167" t="s">
        <v>2518</v>
      </c>
      <c r="C465" s="167">
        <v>14107206</v>
      </c>
      <c r="D465" s="167" t="s">
        <v>59</v>
      </c>
      <c r="E465" s="167" t="s">
        <v>3699</v>
      </c>
      <c r="F465" s="168">
        <v>645.79999999999995</v>
      </c>
    </row>
    <row r="466" spans="1:6" x14ac:dyDescent="0.2">
      <c r="A466" s="163" t="s">
        <v>3724</v>
      </c>
      <c r="B466" s="164" t="s">
        <v>2518</v>
      </c>
      <c r="C466" s="164">
        <v>14107202</v>
      </c>
      <c r="D466" s="164" t="s">
        <v>58</v>
      </c>
      <c r="E466" s="164" t="s">
        <v>3699</v>
      </c>
      <c r="F466" s="165">
        <v>445.8</v>
      </c>
    </row>
    <row r="467" spans="1:6" x14ac:dyDescent="0.2">
      <c r="A467" s="166" t="s">
        <v>3724</v>
      </c>
      <c r="B467" s="167" t="s">
        <v>2518</v>
      </c>
      <c r="C467" s="167">
        <v>14107167</v>
      </c>
      <c r="D467" s="167" t="s">
        <v>57</v>
      </c>
      <c r="E467" s="167" t="s">
        <v>3699</v>
      </c>
      <c r="F467" s="168">
        <v>268.36</v>
      </c>
    </row>
    <row r="468" spans="1:6" x14ac:dyDescent="0.2">
      <c r="A468" s="163" t="s">
        <v>3724</v>
      </c>
      <c r="B468" s="164" t="s">
        <v>2518</v>
      </c>
      <c r="C468" s="164">
        <v>14106980</v>
      </c>
      <c r="D468" s="164" t="s">
        <v>55</v>
      </c>
      <c r="E468" s="164" t="s">
        <v>3699</v>
      </c>
      <c r="F468" s="165">
        <v>645.79999999999995</v>
      </c>
    </row>
    <row r="469" spans="1:6" x14ac:dyDescent="0.2">
      <c r="A469" s="166" t="s">
        <v>3724</v>
      </c>
      <c r="B469" s="167" t="s">
        <v>2518</v>
      </c>
      <c r="C469" s="167">
        <v>14106949</v>
      </c>
      <c r="D469" s="167" t="s">
        <v>54</v>
      </c>
      <c r="E469" s="167" t="s">
        <v>3699</v>
      </c>
      <c r="F469" s="168">
        <v>645.79999999999995</v>
      </c>
    </row>
    <row r="470" spans="1:6" x14ac:dyDescent="0.2">
      <c r="A470" s="163" t="s">
        <v>3724</v>
      </c>
      <c r="B470" s="164" t="s">
        <v>2518</v>
      </c>
      <c r="C470" s="164">
        <v>14106778</v>
      </c>
      <c r="D470" s="164" t="s">
        <v>53</v>
      </c>
      <c r="E470" s="164" t="s">
        <v>3699</v>
      </c>
      <c r="F470" s="165">
        <v>268.36</v>
      </c>
    </row>
    <row r="471" spans="1:6" x14ac:dyDescent="0.2">
      <c r="A471" s="166" t="s">
        <v>3724</v>
      </c>
      <c r="B471" s="167" t="s">
        <v>2518</v>
      </c>
      <c r="C471" s="167">
        <v>14106438</v>
      </c>
      <c r="D471" s="167" t="s">
        <v>52</v>
      </c>
      <c r="E471" s="167" t="s">
        <v>3699</v>
      </c>
      <c r="F471" s="168">
        <v>268.36</v>
      </c>
    </row>
    <row r="472" spans="1:6" x14ac:dyDescent="0.2">
      <c r="A472" s="163" t="s">
        <v>3724</v>
      </c>
      <c r="B472" s="164" t="s">
        <v>2518</v>
      </c>
      <c r="C472" s="164">
        <v>14106368</v>
      </c>
      <c r="D472" s="164" t="s">
        <v>51</v>
      </c>
      <c r="E472" s="164" t="s">
        <v>3699</v>
      </c>
      <c r="F472" s="165">
        <v>268.36</v>
      </c>
    </row>
    <row r="473" spans="1:6" x14ac:dyDescent="0.2">
      <c r="A473" s="166" t="s">
        <v>3724</v>
      </c>
      <c r="B473" s="167" t="s">
        <v>2518</v>
      </c>
      <c r="C473" s="167">
        <v>14106233</v>
      </c>
      <c r="D473" s="167" t="s">
        <v>347</v>
      </c>
      <c r="E473" s="167" t="s">
        <v>3699</v>
      </c>
      <c r="F473" s="168">
        <v>468.36</v>
      </c>
    </row>
    <row r="474" spans="1:6" x14ac:dyDescent="0.2">
      <c r="A474" s="163" t="s">
        <v>3724</v>
      </c>
      <c r="B474" s="164" t="s">
        <v>2518</v>
      </c>
      <c r="C474" s="164">
        <v>14106066</v>
      </c>
      <c r="D474" s="164" t="s">
        <v>50</v>
      </c>
      <c r="E474" s="164" t="s">
        <v>3699</v>
      </c>
      <c r="F474" s="165">
        <v>445.8</v>
      </c>
    </row>
    <row r="475" spans="1:6" x14ac:dyDescent="0.2">
      <c r="A475" s="166" t="s">
        <v>3724</v>
      </c>
      <c r="B475" s="167" t="s">
        <v>2518</v>
      </c>
      <c r="C475" s="167">
        <v>14106035</v>
      </c>
      <c r="D475" s="167" t="s">
        <v>49</v>
      </c>
      <c r="E475" s="167" t="s">
        <v>3699</v>
      </c>
      <c r="F475" s="168">
        <v>645.79999999999995</v>
      </c>
    </row>
    <row r="476" spans="1:6" x14ac:dyDescent="0.2">
      <c r="A476" s="163" t="s">
        <v>3724</v>
      </c>
      <c r="B476" s="164" t="s">
        <v>2518</v>
      </c>
      <c r="C476" s="164">
        <v>14106033</v>
      </c>
      <c r="D476" s="164" t="s">
        <v>48</v>
      </c>
      <c r="E476" s="164" t="s">
        <v>3699</v>
      </c>
      <c r="F476" s="165">
        <v>645.79999999999995</v>
      </c>
    </row>
    <row r="477" spans="1:6" x14ac:dyDescent="0.2">
      <c r="A477" s="166" t="s">
        <v>3724</v>
      </c>
      <c r="B477" s="167" t="s">
        <v>2518</v>
      </c>
      <c r="C477" s="167">
        <v>14105645</v>
      </c>
      <c r="D477" s="167" t="s">
        <v>161</v>
      </c>
      <c r="E477" s="167" t="s">
        <v>3699</v>
      </c>
      <c r="F477" s="168">
        <v>645.79999999999995</v>
      </c>
    </row>
    <row r="478" spans="1:6" x14ac:dyDescent="0.2">
      <c r="A478" s="163" t="s">
        <v>3724</v>
      </c>
      <c r="B478" s="164" t="s">
        <v>2518</v>
      </c>
      <c r="C478" s="164">
        <v>14105586</v>
      </c>
      <c r="D478" s="164" t="s">
        <v>47</v>
      </c>
      <c r="E478" s="164" t="s">
        <v>3699</v>
      </c>
      <c r="F478" s="165">
        <v>645.79999999999995</v>
      </c>
    </row>
    <row r="479" spans="1:6" x14ac:dyDescent="0.2">
      <c r="A479" s="166" t="s">
        <v>3724</v>
      </c>
      <c r="B479" s="167" t="s">
        <v>2518</v>
      </c>
      <c r="C479" s="167">
        <v>14105531</v>
      </c>
      <c r="D479" s="167" t="s">
        <v>46</v>
      </c>
      <c r="E479" s="167" t="s">
        <v>3699</v>
      </c>
      <c r="F479" s="168">
        <v>445.8</v>
      </c>
    </row>
    <row r="480" spans="1:6" x14ac:dyDescent="0.2">
      <c r="A480" s="163" t="s">
        <v>3724</v>
      </c>
      <c r="B480" s="164" t="s">
        <v>2518</v>
      </c>
      <c r="C480" s="164">
        <v>14105437</v>
      </c>
      <c r="D480" s="164" t="s">
        <v>45</v>
      </c>
      <c r="E480" s="164" t="s">
        <v>3699</v>
      </c>
      <c r="F480" s="165">
        <v>268.36</v>
      </c>
    </row>
    <row r="481" spans="1:6" x14ac:dyDescent="0.2">
      <c r="A481" s="166" t="s">
        <v>3724</v>
      </c>
      <c r="B481" s="167" t="s">
        <v>2518</v>
      </c>
      <c r="C481" s="167">
        <v>14104957</v>
      </c>
      <c r="D481" s="167" t="s">
        <v>308</v>
      </c>
      <c r="E481" s="167" t="s">
        <v>3699</v>
      </c>
      <c r="F481" s="168">
        <v>645.79999999999995</v>
      </c>
    </row>
    <row r="482" spans="1:6" x14ac:dyDescent="0.2">
      <c r="A482" s="163" t="s">
        <v>3724</v>
      </c>
      <c r="B482" s="164" t="s">
        <v>2518</v>
      </c>
      <c r="C482" s="164">
        <v>14104932</v>
      </c>
      <c r="D482" s="164" t="s">
        <v>43</v>
      </c>
      <c r="E482" s="164" t="s">
        <v>3699</v>
      </c>
      <c r="F482" s="165">
        <v>268.36</v>
      </c>
    </row>
    <row r="483" spans="1:6" x14ac:dyDescent="0.2">
      <c r="A483" s="166" t="s">
        <v>3724</v>
      </c>
      <c r="B483" s="167" t="s">
        <v>2518</v>
      </c>
      <c r="C483" s="167">
        <v>14104853</v>
      </c>
      <c r="D483" s="167" t="s">
        <v>185</v>
      </c>
      <c r="E483" s="167" t="s">
        <v>3699</v>
      </c>
      <c r="F483" s="168">
        <v>645.79999999999995</v>
      </c>
    </row>
    <row r="484" spans="1:6" x14ac:dyDescent="0.2">
      <c r="A484" s="163" t="s">
        <v>3724</v>
      </c>
      <c r="B484" s="164" t="s">
        <v>2518</v>
      </c>
      <c r="C484" s="164">
        <v>14104839</v>
      </c>
      <c r="D484" s="164" t="s">
        <v>226</v>
      </c>
      <c r="E484" s="164" t="s">
        <v>3699</v>
      </c>
      <c r="F484" s="165">
        <v>511.62</v>
      </c>
    </row>
    <row r="485" spans="1:6" x14ac:dyDescent="0.2">
      <c r="A485" s="166" t="s">
        <v>3724</v>
      </c>
      <c r="B485" s="167" t="s">
        <v>2518</v>
      </c>
      <c r="C485" s="167">
        <v>14104822</v>
      </c>
      <c r="D485" s="167" t="s">
        <v>42</v>
      </c>
      <c r="E485" s="167" t="s">
        <v>3699</v>
      </c>
      <c r="F485" s="168">
        <v>645.79999999999995</v>
      </c>
    </row>
    <row r="486" spans="1:6" x14ac:dyDescent="0.2">
      <c r="A486" s="163" t="s">
        <v>3724</v>
      </c>
      <c r="B486" s="164" t="s">
        <v>2518</v>
      </c>
      <c r="C486" s="164">
        <v>14104599</v>
      </c>
      <c r="D486" s="164" t="s">
        <v>41</v>
      </c>
      <c r="E486" s="164" t="s">
        <v>3699</v>
      </c>
      <c r="F486" s="165">
        <v>268.36</v>
      </c>
    </row>
    <row r="487" spans="1:6" x14ac:dyDescent="0.2">
      <c r="A487" s="166" t="s">
        <v>3724</v>
      </c>
      <c r="B487" s="167" t="s">
        <v>2518</v>
      </c>
      <c r="C487" s="167">
        <v>14103936</v>
      </c>
      <c r="D487" s="167" t="s">
        <v>294</v>
      </c>
      <c r="E487" s="167" t="s">
        <v>3699</v>
      </c>
      <c r="F487" s="168">
        <v>445.8</v>
      </c>
    </row>
    <row r="488" spans="1:6" x14ac:dyDescent="0.2">
      <c r="A488" s="163" t="s">
        <v>3724</v>
      </c>
      <c r="B488" s="164" t="s">
        <v>2518</v>
      </c>
      <c r="C488" s="164">
        <v>14103679</v>
      </c>
      <c r="D488" s="164" t="s">
        <v>38</v>
      </c>
      <c r="E488" s="164" t="s">
        <v>3699</v>
      </c>
      <c r="F488" s="165">
        <v>645.79999999999995</v>
      </c>
    </row>
    <row r="489" spans="1:6" x14ac:dyDescent="0.2">
      <c r="A489" s="166" t="s">
        <v>3724</v>
      </c>
      <c r="B489" s="167" t="s">
        <v>2518</v>
      </c>
      <c r="C489" s="167">
        <v>14103335</v>
      </c>
      <c r="D489" s="167" t="s">
        <v>37</v>
      </c>
      <c r="E489" s="167" t="s">
        <v>3699</v>
      </c>
      <c r="F489" s="168">
        <v>268.36</v>
      </c>
    </row>
    <row r="490" spans="1:6" x14ac:dyDescent="0.2">
      <c r="A490" s="163" t="s">
        <v>3724</v>
      </c>
      <c r="B490" s="164" t="s">
        <v>2518</v>
      </c>
      <c r="C490" s="164">
        <v>14103183</v>
      </c>
      <c r="D490" s="164" t="s">
        <v>36</v>
      </c>
      <c r="E490" s="164" t="s">
        <v>3699</v>
      </c>
      <c r="F490" s="165">
        <v>268.36</v>
      </c>
    </row>
    <row r="491" spans="1:6" x14ac:dyDescent="0.2">
      <c r="A491" s="166" t="s">
        <v>3724</v>
      </c>
      <c r="B491" s="167" t="s">
        <v>2518</v>
      </c>
      <c r="C491" s="167">
        <v>14103106</v>
      </c>
      <c r="D491" s="167" t="s">
        <v>35</v>
      </c>
      <c r="E491" s="167" t="s">
        <v>3699</v>
      </c>
      <c r="F491" s="168">
        <v>268.36</v>
      </c>
    </row>
    <row r="492" spans="1:6" x14ac:dyDescent="0.2">
      <c r="A492" s="163" t="s">
        <v>3724</v>
      </c>
      <c r="B492" s="164" t="s">
        <v>2518</v>
      </c>
      <c r="C492" s="164">
        <v>14103061</v>
      </c>
      <c r="D492" s="164" t="s">
        <v>398</v>
      </c>
      <c r="E492" s="164" t="s">
        <v>3699</v>
      </c>
      <c r="F492" s="165">
        <v>468.36</v>
      </c>
    </row>
    <row r="493" spans="1:6" x14ac:dyDescent="0.2">
      <c r="A493" s="166" t="s">
        <v>3724</v>
      </c>
      <c r="B493" s="167" t="s">
        <v>2518</v>
      </c>
      <c r="C493" s="167">
        <v>14102875</v>
      </c>
      <c r="D493" s="167" t="s">
        <v>33</v>
      </c>
      <c r="E493" s="167" t="s">
        <v>3699</v>
      </c>
      <c r="F493" s="168">
        <v>645.79999999999995</v>
      </c>
    </row>
    <row r="494" spans="1:6" x14ac:dyDescent="0.2">
      <c r="A494" s="163" t="s">
        <v>3724</v>
      </c>
      <c r="B494" s="164" t="s">
        <v>2518</v>
      </c>
      <c r="C494" s="164">
        <v>14102730</v>
      </c>
      <c r="D494" s="164" t="s">
        <v>32</v>
      </c>
      <c r="E494" s="164" t="s">
        <v>3699</v>
      </c>
      <c r="F494" s="165">
        <v>268.36</v>
      </c>
    </row>
    <row r="495" spans="1:6" x14ac:dyDescent="0.2">
      <c r="A495" s="166" t="s">
        <v>3724</v>
      </c>
      <c r="B495" s="167" t="s">
        <v>2518</v>
      </c>
      <c r="C495" s="167">
        <v>14102701</v>
      </c>
      <c r="D495" s="167" t="s">
        <v>31</v>
      </c>
      <c r="E495" s="167" t="s">
        <v>3699</v>
      </c>
      <c r="F495" s="168">
        <v>268.36</v>
      </c>
    </row>
    <row r="496" spans="1:6" x14ac:dyDescent="0.2">
      <c r="A496" s="163" t="s">
        <v>3724</v>
      </c>
      <c r="B496" s="164" t="s">
        <v>2518</v>
      </c>
      <c r="C496" s="164">
        <v>14102288</v>
      </c>
      <c r="D496" s="164" t="s">
        <v>30</v>
      </c>
      <c r="E496" s="164" t="s">
        <v>3699</v>
      </c>
      <c r="F496" s="165">
        <v>1291.68</v>
      </c>
    </row>
    <row r="497" spans="1:6" x14ac:dyDescent="0.2">
      <c r="A497" s="166" t="s">
        <v>3724</v>
      </c>
      <c r="B497" s="167" t="s">
        <v>2518</v>
      </c>
      <c r="C497" s="167">
        <v>14102081</v>
      </c>
      <c r="D497" s="167" t="s">
        <v>29</v>
      </c>
      <c r="E497" s="167" t="s">
        <v>3699</v>
      </c>
      <c r="F497" s="168">
        <v>645.79999999999995</v>
      </c>
    </row>
    <row r="498" spans="1:6" x14ac:dyDescent="0.2">
      <c r="A498" s="163" t="s">
        <v>3724</v>
      </c>
      <c r="B498" s="164" t="s">
        <v>2518</v>
      </c>
      <c r="C498" s="164">
        <v>14101984</v>
      </c>
      <c r="D498" s="164" t="s">
        <v>28</v>
      </c>
      <c r="E498" s="164" t="s">
        <v>3699</v>
      </c>
      <c r="F498" s="165">
        <v>445.8</v>
      </c>
    </row>
    <row r="499" spans="1:6" x14ac:dyDescent="0.2">
      <c r="A499" s="166" t="s">
        <v>3724</v>
      </c>
      <c r="B499" s="167" t="s">
        <v>2518</v>
      </c>
      <c r="C499" s="167">
        <v>14101881</v>
      </c>
      <c r="D499" s="167" t="s">
        <v>27</v>
      </c>
      <c r="E499" s="167" t="s">
        <v>3699</v>
      </c>
      <c r="F499" s="168">
        <v>268.36</v>
      </c>
    </row>
    <row r="500" spans="1:6" x14ac:dyDescent="0.2">
      <c r="A500" s="163" t="s">
        <v>3724</v>
      </c>
      <c r="B500" s="164" t="s">
        <v>2518</v>
      </c>
      <c r="C500" s="164">
        <v>14100902</v>
      </c>
      <c r="D500" s="164" t="s">
        <v>354</v>
      </c>
      <c r="E500" s="164" t="s">
        <v>3699</v>
      </c>
      <c r="F500" s="165">
        <v>914.16</v>
      </c>
    </row>
    <row r="501" spans="1:6" x14ac:dyDescent="0.2">
      <c r="A501" s="166" t="s">
        <v>3724</v>
      </c>
      <c r="B501" s="167" t="s">
        <v>2518</v>
      </c>
      <c r="C501" s="167">
        <v>14100863</v>
      </c>
      <c r="D501" s="167" t="s">
        <v>26</v>
      </c>
      <c r="E501" s="167" t="s">
        <v>3699</v>
      </c>
      <c r="F501" s="168">
        <v>268.36</v>
      </c>
    </row>
    <row r="502" spans="1:6" x14ac:dyDescent="0.2">
      <c r="A502" s="163" t="s">
        <v>3724</v>
      </c>
      <c r="B502" s="164" t="s">
        <v>2518</v>
      </c>
      <c r="C502" s="164">
        <v>14100858</v>
      </c>
      <c r="D502" s="164" t="s">
        <v>262</v>
      </c>
      <c r="E502" s="164" t="s">
        <v>3699</v>
      </c>
      <c r="F502" s="165">
        <v>268.36</v>
      </c>
    </row>
    <row r="503" spans="1:6" x14ac:dyDescent="0.2">
      <c r="A503" s="166" t="s">
        <v>3724</v>
      </c>
      <c r="B503" s="167" t="s">
        <v>2518</v>
      </c>
      <c r="C503" s="167">
        <v>14100843</v>
      </c>
      <c r="D503" s="167" t="s">
        <v>223</v>
      </c>
      <c r="E503" s="167" t="s">
        <v>3699</v>
      </c>
      <c r="F503" s="168">
        <v>645.79999999999995</v>
      </c>
    </row>
    <row r="504" spans="1:6" x14ac:dyDescent="0.2">
      <c r="A504" s="163" t="s">
        <v>3724</v>
      </c>
      <c r="B504" s="164" t="s">
        <v>2518</v>
      </c>
      <c r="C504" s="164">
        <v>14100842</v>
      </c>
      <c r="D504" s="164" t="s">
        <v>25</v>
      </c>
      <c r="E504" s="164" t="s">
        <v>3699</v>
      </c>
      <c r="F504" s="165">
        <v>268.36</v>
      </c>
    </row>
    <row r="505" spans="1:6" x14ac:dyDescent="0.2">
      <c r="A505" s="166" t="s">
        <v>3724</v>
      </c>
      <c r="B505" s="167" t="s">
        <v>2518</v>
      </c>
      <c r="C505" s="167">
        <v>14100823</v>
      </c>
      <c r="D505" s="167" t="s">
        <v>275</v>
      </c>
      <c r="E505" s="167" t="s">
        <v>3699</v>
      </c>
      <c r="F505" s="168">
        <v>645.79999999999995</v>
      </c>
    </row>
    <row r="506" spans="1:6" x14ac:dyDescent="0.2">
      <c r="A506" s="163" t="s">
        <v>3724</v>
      </c>
      <c r="B506" s="164" t="s">
        <v>2518</v>
      </c>
      <c r="C506" s="164">
        <v>14100807</v>
      </c>
      <c r="D506" s="164" t="s">
        <v>24</v>
      </c>
      <c r="E506" s="164" t="s">
        <v>3699</v>
      </c>
      <c r="F506" s="165">
        <v>268.36</v>
      </c>
    </row>
    <row r="507" spans="1:6" x14ac:dyDescent="0.2">
      <c r="A507" s="166" t="s">
        <v>3724</v>
      </c>
      <c r="B507" s="167" t="s">
        <v>2518</v>
      </c>
      <c r="C507" s="167">
        <v>14100798</v>
      </c>
      <c r="D507" s="167" t="s">
        <v>23</v>
      </c>
      <c r="E507" s="167" t="s">
        <v>3699</v>
      </c>
      <c r="F507" s="168">
        <v>645.79999999999995</v>
      </c>
    </row>
    <row r="508" spans="1:6" x14ac:dyDescent="0.2">
      <c r="A508" s="163" t="s">
        <v>3724</v>
      </c>
      <c r="B508" s="164" t="s">
        <v>2518</v>
      </c>
      <c r="C508" s="164">
        <v>14100795</v>
      </c>
      <c r="D508" s="164" t="s">
        <v>22</v>
      </c>
      <c r="E508" s="164" t="s">
        <v>3699</v>
      </c>
      <c r="F508" s="165">
        <v>468.36</v>
      </c>
    </row>
    <row r="509" spans="1:6" x14ac:dyDescent="0.2">
      <c r="A509" s="166" t="s">
        <v>3724</v>
      </c>
      <c r="B509" s="167" t="s">
        <v>2518</v>
      </c>
      <c r="C509" s="167">
        <v>14100787</v>
      </c>
      <c r="D509" s="167" t="s">
        <v>21</v>
      </c>
      <c r="E509" s="167" t="s">
        <v>3699</v>
      </c>
      <c r="F509" s="168">
        <v>268.36</v>
      </c>
    </row>
    <row r="510" spans="1:6" x14ac:dyDescent="0.2">
      <c r="A510" s="163" t="s">
        <v>3724</v>
      </c>
      <c r="B510" s="164" t="s">
        <v>2518</v>
      </c>
      <c r="C510" s="164">
        <v>14100751</v>
      </c>
      <c r="D510" s="164" t="s">
        <v>325</v>
      </c>
      <c r="E510" s="164" t="s">
        <v>3699</v>
      </c>
      <c r="F510" s="165">
        <v>645.79999999999995</v>
      </c>
    </row>
    <row r="511" spans="1:6" x14ac:dyDescent="0.2">
      <c r="A511" s="166" t="s">
        <v>3724</v>
      </c>
      <c r="B511" s="167" t="s">
        <v>2518</v>
      </c>
      <c r="C511" s="167">
        <v>14100740</v>
      </c>
      <c r="D511" s="167" t="s">
        <v>19</v>
      </c>
      <c r="E511" s="167" t="s">
        <v>3699</v>
      </c>
      <c r="F511" s="168">
        <v>268.36</v>
      </c>
    </row>
    <row r="512" spans="1:6" x14ac:dyDescent="0.2">
      <c r="A512" s="163" t="s">
        <v>3724</v>
      </c>
      <c r="B512" s="164" t="s">
        <v>2518</v>
      </c>
      <c r="C512" s="164">
        <v>14100733</v>
      </c>
      <c r="D512" s="164" t="s">
        <v>18</v>
      </c>
      <c r="E512" s="164" t="s">
        <v>3699</v>
      </c>
      <c r="F512" s="165">
        <v>268.36</v>
      </c>
    </row>
    <row r="513" spans="1:6" x14ac:dyDescent="0.2">
      <c r="A513" s="166" t="s">
        <v>3724</v>
      </c>
      <c r="B513" s="167" t="s">
        <v>2518</v>
      </c>
      <c r="C513" s="167">
        <v>14100732</v>
      </c>
      <c r="D513" s="167" t="s">
        <v>17</v>
      </c>
      <c r="E513" s="167" t="s">
        <v>3699</v>
      </c>
      <c r="F513" s="168">
        <v>645.79999999999995</v>
      </c>
    </row>
    <row r="514" spans="1:6" x14ac:dyDescent="0.2">
      <c r="A514" s="163" t="s">
        <v>3724</v>
      </c>
      <c r="B514" s="164" t="s">
        <v>2518</v>
      </c>
      <c r="C514" s="164">
        <v>14100729</v>
      </c>
      <c r="D514" s="164" t="s">
        <v>15</v>
      </c>
      <c r="E514" s="164" t="s">
        <v>3699</v>
      </c>
      <c r="F514" s="165">
        <v>268.36</v>
      </c>
    </row>
    <row r="515" spans="1:6" x14ac:dyDescent="0.2">
      <c r="A515" s="166" t="s">
        <v>3724</v>
      </c>
      <c r="B515" s="167" t="s">
        <v>2518</v>
      </c>
      <c r="C515" s="167">
        <v>14100727</v>
      </c>
      <c r="D515" s="167" t="s">
        <v>14</v>
      </c>
      <c r="E515" s="167" t="s">
        <v>3699</v>
      </c>
      <c r="F515" s="168">
        <v>268.36</v>
      </c>
    </row>
    <row r="516" spans="1:6" x14ac:dyDescent="0.2">
      <c r="A516" s="163" t="s">
        <v>3724</v>
      </c>
      <c r="B516" s="164" t="s">
        <v>2518</v>
      </c>
      <c r="C516" s="164">
        <v>14100726</v>
      </c>
      <c r="D516" s="164" t="s">
        <v>13</v>
      </c>
      <c r="E516" s="164" t="s">
        <v>3699</v>
      </c>
      <c r="F516" s="165">
        <v>645.79999999999995</v>
      </c>
    </row>
    <row r="517" spans="1:6" x14ac:dyDescent="0.2">
      <c r="A517" s="166" t="s">
        <v>3724</v>
      </c>
      <c r="B517" s="167" t="s">
        <v>2518</v>
      </c>
      <c r="C517" s="167">
        <v>14100724</v>
      </c>
      <c r="D517" s="167" t="s">
        <v>11</v>
      </c>
      <c r="E517" s="167" t="s">
        <v>3699</v>
      </c>
      <c r="F517" s="168">
        <v>268.36</v>
      </c>
    </row>
    <row r="518" spans="1:6" x14ac:dyDescent="0.2">
      <c r="A518" s="163" t="s">
        <v>3724</v>
      </c>
      <c r="B518" s="164" t="s">
        <v>2518</v>
      </c>
      <c r="C518" s="164">
        <v>14100721</v>
      </c>
      <c r="D518" s="164" t="s">
        <v>10</v>
      </c>
      <c r="E518" s="164" t="s">
        <v>3699</v>
      </c>
      <c r="F518" s="165">
        <v>268.36</v>
      </c>
    </row>
    <row r="519" spans="1:6" x14ac:dyDescent="0.2">
      <c r="A519" s="166" t="s">
        <v>3724</v>
      </c>
      <c r="B519" s="167" t="s">
        <v>2518</v>
      </c>
      <c r="C519" s="167">
        <v>14100718</v>
      </c>
      <c r="D519" s="167" t="s">
        <v>9</v>
      </c>
      <c r="E519" s="167" t="s">
        <v>3699</v>
      </c>
      <c r="F519" s="168">
        <v>645.79999999999995</v>
      </c>
    </row>
    <row r="520" spans="1:6" x14ac:dyDescent="0.2">
      <c r="A520" s="163" t="s">
        <v>3724</v>
      </c>
      <c r="B520" s="164" t="s">
        <v>2518</v>
      </c>
      <c r="C520" s="164">
        <v>14100716</v>
      </c>
      <c r="D520" s="164" t="s">
        <v>8</v>
      </c>
      <c r="E520" s="164" t="s">
        <v>3699</v>
      </c>
      <c r="F520" s="165">
        <v>645.79999999999995</v>
      </c>
    </row>
    <row r="521" spans="1:6" x14ac:dyDescent="0.2">
      <c r="A521" s="166" t="s">
        <v>3724</v>
      </c>
      <c r="B521" s="167" t="s">
        <v>2517</v>
      </c>
      <c r="C521" s="167">
        <v>16124306</v>
      </c>
      <c r="D521" s="167" t="s">
        <v>2503</v>
      </c>
      <c r="E521" s="167" t="s">
        <v>3699</v>
      </c>
      <c r="F521" s="168">
        <v>399.99</v>
      </c>
    </row>
    <row r="522" spans="1:6" x14ac:dyDescent="0.2">
      <c r="A522" s="163" t="s">
        <v>3724</v>
      </c>
      <c r="B522" s="164" t="s">
        <v>2517</v>
      </c>
      <c r="C522" s="164">
        <v>16124305</v>
      </c>
      <c r="D522" s="164" t="s">
        <v>2502</v>
      </c>
      <c r="E522" s="164" t="s">
        <v>3699</v>
      </c>
      <c r="F522" s="165">
        <v>266.66000000000003</v>
      </c>
    </row>
    <row r="523" spans="1:6" x14ac:dyDescent="0.2">
      <c r="A523" s="166" t="s">
        <v>3724</v>
      </c>
      <c r="B523" s="167" t="s">
        <v>2517</v>
      </c>
      <c r="C523" s="167">
        <v>16124225</v>
      </c>
      <c r="D523" s="167" t="s">
        <v>2500</v>
      </c>
      <c r="E523" s="167" t="s">
        <v>3699</v>
      </c>
      <c r="F523" s="168">
        <v>399.99</v>
      </c>
    </row>
    <row r="524" spans="1:6" x14ac:dyDescent="0.2">
      <c r="A524" s="163" t="s">
        <v>3724</v>
      </c>
      <c r="B524" s="164" t="s">
        <v>2517</v>
      </c>
      <c r="C524" s="164">
        <v>16124205</v>
      </c>
      <c r="D524" s="164" t="s">
        <v>2499</v>
      </c>
      <c r="E524" s="164" t="s">
        <v>3699</v>
      </c>
      <c r="F524" s="165">
        <v>533.32000000000005</v>
      </c>
    </row>
    <row r="525" spans="1:6" x14ac:dyDescent="0.2">
      <c r="A525" s="166" t="s">
        <v>3724</v>
      </c>
      <c r="B525" s="167" t="s">
        <v>2517</v>
      </c>
      <c r="C525" s="167">
        <v>16124203</v>
      </c>
      <c r="D525" s="167" t="s">
        <v>2498</v>
      </c>
      <c r="E525" s="167" t="s">
        <v>3699</v>
      </c>
      <c r="F525" s="168">
        <v>266.66000000000003</v>
      </c>
    </row>
    <row r="526" spans="1:6" x14ac:dyDescent="0.2">
      <c r="A526" s="163" t="s">
        <v>3724</v>
      </c>
      <c r="B526" s="164" t="s">
        <v>2517</v>
      </c>
      <c r="C526" s="164">
        <v>16124047</v>
      </c>
      <c r="D526" s="164" t="s">
        <v>2497</v>
      </c>
      <c r="E526" s="164" t="s">
        <v>3699</v>
      </c>
      <c r="F526" s="165">
        <v>266.66000000000003</v>
      </c>
    </row>
    <row r="527" spans="1:6" x14ac:dyDescent="0.2">
      <c r="A527" s="166" t="s">
        <v>3724</v>
      </c>
      <c r="B527" s="167" t="s">
        <v>2517</v>
      </c>
      <c r="C527" s="167">
        <v>16124018</v>
      </c>
      <c r="D527" s="167" t="s">
        <v>2496</v>
      </c>
      <c r="E527" s="167" t="s">
        <v>3699</v>
      </c>
      <c r="F527" s="168">
        <v>399.99</v>
      </c>
    </row>
    <row r="528" spans="1:6" x14ac:dyDescent="0.2">
      <c r="A528" s="163" t="s">
        <v>3724</v>
      </c>
      <c r="B528" s="164" t="s">
        <v>2517</v>
      </c>
      <c r="C528" s="164">
        <v>16124001</v>
      </c>
      <c r="D528" s="164" t="s">
        <v>2495</v>
      </c>
      <c r="E528" s="164" t="s">
        <v>3699</v>
      </c>
      <c r="F528" s="165">
        <v>266.66000000000003</v>
      </c>
    </row>
    <row r="529" spans="1:6" x14ac:dyDescent="0.2">
      <c r="A529" s="166" t="s">
        <v>3724</v>
      </c>
      <c r="B529" s="167" t="s">
        <v>2517</v>
      </c>
      <c r="C529" s="167">
        <v>16123937</v>
      </c>
      <c r="D529" s="167" t="s">
        <v>2493</v>
      </c>
      <c r="E529" s="167" t="s">
        <v>3699</v>
      </c>
      <c r="F529" s="168">
        <v>266.66000000000003</v>
      </c>
    </row>
    <row r="530" spans="1:6" x14ac:dyDescent="0.2">
      <c r="A530" s="163" t="s">
        <v>3724</v>
      </c>
      <c r="B530" s="164" t="s">
        <v>2517</v>
      </c>
      <c r="C530" s="164">
        <v>16123910</v>
      </c>
      <c r="D530" s="164" t="s">
        <v>2492</v>
      </c>
      <c r="E530" s="164" t="s">
        <v>3699</v>
      </c>
      <c r="F530" s="165">
        <v>399.99</v>
      </c>
    </row>
    <row r="531" spans="1:6" x14ac:dyDescent="0.2">
      <c r="A531" s="166" t="s">
        <v>3724</v>
      </c>
      <c r="B531" s="167" t="s">
        <v>2517</v>
      </c>
      <c r="C531" s="167">
        <v>16123909</v>
      </c>
      <c r="D531" s="167" t="s">
        <v>2491</v>
      </c>
      <c r="E531" s="167" t="s">
        <v>3699</v>
      </c>
      <c r="F531" s="168">
        <v>399.99</v>
      </c>
    </row>
    <row r="532" spans="1:6" x14ac:dyDescent="0.2">
      <c r="A532" s="163" t="s">
        <v>3724</v>
      </c>
      <c r="B532" s="164" t="s">
        <v>2517</v>
      </c>
      <c r="C532" s="164">
        <v>16123887</v>
      </c>
      <c r="D532" s="164" t="s">
        <v>2490</v>
      </c>
      <c r="E532" s="164" t="s">
        <v>3699</v>
      </c>
      <c r="F532" s="165">
        <v>266.66000000000003</v>
      </c>
    </row>
    <row r="533" spans="1:6" x14ac:dyDescent="0.2">
      <c r="A533" s="166" t="s">
        <v>3724</v>
      </c>
      <c r="B533" s="167" t="s">
        <v>2517</v>
      </c>
      <c r="C533" s="167">
        <v>16123866</v>
      </c>
      <c r="D533" s="167" t="s">
        <v>2489</v>
      </c>
      <c r="E533" s="167" t="s">
        <v>3699</v>
      </c>
      <c r="F533" s="168">
        <v>266.66000000000003</v>
      </c>
    </row>
    <row r="534" spans="1:6" x14ac:dyDescent="0.2">
      <c r="A534" s="163" t="s">
        <v>3724</v>
      </c>
      <c r="B534" s="164" t="s">
        <v>2517</v>
      </c>
      <c r="C534" s="164">
        <v>16123865</v>
      </c>
      <c r="D534" s="164" t="s">
        <v>2488</v>
      </c>
      <c r="E534" s="164" t="s">
        <v>3699</v>
      </c>
      <c r="F534" s="165">
        <v>399.99</v>
      </c>
    </row>
    <row r="535" spans="1:6" x14ac:dyDescent="0.2">
      <c r="A535" s="166" t="s">
        <v>3724</v>
      </c>
      <c r="B535" s="167" t="s">
        <v>2517</v>
      </c>
      <c r="C535" s="167">
        <v>16123864</v>
      </c>
      <c r="D535" s="167" t="s">
        <v>2487</v>
      </c>
      <c r="E535" s="167" t="s">
        <v>3699</v>
      </c>
      <c r="F535" s="168">
        <v>399.99</v>
      </c>
    </row>
    <row r="536" spans="1:6" x14ac:dyDescent="0.2">
      <c r="A536" s="163" t="s">
        <v>3724</v>
      </c>
      <c r="B536" s="164" t="s">
        <v>2517</v>
      </c>
      <c r="C536" s="164">
        <v>16123790</v>
      </c>
      <c r="D536" s="164" t="s">
        <v>2486</v>
      </c>
      <c r="E536" s="164" t="s">
        <v>3699</v>
      </c>
      <c r="F536" s="165">
        <v>399.99</v>
      </c>
    </row>
    <row r="537" spans="1:6" x14ac:dyDescent="0.2">
      <c r="A537" s="166" t="s">
        <v>3724</v>
      </c>
      <c r="B537" s="167" t="s">
        <v>2517</v>
      </c>
      <c r="C537" s="167">
        <v>16123764</v>
      </c>
      <c r="D537" s="167" t="s">
        <v>2485</v>
      </c>
      <c r="E537" s="167" t="s">
        <v>3699</v>
      </c>
      <c r="F537" s="168">
        <v>399.99</v>
      </c>
    </row>
    <row r="538" spans="1:6" x14ac:dyDescent="0.2">
      <c r="A538" s="163" t="s">
        <v>3724</v>
      </c>
      <c r="B538" s="164" t="s">
        <v>2517</v>
      </c>
      <c r="C538" s="164">
        <v>16123745</v>
      </c>
      <c r="D538" s="164" t="s">
        <v>2484</v>
      </c>
      <c r="E538" s="164" t="s">
        <v>3699</v>
      </c>
      <c r="F538" s="165">
        <v>399.99</v>
      </c>
    </row>
    <row r="539" spans="1:6" x14ac:dyDescent="0.2">
      <c r="A539" s="166" t="s">
        <v>3724</v>
      </c>
      <c r="B539" s="167" t="s">
        <v>2517</v>
      </c>
      <c r="C539" s="167">
        <v>16123499</v>
      </c>
      <c r="D539" s="167" t="s">
        <v>2483</v>
      </c>
      <c r="E539" s="167" t="s">
        <v>3699</v>
      </c>
      <c r="F539" s="168">
        <v>399.99</v>
      </c>
    </row>
    <row r="540" spans="1:6" x14ac:dyDescent="0.2">
      <c r="A540" s="163" t="s">
        <v>3724</v>
      </c>
      <c r="B540" s="164" t="s">
        <v>2517</v>
      </c>
      <c r="C540" s="164">
        <v>16123358</v>
      </c>
      <c r="D540" s="164" t="s">
        <v>2482</v>
      </c>
      <c r="E540" s="164" t="s">
        <v>3699</v>
      </c>
      <c r="F540" s="165">
        <v>266.66000000000003</v>
      </c>
    </row>
    <row r="541" spans="1:6" x14ac:dyDescent="0.2">
      <c r="A541" s="166" t="s">
        <v>3724</v>
      </c>
      <c r="B541" s="167" t="s">
        <v>2517</v>
      </c>
      <c r="C541" s="167">
        <v>16122568</v>
      </c>
      <c r="D541" s="167" t="s">
        <v>2481</v>
      </c>
      <c r="E541" s="167" t="s">
        <v>3699</v>
      </c>
      <c r="F541" s="168">
        <v>266.66000000000003</v>
      </c>
    </row>
    <row r="542" spans="1:6" x14ac:dyDescent="0.2">
      <c r="A542" s="163" t="s">
        <v>3724</v>
      </c>
      <c r="B542" s="164" t="s">
        <v>2517</v>
      </c>
      <c r="C542" s="164">
        <v>16122503</v>
      </c>
      <c r="D542" s="164" t="s">
        <v>2480</v>
      </c>
      <c r="E542" s="164" t="s">
        <v>3699</v>
      </c>
      <c r="F542" s="165">
        <v>266.66000000000003</v>
      </c>
    </row>
    <row r="543" spans="1:6" x14ac:dyDescent="0.2">
      <c r="A543" s="166" t="s">
        <v>3724</v>
      </c>
      <c r="B543" s="167" t="s">
        <v>2517</v>
      </c>
      <c r="C543" s="167">
        <v>16122376</v>
      </c>
      <c r="D543" s="167" t="s">
        <v>2479</v>
      </c>
      <c r="E543" s="167" t="s">
        <v>3699</v>
      </c>
      <c r="F543" s="168">
        <v>399.99</v>
      </c>
    </row>
    <row r="544" spans="1:6" x14ac:dyDescent="0.2">
      <c r="A544" s="163" t="s">
        <v>3724</v>
      </c>
      <c r="B544" s="164" t="s">
        <v>2517</v>
      </c>
      <c r="C544" s="164">
        <v>16122324</v>
      </c>
      <c r="D544" s="164" t="s">
        <v>2478</v>
      </c>
      <c r="E544" s="164" t="s">
        <v>3699</v>
      </c>
      <c r="F544" s="165">
        <v>399.99</v>
      </c>
    </row>
    <row r="545" spans="1:6" x14ac:dyDescent="0.2">
      <c r="A545" s="166" t="s">
        <v>3724</v>
      </c>
      <c r="B545" s="167" t="s">
        <v>2517</v>
      </c>
      <c r="C545" s="167">
        <v>16122298</v>
      </c>
      <c r="D545" s="167" t="s">
        <v>2477</v>
      </c>
      <c r="E545" s="167" t="s">
        <v>3699</v>
      </c>
      <c r="F545" s="168">
        <v>266.66000000000003</v>
      </c>
    </row>
    <row r="546" spans="1:6" x14ac:dyDescent="0.2">
      <c r="A546" s="163" t="s">
        <v>3724</v>
      </c>
      <c r="B546" s="164" t="s">
        <v>2517</v>
      </c>
      <c r="C546" s="164">
        <v>16122277</v>
      </c>
      <c r="D546" s="164" t="s">
        <v>2476</v>
      </c>
      <c r="E546" s="164" t="s">
        <v>3699</v>
      </c>
      <c r="F546" s="165">
        <v>399.99</v>
      </c>
    </row>
    <row r="547" spans="1:6" x14ac:dyDescent="0.2">
      <c r="A547" s="166" t="s">
        <v>3724</v>
      </c>
      <c r="B547" s="167" t="s">
        <v>2517</v>
      </c>
      <c r="C547" s="167">
        <v>16122204</v>
      </c>
      <c r="D547" s="167" t="s">
        <v>2475</v>
      </c>
      <c r="E547" s="167" t="s">
        <v>3699</v>
      </c>
      <c r="F547" s="168">
        <v>399.99</v>
      </c>
    </row>
    <row r="548" spans="1:6" x14ac:dyDescent="0.2">
      <c r="A548" s="163" t="s">
        <v>3724</v>
      </c>
      <c r="B548" s="164" t="s">
        <v>2517</v>
      </c>
      <c r="C548" s="164">
        <v>16122078</v>
      </c>
      <c r="D548" s="164" t="s">
        <v>2474</v>
      </c>
      <c r="E548" s="164" t="s">
        <v>3699</v>
      </c>
      <c r="F548" s="165">
        <v>266.66000000000003</v>
      </c>
    </row>
    <row r="549" spans="1:6" x14ac:dyDescent="0.2">
      <c r="A549" s="166" t="s">
        <v>3724</v>
      </c>
      <c r="B549" s="167" t="s">
        <v>2517</v>
      </c>
      <c r="C549" s="167">
        <v>16121937</v>
      </c>
      <c r="D549" s="167" t="s">
        <v>2473</v>
      </c>
      <c r="E549" s="167" t="s">
        <v>3699</v>
      </c>
      <c r="F549" s="168">
        <v>399.99</v>
      </c>
    </row>
    <row r="550" spans="1:6" x14ac:dyDescent="0.2">
      <c r="A550" s="163" t="s">
        <v>3724</v>
      </c>
      <c r="B550" s="164" t="s">
        <v>2517</v>
      </c>
      <c r="C550" s="164">
        <v>16121844</v>
      </c>
      <c r="D550" s="164" t="s">
        <v>2472</v>
      </c>
      <c r="E550" s="164" t="s">
        <v>3699</v>
      </c>
      <c r="F550" s="165">
        <v>266.66000000000003</v>
      </c>
    </row>
    <row r="551" spans="1:6" x14ac:dyDescent="0.2">
      <c r="A551" s="166" t="s">
        <v>3724</v>
      </c>
      <c r="B551" s="167" t="s">
        <v>2517</v>
      </c>
      <c r="C551" s="167">
        <v>16121712</v>
      </c>
      <c r="D551" s="167" t="s">
        <v>2471</v>
      </c>
      <c r="E551" s="167" t="s">
        <v>3699</v>
      </c>
      <c r="F551" s="168">
        <v>399.99</v>
      </c>
    </row>
    <row r="552" spans="1:6" x14ac:dyDescent="0.2">
      <c r="A552" s="163" t="s">
        <v>3724</v>
      </c>
      <c r="B552" s="164" t="s">
        <v>2517</v>
      </c>
      <c r="C552" s="164">
        <v>16121373</v>
      </c>
      <c r="D552" s="164" t="s">
        <v>2470</v>
      </c>
      <c r="E552" s="164" t="s">
        <v>3699</v>
      </c>
      <c r="F552" s="165">
        <v>399.99</v>
      </c>
    </row>
    <row r="553" spans="1:6" x14ac:dyDescent="0.2">
      <c r="A553" s="166" t="s">
        <v>3724</v>
      </c>
      <c r="B553" s="167" t="s">
        <v>2517</v>
      </c>
      <c r="C553" s="167">
        <v>16120702</v>
      </c>
      <c r="D553" s="167" t="s">
        <v>2469</v>
      </c>
      <c r="E553" s="167" t="s">
        <v>3699</v>
      </c>
      <c r="F553" s="168">
        <v>399.99</v>
      </c>
    </row>
    <row r="554" spans="1:6" x14ac:dyDescent="0.2">
      <c r="A554" s="163" t="s">
        <v>3724</v>
      </c>
      <c r="B554" s="164" t="s">
        <v>2517</v>
      </c>
      <c r="C554" s="164">
        <v>16120465</v>
      </c>
      <c r="D554" s="164" t="s">
        <v>2468</v>
      </c>
      <c r="E554" s="164" t="s">
        <v>3699</v>
      </c>
      <c r="F554" s="165">
        <v>266.66000000000003</v>
      </c>
    </row>
    <row r="555" spans="1:6" x14ac:dyDescent="0.2">
      <c r="A555" s="166" t="s">
        <v>3724</v>
      </c>
      <c r="B555" s="167" t="s">
        <v>2517</v>
      </c>
      <c r="C555" s="167">
        <v>16120346</v>
      </c>
      <c r="D555" s="167" t="s">
        <v>2467</v>
      </c>
      <c r="E555" s="167" t="s">
        <v>3699</v>
      </c>
      <c r="F555" s="168">
        <v>266.66000000000003</v>
      </c>
    </row>
    <row r="556" spans="1:6" x14ac:dyDescent="0.2">
      <c r="A556" s="163" t="s">
        <v>3724</v>
      </c>
      <c r="B556" s="164" t="s">
        <v>2517</v>
      </c>
      <c r="C556" s="164">
        <v>16120137</v>
      </c>
      <c r="D556" s="164" t="s">
        <v>2466</v>
      </c>
      <c r="E556" s="164" t="s">
        <v>3699</v>
      </c>
      <c r="F556" s="165">
        <v>266.66000000000003</v>
      </c>
    </row>
    <row r="557" spans="1:6" x14ac:dyDescent="0.2">
      <c r="A557" s="166" t="s">
        <v>3724</v>
      </c>
      <c r="B557" s="167" t="s">
        <v>2517</v>
      </c>
      <c r="C557" s="167">
        <v>16119689</v>
      </c>
      <c r="D557" s="167" t="s">
        <v>2465</v>
      </c>
      <c r="E557" s="167" t="s">
        <v>3699</v>
      </c>
      <c r="F557" s="168">
        <v>266.66000000000003</v>
      </c>
    </row>
    <row r="558" spans="1:6" x14ac:dyDescent="0.2">
      <c r="A558" s="163" t="s">
        <v>3724</v>
      </c>
      <c r="B558" s="164" t="s">
        <v>2517</v>
      </c>
      <c r="C558" s="164">
        <v>16119563</v>
      </c>
      <c r="D558" s="164" t="s">
        <v>2464</v>
      </c>
      <c r="E558" s="164" t="s">
        <v>3699</v>
      </c>
      <c r="F558" s="165">
        <v>266.66000000000003</v>
      </c>
    </row>
    <row r="559" spans="1:6" x14ac:dyDescent="0.2">
      <c r="A559" s="166" t="s">
        <v>3724</v>
      </c>
      <c r="B559" s="167" t="s">
        <v>2517</v>
      </c>
      <c r="C559" s="167">
        <v>16119048</v>
      </c>
      <c r="D559" s="167" t="s">
        <v>2461</v>
      </c>
      <c r="E559" s="167" t="s">
        <v>3699</v>
      </c>
      <c r="F559" s="168">
        <v>399.99</v>
      </c>
    </row>
    <row r="560" spans="1:6" x14ac:dyDescent="0.2">
      <c r="A560" s="163" t="s">
        <v>3724</v>
      </c>
      <c r="B560" s="164" t="s">
        <v>2517</v>
      </c>
      <c r="C560" s="164">
        <v>16118965</v>
      </c>
      <c r="D560" s="164" t="s">
        <v>2460</v>
      </c>
      <c r="E560" s="164" t="s">
        <v>3699</v>
      </c>
      <c r="F560" s="165">
        <v>150</v>
      </c>
    </row>
    <row r="561" spans="1:6" x14ac:dyDescent="0.2">
      <c r="A561" s="166" t="s">
        <v>3724</v>
      </c>
      <c r="B561" s="167" t="s">
        <v>2517</v>
      </c>
      <c r="C561" s="167">
        <v>16118963</v>
      </c>
      <c r="D561" s="167" t="s">
        <v>2459</v>
      </c>
      <c r="E561" s="167" t="s">
        <v>3699</v>
      </c>
      <c r="F561" s="168">
        <v>266.66000000000003</v>
      </c>
    </row>
    <row r="562" spans="1:6" x14ac:dyDescent="0.2">
      <c r="A562" s="163" t="s">
        <v>3724</v>
      </c>
      <c r="B562" s="164" t="s">
        <v>2517</v>
      </c>
      <c r="C562" s="164">
        <v>16118874</v>
      </c>
      <c r="D562" s="164" t="s">
        <v>2458</v>
      </c>
      <c r="E562" s="164" t="s">
        <v>3699</v>
      </c>
      <c r="F562" s="165">
        <v>399.99</v>
      </c>
    </row>
    <row r="563" spans="1:6" x14ac:dyDescent="0.2">
      <c r="A563" s="166" t="s">
        <v>3724</v>
      </c>
      <c r="B563" s="167" t="s">
        <v>2517</v>
      </c>
      <c r="C563" s="167">
        <v>16118723</v>
      </c>
      <c r="D563" s="167" t="s">
        <v>2457</v>
      </c>
      <c r="E563" s="167" t="s">
        <v>3699</v>
      </c>
      <c r="F563" s="168">
        <v>399.99</v>
      </c>
    </row>
    <row r="564" spans="1:6" x14ac:dyDescent="0.2">
      <c r="A564" s="163" t="s">
        <v>3724</v>
      </c>
      <c r="B564" s="164" t="s">
        <v>2517</v>
      </c>
      <c r="C564" s="164">
        <v>16118701</v>
      </c>
      <c r="D564" s="164" t="s">
        <v>2456</v>
      </c>
      <c r="E564" s="164" t="s">
        <v>3699</v>
      </c>
      <c r="F564" s="165">
        <v>266.66000000000003</v>
      </c>
    </row>
    <row r="565" spans="1:6" x14ac:dyDescent="0.2">
      <c r="A565" s="166" t="s">
        <v>3724</v>
      </c>
      <c r="B565" s="167" t="s">
        <v>2517</v>
      </c>
      <c r="C565" s="167">
        <v>16118558</v>
      </c>
      <c r="D565" s="167" t="s">
        <v>2455</v>
      </c>
      <c r="E565" s="167" t="s">
        <v>3699</v>
      </c>
      <c r="F565" s="168">
        <v>799.98</v>
      </c>
    </row>
    <row r="566" spans="1:6" x14ac:dyDescent="0.2">
      <c r="A566" s="163" t="s">
        <v>3724</v>
      </c>
      <c r="B566" s="164" t="s">
        <v>2517</v>
      </c>
      <c r="C566" s="164">
        <v>16118485</v>
      </c>
      <c r="D566" s="164" t="s">
        <v>2454</v>
      </c>
      <c r="E566" s="164" t="s">
        <v>3699</v>
      </c>
      <c r="F566" s="165">
        <v>399.99</v>
      </c>
    </row>
    <row r="567" spans="1:6" x14ac:dyDescent="0.2">
      <c r="A567" s="166" t="s">
        <v>3724</v>
      </c>
      <c r="B567" s="167" t="s">
        <v>2517</v>
      </c>
      <c r="C567" s="167">
        <v>16118421</v>
      </c>
      <c r="D567" s="167" t="s">
        <v>2453</v>
      </c>
      <c r="E567" s="167" t="s">
        <v>3699</v>
      </c>
      <c r="F567" s="168">
        <v>399.99</v>
      </c>
    </row>
    <row r="568" spans="1:6" x14ac:dyDescent="0.2">
      <c r="A568" s="163" t="s">
        <v>3724</v>
      </c>
      <c r="B568" s="164" t="s">
        <v>2517</v>
      </c>
      <c r="C568" s="164">
        <v>16117764</v>
      </c>
      <c r="D568" s="164" t="s">
        <v>2452</v>
      </c>
      <c r="E568" s="164" t="s">
        <v>3699</v>
      </c>
      <c r="F568" s="165">
        <v>399.99</v>
      </c>
    </row>
    <row r="569" spans="1:6" x14ac:dyDescent="0.2">
      <c r="A569" s="166" t="s">
        <v>3724</v>
      </c>
      <c r="B569" s="167" t="s">
        <v>2517</v>
      </c>
      <c r="C569" s="167">
        <v>16117582</v>
      </c>
      <c r="D569" s="167" t="s">
        <v>2451</v>
      </c>
      <c r="E569" s="167" t="s">
        <v>3699</v>
      </c>
      <c r="F569" s="168">
        <v>266.66000000000003</v>
      </c>
    </row>
    <row r="570" spans="1:6" x14ac:dyDescent="0.2">
      <c r="A570" s="163" t="s">
        <v>3724</v>
      </c>
      <c r="B570" s="164" t="s">
        <v>2517</v>
      </c>
      <c r="C570" s="164">
        <v>16116733</v>
      </c>
      <c r="D570" s="164" t="s">
        <v>2450</v>
      </c>
      <c r="E570" s="164" t="s">
        <v>3699</v>
      </c>
      <c r="F570" s="165">
        <v>399.99</v>
      </c>
    </row>
    <row r="571" spans="1:6" x14ac:dyDescent="0.2">
      <c r="A571" s="166" t="s">
        <v>3724</v>
      </c>
      <c r="B571" s="167" t="s">
        <v>2517</v>
      </c>
      <c r="C571" s="167">
        <v>16116290</v>
      </c>
      <c r="D571" s="167" t="s">
        <v>2448</v>
      </c>
      <c r="E571" s="167" t="s">
        <v>3699</v>
      </c>
      <c r="F571" s="168">
        <v>399.99</v>
      </c>
    </row>
    <row r="572" spans="1:6" x14ac:dyDescent="0.2">
      <c r="A572" s="163" t="s">
        <v>3724</v>
      </c>
      <c r="B572" s="164" t="s">
        <v>2517</v>
      </c>
      <c r="C572" s="164">
        <v>16116202</v>
      </c>
      <c r="D572" s="164" t="s">
        <v>2447</v>
      </c>
      <c r="E572" s="164" t="s">
        <v>3699</v>
      </c>
      <c r="F572" s="165">
        <v>399.99</v>
      </c>
    </row>
    <row r="573" spans="1:6" x14ac:dyDescent="0.2">
      <c r="A573" s="166" t="s">
        <v>3724</v>
      </c>
      <c r="B573" s="167" t="s">
        <v>2517</v>
      </c>
      <c r="C573" s="167">
        <v>16116077</v>
      </c>
      <c r="D573" s="167" t="s">
        <v>2446</v>
      </c>
      <c r="E573" s="167" t="s">
        <v>3699</v>
      </c>
      <c r="F573" s="168">
        <v>266.66000000000003</v>
      </c>
    </row>
    <row r="574" spans="1:6" x14ac:dyDescent="0.2">
      <c r="A574" s="163" t="s">
        <v>3724</v>
      </c>
      <c r="B574" s="164" t="s">
        <v>2517</v>
      </c>
      <c r="C574" s="164">
        <v>16115783</v>
      </c>
      <c r="D574" s="164" t="s">
        <v>2445</v>
      </c>
      <c r="E574" s="164" t="s">
        <v>3699</v>
      </c>
      <c r="F574" s="165">
        <v>399.99</v>
      </c>
    </row>
    <row r="575" spans="1:6" x14ac:dyDescent="0.2">
      <c r="A575" s="166" t="s">
        <v>3724</v>
      </c>
      <c r="B575" s="167" t="s">
        <v>2517</v>
      </c>
      <c r="C575" s="167">
        <v>16115756</v>
      </c>
      <c r="D575" s="167" t="s">
        <v>2444</v>
      </c>
      <c r="E575" s="167" t="s">
        <v>3699</v>
      </c>
      <c r="F575" s="168">
        <v>399.99</v>
      </c>
    </row>
    <row r="576" spans="1:6" x14ac:dyDescent="0.2">
      <c r="A576" s="163" t="s">
        <v>3724</v>
      </c>
      <c r="B576" s="164" t="s">
        <v>2517</v>
      </c>
      <c r="C576" s="164">
        <v>16115586</v>
      </c>
      <c r="D576" s="164" t="s">
        <v>2443</v>
      </c>
      <c r="E576" s="164" t="s">
        <v>3699</v>
      </c>
      <c r="F576" s="165">
        <v>266.66000000000003</v>
      </c>
    </row>
    <row r="577" spans="1:6" x14ac:dyDescent="0.2">
      <c r="A577" s="166" t="s">
        <v>3724</v>
      </c>
      <c r="B577" s="167" t="s">
        <v>2517</v>
      </c>
      <c r="C577" s="167">
        <v>16115150</v>
      </c>
      <c r="D577" s="167" t="s">
        <v>2442</v>
      </c>
      <c r="E577" s="167" t="s">
        <v>3699</v>
      </c>
      <c r="F577" s="168">
        <v>266.66000000000003</v>
      </c>
    </row>
    <row r="578" spans="1:6" x14ac:dyDescent="0.2">
      <c r="A578" s="163" t="s">
        <v>3724</v>
      </c>
      <c r="B578" s="164" t="s">
        <v>2517</v>
      </c>
      <c r="C578" s="164">
        <v>16115026</v>
      </c>
      <c r="D578" s="164" t="s">
        <v>2441</v>
      </c>
      <c r="E578" s="164" t="s">
        <v>3699</v>
      </c>
      <c r="F578" s="165">
        <v>399.99</v>
      </c>
    </row>
    <row r="579" spans="1:6" x14ac:dyDescent="0.2">
      <c r="A579" s="166" t="s">
        <v>3724</v>
      </c>
      <c r="B579" s="167" t="s">
        <v>2517</v>
      </c>
      <c r="C579" s="167">
        <v>16114991</v>
      </c>
      <c r="D579" s="167" t="s">
        <v>2440</v>
      </c>
      <c r="E579" s="167" t="s">
        <v>3699</v>
      </c>
      <c r="F579" s="168">
        <v>266.66000000000003</v>
      </c>
    </row>
    <row r="580" spans="1:6" x14ac:dyDescent="0.2">
      <c r="A580" s="163" t="s">
        <v>3724</v>
      </c>
      <c r="B580" s="164" t="s">
        <v>2517</v>
      </c>
      <c r="C580" s="164">
        <v>16114529</v>
      </c>
      <c r="D580" s="164" t="s">
        <v>2439</v>
      </c>
      <c r="E580" s="164" t="s">
        <v>3699</v>
      </c>
      <c r="F580" s="165">
        <v>266.66000000000003</v>
      </c>
    </row>
    <row r="581" spans="1:6" x14ac:dyDescent="0.2">
      <c r="A581" s="166" t="s">
        <v>3724</v>
      </c>
      <c r="B581" s="167" t="s">
        <v>2517</v>
      </c>
      <c r="C581" s="167">
        <v>16114091</v>
      </c>
      <c r="D581" s="167" t="s">
        <v>2438</v>
      </c>
      <c r="E581" s="167" t="s">
        <v>3699</v>
      </c>
      <c r="F581" s="168">
        <v>150</v>
      </c>
    </row>
    <row r="582" spans="1:6" x14ac:dyDescent="0.2">
      <c r="A582" s="163" t="s">
        <v>3724</v>
      </c>
      <c r="B582" s="164" t="s">
        <v>2517</v>
      </c>
      <c r="C582" s="164">
        <v>16114063</v>
      </c>
      <c r="D582" s="164" t="s">
        <v>2437</v>
      </c>
      <c r="E582" s="164" t="s">
        <v>3699</v>
      </c>
      <c r="F582" s="165">
        <v>399.99</v>
      </c>
    </row>
    <row r="583" spans="1:6" x14ac:dyDescent="0.2">
      <c r="A583" s="166" t="s">
        <v>3724</v>
      </c>
      <c r="B583" s="167" t="s">
        <v>2517</v>
      </c>
      <c r="C583" s="167">
        <v>16113686</v>
      </c>
      <c r="D583" s="167" t="s">
        <v>2436</v>
      </c>
      <c r="E583" s="167" t="s">
        <v>3699</v>
      </c>
      <c r="F583" s="168">
        <v>150</v>
      </c>
    </row>
    <row r="584" spans="1:6" x14ac:dyDescent="0.2">
      <c r="A584" s="163" t="s">
        <v>3724</v>
      </c>
      <c r="B584" s="164" t="s">
        <v>2517</v>
      </c>
      <c r="C584" s="164">
        <v>16113003</v>
      </c>
      <c r="D584" s="164" t="s">
        <v>2435</v>
      </c>
      <c r="E584" s="164" t="s">
        <v>3699</v>
      </c>
      <c r="F584" s="165">
        <v>266.66000000000003</v>
      </c>
    </row>
    <row r="585" spans="1:6" x14ac:dyDescent="0.2">
      <c r="A585" s="166" t="s">
        <v>3724</v>
      </c>
      <c r="B585" s="167" t="s">
        <v>2517</v>
      </c>
      <c r="C585" s="167">
        <v>16112922</v>
      </c>
      <c r="D585" s="167" t="s">
        <v>2434</v>
      </c>
      <c r="E585" s="167" t="s">
        <v>3699</v>
      </c>
      <c r="F585" s="168">
        <v>150</v>
      </c>
    </row>
    <row r="586" spans="1:6" x14ac:dyDescent="0.2">
      <c r="A586" s="163" t="s">
        <v>3724</v>
      </c>
      <c r="B586" s="164" t="s">
        <v>2517</v>
      </c>
      <c r="C586" s="164">
        <v>16112578</v>
      </c>
      <c r="D586" s="164" t="s">
        <v>2433</v>
      </c>
      <c r="E586" s="164" t="s">
        <v>3699</v>
      </c>
      <c r="F586" s="165">
        <v>399.99</v>
      </c>
    </row>
    <row r="587" spans="1:6" x14ac:dyDescent="0.2">
      <c r="A587" s="166" t="s">
        <v>3724</v>
      </c>
      <c r="B587" s="167" t="s">
        <v>2517</v>
      </c>
      <c r="C587" s="167">
        <v>16112068</v>
      </c>
      <c r="D587" s="167" t="s">
        <v>2432</v>
      </c>
      <c r="E587" s="167" t="s">
        <v>3699</v>
      </c>
      <c r="F587" s="168">
        <v>266.66000000000003</v>
      </c>
    </row>
    <row r="588" spans="1:6" x14ac:dyDescent="0.2">
      <c r="A588" s="163" t="s">
        <v>3724</v>
      </c>
      <c r="B588" s="164" t="s">
        <v>2517</v>
      </c>
      <c r="C588" s="164">
        <v>16111844</v>
      </c>
      <c r="D588" s="164" t="s">
        <v>2431</v>
      </c>
      <c r="E588" s="164" t="s">
        <v>3699</v>
      </c>
      <c r="F588" s="165">
        <v>399.99</v>
      </c>
    </row>
    <row r="589" spans="1:6" x14ac:dyDescent="0.2">
      <c r="A589" s="166" t="s">
        <v>3724</v>
      </c>
      <c r="B589" s="167" t="s">
        <v>2517</v>
      </c>
      <c r="C589" s="167">
        <v>16111231</v>
      </c>
      <c r="D589" s="167" t="s">
        <v>2430</v>
      </c>
      <c r="E589" s="167" t="s">
        <v>3699</v>
      </c>
      <c r="F589" s="168">
        <v>266.66000000000003</v>
      </c>
    </row>
    <row r="590" spans="1:6" x14ac:dyDescent="0.2">
      <c r="A590" s="163" t="s">
        <v>3724</v>
      </c>
      <c r="B590" s="164" t="s">
        <v>2517</v>
      </c>
      <c r="C590" s="164">
        <v>16110744</v>
      </c>
      <c r="D590" s="164" t="s">
        <v>2506</v>
      </c>
      <c r="E590" s="164" t="s">
        <v>3699</v>
      </c>
      <c r="F590" s="165">
        <v>266.66000000000003</v>
      </c>
    </row>
    <row r="591" spans="1:6" x14ac:dyDescent="0.2">
      <c r="A591" s="166" t="s">
        <v>3724</v>
      </c>
      <c r="B591" s="167" t="s">
        <v>2517</v>
      </c>
      <c r="C591" s="167">
        <v>16107905</v>
      </c>
      <c r="D591" s="167" t="s">
        <v>2428</v>
      </c>
      <c r="E591" s="167" t="s">
        <v>3699</v>
      </c>
      <c r="F591" s="168">
        <v>266.66000000000003</v>
      </c>
    </row>
    <row r="592" spans="1:6" x14ac:dyDescent="0.2">
      <c r="A592" s="163" t="s">
        <v>3724</v>
      </c>
      <c r="B592" s="164" t="s">
        <v>2517</v>
      </c>
      <c r="C592" s="164">
        <v>16107845</v>
      </c>
      <c r="D592" s="164" t="s">
        <v>2427</v>
      </c>
      <c r="E592" s="164" t="s">
        <v>3699</v>
      </c>
      <c r="F592" s="165">
        <v>266.66000000000003</v>
      </c>
    </row>
    <row r="593" spans="1:6" x14ac:dyDescent="0.2">
      <c r="A593" s="166" t="s">
        <v>3724</v>
      </c>
      <c r="B593" s="167" t="s">
        <v>2517</v>
      </c>
      <c r="C593" s="167">
        <v>16107705</v>
      </c>
      <c r="D593" s="167" t="s">
        <v>2426</v>
      </c>
      <c r="E593" s="167" t="s">
        <v>3699</v>
      </c>
      <c r="F593" s="168">
        <v>266.66000000000003</v>
      </c>
    </row>
    <row r="594" spans="1:6" x14ac:dyDescent="0.2">
      <c r="A594" s="163" t="s">
        <v>3724</v>
      </c>
      <c r="B594" s="164" t="s">
        <v>2517</v>
      </c>
      <c r="C594" s="164">
        <v>16107341</v>
      </c>
      <c r="D594" s="164" t="s">
        <v>2425</v>
      </c>
      <c r="E594" s="164" t="s">
        <v>3699</v>
      </c>
      <c r="F594" s="165">
        <v>150</v>
      </c>
    </row>
    <row r="595" spans="1:6" x14ac:dyDescent="0.2">
      <c r="A595" s="166" t="s">
        <v>3724</v>
      </c>
      <c r="B595" s="167" t="s">
        <v>2517</v>
      </c>
      <c r="C595" s="167">
        <v>16107227</v>
      </c>
      <c r="D595" s="167" t="s">
        <v>2424</v>
      </c>
      <c r="E595" s="167" t="s">
        <v>3699</v>
      </c>
      <c r="F595" s="168">
        <v>399.99</v>
      </c>
    </row>
    <row r="596" spans="1:6" x14ac:dyDescent="0.2">
      <c r="A596" s="163" t="s">
        <v>3724</v>
      </c>
      <c r="B596" s="164" t="s">
        <v>2517</v>
      </c>
      <c r="C596" s="164">
        <v>16106566</v>
      </c>
      <c r="D596" s="164" t="s">
        <v>2423</v>
      </c>
      <c r="E596" s="164" t="s">
        <v>3699</v>
      </c>
      <c r="F596" s="165">
        <v>399.99</v>
      </c>
    </row>
    <row r="597" spans="1:6" x14ac:dyDescent="0.2">
      <c r="A597" s="166" t="s">
        <v>3724</v>
      </c>
      <c r="B597" s="167" t="s">
        <v>2517</v>
      </c>
      <c r="C597" s="167">
        <v>16105115</v>
      </c>
      <c r="D597" s="167" t="s">
        <v>2422</v>
      </c>
      <c r="E597" s="167" t="s">
        <v>3699</v>
      </c>
      <c r="F597" s="168">
        <v>266.66000000000003</v>
      </c>
    </row>
    <row r="598" spans="1:6" x14ac:dyDescent="0.2">
      <c r="A598" s="163" t="s">
        <v>3724</v>
      </c>
      <c r="B598" s="164" t="s">
        <v>2517</v>
      </c>
      <c r="C598" s="164">
        <v>16104653</v>
      </c>
      <c r="D598" s="164" t="s">
        <v>2421</v>
      </c>
      <c r="E598" s="164" t="s">
        <v>3699</v>
      </c>
      <c r="F598" s="165">
        <v>399.99</v>
      </c>
    </row>
    <row r="599" spans="1:6" x14ac:dyDescent="0.2">
      <c r="A599" s="166" t="s">
        <v>3724</v>
      </c>
      <c r="B599" s="167" t="s">
        <v>2517</v>
      </c>
      <c r="C599" s="167">
        <v>16104436</v>
      </c>
      <c r="D599" s="167" t="s">
        <v>2420</v>
      </c>
      <c r="E599" s="167" t="s">
        <v>3699</v>
      </c>
      <c r="F599" s="168">
        <v>399.99</v>
      </c>
    </row>
    <row r="600" spans="1:6" x14ac:dyDescent="0.2">
      <c r="A600" s="163" t="s">
        <v>3724</v>
      </c>
      <c r="B600" s="164" t="s">
        <v>2517</v>
      </c>
      <c r="C600" s="164">
        <v>16102762</v>
      </c>
      <c r="D600" s="164" t="s">
        <v>2419</v>
      </c>
      <c r="E600" s="164" t="s">
        <v>3699</v>
      </c>
      <c r="F600" s="165">
        <v>399.99</v>
      </c>
    </row>
    <row r="601" spans="1:6" x14ac:dyDescent="0.2">
      <c r="A601" s="166" t="s">
        <v>3724</v>
      </c>
      <c r="B601" s="167" t="s">
        <v>2517</v>
      </c>
      <c r="C601" s="167">
        <v>16102665</v>
      </c>
      <c r="D601" s="167" t="s">
        <v>2418</v>
      </c>
      <c r="E601" s="167" t="s">
        <v>3699</v>
      </c>
      <c r="F601" s="168">
        <v>399.99</v>
      </c>
    </row>
    <row r="602" spans="1:6" x14ac:dyDescent="0.2">
      <c r="A602" s="163" t="s">
        <v>3724</v>
      </c>
      <c r="B602" s="164" t="s">
        <v>2517</v>
      </c>
      <c r="C602" s="164">
        <v>16102525</v>
      </c>
      <c r="D602" s="164" t="s">
        <v>2417</v>
      </c>
      <c r="E602" s="164" t="s">
        <v>3699</v>
      </c>
      <c r="F602" s="165">
        <v>399.99</v>
      </c>
    </row>
    <row r="603" spans="1:6" x14ac:dyDescent="0.2">
      <c r="A603" s="166" t="s">
        <v>3724</v>
      </c>
      <c r="B603" s="167" t="s">
        <v>2517</v>
      </c>
      <c r="C603" s="167">
        <v>16102265</v>
      </c>
      <c r="D603" s="167" t="s">
        <v>2416</v>
      </c>
      <c r="E603" s="167" t="s">
        <v>3699</v>
      </c>
      <c r="F603" s="168">
        <v>399.99</v>
      </c>
    </row>
    <row r="604" spans="1:6" x14ac:dyDescent="0.2">
      <c r="A604" s="163" t="s">
        <v>3724</v>
      </c>
      <c r="B604" s="164" t="s">
        <v>2517</v>
      </c>
      <c r="C604" s="164">
        <v>16102211</v>
      </c>
      <c r="D604" s="164" t="s">
        <v>2415</v>
      </c>
      <c r="E604" s="164" t="s">
        <v>3699</v>
      </c>
      <c r="F604" s="165">
        <v>150</v>
      </c>
    </row>
    <row r="605" spans="1:6" x14ac:dyDescent="0.2">
      <c r="A605" s="166" t="s">
        <v>3724</v>
      </c>
      <c r="B605" s="167" t="s">
        <v>2517</v>
      </c>
      <c r="C605" s="167">
        <v>16102200</v>
      </c>
      <c r="D605" s="167" t="s">
        <v>2414</v>
      </c>
      <c r="E605" s="167" t="s">
        <v>3699</v>
      </c>
      <c r="F605" s="168">
        <v>399.99</v>
      </c>
    </row>
    <row r="606" spans="1:6" x14ac:dyDescent="0.2">
      <c r="A606" s="163" t="s">
        <v>3724</v>
      </c>
      <c r="B606" s="164" t="s">
        <v>2517</v>
      </c>
      <c r="C606" s="164">
        <v>16101387</v>
      </c>
      <c r="D606" s="164" t="s">
        <v>2413</v>
      </c>
      <c r="E606" s="164" t="s">
        <v>3699</v>
      </c>
      <c r="F606" s="165">
        <v>399.99</v>
      </c>
    </row>
    <row r="607" spans="1:6" x14ac:dyDescent="0.2">
      <c r="A607" s="166" t="s">
        <v>3724</v>
      </c>
      <c r="B607" s="167" t="s">
        <v>2517</v>
      </c>
      <c r="C607" s="167">
        <v>16101382</v>
      </c>
      <c r="D607" s="167" t="s">
        <v>2412</v>
      </c>
      <c r="E607" s="167" t="s">
        <v>3699</v>
      </c>
      <c r="F607" s="168">
        <v>266.66000000000003</v>
      </c>
    </row>
    <row r="608" spans="1:6" x14ac:dyDescent="0.2">
      <c r="A608" s="163" t="s">
        <v>3724</v>
      </c>
      <c r="B608" s="164" t="s">
        <v>2517</v>
      </c>
      <c r="C608" s="164">
        <v>16101370</v>
      </c>
      <c r="D608" s="164" t="s">
        <v>2411</v>
      </c>
      <c r="E608" s="164" t="s">
        <v>3699</v>
      </c>
      <c r="F608" s="165">
        <v>399.99</v>
      </c>
    </row>
    <row r="609" spans="1:6" x14ac:dyDescent="0.2">
      <c r="A609" s="166" t="s">
        <v>3724</v>
      </c>
      <c r="B609" s="167" t="s">
        <v>2517</v>
      </c>
      <c r="C609" s="167">
        <v>16101347</v>
      </c>
      <c r="D609" s="167" t="s">
        <v>2410</v>
      </c>
      <c r="E609" s="167" t="s">
        <v>3699</v>
      </c>
      <c r="F609" s="168">
        <v>266.66000000000003</v>
      </c>
    </row>
    <row r="610" spans="1:6" x14ac:dyDescent="0.2">
      <c r="A610" s="163" t="s">
        <v>3724</v>
      </c>
      <c r="B610" s="164" t="s">
        <v>2517</v>
      </c>
      <c r="C610" s="164">
        <v>16101324</v>
      </c>
      <c r="D610" s="164" t="s">
        <v>2409</v>
      </c>
      <c r="E610" s="164" t="s">
        <v>3699</v>
      </c>
      <c r="F610" s="165">
        <v>399.99</v>
      </c>
    </row>
    <row r="611" spans="1:6" x14ac:dyDescent="0.2">
      <c r="A611" s="166" t="s">
        <v>3724</v>
      </c>
      <c r="B611" s="167" t="s">
        <v>2517</v>
      </c>
      <c r="C611" s="167">
        <v>16101321</v>
      </c>
      <c r="D611" s="167" t="s">
        <v>2408</v>
      </c>
      <c r="E611" s="167" t="s">
        <v>3699</v>
      </c>
      <c r="F611" s="168">
        <v>399.99</v>
      </c>
    </row>
    <row r="612" spans="1:6" x14ac:dyDescent="0.2">
      <c r="A612" s="163" t="s">
        <v>3724</v>
      </c>
      <c r="B612" s="164" t="s">
        <v>2517</v>
      </c>
      <c r="C612" s="164">
        <v>16101303</v>
      </c>
      <c r="D612" s="164" t="s">
        <v>2406</v>
      </c>
      <c r="E612" s="164" t="s">
        <v>3699</v>
      </c>
      <c r="F612" s="165">
        <v>399.99</v>
      </c>
    </row>
    <row r="613" spans="1:6" x14ac:dyDescent="0.2">
      <c r="A613" s="166" t="s">
        <v>3724</v>
      </c>
      <c r="B613" s="167" t="s">
        <v>2517</v>
      </c>
      <c r="C613" s="167">
        <v>16101291</v>
      </c>
      <c r="D613" s="167" t="s">
        <v>2405</v>
      </c>
      <c r="E613" s="167" t="s">
        <v>3699</v>
      </c>
      <c r="F613" s="168">
        <v>266.66000000000003</v>
      </c>
    </row>
    <row r="614" spans="1:6" x14ac:dyDescent="0.2">
      <c r="A614" s="163" t="s">
        <v>3724</v>
      </c>
      <c r="B614" s="164" t="s">
        <v>2517</v>
      </c>
      <c r="C614" s="164">
        <v>14124286</v>
      </c>
      <c r="D614" s="164" t="s">
        <v>2401</v>
      </c>
      <c r="E614" s="164" t="s">
        <v>3699</v>
      </c>
      <c r="F614" s="165">
        <v>355.58</v>
      </c>
    </row>
    <row r="615" spans="1:6" x14ac:dyDescent="0.2">
      <c r="A615" s="166" t="s">
        <v>3724</v>
      </c>
      <c r="B615" s="167" t="s">
        <v>2517</v>
      </c>
      <c r="C615" s="167">
        <v>14124263</v>
      </c>
      <c r="D615" s="167" t="s">
        <v>2400</v>
      </c>
      <c r="E615" s="167" t="s">
        <v>3699</v>
      </c>
      <c r="F615" s="168">
        <v>355.58</v>
      </c>
    </row>
    <row r="616" spans="1:6" x14ac:dyDescent="0.2">
      <c r="A616" s="163" t="s">
        <v>3724</v>
      </c>
      <c r="B616" s="164" t="s">
        <v>2517</v>
      </c>
      <c r="C616" s="164">
        <v>14124260</v>
      </c>
      <c r="D616" s="164" t="s">
        <v>2397</v>
      </c>
      <c r="E616" s="164" t="s">
        <v>3699</v>
      </c>
      <c r="F616" s="165">
        <v>355.58</v>
      </c>
    </row>
    <row r="617" spans="1:6" x14ac:dyDescent="0.2">
      <c r="A617" s="166" t="s">
        <v>3724</v>
      </c>
      <c r="B617" s="167" t="s">
        <v>2517</v>
      </c>
      <c r="C617" s="167">
        <v>14124254</v>
      </c>
      <c r="D617" s="167" t="s">
        <v>2396</v>
      </c>
      <c r="E617" s="167" t="s">
        <v>3699</v>
      </c>
      <c r="F617" s="168">
        <v>355.58</v>
      </c>
    </row>
    <row r="618" spans="1:6" x14ac:dyDescent="0.2">
      <c r="A618" s="163" t="s">
        <v>3724</v>
      </c>
      <c r="B618" s="164" t="s">
        <v>2517</v>
      </c>
      <c r="C618" s="164">
        <v>14124244</v>
      </c>
      <c r="D618" s="164" t="s">
        <v>2393</v>
      </c>
      <c r="E618" s="164" t="s">
        <v>3699</v>
      </c>
      <c r="F618" s="165">
        <v>355.58</v>
      </c>
    </row>
    <row r="619" spans="1:6" x14ac:dyDescent="0.2">
      <c r="A619" s="166" t="s">
        <v>3724</v>
      </c>
      <c r="B619" s="167" t="s">
        <v>2517</v>
      </c>
      <c r="C619" s="167">
        <v>14124243</v>
      </c>
      <c r="D619" s="167" t="s">
        <v>2392</v>
      </c>
      <c r="E619" s="167" t="s">
        <v>3699</v>
      </c>
      <c r="F619" s="168">
        <v>355.58</v>
      </c>
    </row>
    <row r="620" spans="1:6" x14ac:dyDescent="0.2">
      <c r="A620" s="163" t="s">
        <v>3724</v>
      </c>
      <c r="B620" s="164" t="s">
        <v>2517</v>
      </c>
      <c r="C620" s="164">
        <v>14124240</v>
      </c>
      <c r="D620" s="164" t="s">
        <v>3700</v>
      </c>
      <c r="E620" s="164" t="s">
        <v>3699</v>
      </c>
      <c r="F620" s="165">
        <v>711.16</v>
      </c>
    </row>
    <row r="621" spans="1:6" x14ac:dyDescent="0.2">
      <c r="A621" s="166" t="s">
        <v>3724</v>
      </c>
      <c r="B621" s="167" t="s">
        <v>2517</v>
      </c>
      <c r="C621" s="167">
        <v>14124206</v>
      </c>
      <c r="D621" s="167" t="s">
        <v>2391</v>
      </c>
      <c r="E621" s="167" t="s">
        <v>3699</v>
      </c>
      <c r="F621" s="168">
        <v>711.16</v>
      </c>
    </row>
    <row r="622" spans="1:6" x14ac:dyDescent="0.2">
      <c r="A622" s="163" t="s">
        <v>3724</v>
      </c>
      <c r="B622" s="164" t="s">
        <v>2517</v>
      </c>
      <c r="C622" s="164">
        <v>14124190</v>
      </c>
      <c r="D622" s="164" t="s">
        <v>2027</v>
      </c>
      <c r="E622" s="164" t="s">
        <v>3699</v>
      </c>
      <c r="F622" s="165">
        <v>355.58</v>
      </c>
    </row>
    <row r="623" spans="1:6" x14ac:dyDescent="0.2">
      <c r="A623" s="166" t="s">
        <v>3724</v>
      </c>
      <c r="B623" s="167" t="s">
        <v>2517</v>
      </c>
      <c r="C623" s="167">
        <v>14124189</v>
      </c>
      <c r="D623" s="167" t="s">
        <v>2390</v>
      </c>
      <c r="E623" s="167" t="s">
        <v>3699</v>
      </c>
      <c r="F623" s="168">
        <v>355.58</v>
      </c>
    </row>
    <row r="624" spans="1:6" x14ac:dyDescent="0.2">
      <c r="A624" s="163" t="s">
        <v>3724</v>
      </c>
      <c r="B624" s="164" t="s">
        <v>2517</v>
      </c>
      <c r="C624" s="164">
        <v>14124188</v>
      </c>
      <c r="D624" s="164" t="s">
        <v>2016</v>
      </c>
      <c r="E624" s="164" t="s">
        <v>3699</v>
      </c>
      <c r="F624" s="165">
        <v>355.58</v>
      </c>
    </row>
    <row r="625" spans="1:6" x14ac:dyDescent="0.2">
      <c r="A625" s="166" t="s">
        <v>3724</v>
      </c>
      <c r="B625" s="167" t="s">
        <v>2517</v>
      </c>
      <c r="C625" s="167">
        <v>14124187</v>
      </c>
      <c r="D625" s="167" t="s">
        <v>2022</v>
      </c>
      <c r="E625" s="167" t="s">
        <v>3699</v>
      </c>
      <c r="F625" s="168">
        <v>355.58</v>
      </c>
    </row>
    <row r="626" spans="1:6" x14ac:dyDescent="0.2">
      <c r="A626" s="163" t="s">
        <v>3724</v>
      </c>
      <c r="B626" s="164" t="s">
        <v>2517</v>
      </c>
      <c r="C626" s="164">
        <v>14124186</v>
      </c>
      <c r="D626" s="164" t="s">
        <v>2021</v>
      </c>
      <c r="E626" s="164" t="s">
        <v>3699</v>
      </c>
      <c r="F626" s="165">
        <v>355.58</v>
      </c>
    </row>
    <row r="627" spans="1:6" x14ac:dyDescent="0.2">
      <c r="A627" s="166" t="s">
        <v>3724</v>
      </c>
      <c r="B627" s="167" t="s">
        <v>2517</v>
      </c>
      <c r="C627" s="167">
        <v>14124185</v>
      </c>
      <c r="D627" s="167" t="s">
        <v>2018</v>
      </c>
      <c r="E627" s="167" t="s">
        <v>3699</v>
      </c>
      <c r="F627" s="168">
        <v>355.58</v>
      </c>
    </row>
    <row r="628" spans="1:6" x14ac:dyDescent="0.2">
      <c r="A628" s="163" t="s">
        <v>3724</v>
      </c>
      <c r="B628" s="164" t="s">
        <v>2517</v>
      </c>
      <c r="C628" s="164">
        <v>14124166</v>
      </c>
      <c r="D628" s="164" t="s">
        <v>1963</v>
      </c>
      <c r="E628" s="164" t="s">
        <v>3699</v>
      </c>
      <c r="F628" s="165">
        <v>355.58</v>
      </c>
    </row>
    <row r="629" spans="1:6" x14ac:dyDescent="0.2">
      <c r="A629" s="166" t="s">
        <v>3724</v>
      </c>
      <c r="B629" s="167" t="s">
        <v>2517</v>
      </c>
      <c r="C629" s="167">
        <v>14124165</v>
      </c>
      <c r="D629" s="167" t="s">
        <v>1923</v>
      </c>
      <c r="E629" s="167" t="s">
        <v>3699</v>
      </c>
      <c r="F629" s="168">
        <v>355.58</v>
      </c>
    </row>
    <row r="630" spans="1:6" x14ac:dyDescent="0.2">
      <c r="A630" s="163" t="s">
        <v>3724</v>
      </c>
      <c r="B630" s="164" t="s">
        <v>2517</v>
      </c>
      <c r="C630" s="164">
        <v>14124164</v>
      </c>
      <c r="D630" s="164" t="s">
        <v>1966</v>
      </c>
      <c r="E630" s="164" t="s">
        <v>3699</v>
      </c>
      <c r="F630" s="165">
        <v>355.58</v>
      </c>
    </row>
    <row r="631" spans="1:6" x14ac:dyDescent="0.2">
      <c r="A631" s="166" t="s">
        <v>3724</v>
      </c>
      <c r="B631" s="167" t="s">
        <v>2517</v>
      </c>
      <c r="C631" s="167">
        <v>14124162</v>
      </c>
      <c r="D631" s="167" t="s">
        <v>1998</v>
      </c>
      <c r="E631" s="167" t="s">
        <v>3699</v>
      </c>
      <c r="F631" s="168">
        <v>355.58</v>
      </c>
    </row>
    <row r="632" spans="1:6" x14ac:dyDescent="0.2">
      <c r="A632" s="163" t="s">
        <v>3724</v>
      </c>
      <c r="B632" s="164" t="s">
        <v>2517</v>
      </c>
      <c r="C632" s="164">
        <v>14124161</v>
      </c>
      <c r="D632" s="164" t="s">
        <v>2031</v>
      </c>
      <c r="E632" s="164" t="s">
        <v>3699</v>
      </c>
      <c r="F632" s="165">
        <v>355.58</v>
      </c>
    </row>
    <row r="633" spans="1:6" x14ac:dyDescent="0.2">
      <c r="A633" s="166" t="s">
        <v>3724</v>
      </c>
      <c r="B633" s="167" t="s">
        <v>2517</v>
      </c>
      <c r="C633" s="167">
        <v>14124160</v>
      </c>
      <c r="D633" s="167" t="s">
        <v>1972</v>
      </c>
      <c r="E633" s="167" t="s">
        <v>3699</v>
      </c>
      <c r="F633" s="168">
        <v>355.58</v>
      </c>
    </row>
    <row r="634" spans="1:6" x14ac:dyDescent="0.2">
      <c r="A634" s="163" t="s">
        <v>3724</v>
      </c>
      <c r="B634" s="164" t="s">
        <v>2517</v>
      </c>
      <c r="C634" s="164">
        <v>14124159</v>
      </c>
      <c r="D634" s="164" t="s">
        <v>2389</v>
      </c>
      <c r="E634" s="164" t="s">
        <v>3699</v>
      </c>
      <c r="F634" s="165">
        <v>355.58</v>
      </c>
    </row>
    <row r="635" spans="1:6" x14ac:dyDescent="0.2">
      <c r="A635" s="166" t="s">
        <v>3724</v>
      </c>
      <c r="B635" s="167" t="s">
        <v>2517</v>
      </c>
      <c r="C635" s="167">
        <v>14124157</v>
      </c>
      <c r="D635" s="167" t="s">
        <v>1918</v>
      </c>
      <c r="E635" s="167" t="s">
        <v>3699</v>
      </c>
      <c r="F635" s="168">
        <v>355.58</v>
      </c>
    </row>
    <row r="636" spans="1:6" x14ac:dyDescent="0.2">
      <c r="A636" s="163" t="s">
        <v>3724</v>
      </c>
      <c r="B636" s="164" t="s">
        <v>2517</v>
      </c>
      <c r="C636" s="164">
        <v>14124146</v>
      </c>
      <c r="D636" s="164" t="s">
        <v>2003</v>
      </c>
      <c r="E636" s="164" t="s">
        <v>3699</v>
      </c>
      <c r="F636" s="165">
        <v>1066.74</v>
      </c>
    </row>
    <row r="637" spans="1:6" x14ac:dyDescent="0.2">
      <c r="A637" s="166" t="s">
        <v>3724</v>
      </c>
      <c r="B637" s="167" t="s">
        <v>2517</v>
      </c>
      <c r="C637" s="167">
        <v>14124113</v>
      </c>
      <c r="D637" s="167" t="s">
        <v>1624</v>
      </c>
      <c r="E637" s="167" t="s">
        <v>3699</v>
      </c>
      <c r="F637" s="168">
        <v>355.58</v>
      </c>
    </row>
    <row r="638" spans="1:6" x14ac:dyDescent="0.2">
      <c r="A638" s="163" t="s">
        <v>3724</v>
      </c>
      <c r="B638" s="164" t="s">
        <v>2517</v>
      </c>
      <c r="C638" s="164">
        <v>14124111</v>
      </c>
      <c r="D638" s="164" t="s">
        <v>1622</v>
      </c>
      <c r="E638" s="164" t="s">
        <v>3699</v>
      </c>
      <c r="F638" s="165">
        <v>355.58</v>
      </c>
    </row>
    <row r="639" spans="1:6" x14ac:dyDescent="0.2">
      <c r="A639" s="166" t="s">
        <v>3724</v>
      </c>
      <c r="B639" s="167" t="s">
        <v>2517</v>
      </c>
      <c r="C639" s="167">
        <v>14124106</v>
      </c>
      <c r="D639" s="167" t="s">
        <v>1621</v>
      </c>
      <c r="E639" s="167" t="s">
        <v>3699</v>
      </c>
      <c r="F639" s="168">
        <v>355.58</v>
      </c>
    </row>
    <row r="640" spans="1:6" x14ac:dyDescent="0.2">
      <c r="A640" s="163" t="s">
        <v>3724</v>
      </c>
      <c r="B640" s="164" t="s">
        <v>2517</v>
      </c>
      <c r="C640" s="164">
        <v>14124105</v>
      </c>
      <c r="D640" s="164" t="s">
        <v>1620</v>
      </c>
      <c r="E640" s="164" t="s">
        <v>3699</v>
      </c>
      <c r="F640" s="165">
        <v>355.58</v>
      </c>
    </row>
    <row r="641" spans="1:6" x14ac:dyDescent="0.2">
      <c r="A641" s="166" t="s">
        <v>3724</v>
      </c>
      <c r="B641" s="167" t="s">
        <v>2517</v>
      </c>
      <c r="C641" s="167">
        <v>14124090</v>
      </c>
      <c r="D641" s="167" t="s">
        <v>1615</v>
      </c>
      <c r="E641" s="167" t="s">
        <v>3699</v>
      </c>
      <c r="F641" s="168">
        <v>355.58</v>
      </c>
    </row>
    <row r="642" spans="1:6" x14ac:dyDescent="0.2">
      <c r="A642" s="163" t="s">
        <v>3724</v>
      </c>
      <c r="B642" s="164" t="s">
        <v>2517</v>
      </c>
      <c r="C642" s="164">
        <v>14124076</v>
      </c>
      <c r="D642" s="164" t="s">
        <v>1613</v>
      </c>
      <c r="E642" s="164" t="s">
        <v>3699</v>
      </c>
      <c r="F642" s="165">
        <v>355.58</v>
      </c>
    </row>
    <row r="643" spans="1:6" x14ac:dyDescent="0.2">
      <c r="A643" s="166" t="s">
        <v>3724</v>
      </c>
      <c r="B643" s="167" t="s">
        <v>2517</v>
      </c>
      <c r="C643" s="167">
        <v>14124062</v>
      </c>
      <c r="D643" s="167" t="s">
        <v>1612</v>
      </c>
      <c r="E643" s="167" t="s">
        <v>3699</v>
      </c>
      <c r="F643" s="168">
        <v>711.16</v>
      </c>
    </row>
    <row r="644" spans="1:6" x14ac:dyDescent="0.2">
      <c r="A644" s="163" t="s">
        <v>3724</v>
      </c>
      <c r="B644" s="164" t="s">
        <v>2517</v>
      </c>
      <c r="C644" s="164">
        <v>14124061</v>
      </c>
      <c r="D644" s="164" t="s">
        <v>1610</v>
      </c>
      <c r="E644" s="164" t="s">
        <v>3699</v>
      </c>
      <c r="F644" s="165">
        <v>355.58</v>
      </c>
    </row>
    <row r="645" spans="1:6" x14ac:dyDescent="0.2">
      <c r="A645" s="166" t="s">
        <v>3724</v>
      </c>
      <c r="B645" s="167" t="s">
        <v>2517</v>
      </c>
      <c r="C645" s="167">
        <v>14124028</v>
      </c>
      <c r="D645" s="167" t="s">
        <v>1006</v>
      </c>
      <c r="E645" s="167" t="s">
        <v>3699</v>
      </c>
      <c r="F645" s="168">
        <v>355.58</v>
      </c>
    </row>
    <row r="646" spans="1:6" x14ac:dyDescent="0.2">
      <c r="A646" s="163" t="s">
        <v>3724</v>
      </c>
      <c r="B646" s="164" t="s">
        <v>2517</v>
      </c>
      <c r="C646" s="164">
        <v>14123988</v>
      </c>
      <c r="D646" s="164" t="s">
        <v>1002</v>
      </c>
      <c r="E646" s="164" t="s">
        <v>3699</v>
      </c>
      <c r="F646" s="165">
        <v>355.58</v>
      </c>
    </row>
    <row r="647" spans="1:6" x14ac:dyDescent="0.2">
      <c r="A647" s="166" t="s">
        <v>3724</v>
      </c>
      <c r="B647" s="167" t="s">
        <v>2517</v>
      </c>
      <c r="C647" s="167">
        <v>14123987</v>
      </c>
      <c r="D647" s="167" t="s">
        <v>1001</v>
      </c>
      <c r="E647" s="167" t="s">
        <v>3699</v>
      </c>
      <c r="F647" s="168">
        <v>355.58</v>
      </c>
    </row>
    <row r="648" spans="1:6" x14ac:dyDescent="0.2">
      <c r="A648" s="163" t="s">
        <v>3724</v>
      </c>
      <c r="B648" s="164" t="s">
        <v>2517</v>
      </c>
      <c r="C648" s="164">
        <v>14123971</v>
      </c>
      <c r="D648" s="164" t="s">
        <v>997</v>
      </c>
      <c r="E648" s="164" t="s">
        <v>3699</v>
      </c>
      <c r="F648" s="165">
        <v>355.58</v>
      </c>
    </row>
    <row r="649" spans="1:6" x14ac:dyDescent="0.2">
      <c r="A649" s="166" t="s">
        <v>3724</v>
      </c>
      <c r="B649" s="167" t="s">
        <v>2517</v>
      </c>
      <c r="C649" s="167">
        <v>14123893</v>
      </c>
      <c r="D649" s="167" t="s">
        <v>980</v>
      </c>
      <c r="E649" s="167" t="s">
        <v>3699</v>
      </c>
      <c r="F649" s="168">
        <v>355.58</v>
      </c>
    </row>
    <row r="650" spans="1:6" x14ac:dyDescent="0.2">
      <c r="A650" s="163" t="s">
        <v>3724</v>
      </c>
      <c r="B650" s="164" t="s">
        <v>2517</v>
      </c>
      <c r="C650" s="164">
        <v>14123885</v>
      </c>
      <c r="D650" s="164" t="s">
        <v>979</v>
      </c>
      <c r="E650" s="164" t="s">
        <v>3699</v>
      </c>
      <c r="F650" s="165">
        <v>355.58</v>
      </c>
    </row>
    <row r="651" spans="1:6" x14ac:dyDescent="0.2">
      <c r="A651" s="166" t="s">
        <v>3724</v>
      </c>
      <c r="B651" s="167" t="s">
        <v>2517</v>
      </c>
      <c r="C651" s="167">
        <v>14123855</v>
      </c>
      <c r="D651" s="167" t="s">
        <v>976</v>
      </c>
      <c r="E651" s="167" t="s">
        <v>3699</v>
      </c>
      <c r="F651" s="168">
        <v>355.58</v>
      </c>
    </row>
    <row r="652" spans="1:6" x14ac:dyDescent="0.2">
      <c r="A652" s="163" t="s">
        <v>3724</v>
      </c>
      <c r="B652" s="164" t="s">
        <v>2517</v>
      </c>
      <c r="C652" s="164">
        <v>14123845</v>
      </c>
      <c r="D652" s="164" t="s">
        <v>974</v>
      </c>
      <c r="E652" s="164" t="s">
        <v>3699</v>
      </c>
      <c r="F652" s="165">
        <v>355.58</v>
      </c>
    </row>
    <row r="653" spans="1:6" x14ac:dyDescent="0.2">
      <c r="A653" s="166" t="s">
        <v>3724</v>
      </c>
      <c r="B653" s="167" t="s">
        <v>2517</v>
      </c>
      <c r="C653" s="167">
        <v>14123808</v>
      </c>
      <c r="D653" s="167" t="s">
        <v>966</v>
      </c>
      <c r="E653" s="167" t="s">
        <v>3699</v>
      </c>
      <c r="F653" s="168">
        <v>355.58</v>
      </c>
    </row>
    <row r="654" spans="1:6" x14ac:dyDescent="0.2">
      <c r="A654" s="163" t="s">
        <v>3724</v>
      </c>
      <c r="B654" s="164" t="s">
        <v>2517</v>
      </c>
      <c r="C654" s="164">
        <v>14123789</v>
      </c>
      <c r="D654" s="164" t="s">
        <v>965</v>
      </c>
      <c r="E654" s="164" t="s">
        <v>3699</v>
      </c>
      <c r="F654" s="165">
        <v>355.58</v>
      </c>
    </row>
    <row r="655" spans="1:6" x14ac:dyDescent="0.2">
      <c r="A655" s="166" t="s">
        <v>3724</v>
      </c>
      <c r="B655" s="167" t="s">
        <v>2517</v>
      </c>
      <c r="C655" s="167">
        <v>14123771</v>
      </c>
      <c r="D655" s="167" t="s">
        <v>962</v>
      </c>
      <c r="E655" s="167" t="s">
        <v>3699</v>
      </c>
      <c r="F655" s="168">
        <v>355.58</v>
      </c>
    </row>
    <row r="656" spans="1:6" x14ac:dyDescent="0.2">
      <c r="A656" s="163" t="s">
        <v>3724</v>
      </c>
      <c r="B656" s="164" t="s">
        <v>2517</v>
      </c>
      <c r="C656" s="164">
        <v>14123770</v>
      </c>
      <c r="D656" s="164" t="s">
        <v>961</v>
      </c>
      <c r="E656" s="164" t="s">
        <v>3699</v>
      </c>
      <c r="F656" s="165">
        <v>355.58</v>
      </c>
    </row>
    <row r="657" spans="1:6" x14ac:dyDescent="0.2">
      <c r="A657" s="166" t="s">
        <v>3724</v>
      </c>
      <c r="B657" s="167" t="s">
        <v>2517</v>
      </c>
      <c r="C657" s="167">
        <v>14123725</v>
      </c>
      <c r="D657" s="167" t="s">
        <v>958</v>
      </c>
      <c r="E657" s="167" t="s">
        <v>3699</v>
      </c>
      <c r="F657" s="168">
        <v>355.58</v>
      </c>
    </row>
    <row r="658" spans="1:6" x14ac:dyDescent="0.2">
      <c r="A658" s="163" t="s">
        <v>3724</v>
      </c>
      <c r="B658" s="164" t="s">
        <v>2517</v>
      </c>
      <c r="C658" s="164">
        <v>14123719</v>
      </c>
      <c r="D658" s="164" t="s">
        <v>955</v>
      </c>
      <c r="E658" s="164" t="s">
        <v>3699</v>
      </c>
      <c r="F658" s="165">
        <v>355.58</v>
      </c>
    </row>
    <row r="659" spans="1:6" x14ac:dyDescent="0.2">
      <c r="A659" s="166" t="s">
        <v>3724</v>
      </c>
      <c r="B659" s="167" t="s">
        <v>2517</v>
      </c>
      <c r="C659" s="167">
        <v>14123708</v>
      </c>
      <c r="D659" s="167" t="s">
        <v>949</v>
      </c>
      <c r="E659" s="167" t="s">
        <v>3699</v>
      </c>
      <c r="F659" s="168">
        <v>355.58</v>
      </c>
    </row>
    <row r="660" spans="1:6" x14ac:dyDescent="0.2">
      <c r="A660" s="163" t="s">
        <v>3724</v>
      </c>
      <c r="B660" s="164" t="s">
        <v>2517</v>
      </c>
      <c r="C660" s="164">
        <v>14123704</v>
      </c>
      <c r="D660" s="164" t="s">
        <v>946</v>
      </c>
      <c r="E660" s="164" t="s">
        <v>3699</v>
      </c>
      <c r="F660" s="165">
        <v>355.58</v>
      </c>
    </row>
    <row r="661" spans="1:6" x14ac:dyDescent="0.2">
      <c r="A661" s="166" t="s">
        <v>3724</v>
      </c>
      <c r="B661" s="167" t="s">
        <v>2517</v>
      </c>
      <c r="C661" s="167">
        <v>14123657</v>
      </c>
      <c r="D661" s="167" t="s">
        <v>941</v>
      </c>
      <c r="E661" s="167" t="s">
        <v>3699</v>
      </c>
      <c r="F661" s="168">
        <v>355.58</v>
      </c>
    </row>
    <row r="662" spans="1:6" x14ac:dyDescent="0.2">
      <c r="A662" s="163" t="s">
        <v>3724</v>
      </c>
      <c r="B662" s="164" t="s">
        <v>2517</v>
      </c>
      <c r="C662" s="164">
        <v>14123656</v>
      </c>
      <c r="D662" s="164" t="s">
        <v>940</v>
      </c>
      <c r="E662" s="164" t="s">
        <v>3699</v>
      </c>
      <c r="F662" s="165">
        <v>355.58</v>
      </c>
    </row>
    <row r="663" spans="1:6" x14ac:dyDescent="0.2">
      <c r="A663" s="166" t="s">
        <v>3724</v>
      </c>
      <c r="B663" s="167" t="s">
        <v>2517</v>
      </c>
      <c r="C663" s="167">
        <v>14123654</v>
      </c>
      <c r="D663" s="167" t="s">
        <v>938</v>
      </c>
      <c r="E663" s="167" t="s">
        <v>3699</v>
      </c>
      <c r="F663" s="168">
        <v>355.58</v>
      </c>
    </row>
    <row r="664" spans="1:6" x14ac:dyDescent="0.2">
      <c r="A664" s="163" t="s">
        <v>3724</v>
      </c>
      <c r="B664" s="164" t="s">
        <v>2517</v>
      </c>
      <c r="C664" s="164">
        <v>14123640</v>
      </c>
      <c r="D664" s="164" t="s">
        <v>905</v>
      </c>
      <c r="E664" s="164" t="s">
        <v>3699</v>
      </c>
      <c r="F664" s="165">
        <v>355.58</v>
      </c>
    </row>
    <row r="665" spans="1:6" x14ac:dyDescent="0.2">
      <c r="A665" s="166" t="s">
        <v>3724</v>
      </c>
      <c r="B665" s="167" t="s">
        <v>2517</v>
      </c>
      <c r="C665" s="167">
        <v>14123635</v>
      </c>
      <c r="D665" s="167" t="s">
        <v>904</v>
      </c>
      <c r="E665" s="167" t="s">
        <v>3699</v>
      </c>
      <c r="F665" s="168">
        <v>355.58</v>
      </c>
    </row>
    <row r="666" spans="1:6" x14ac:dyDescent="0.2">
      <c r="A666" s="163" t="s">
        <v>3724</v>
      </c>
      <c r="B666" s="164" t="s">
        <v>2517</v>
      </c>
      <c r="C666" s="164">
        <v>14123599</v>
      </c>
      <c r="D666" s="164" t="s">
        <v>555</v>
      </c>
      <c r="E666" s="164" t="s">
        <v>3699</v>
      </c>
      <c r="F666" s="165">
        <v>355.58</v>
      </c>
    </row>
    <row r="667" spans="1:6" x14ac:dyDescent="0.2">
      <c r="A667" s="166" t="s">
        <v>3724</v>
      </c>
      <c r="B667" s="167" t="s">
        <v>2517</v>
      </c>
      <c r="C667" s="167">
        <v>14123569</v>
      </c>
      <c r="D667" s="167" t="s">
        <v>548</v>
      </c>
      <c r="E667" s="167" t="s">
        <v>3699</v>
      </c>
      <c r="F667" s="168">
        <v>355.58</v>
      </c>
    </row>
    <row r="668" spans="1:6" x14ac:dyDescent="0.2">
      <c r="A668" s="163" t="s">
        <v>3724</v>
      </c>
      <c r="B668" s="164" t="s">
        <v>2517</v>
      </c>
      <c r="C668" s="164">
        <v>14123562</v>
      </c>
      <c r="D668" s="164" t="s">
        <v>546</v>
      </c>
      <c r="E668" s="164" t="s">
        <v>3699</v>
      </c>
      <c r="F668" s="165">
        <v>355.58</v>
      </c>
    </row>
    <row r="669" spans="1:6" x14ac:dyDescent="0.2">
      <c r="A669" s="166" t="s">
        <v>3724</v>
      </c>
      <c r="B669" s="167" t="s">
        <v>2517</v>
      </c>
      <c r="C669" s="167">
        <v>14123559</v>
      </c>
      <c r="D669" s="167" t="s">
        <v>545</v>
      </c>
      <c r="E669" s="167" t="s">
        <v>3699</v>
      </c>
      <c r="F669" s="168">
        <v>355.58</v>
      </c>
    </row>
    <row r="670" spans="1:6" x14ac:dyDescent="0.2">
      <c r="A670" s="163" t="s">
        <v>3724</v>
      </c>
      <c r="B670" s="164" t="s">
        <v>2517</v>
      </c>
      <c r="C670" s="164">
        <v>14123541</v>
      </c>
      <c r="D670" s="164" t="s">
        <v>543</v>
      </c>
      <c r="E670" s="164" t="s">
        <v>3699</v>
      </c>
      <c r="F670" s="165">
        <v>355.58</v>
      </c>
    </row>
    <row r="671" spans="1:6" x14ac:dyDescent="0.2">
      <c r="A671" s="166" t="s">
        <v>3724</v>
      </c>
      <c r="B671" s="167" t="s">
        <v>2517</v>
      </c>
      <c r="C671" s="167">
        <v>14123536</v>
      </c>
      <c r="D671" s="167" t="s">
        <v>542</v>
      </c>
      <c r="E671" s="167" t="s">
        <v>3699</v>
      </c>
      <c r="F671" s="168">
        <v>355.58</v>
      </c>
    </row>
    <row r="672" spans="1:6" x14ac:dyDescent="0.2">
      <c r="A672" s="163" t="s">
        <v>3724</v>
      </c>
      <c r="B672" s="164" t="s">
        <v>2517</v>
      </c>
      <c r="C672" s="164">
        <v>14123530</v>
      </c>
      <c r="D672" s="164" t="s">
        <v>541</v>
      </c>
      <c r="E672" s="164" t="s">
        <v>3699</v>
      </c>
      <c r="F672" s="165">
        <v>355.58</v>
      </c>
    </row>
    <row r="673" spans="1:6" x14ac:dyDescent="0.2">
      <c r="A673" s="166" t="s">
        <v>3724</v>
      </c>
      <c r="B673" s="167" t="s">
        <v>2517</v>
      </c>
      <c r="C673" s="167">
        <v>14123527</v>
      </c>
      <c r="D673" s="167" t="s">
        <v>539</v>
      </c>
      <c r="E673" s="167" t="s">
        <v>3699</v>
      </c>
      <c r="F673" s="168">
        <v>355.58</v>
      </c>
    </row>
    <row r="674" spans="1:6" x14ac:dyDescent="0.2">
      <c r="A674" s="163" t="s">
        <v>3724</v>
      </c>
      <c r="B674" s="164" t="s">
        <v>2517</v>
      </c>
      <c r="C674" s="164">
        <v>14123526</v>
      </c>
      <c r="D674" s="164" t="s">
        <v>538</v>
      </c>
      <c r="E674" s="164" t="s">
        <v>3699</v>
      </c>
      <c r="F674" s="165">
        <v>355.58</v>
      </c>
    </row>
    <row r="675" spans="1:6" x14ac:dyDescent="0.2">
      <c r="A675" s="166" t="s">
        <v>3724</v>
      </c>
      <c r="B675" s="167" t="s">
        <v>2517</v>
      </c>
      <c r="C675" s="167">
        <v>14123514</v>
      </c>
      <c r="D675" s="167" t="s">
        <v>533</v>
      </c>
      <c r="E675" s="167" t="s">
        <v>3699</v>
      </c>
      <c r="F675" s="168">
        <v>355.58</v>
      </c>
    </row>
    <row r="676" spans="1:6" x14ac:dyDescent="0.2">
      <c r="A676" s="163" t="s">
        <v>3724</v>
      </c>
      <c r="B676" s="164" t="s">
        <v>2517</v>
      </c>
      <c r="C676" s="164">
        <v>14123489</v>
      </c>
      <c r="D676" s="164" t="s">
        <v>528</v>
      </c>
      <c r="E676" s="164" t="s">
        <v>3699</v>
      </c>
      <c r="F676" s="165">
        <v>355.58</v>
      </c>
    </row>
    <row r="677" spans="1:6" x14ac:dyDescent="0.2">
      <c r="A677" s="166" t="s">
        <v>3724</v>
      </c>
      <c r="B677" s="167" t="s">
        <v>2517</v>
      </c>
      <c r="C677" s="167">
        <v>14123488</v>
      </c>
      <c r="D677" s="167" t="s">
        <v>527</v>
      </c>
      <c r="E677" s="167" t="s">
        <v>3699</v>
      </c>
      <c r="F677" s="168">
        <v>355.58</v>
      </c>
    </row>
    <row r="678" spans="1:6" x14ac:dyDescent="0.2">
      <c r="A678" s="163" t="s">
        <v>3724</v>
      </c>
      <c r="B678" s="164" t="s">
        <v>2517</v>
      </c>
      <c r="C678" s="164">
        <v>14123473</v>
      </c>
      <c r="D678" s="164" t="s">
        <v>526</v>
      </c>
      <c r="E678" s="164" t="s">
        <v>3699</v>
      </c>
      <c r="F678" s="165">
        <v>355.58</v>
      </c>
    </row>
    <row r="679" spans="1:6" x14ac:dyDescent="0.2">
      <c r="A679" s="166" t="s">
        <v>3724</v>
      </c>
      <c r="B679" s="167" t="s">
        <v>2517</v>
      </c>
      <c r="C679" s="167">
        <v>14123461</v>
      </c>
      <c r="D679" s="167" t="s">
        <v>523</v>
      </c>
      <c r="E679" s="167" t="s">
        <v>3699</v>
      </c>
      <c r="F679" s="168">
        <v>355.58</v>
      </c>
    </row>
    <row r="680" spans="1:6" x14ac:dyDescent="0.2">
      <c r="A680" s="163" t="s">
        <v>3724</v>
      </c>
      <c r="B680" s="164" t="s">
        <v>2517</v>
      </c>
      <c r="C680" s="164">
        <v>14123460</v>
      </c>
      <c r="D680" s="164" t="s">
        <v>522</v>
      </c>
      <c r="E680" s="164" t="s">
        <v>3699</v>
      </c>
      <c r="F680" s="165">
        <v>355.58</v>
      </c>
    </row>
    <row r="681" spans="1:6" x14ac:dyDescent="0.2">
      <c r="A681" s="166" t="s">
        <v>3724</v>
      </c>
      <c r="B681" s="167" t="s">
        <v>2517</v>
      </c>
      <c r="C681" s="167">
        <v>14123445</v>
      </c>
      <c r="D681" s="167" t="s">
        <v>518</v>
      </c>
      <c r="E681" s="167" t="s">
        <v>3699</v>
      </c>
      <c r="F681" s="168">
        <v>355.58</v>
      </c>
    </row>
    <row r="682" spans="1:6" x14ac:dyDescent="0.2">
      <c r="A682" s="163" t="s">
        <v>3724</v>
      </c>
      <c r="B682" s="164" t="s">
        <v>2517</v>
      </c>
      <c r="C682" s="164">
        <v>14123377</v>
      </c>
      <c r="D682" s="164" t="s">
        <v>516</v>
      </c>
      <c r="E682" s="164" t="s">
        <v>3699</v>
      </c>
      <c r="F682" s="165">
        <v>355.58</v>
      </c>
    </row>
    <row r="683" spans="1:6" x14ac:dyDescent="0.2">
      <c r="A683" s="166" t="s">
        <v>3724</v>
      </c>
      <c r="B683" s="167" t="s">
        <v>2517</v>
      </c>
      <c r="C683" s="167">
        <v>14123375</v>
      </c>
      <c r="D683" s="167" t="s">
        <v>515</v>
      </c>
      <c r="E683" s="167" t="s">
        <v>3699</v>
      </c>
      <c r="F683" s="168">
        <v>355.58</v>
      </c>
    </row>
    <row r="684" spans="1:6" x14ac:dyDescent="0.2">
      <c r="A684" s="163" t="s">
        <v>3724</v>
      </c>
      <c r="B684" s="164" t="s">
        <v>2517</v>
      </c>
      <c r="C684" s="164">
        <v>14123332</v>
      </c>
      <c r="D684" s="164" t="s">
        <v>512</v>
      </c>
      <c r="E684" s="164" t="s">
        <v>3699</v>
      </c>
      <c r="F684" s="165">
        <v>355.58</v>
      </c>
    </row>
    <row r="685" spans="1:6" x14ac:dyDescent="0.2">
      <c r="A685" s="166" t="s">
        <v>3724</v>
      </c>
      <c r="B685" s="167" t="s">
        <v>2517</v>
      </c>
      <c r="C685" s="167">
        <v>14123331</v>
      </c>
      <c r="D685" s="167" t="s">
        <v>511</v>
      </c>
      <c r="E685" s="167" t="s">
        <v>3699</v>
      </c>
      <c r="F685" s="168">
        <v>355.58</v>
      </c>
    </row>
    <row r="686" spans="1:6" x14ac:dyDescent="0.2">
      <c r="A686" s="163" t="s">
        <v>3724</v>
      </c>
      <c r="B686" s="164" t="s">
        <v>2517</v>
      </c>
      <c r="C686" s="164">
        <v>14123254</v>
      </c>
      <c r="D686" s="164" t="s">
        <v>499</v>
      </c>
      <c r="E686" s="164" t="s">
        <v>3699</v>
      </c>
      <c r="F686" s="165">
        <v>355.58</v>
      </c>
    </row>
    <row r="687" spans="1:6" x14ac:dyDescent="0.2">
      <c r="A687" s="166" t="s">
        <v>3724</v>
      </c>
      <c r="B687" s="167" t="s">
        <v>2517</v>
      </c>
      <c r="C687" s="167">
        <v>14123246</v>
      </c>
      <c r="D687" s="167" t="s">
        <v>497</v>
      </c>
      <c r="E687" s="167" t="s">
        <v>3699</v>
      </c>
      <c r="F687" s="168">
        <v>355.58</v>
      </c>
    </row>
    <row r="688" spans="1:6" x14ac:dyDescent="0.2">
      <c r="A688" s="163" t="s">
        <v>3724</v>
      </c>
      <c r="B688" s="164" t="s">
        <v>2517</v>
      </c>
      <c r="C688" s="164">
        <v>14123238</v>
      </c>
      <c r="D688" s="164" t="s">
        <v>495</v>
      </c>
      <c r="E688" s="164" t="s">
        <v>3699</v>
      </c>
      <c r="F688" s="165">
        <v>355.58</v>
      </c>
    </row>
    <row r="689" spans="1:6" x14ac:dyDescent="0.2">
      <c r="A689" s="166" t="s">
        <v>3724</v>
      </c>
      <c r="B689" s="167" t="s">
        <v>2517</v>
      </c>
      <c r="C689" s="167">
        <v>14123228</v>
      </c>
      <c r="D689" s="167" t="s">
        <v>494</v>
      </c>
      <c r="E689" s="167" t="s">
        <v>3699</v>
      </c>
      <c r="F689" s="168">
        <v>355.58</v>
      </c>
    </row>
    <row r="690" spans="1:6" x14ac:dyDescent="0.2">
      <c r="A690" s="163" t="s">
        <v>3724</v>
      </c>
      <c r="B690" s="164" t="s">
        <v>2517</v>
      </c>
      <c r="C690" s="164">
        <v>14123145</v>
      </c>
      <c r="D690" s="164" t="s">
        <v>490</v>
      </c>
      <c r="E690" s="164" t="s">
        <v>3699</v>
      </c>
      <c r="F690" s="165">
        <v>355.58</v>
      </c>
    </row>
    <row r="691" spans="1:6" x14ac:dyDescent="0.2">
      <c r="A691" s="166" t="s">
        <v>3724</v>
      </c>
      <c r="B691" s="167" t="s">
        <v>2517</v>
      </c>
      <c r="C691" s="167">
        <v>14123107</v>
      </c>
      <c r="D691" s="167" t="s">
        <v>487</v>
      </c>
      <c r="E691" s="167" t="s">
        <v>3699</v>
      </c>
      <c r="F691" s="168">
        <v>355.58</v>
      </c>
    </row>
    <row r="692" spans="1:6" x14ac:dyDescent="0.2">
      <c r="A692" s="163" t="s">
        <v>3724</v>
      </c>
      <c r="B692" s="164" t="s">
        <v>2517</v>
      </c>
      <c r="C692" s="164">
        <v>14123082</v>
      </c>
      <c r="D692" s="164" t="s">
        <v>484</v>
      </c>
      <c r="E692" s="164" t="s">
        <v>3699</v>
      </c>
      <c r="F692" s="165">
        <v>355.58</v>
      </c>
    </row>
    <row r="693" spans="1:6" x14ac:dyDescent="0.2">
      <c r="A693" s="166" t="s">
        <v>3724</v>
      </c>
      <c r="B693" s="167" t="s">
        <v>2517</v>
      </c>
      <c r="C693" s="167">
        <v>14123081</v>
      </c>
      <c r="D693" s="167" t="s">
        <v>483</v>
      </c>
      <c r="E693" s="167" t="s">
        <v>3699</v>
      </c>
      <c r="F693" s="168">
        <v>355.58</v>
      </c>
    </row>
    <row r="694" spans="1:6" x14ac:dyDescent="0.2">
      <c r="A694" s="163" t="s">
        <v>3724</v>
      </c>
      <c r="B694" s="164" t="s">
        <v>2517</v>
      </c>
      <c r="C694" s="164">
        <v>14123063</v>
      </c>
      <c r="D694" s="164" t="s">
        <v>479</v>
      </c>
      <c r="E694" s="164" t="s">
        <v>3699</v>
      </c>
      <c r="F694" s="165">
        <v>355.58</v>
      </c>
    </row>
    <row r="695" spans="1:6" x14ac:dyDescent="0.2">
      <c r="A695" s="166" t="s">
        <v>3724</v>
      </c>
      <c r="B695" s="167" t="s">
        <v>2517</v>
      </c>
      <c r="C695" s="167">
        <v>14123008</v>
      </c>
      <c r="D695" s="167" t="s">
        <v>476</v>
      </c>
      <c r="E695" s="167" t="s">
        <v>3699</v>
      </c>
      <c r="F695" s="168">
        <v>355.58</v>
      </c>
    </row>
    <row r="696" spans="1:6" x14ac:dyDescent="0.2">
      <c r="A696" s="163" t="s">
        <v>3724</v>
      </c>
      <c r="B696" s="164" t="s">
        <v>2517</v>
      </c>
      <c r="C696" s="164">
        <v>14122993</v>
      </c>
      <c r="D696" s="164" t="s">
        <v>473</v>
      </c>
      <c r="E696" s="164" t="s">
        <v>3699</v>
      </c>
      <c r="F696" s="165">
        <v>355.58</v>
      </c>
    </row>
    <row r="697" spans="1:6" x14ac:dyDescent="0.2">
      <c r="A697" s="166" t="s">
        <v>3724</v>
      </c>
      <c r="B697" s="167" t="s">
        <v>2517</v>
      </c>
      <c r="C697" s="167">
        <v>14122992</v>
      </c>
      <c r="D697" s="167" t="s">
        <v>472</v>
      </c>
      <c r="E697" s="167" t="s">
        <v>3699</v>
      </c>
      <c r="F697" s="168">
        <v>355.58</v>
      </c>
    </row>
    <row r="698" spans="1:6" x14ac:dyDescent="0.2">
      <c r="A698" s="163" t="s">
        <v>3724</v>
      </c>
      <c r="B698" s="164" t="s">
        <v>2517</v>
      </c>
      <c r="C698" s="164">
        <v>14122923</v>
      </c>
      <c r="D698" s="164" t="s">
        <v>466</v>
      </c>
      <c r="E698" s="164" t="s">
        <v>3699</v>
      </c>
      <c r="F698" s="165">
        <v>355.58</v>
      </c>
    </row>
    <row r="699" spans="1:6" x14ac:dyDescent="0.2">
      <c r="A699" s="166" t="s">
        <v>3724</v>
      </c>
      <c r="B699" s="167" t="s">
        <v>2517</v>
      </c>
      <c r="C699" s="167">
        <v>14122873</v>
      </c>
      <c r="D699" s="167" t="s">
        <v>460</v>
      </c>
      <c r="E699" s="167" t="s">
        <v>3699</v>
      </c>
      <c r="F699" s="168">
        <v>355.58</v>
      </c>
    </row>
    <row r="700" spans="1:6" x14ac:dyDescent="0.2">
      <c r="A700" s="163" t="s">
        <v>3724</v>
      </c>
      <c r="B700" s="164" t="s">
        <v>2517</v>
      </c>
      <c r="C700" s="164">
        <v>14122871</v>
      </c>
      <c r="D700" s="164" t="s">
        <v>459</v>
      </c>
      <c r="E700" s="164" t="s">
        <v>3699</v>
      </c>
      <c r="F700" s="165">
        <v>355.58</v>
      </c>
    </row>
    <row r="701" spans="1:6" x14ac:dyDescent="0.2">
      <c r="A701" s="166" t="s">
        <v>3724</v>
      </c>
      <c r="B701" s="167" t="s">
        <v>2517</v>
      </c>
      <c r="C701" s="167">
        <v>14122854</v>
      </c>
      <c r="D701" s="167" t="s">
        <v>456</v>
      </c>
      <c r="E701" s="167" t="s">
        <v>3699</v>
      </c>
      <c r="F701" s="168">
        <v>355.58</v>
      </c>
    </row>
    <row r="702" spans="1:6" x14ac:dyDescent="0.2">
      <c r="A702" s="163" t="s">
        <v>3724</v>
      </c>
      <c r="B702" s="164" t="s">
        <v>2517</v>
      </c>
      <c r="C702" s="164">
        <v>14122832</v>
      </c>
      <c r="D702" s="164" t="s">
        <v>453</v>
      </c>
      <c r="E702" s="164" t="s">
        <v>3699</v>
      </c>
      <c r="F702" s="165">
        <v>355.58</v>
      </c>
    </row>
    <row r="703" spans="1:6" x14ac:dyDescent="0.2">
      <c r="A703" s="166" t="s">
        <v>3724</v>
      </c>
      <c r="B703" s="167" t="s">
        <v>2517</v>
      </c>
      <c r="C703" s="167">
        <v>14122831</v>
      </c>
      <c r="D703" s="167" t="s">
        <v>452</v>
      </c>
      <c r="E703" s="167" t="s">
        <v>3699</v>
      </c>
      <c r="F703" s="168">
        <v>355.58</v>
      </c>
    </row>
    <row r="704" spans="1:6" x14ac:dyDescent="0.2">
      <c r="A704" s="163" t="s">
        <v>3724</v>
      </c>
      <c r="B704" s="164" t="s">
        <v>2517</v>
      </c>
      <c r="C704" s="164">
        <v>14122809</v>
      </c>
      <c r="D704" s="164" t="s">
        <v>451</v>
      </c>
      <c r="E704" s="164" t="s">
        <v>3699</v>
      </c>
      <c r="F704" s="165">
        <v>355.58</v>
      </c>
    </row>
    <row r="705" spans="1:6" x14ac:dyDescent="0.2">
      <c r="A705" s="166" t="s">
        <v>3724</v>
      </c>
      <c r="B705" s="167" t="s">
        <v>2517</v>
      </c>
      <c r="C705" s="167">
        <v>14122775</v>
      </c>
      <c r="D705" s="167" t="s">
        <v>450</v>
      </c>
      <c r="E705" s="167" t="s">
        <v>3699</v>
      </c>
      <c r="F705" s="168">
        <v>355.58</v>
      </c>
    </row>
    <row r="706" spans="1:6" x14ac:dyDescent="0.2">
      <c r="A706" s="163" t="s">
        <v>3724</v>
      </c>
      <c r="B706" s="164" t="s">
        <v>2517</v>
      </c>
      <c r="C706" s="164">
        <v>14122773</v>
      </c>
      <c r="D706" s="164" t="s">
        <v>449</v>
      </c>
      <c r="E706" s="164" t="s">
        <v>3699</v>
      </c>
      <c r="F706" s="165">
        <v>355.58</v>
      </c>
    </row>
    <row r="707" spans="1:6" x14ac:dyDescent="0.2">
      <c r="A707" s="166" t="s">
        <v>3724</v>
      </c>
      <c r="B707" s="167" t="s">
        <v>2517</v>
      </c>
      <c r="C707" s="167">
        <v>14122758</v>
      </c>
      <c r="D707" s="167" t="s">
        <v>447</v>
      </c>
      <c r="E707" s="167" t="s">
        <v>3699</v>
      </c>
      <c r="F707" s="168">
        <v>355.58</v>
      </c>
    </row>
    <row r="708" spans="1:6" x14ac:dyDescent="0.2">
      <c r="A708" s="163" t="s">
        <v>3724</v>
      </c>
      <c r="B708" s="164" t="s">
        <v>2517</v>
      </c>
      <c r="C708" s="164">
        <v>14122709</v>
      </c>
      <c r="D708" s="164" t="s">
        <v>446</v>
      </c>
      <c r="E708" s="164" t="s">
        <v>3699</v>
      </c>
      <c r="F708" s="165">
        <v>355.58</v>
      </c>
    </row>
    <row r="709" spans="1:6" x14ac:dyDescent="0.2">
      <c r="A709" s="166" t="s">
        <v>3724</v>
      </c>
      <c r="B709" s="167" t="s">
        <v>2517</v>
      </c>
      <c r="C709" s="167">
        <v>14122706</v>
      </c>
      <c r="D709" s="167" t="s">
        <v>444</v>
      </c>
      <c r="E709" s="167" t="s">
        <v>3699</v>
      </c>
      <c r="F709" s="168">
        <v>355.58</v>
      </c>
    </row>
    <row r="710" spans="1:6" x14ac:dyDescent="0.2">
      <c r="A710" s="163" t="s">
        <v>3724</v>
      </c>
      <c r="B710" s="164" t="s">
        <v>2517</v>
      </c>
      <c r="C710" s="164">
        <v>14122687</v>
      </c>
      <c r="D710" s="164" t="s">
        <v>443</v>
      </c>
      <c r="E710" s="164" t="s">
        <v>3699</v>
      </c>
      <c r="F710" s="165">
        <v>355.58</v>
      </c>
    </row>
    <row r="711" spans="1:6" x14ac:dyDescent="0.2">
      <c r="A711" s="166" t="s">
        <v>3724</v>
      </c>
      <c r="B711" s="167" t="s">
        <v>2517</v>
      </c>
      <c r="C711" s="167">
        <v>14122685</v>
      </c>
      <c r="D711" s="167" t="s">
        <v>442</v>
      </c>
      <c r="E711" s="167" t="s">
        <v>3699</v>
      </c>
      <c r="F711" s="168">
        <v>355.58</v>
      </c>
    </row>
    <row r="712" spans="1:6" x14ac:dyDescent="0.2">
      <c r="A712" s="163" t="s">
        <v>3724</v>
      </c>
      <c r="B712" s="164" t="s">
        <v>2517</v>
      </c>
      <c r="C712" s="164">
        <v>14122683</v>
      </c>
      <c r="D712" s="164" t="s">
        <v>441</v>
      </c>
      <c r="E712" s="164" t="s">
        <v>3699</v>
      </c>
      <c r="F712" s="165">
        <v>355.58</v>
      </c>
    </row>
    <row r="713" spans="1:6" x14ac:dyDescent="0.2">
      <c r="A713" s="166" t="s">
        <v>3724</v>
      </c>
      <c r="B713" s="167" t="s">
        <v>2517</v>
      </c>
      <c r="C713" s="167">
        <v>14122681</v>
      </c>
      <c r="D713" s="167" t="s">
        <v>439</v>
      </c>
      <c r="E713" s="167" t="s">
        <v>3699</v>
      </c>
      <c r="F713" s="168">
        <v>355.58</v>
      </c>
    </row>
    <row r="714" spans="1:6" x14ac:dyDescent="0.2">
      <c r="A714" s="163" t="s">
        <v>3724</v>
      </c>
      <c r="B714" s="164" t="s">
        <v>2517</v>
      </c>
      <c r="C714" s="164">
        <v>14122618</v>
      </c>
      <c r="D714" s="164" t="s">
        <v>436</v>
      </c>
      <c r="E714" s="164" t="s">
        <v>3699</v>
      </c>
      <c r="F714" s="165">
        <v>355.58</v>
      </c>
    </row>
    <row r="715" spans="1:6" x14ac:dyDescent="0.2">
      <c r="A715" s="166" t="s">
        <v>3724</v>
      </c>
      <c r="B715" s="167" t="s">
        <v>2517</v>
      </c>
      <c r="C715" s="167">
        <v>14122617</v>
      </c>
      <c r="D715" s="167" t="s">
        <v>435</v>
      </c>
      <c r="E715" s="167" t="s">
        <v>3699</v>
      </c>
      <c r="F715" s="168">
        <v>355.58</v>
      </c>
    </row>
    <row r="716" spans="1:6" x14ac:dyDescent="0.2">
      <c r="A716" s="163" t="s">
        <v>3724</v>
      </c>
      <c r="B716" s="164" t="s">
        <v>2517</v>
      </c>
      <c r="C716" s="164">
        <v>14122510</v>
      </c>
      <c r="D716" s="164" t="s">
        <v>430</v>
      </c>
      <c r="E716" s="164" t="s">
        <v>3699</v>
      </c>
      <c r="F716" s="165">
        <v>355.58</v>
      </c>
    </row>
    <row r="717" spans="1:6" x14ac:dyDescent="0.2">
      <c r="A717" s="166" t="s">
        <v>3724</v>
      </c>
      <c r="B717" s="167" t="s">
        <v>2517</v>
      </c>
      <c r="C717" s="167">
        <v>14122419</v>
      </c>
      <c r="D717" s="167" t="s">
        <v>422</v>
      </c>
      <c r="E717" s="167" t="s">
        <v>3699</v>
      </c>
      <c r="F717" s="168">
        <v>355.58</v>
      </c>
    </row>
    <row r="718" spans="1:6" x14ac:dyDescent="0.2">
      <c r="A718" s="163" t="s">
        <v>3724</v>
      </c>
      <c r="B718" s="164" t="s">
        <v>2517</v>
      </c>
      <c r="C718" s="164">
        <v>14122417</v>
      </c>
      <c r="D718" s="164" t="s">
        <v>421</v>
      </c>
      <c r="E718" s="164" t="s">
        <v>3699</v>
      </c>
      <c r="F718" s="165">
        <v>355.58</v>
      </c>
    </row>
    <row r="719" spans="1:6" x14ac:dyDescent="0.2">
      <c r="A719" s="166" t="s">
        <v>3724</v>
      </c>
      <c r="B719" s="167" t="s">
        <v>2517</v>
      </c>
      <c r="C719" s="167">
        <v>14122353</v>
      </c>
      <c r="D719" s="167" t="s">
        <v>415</v>
      </c>
      <c r="E719" s="167" t="s">
        <v>3699</v>
      </c>
      <c r="F719" s="168">
        <v>355.58</v>
      </c>
    </row>
    <row r="720" spans="1:6" x14ac:dyDescent="0.2">
      <c r="A720" s="163" t="s">
        <v>3724</v>
      </c>
      <c r="B720" s="164" t="s">
        <v>2517</v>
      </c>
      <c r="C720" s="164">
        <v>14122331</v>
      </c>
      <c r="D720" s="164" t="s">
        <v>414</v>
      </c>
      <c r="E720" s="164" t="s">
        <v>3699</v>
      </c>
      <c r="F720" s="165">
        <v>355.58</v>
      </c>
    </row>
    <row r="721" spans="1:6" x14ac:dyDescent="0.2">
      <c r="A721" s="166" t="s">
        <v>3724</v>
      </c>
      <c r="B721" s="167" t="s">
        <v>2517</v>
      </c>
      <c r="C721" s="167">
        <v>14122330</v>
      </c>
      <c r="D721" s="167" t="s">
        <v>413</v>
      </c>
      <c r="E721" s="167" t="s">
        <v>3699</v>
      </c>
      <c r="F721" s="168">
        <v>355.58</v>
      </c>
    </row>
    <row r="722" spans="1:6" x14ac:dyDescent="0.2">
      <c r="A722" s="163" t="s">
        <v>3724</v>
      </c>
      <c r="B722" s="164" t="s">
        <v>2517</v>
      </c>
      <c r="C722" s="164">
        <v>14122230</v>
      </c>
      <c r="D722" s="164" t="s">
        <v>403</v>
      </c>
      <c r="E722" s="164" t="s">
        <v>3699</v>
      </c>
      <c r="F722" s="165">
        <v>355.58</v>
      </c>
    </row>
    <row r="723" spans="1:6" x14ac:dyDescent="0.2">
      <c r="A723" s="166" t="s">
        <v>3724</v>
      </c>
      <c r="B723" s="167" t="s">
        <v>2517</v>
      </c>
      <c r="C723" s="167">
        <v>14122221</v>
      </c>
      <c r="D723" s="167" t="s">
        <v>402</v>
      </c>
      <c r="E723" s="167" t="s">
        <v>3699</v>
      </c>
      <c r="F723" s="168">
        <v>355.58</v>
      </c>
    </row>
    <row r="724" spans="1:6" x14ac:dyDescent="0.2">
      <c r="A724" s="163" t="s">
        <v>3724</v>
      </c>
      <c r="B724" s="164" t="s">
        <v>2517</v>
      </c>
      <c r="C724" s="164">
        <v>14122194</v>
      </c>
      <c r="D724" s="164" t="s">
        <v>401</v>
      </c>
      <c r="E724" s="164" t="s">
        <v>3699</v>
      </c>
      <c r="F724" s="165">
        <v>355.58</v>
      </c>
    </row>
    <row r="725" spans="1:6" x14ac:dyDescent="0.2">
      <c r="A725" s="166" t="s">
        <v>3724</v>
      </c>
      <c r="B725" s="167" t="s">
        <v>2517</v>
      </c>
      <c r="C725" s="167">
        <v>14122191</v>
      </c>
      <c r="D725" s="167" t="s">
        <v>400</v>
      </c>
      <c r="E725" s="167" t="s">
        <v>3699</v>
      </c>
      <c r="F725" s="168">
        <v>355.58</v>
      </c>
    </row>
    <row r="726" spans="1:6" x14ac:dyDescent="0.2">
      <c r="A726" s="163" t="s">
        <v>3724</v>
      </c>
      <c r="B726" s="164" t="s">
        <v>2517</v>
      </c>
      <c r="C726" s="164">
        <v>14122148</v>
      </c>
      <c r="D726" s="164" t="s">
        <v>394</v>
      </c>
      <c r="E726" s="164" t="s">
        <v>3699</v>
      </c>
      <c r="F726" s="165">
        <v>355.58</v>
      </c>
    </row>
    <row r="727" spans="1:6" x14ac:dyDescent="0.2">
      <c r="A727" s="166" t="s">
        <v>3724</v>
      </c>
      <c r="B727" s="167" t="s">
        <v>2517</v>
      </c>
      <c r="C727" s="167">
        <v>14122137</v>
      </c>
      <c r="D727" s="167" t="s">
        <v>393</v>
      </c>
      <c r="E727" s="167" t="s">
        <v>3699</v>
      </c>
      <c r="F727" s="168">
        <v>355.58</v>
      </c>
    </row>
    <row r="728" spans="1:6" x14ac:dyDescent="0.2">
      <c r="A728" s="163" t="s">
        <v>3724</v>
      </c>
      <c r="B728" s="164" t="s">
        <v>2517</v>
      </c>
      <c r="C728" s="164">
        <v>14122136</v>
      </c>
      <c r="D728" s="164" t="s">
        <v>392</v>
      </c>
      <c r="E728" s="164" t="s">
        <v>3699</v>
      </c>
      <c r="F728" s="165">
        <v>355.58</v>
      </c>
    </row>
    <row r="729" spans="1:6" x14ac:dyDescent="0.2">
      <c r="A729" s="166" t="s">
        <v>3724</v>
      </c>
      <c r="B729" s="167" t="s">
        <v>2517</v>
      </c>
      <c r="C729" s="167">
        <v>14122133</v>
      </c>
      <c r="D729" s="167" t="s">
        <v>391</v>
      </c>
      <c r="E729" s="167" t="s">
        <v>3699</v>
      </c>
      <c r="F729" s="168">
        <v>355.58</v>
      </c>
    </row>
    <row r="730" spans="1:6" x14ac:dyDescent="0.2">
      <c r="A730" s="163" t="s">
        <v>3724</v>
      </c>
      <c r="B730" s="164" t="s">
        <v>2517</v>
      </c>
      <c r="C730" s="164">
        <v>14122096</v>
      </c>
      <c r="D730" s="164" t="s">
        <v>388</v>
      </c>
      <c r="E730" s="164" t="s">
        <v>3699</v>
      </c>
      <c r="F730" s="165">
        <v>355.58</v>
      </c>
    </row>
    <row r="731" spans="1:6" x14ac:dyDescent="0.2">
      <c r="A731" s="166" t="s">
        <v>3724</v>
      </c>
      <c r="B731" s="167" t="s">
        <v>2517</v>
      </c>
      <c r="C731" s="167">
        <v>14122094</v>
      </c>
      <c r="D731" s="167" t="s">
        <v>386</v>
      </c>
      <c r="E731" s="167" t="s">
        <v>3699</v>
      </c>
      <c r="F731" s="168">
        <v>355.58</v>
      </c>
    </row>
    <row r="732" spans="1:6" x14ac:dyDescent="0.2">
      <c r="A732" s="163" t="s">
        <v>3724</v>
      </c>
      <c r="B732" s="164" t="s">
        <v>2517</v>
      </c>
      <c r="C732" s="164">
        <v>14122083</v>
      </c>
      <c r="D732" s="164" t="s">
        <v>385</v>
      </c>
      <c r="E732" s="164" t="s">
        <v>3699</v>
      </c>
      <c r="F732" s="165">
        <v>711.16</v>
      </c>
    </row>
    <row r="733" spans="1:6" x14ac:dyDescent="0.2">
      <c r="A733" s="166" t="s">
        <v>3724</v>
      </c>
      <c r="B733" s="167" t="s">
        <v>2517</v>
      </c>
      <c r="C733" s="167">
        <v>14121964</v>
      </c>
      <c r="D733" s="167" t="s">
        <v>375</v>
      </c>
      <c r="E733" s="167" t="s">
        <v>3699</v>
      </c>
      <c r="F733" s="168">
        <v>355.58</v>
      </c>
    </row>
    <row r="734" spans="1:6" x14ac:dyDescent="0.2">
      <c r="A734" s="163" t="s">
        <v>3724</v>
      </c>
      <c r="B734" s="164" t="s">
        <v>2517</v>
      </c>
      <c r="C734" s="164">
        <v>14121917</v>
      </c>
      <c r="D734" s="164" t="s">
        <v>370</v>
      </c>
      <c r="E734" s="164" t="s">
        <v>3699</v>
      </c>
      <c r="F734" s="165">
        <v>355.58</v>
      </c>
    </row>
    <row r="735" spans="1:6" x14ac:dyDescent="0.2">
      <c r="A735" s="166" t="s">
        <v>3724</v>
      </c>
      <c r="B735" s="167" t="s">
        <v>2517</v>
      </c>
      <c r="C735" s="167">
        <v>14121860</v>
      </c>
      <c r="D735" s="167" t="s">
        <v>367</v>
      </c>
      <c r="E735" s="167" t="s">
        <v>3699</v>
      </c>
      <c r="F735" s="168">
        <v>355.58</v>
      </c>
    </row>
    <row r="736" spans="1:6" x14ac:dyDescent="0.2">
      <c r="A736" s="163" t="s">
        <v>3724</v>
      </c>
      <c r="B736" s="164" t="s">
        <v>2517</v>
      </c>
      <c r="C736" s="164">
        <v>14121859</v>
      </c>
      <c r="D736" s="164" t="s">
        <v>366</v>
      </c>
      <c r="E736" s="164" t="s">
        <v>3699</v>
      </c>
      <c r="F736" s="165">
        <v>355.58</v>
      </c>
    </row>
    <row r="737" spans="1:6" x14ac:dyDescent="0.2">
      <c r="A737" s="166" t="s">
        <v>3724</v>
      </c>
      <c r="B737" s="167" t="s">
        <v>2517</v>
      </c>
      <c r="C737" s="167">
        <v>14121821</v>
      </c>
      <c r="D737" s="167" t="s">
        <v>364</v>
      </c>
      <c r="E737" s="167" t="s">
        <v>3699</v>
      </c>
      <c r="F737" s="168">
        <v>355.58</v>
      </c>
    </row>
    <row r="738" spans="1:6" x14ac:dyDescent="0.2">
      <c r="A738" s="163" t="s">
        <v>3724</v>
      </c>
      <c r="B738" s="164" t="s">
        <v>2517</v>
      </c>
      <c r="C738" s="164">
        <v>14121785</v>
      </c>
      <c r="D738" s="164" t="s">
        <v>360</v>
      </c>
      <c r="E738" s="164" t="s">
        <v>3699</v>
      </c>
      <c r="F738" s="165">
        <v>355.58</v>
      </c>
    </row>
    <row r="739" spans="1:6" x14ac:dyDescent="0.2">
      <c r="A739" s="166" t="s">
        <v>3724</v>
      </c>
      <c r="B739" s="167" t="s">
        <v>2517</v>
      </c>
      <c r="C739" s="167">
        <v>14121756</v>
      </c>
      <c r="D739" s="167" t="s">
        <v>357</v>
      </c>
      <c r="E739" s="167" t="s">
        <v>3699</v>
      </c>
      <c r="F739" s="168">
        <v>355.58</v>
      </c>
    </row>
    <row r="740" spans="1:6" x14ac:dyDescent="0.2">
      <c r="A740" s="163" t="s">
        <v>3724</v>
      </c>
      <c r="B740" s="164" t="s">
        <v>2517</v>
      </c>
      <c r="C740" s="164">
        <v>14121728</v>
      </c>
      <c r="D740" s="164" t="s">
        <v>352</v>
      </c>
      <c r="E740" s="164" t="s">
        <v>3699</v>
      </c>
      <c r="F740" s="165">
        <v>355.58</v>
      </c>
    </row>
    <row r="741" spans="1:6" x14ac:dyDescent="0.2">
      <c r="A741" s="166" t="s">
        <v>3724</v>
      </c>
      <c r="B741" s="167" t="s">
        <v>2517</v>
      </c>
      <c r="C741" s="167">
        <v>14121600</v>
      </c>
      <c r="D741" s="167" t="s">
        <v>346</v>
      </c>
      <c r="E741" s="167" t="s">
        <v>3699</v>
      </c>
      <c r="F741" s="168">
        <v>355.58</v>
      </c>
    </row>
    <row r="742" spans="1:6" x14ac:dyDescent="0.2">
      <c r="A742" s="163" t="s">
        <v>3724</v>
      </c>
      <c r="B742" s="164" t="s">
        <v>2517</v>
      </c>
      <c r="C742" s="164">
        <v>14121545</v>
      </c>
      <c r="D742" s="164" t="s">
        <v>340</v>
      </c>
      <c r="E742" s="164" t="s">
        <v>3699</v>
      </c>
      <c r="F742" s="165">
        <v>355.58</v>
      </c>
    </row>
    <row r="743" spans="1:6" x14ac:dyDescent="0.2">
      <c r="A743" s="166" t="s">
        <v>3724</v>
      </c>
      <c r="B743" s="167" t="s">
        <v>2517</v>
      </c>
      <c r="C743" s="167">
        <v>14121522</v>
      </c>
      <c r="D743" s="167" t="s">
        <v>337</v>
      </c>
      <c r="E743" s="167" t="s">
        <v>3699</v>
      </c>
      <c r="F743" s="168">
        <v>355.58</v>
      </c>
    </row>
    <row r="744" spans="1:6" x14ac:dyDescent="0.2">
      <c r="A744" s="163" t="s">
        <v>3724</v>
      </c>
      <c r="B744" s="164" t="s">
        <v>2517</v>
      </c>
      <c r="C744" s="164">
        <v>14121328</v>
      </c>
      <c r="D744" s="164" t="s">
        <v>331</v>
      </c>
      <c r="E744" s="164" t="s">
        <v>3699</v>
      </c>
      <c r="F744" s="165">
        <v>355.58</v>
      </c>
    </row>
    <row r="745" spans="1:6" x14ac:dyDescent="0.2">
      <c r="A745" s="166" t="s">
        <v>3724</v>
      </c>
      <c r="B745" s="167" t="s">
        <v>2517</v>
      </c>
      <c r="C745" s="167">
        <v>14121266</v>
      </c>
      <c r="D745" s="167" t="s">
        <v>329</v>
      </c>
      <c r="E745" s="167" t="s">
        <v>3699</v>
      </c>
      <c r="F745" s="168">
        <v>355.58</v>
      </c>
    </row>
    <row r="746" spans="1:6" x14ac:dyDescent="0.2">
      <c r="A746" s="163" t="s">
        <v>3724</v>
      </c>
      <c r="B746" s="164" t="s">
        <v>2517</v>
      </c>
      <c r="C746" s="164">
        <v>14121239</v>
      </c>
      <c r="D746" s="164" t="s">
        <v>328</v>
      </c>
      <c r="E746" s="164" t="s">
        <v>3699</v>
      </c>
      <c r="F746" s="165">
        <v>355.58</v>
      </c>
    </row>
    <row r="747" spans="1:6" x14ac:dyDescent="0.2">
      <c r="A747" s="166" t="s">
        <v>3724</v>
      </c>
      <c r="B747" s="167" t="s">
        <v>2517</v>
      </c>
      <c r="C747" s="167">
        <v>14121193</v>
      </c>
      <c r="D747" s="167" t="s">
        <v>324</v>
      </c>
      <c r="E747" s="167" t="s">
        <v>3699</v>
      </c>
      <c r="F747" s="168">
        <v>711.16</v>
      </c>
    </row>
    <row r="748" spans="1:6" x14ac:dyDescent="0.2">
      <c r="A748" s="163" t="s">
        <v>3724</v>
      </c>
      <c r="B748" s="164" t="s">
        <v>2517</v>
      </c>
      <c r="C748" s="164">
        <v>14121158</v>
      </c>
      <c r="D748" s="164" t="s">
        <v>322</v>
      </c>
      <c r="E748" s="164" t="s">
        <v>3699</v>
      </c>
      <c r="F748" s="165">
        <v>355.58</v>
      </c>
    </row>
    <row r="749" spans="1:6" x14ac:dyDescent="0.2">
      <c r="A749" s="166" t="s">
        <v>3724</v>
      </c>
      <c r="B749" s="167" t="s">
        <v>2517</v>
      </c>
      <c r="C749" s="167">
        <v>14121104</v>
      </c>
      <c r="D749" s="167" t="s">
        <v>313</v>
      </c>
      <c r="E749" s="167" t="s">
        <v>3699</v>
      </c>
      <c r="F749" s="168">
        <v>355.58</v>
      </c>
    </row>
    <row r="750" spans="1:6" x14ac:dyDescent="0.2">
      <c r="A750" s="163" t="s">
        <v>3724</v>
      </c>
      <c r="B750" s="164" t="s">
        <v>2517</v>
      </c>
      <c r="C750" s="164">
        <v>14121015</v>
      </c>
      <c r="D750" s="164" t="s">
        <v>311</v>
      </c>
      <c r="E750" s="164" t="s">
        <v>3699</v>
      </c>
      <c r="F750" s="165">
        <v>355.58</v>
      </c>
    </row>
    <row r="751" spans="1:6" x14ac:dyDescent="0.2">
      <c r="A751" s="166" t="s">
        <v>3724</v>
      </c>
      <c r="B751" s="167" t="s">
        <v>2517</v>
      </c>
      <c r="C751" s="167">
        <v>14121013</v>
      </c>
      <c r="D751" s="167" t="s">
        <v>310</v>
      </c>
      <c r="E751" s="167" t="s">
        <v>3699</v>
      </c>
      <c r="F751" s="168">
        <v>355.58</v>
      </c>
    </row>
    <row r="752" spans="1:6" x14ac:dyDescent="0.2">
      <c r="A752" s="163" t="s">
        <v>3724</v>
      </c>
      <c r="B752" s="164" t="s">
        <v>2517</v>
      </c>
      <c r="C752" s="164">
        <v>14120885</v>
      </c>
      <c r="D752" s="164" t="s">
        <v>307</v>
      </c>
      <c r="E752" s="164" t="s">
        <v>3699</v>
      </c>
      <c r="F752" s="165">
        <v>355.58</v>
      </c>
    </row>
    <row r="753" spans="1:6" x14ac:dyDescent="0.2">
      <c r="A753" s="166" t="s">
        <v>3724</v>
      </c>
      <c r="B753" s="167" t="s">
        <v>2517</v>
      </c>
      <c r="C753" s="167">
        <v>14120850</v>
      </c>
      <c r="D753" s="167" t="s">
        <v>306</v>
      </c>
      <c r="E753" s="167" t="s">
        <v>3699</v>
      </c>
      <c r="F753" s="168">
        <v>355.58</v>
      </c>
    </row>
    <row r="754" spans="1:6" x14ac:dyDescent="0.2">
      <c r="A754" s="163" t="s">
        <v>3724</v>
      </c>
      <c r="B754" s="164" t="s">
        <v>2517</v>
      </c>
      <c r="C754" s="164">
        <v>14120715</v>
      </c>
      <c r="D754" s="164" t="s">
        <v>298</v>
      </c>
      <c r="E754" s="164" t="s">
        <v>3699</v>
      </c>
      <c r="F754" s="165">
        <v>355.58</v>
      </c>
    </row>
    <row r="755" spans="1:6" x14ac:dyDescent="0.2">
      <c r="A755" s="166" t="s">
        <v>3724</v>
      </c>
      <c r="B755" s="167" t="s">
        <v>2517</v>
      </c>
      <c r="C755" s="167">
        <v>14120655</v>
      </c>
      <c r="D755" s="167" t="s">
        <v>296</v>
      </c>
      <c r="E755" s="167" t="s">
        <v>3699</v>
      </c>
      <c r="F755" s="168">
        <v>355.58</v>
      </c>
    </row>
    <row r="756" spans="1:6" x14ac:dyDescent="0.2">
      <c r="A756" s="163" t="s">
        <v>3724</v>
      </c>
      <c r="B756" s="164" t="s">
        <v>2517</v>
      </c>
      <c r="C756" s="164">
        <v>14120611</v>
      </c>
      <c r="D756" s="164" t="s">
        <v>292</v>
      </c>
      <c r="E756" s="164" t="s">
        <v>3699</v>
      </c>
      <c r="F756" s="165">
        <v>355.58</v>
      </c>
    </row>
    <row r="757" spans="1:6" x14ac:dyDescent="0.2">
      <c r="A757" s="166" t="s">
        <v>3724</v>
      </c>
      <c r="B757" s="167" t="s">
        <v>2517</v>
      </c>
      <c r="C757" s="167">
        <v>14120455</v>
      </c>
      <c r="D757" s="167" t="s">
        <v>290</v>
      </c>
      <c r="E757" s="167" t="s">
        <v>3699</v>
      </c>
      <c r="F757" s="168">
        <v>355.58</v>
      </c>
    </row>
    <row r="758" spans="1:6" x14ac:dyDescent="0.2">
      <c r="A758" s="163" t="s">
        <v>3724</v>
      </c>
      <c r="B758" s="164" t="s">
        <v>2517</v>
      </c>
      <c r="C758" s="164">
        <v>14120349</v>
      </c>
      <c r="D758" s="164" t="s">
        <v>285</v>
      </c>
      <c r="E758" s="164" t="s">
        <v>3699</v>
      </c>
      <c r="F758" s="165">
        <v>355.58</v>
      </c>
    </row>
    <row r="759" spans="1:6" x14ac:dyDescent="0.2">
      <c r="A759" s="166" t="s">
        <v>3724</v>
      </c>
      <c r="B759" s="167" t="s">
        <v>2517</v>
      </c>
      <c r="C759" s="167">
        <v>14120270</v>
      </c>
      <c r="D759" s="167" t="s">
        <v>282</v>
      </c>
      <c r="E759" s="167" t="s">
        <v>3699</v>
      </c>
      <c r="F759" s="168">
        <v>355.58</v>
      </c>
    </row>
    <row r="760" spans="1:6" x14ac:dyDescent="0.2">
      <c r="A760" s="163" t="s">
        <v>3724</v>
      </c>
      <c r="B760" s="164" t="s">
        <v>2517</v>
      </c>
      <c r="C760" s="164">
        <v>14120199</v>
      </c>
      <c r="D760" s="164" t="s">
        <v>406</v>
      </c>
      <c r="E760" s="164" t="s">
        <v>3699</v>
      </c>
      <c r="F760" s="165">
        <v>711.16</v>
      </c>
    </row>
    <row r="761" spans="1:6" x14ac:dyDescent="0.2">
      <c r="A761" s="166" t="s">
        <v>3724</v>
      </c>
      <c r="B761" s="167" t="s">
        <v>2517</v>
      </c>
      <c r="C761" s="167">
        <v>14120196</v>
      </c>
      <c r="D761" s="167" t="s">
        <v>280</v>
      </c>
      <c r="E761" s="167" t="s">
        <v>3699</v>
      </c>
      <c r="F761" s="168">
        <v>355.58</v>
      </c>
    </row>
    <row r="762" spans="1:6" x14ac:dyDescent="0.2">
      <c r="A762" s="163" t="s">
        <v>3724</v>
      </c>
      <c r="B762" s="164" t="s">
        <v>2517</v>
      </c>
      <c r="C762" s="164">
        <v>14120104</v>
      </c>
      <c r="D762" s="164" t="s">
        <v>277</v>
      </c>
      <c r="E762" s="164" t="s">
        <v>3699</v>
      </c>
      <c r="F762" s="165">
        <v>355.58</v>
      </c>
    </row>
    <row r="763" spans="1:6" x14ac:dyDescent="0.2">
      <c r="A763" s="166" t="s">
        <v>3724</v>
      </c>
      <c r="B763" s="167" t="s">
        <v>2517</v>
      </c>
      <c r="C763" s="167">
        <v>14119890</v>
      </c>
      <c r="D763" s="167" t="s">
        <v>267</v>
      </c>
      <c r="E763" s="167" t="s">
        <v>3699</v>
      </c>
      <c r="F763" s="168">
        <v>355.58</v>
      </c>
    </row>
    <row r="764" spans="1:6" x14ac:dyDescent="0.2">
      <c r="A764" s="163" t="s">
        <v>3724</v>
      </c>
      <c r="B764" s="164" t="s">
        <v>2517</v>
      </c>
      <c r="C764" s="164">
        <v>14119839</v>
      </c>
      <c r="D764" s="164" t="s">
        <v>266</v>
      </c>
      <c r="E764" s="164" t="s">
        <v>3699</v>
      </c>
      <c r="F764" s="165">
        <v>355.58</v>
      </c>
    </row>
    <row r="765" spans="1:6" x14ac:dyDescent="0.2">
      <c r="A765" s="166" t="s">
        <v>3724</v>
      </c>
      <c r="B765" s="167" t="s">
        <v>2517</v>
      </c>
      <c r="C765" s="167">
        <v>14119838</v>
      </c>
      <c r="D765" s="167" t="s">
        <v>509</v>
      </c>
      <c r="E765" s="167" t="s">
        <v>3699</v>
      </c>
      <c r="F765" s="168">
        <v>355.58</v>
      </c>
    </row>
    <row r="766" spans="1:6" x14ac:dyDescent="0.2">
      <c r="A766" s="163" t="s">
        <v>3724</v>
      </c>
      <c r="B766" s="164" t="s">
        <v>2517</v>
      </c>
      <c r="C766" s="164">
        <v>14119837</v>
      </c>
      <c r="D766" s="164" t="s">
        <v>265</v>
      </c>
      <c r="E766" s="164" t="s">
        <v>3699</v>
      </c>
      <c r="F766" s="165">
        <v>355.58</v>
      </c>
    </row>
    <row r="767" spans="1:6" x14ac:dyDescent="0.2">
      <c r="A767" s="166" t="s">
        <v>3724</v>
      </c>
      <c r="B767" s="167" t="s">
        <v>2517</v>
      </c>
      <c r="C767" s="167">
        <v>14119787</v>
      </c>
      <c r="D767" s="167" t="s">
        <v>261</v>
      </c>
      <c r="E767" s="167" t="s">
        <v>3699</v>
      </c>
      <c r="F767" s="168">
        <v>355.58</v>
      </c>
    </row>
    <row r="768" spans="1:6" x14ac:dyDescent="0.2">
      <c r="A768" s="163" t="s">
        <v>3724</v>
      </c>
      <c r="B768" s="164" t="s">
        <v>2517</v>
      </c>
      <c r="C768" s="164">
        <v>14119785</v>
      </c>
      <c r="D768" s="164" t="s">
        <v>259</v>
      </c>
      <c r="E768" s="164" t="s">
        <v>3699</v>
      </c>
      <c r="F768" s="165">
        <v>355.58</v>
      </c>
    </row>
    <row r="769" spans="1:6" x14ac:dyDescent="0.2">
      <c r="A769" s="166" t="s">
        <v>3724</v>
      </c>
      <c r="B769" s="167" t="s">
        <v>2517</v>
      </c>
      <c r="C769" s="167">
        <v>14119751</v>
      </c>
      <c r="D769" s="167" t="s">
        <v>258</v>
      </c>
      <c r="E769" s="167" t="s">
        <v>3699</v>
      </c>
      <c r="F769" s="168">
        <v>355.58</v>
      </c>
    </row>
    <row r="770" spans="1:6" x14ac:dyDescent="0.2">
      <c r="A770" s="163" t="s">
        <v>3724</v>
      </c>
      <c r="B770" s="164" t="s">
        <v>2517</v>
      </c>
      <c r="C770" s="164">
        <v>14119540</v>
      </c>
      <c r="D770" s="164" t="s">
        <v>254</v>
      </c>
      <c r="E770" s="164" t="s">
        <v>3699</v>
      </c>
      <c r="F770" s="165">
        <v>355.58</v>
      </c>
    </row>
    <row r="771" spans="1:6" x14ac:dyDescent="0.2">
      <c r="A771" s="166" t="s">
        <v>3724</v>
      </c>
      <c r="B771" s="167" t="s">
        <v>2517</v>
      </c>
      <c r="C771" s="167">
        <v>14119539</v>
      </c>
      <c r="D771" s="167" t="s">
        <v>253</v>
      </c>
      <c r="E771" s="167" t="s">
        <v>3699</v>
      </c>
      <c r="F771" s="168">
        <v>355.58</v>
      </c>
    </row>
    <row r="772" spans="1:6" x14ac:dyDescent="0.2">
      <c r="A772" s="163" t="s">
        <v>3724</v>
      </c>
      <c r="B772" s="164" t="s">
        <v>2517</v>
      </c>
      <c r="C772" s="164">
        <v>14119481</v>
      </c>
      <c r="D772" s="164" t="s">
        <v>248</v>
      </c>
      <c r="E772" s="164" t="s">
        <v>3699</v>
      </c>
      <c r="F772" s="165">
        <v>355.58</v>
      </c>
    </row>
    <row r="773" spans="1:6" x14ac:dyDescent="0.2">
      <c r="A773" s="166" t="s">
        <v>3724</v>
      </c>
      <c r="B773" s="167" t="s">
        <v>2517</v>
      </c>
      <c r="C773" s="167">
        <v>14119437</v>
      </c>
      <c r="D773" s="167" t="s">
        <v>247</v>
      </c>
      <c r="E773" s="167" t="s">
        <v>3699</v>
      </c>
      <c r="F773" s="168">
        <v>355.58</v>
      </c>
    </row>
    <row r="774" spans="1:6" x14ac:dyDescent="0.2">
      <c r="A774" s="163" t="s">
        <v>3724</v>
      </c>
      <c r="B774" s="164" t="s">
        <v>2517</v>
      </c>
      <c r="C774" s="164">
        <v>14119357</v>
      </c>
      <c r="D774" s="164" t="s">
        <v>245</v>
      </c>
      <c r="E774" s="164" t="s">
        <v>3699</v>
      </c>
      <c r="F774" s="165">
        <v>355.58</v>
      </c>
    </row>
    <row r="775" spans="1:6" x14ac:dyDescent="0.2">
      <c r="A775" s="166" t="s">
        <v>3724</v>
      </c>
      <c r="B775" s="167" t="s">
        <v>2517</v>
      </c>
      <c r="C775" s="167">
        <v>14119323</v>
      </c>
      <c r="D775" s="167" t="s">
        <v>242</v>
      </c>
      <c r="E775" s="167" t="s">
        <v>3699</v>
      </c>
      <c r="F775" s="168">
        <v>355.58</v>
      </c>
    </row>
    <row r="776" spans="1:6" x14ac:dyDescent="0.2">
      <c r="A776" s="163" t="s">
        <v>3724</v>
      </c>
      <c r="B776" s="164" t="s">
        <v>2517</v>
      </c>
      <c r="C776" s="164">
        <v>14119271</v>
      </c>
      <c r="D776" s="164" t="s">
        <v>240</v>
      </c>
      <c r="E776" s="164" t="s">
        <v>3699</v>
      </c>
      <c r="F776" s="165">
        <v>355.58</v>
      </c>
    </row>
    <row r="777" spans="1:6" x14ac:dyDescent="0.2">
      <c r="A777" s="166" t="s">
        <v>3724</v>
      </c>
      <c r="B777" s="167" t="s">
        <v>2517</v>
      </c>
      <c r="C777" s="167">
        <v>14119154</v>
      </c>
      <c r="D777" s="167" t="s">
        <v>234</v>
      </c>
      <c r="E777" s="167" t="s">
        <v>3699</v>
      </c>
      <c r="F777" s="168">
        <v>355.58</v>
      </c>
    </row>
    <row r="778" spans="1:6" x14ac:dyDescent="0.2">
      <c r="A778" s="163" t="s">
        <v>3724</v>
      </c>
      <c r="B778" s="164" t="s">
        <v>2517</v>
      </c>
      <c r="C778" s="164">
        <v>14119153</v>
      </c>
      <c r="D778" s="164" t="s">
        <v>233</v>
      </c>
      <c r="E778" s="164" t="s">
        <v>3699</v>
      </c>
      <c r="F778" s="165">
        <v>355.58</v>
      </c>
    </row>
    <row r="779" spans="1:6" x14ac:dyDescent="0.2">
      <c r="A779" s="166" t="s">
        <v>3724</v>
      </c>
      <c r="B779" s="167" t="s">
        <v>2517</v>
      </c>
      <c r="C779" s="167">
        <v>14119017</v>
      </c>
      <c r="D779" s="167" t="s">
        <v>229</v>
      </c>
      <c r="E779" s="167" t="s">
        <v>3699</v>
      </c>
      <c r="F779" s="168">
        <v>355.58</v>
      </c>
    </row>
    <row r="780" spans="1:6" x14ac:dyDescent="0.2">
      <c r="A780" s="163" t="s">
        <v>3724</v>
      </c>
      <c r="B780" s="164" t="s">
        <v>2517</v>
      </c>
      <c r="C780" s="164">
        <v>14118892</v>
      </c>
      <c r="D780" s="164" t="s">
        <v>222</v>
      </c>
      <c r="E780" s="164" t="s">
        <v>3699</v>
      </c>
      <c r="F780" s="165">
        <v>355.58</v>
      </c>
    </row>
    <row r="781" spans="1:6" x14ac:dyDescent="0.2">
      <c r="A781" s="166" t="s">
        <v>3724</v>
      </c>
      <c r="B781" s="167" t="s">
        <v>2517</v>
      </c>
      <c r="C781" s="167">
        <v>14118889</v>
      </c>
      <c r="D781" s="167" t="s">
        <v>221</v>
      </c>
      <c r="E781" s="167" t="s">
        <v>3699</v>
      </c>
      <c r="F781" s="168">
        <v>355.58</v>
      </c>
    </row>
    <row r="782" spans="1:6" x14ac:dyDescent="0.2">
      <c r="A782" s="163" t="s">
        <v>3724</v>
      </c>
      <c r="B782" s="164" t="s">
        <v>2517</v>
      </c>
      <c r="C782" s="164">
        <v>14118849</v>
      </c>
      <c r="D782" s="164" t="s">
        <v>219</v>
      </c>
      <c r="E782" s="164" t="s">
        <v>3699</v>
      </c>
      <c r="F782" s="165">
        <v>355.58</v>
      </c>
    </row>
    <row r="783" spans="1:6" x14ac:dyDescent="0.2">
      <c r="A783" s="166" t="s">
        <v>3724</v>
      </c>
      <c r="B783" s="167" t="s">
        <v>2517</v>
      </c>
      <c r="C783" s="167">
        <v>14118773</v>
      </c>
      <c r="D783" s="167" t="s">
        <v>213</v>
      </c>
      <c r="E783" s="167" t="s">
        <v>3699</v>
      </c>
      <c r="F783" s="168">
        <v>355.58</v>
      </c>
    </row>
    <row r="784" spans="1:6" x14ac:dyDescent="0.2">
      <c r="A784" s="163" t="s">
        <v>3724</v>
      </c>
      <c r="B784" s="164" t="s">
        <v>2517</v>
      </c>
      <c r="C784" s="164">
        <v>14118745</v>
      </c>
      <c r="D784" s="164" t="s">
        <v>212</v>
      </c>
      <c r="E784" s="164" t="s">
        <v>3699</v>
      </c>
      <c r="F784" s="165">
        <v>355.58</v>
      </c>
    </row>
    <row r="785" spans="1:6" x14ac:dyDescent="0.2">
      <c r="A785" s="166" t="s">
        <v>3724</v>
      </c>
      <c r="B785" s="167" t="s">
        <v>2517</v>
      </c>
      <c r="C785" s="167">
        <v>14118663</v>
      </c>
      <c r="D785" s="167" t="s">
        <v>211</v>
      </c>
      <c r="E785" s="167" t="s">
        <v>3699</v>
      </c>
      <c r="F785" s="168">
        <v>355.58</v>
      </c>
    </row>
    <row r="786" spans="1:6" x14ac:dyDescent="0.2">
      <c r="A786" s="163" t="s">
        <v>3724</v>
      </c>
      <c r="B786" s="164" t="s">
        <v>2517</v>
      </c>
      <c r="C786" s="164">
        <v>14118640</v>
      </c>
      <c r="D786" s="164" t="s">
        <v>209</v>
      </c>
      <c r="E786" s="164" t="s">
        <v>3699</v>
      </c>
      <c r="F786" s="165">
        <v>355.58</v>
      </c>
    </row>
    <row r="787" spans="1:6" x14ac:dyDescent="0.2">
      <c r="A787" s="166" t="s">
        <v>3724</v>
      </c>
      <c r="B787" s="167" t="s">
        <v>2517</v>
      </c>
      <c r="C787" s="167">
        <v>14118625</v>
      </c>
      <c r="D787" s="167" t="s">
        <v>428</v>
      </c>
      <c r="E787" s="167" t="s">
        <v>3699</v>
      </c>
      <c r="F787" s="168">
        <v>355.58</v>
      </c>
    </row>
    <row r="788" spans="1:6" x14ac:dyDescent="0.2">
      <c r="A788" s="163" t="s">
        <v>3724</v>
      </c>
      <c r="B788" s="164" t="s">
        <v>2517</v>
      </c>
      <c r="C788" s="164">
        <v>14118620</v>
      </c>
      <c r="D788" s="164" t="s">
        <v>205</v>
      </c>
      <c r="E788" s="164" t="s">
        <v>3699</v>
      </c>
      <c r="F788" s="165">
        <v>355.58</v>
      </c>
    </row>
    <row r="789" spans="1:6" x14ac:dyDescent="0.2">
      <c r="A789" s="166" t="s">
        <v>3724</v>
      </c>
      <c r="B789" s="167" t="s">
        <v>2517</v>
      </c>
      <c r="C789" s="167">
        <v>14118579</v>
      </c>
      <c r="D789" s="167" t="s">
        <v>471</v>
      </c>
      <c r="E789" s="167" t="s">
        <v>3699</v>
      </c>
      <c r="F789" s="168">
        <v>355.58</v>
      </c>
    </row>
    <row r="790" spans="1:6" x14ac:dyDescent="0.2">
      <c r="A790" s="163" t="s">
        <v>3724</v>
      </c>
      <c r="B790" s="164" t="s">
        <v>2517</v>
      </c>
      <c r="C790" s="164">
        <v>14118499</v>
      </c>
      <c r="D790" s="164" t="s">
        <v>202</v>
      </c>
      <c r="E790" s="164" t="s">
        <v>3699</v>
      </c>
      <c r="F790" s="165">
        <v>355.58</v>
      </c>
    </row>
    <row r="791" spans="1:6" x14ac:dyDescent="0.2">
      <c r="A791" s="166" t="s">
        <v>3724</v>
      </c>
      <c r="B791" s="167" t="s">
        <v>2517</v>
      </c>
      <c r="C791" s="167">
        <v>14118440</v>
      </c>
      <c r="D791" s="167" t="s">
        <v>201</v>
      </c>
      <c r="E791" s="167" t="s">
        <v>3699</v>
      </c>
      <c r="F791" s="168">
        <v>355.58</v>
      </c>
    </row>
    <row r="792" spans="1:6" x14ac:dyDescent="0.2">
      <c r="A792" s="163" t="s">
        <v>3724</v>
      </c>
      <c r="B792" s="164" t="s">
        <v>2517</v>
      </c>
      <c r="C792" s="164">
        <v>14118397</v>
      </c>
      <c r="D792" s="164" t="s">
        <v>200</v>
      </c>
      <c r="E792" s="164" t="s">
        <v>3699</v>
      </c>
      <c r="F792" s="165">
        <v>355.58</v>
      </c>
    </row>
    <row r="793" spans="1:6" x14ac:dyDescent="0.2">
      <c r="A793" s="166" t="s">
        <v>3724</v>
      </c>
      <c r="B793" s="167" t="s">
        <v>2517</v>
      </c>
      <c r="C793" s="167">
        <v>14118341</v>
      </c>
      <c r="D793" s="167" t="s">
        <v>199</v>
      </c>
      <c r="E793" s="167" t="s">
        <v>3699</v>
      </c>
      <c r="F793" s="168">
        <v>355.58</v>
      </c>
    </row>
    <row r="794" spans="1:6" x14ac:dyDescent="0.2">
      <c r="A794" s="163" t="s">
        <v>3724</v>
      </c>
      <c r="B794" s="164" t="s">
        <v>2517</v>
      </c>
      <c r="C794" s="164">
        <v>14118196</v>
      </c>
      <c r="D794" s="164" t="s">
        <v>193</v>
      </c>
      <c r="E794" s="164" t="s">
        <v>3699</v>
      </c>
      <c r="F794" s="165">
        <v>355.58</v>
      </c>
    </row>
    <row r="795" spans="1:6" x14ac:dyDescent="0.2">
      <c r="A795" s="166" t="s">
        <v>3724</v>
      </c>
      <c r="B795" s="167" t="s">
        <v>2517</v>
      </c>
      <c r="C795" s="167">
        <v>14118186</v>
      </c>
      <c r="D795" s="167" t="s">
        <v>192</v>
      </c>
      <c r="E795" s="167" t="s">
        <v>3699</v>
      </c>
      <c r="F795" s="168">
        <v>355.58</v>
      </c>
    </row>
    <row r="796" spans="1:6" x14ac:dyDescent="0.2">
      <c r="A796" s="163" t="s">
        <v>3724</v>
      </c>
      <c r="B796" s="164" t="s">
        <v>2517</v>
      </c>
      <c r="C796" s="164">
        <v>14117967</v>
      </c>
      <c r="D796" s="164" t="s">
        <v>186</v>
      </c>
      <c r="E796" s="164" t="s">
        <v>3699</v>
      </c>
      <c r="F796" s="165">
        <v>355.58</v>
      </c>
    </row>
    <row r="797" spans="1:6" x14ac:dyDescent="0.2">
      <c r="A797" s="166" t="s">
        <v>3724</v>
      </c>
      <c r="B797" s="167" t="s">
        <v>2517</v>
      </c>
      <c r="C797" s="167">
        <v>14117509</v>
      </c>
      <c r="D797" s="167" t="s">
        <v>237</v>
      </c>
      <c r="E797" s="167" t="s">
        <v>3699</v>
      </c>
      <c r="F797" s="168">
        <v>355.58</v>
      </c>
    </row>
    <row r="798" spans="1:6" x14ac:dyDescent="0.2">
      <c r="A798" s="163" t="s">
        <v>3724</v>
      </c>
      <c r="B798" s="164" t="s">
        <v>2517</v>
      </c>
      <c r="C798" s="164">
        <v>14117508</v>
      </c>
      <c r="D798" s="164" t="s">
        <v>318</v>
      </c>
      <c r="E798" s="164" t="s">
        <v>3699</v>
      </c>
      <c r="F798" s="165">
        <v>355.58</v>
      </c>
    </row>
    <row r="799" spans="1:6" x14ac:dyDescent="0.2">
      <c r="A799" s="166" t="s">
        <v>3724</v>
      </c>
      <c r="B799" s="167" t="s">
        <v>2517</v>
      </c>
      <c r="C799" s="167">
        <v>14117297</v>
      </c>
      <c r="D799" s="167" t="s">
        <v>178</v>
      </c>
      <c r="E799" s="167" t="s">
        <v>3699</v>
      </c>
      <c r="F799" s="168">
        <v>355.58</v>
      </c>
    </row>
    <row r="800" spans="1:6" x14ac:dyDescent="0.2">
      <c r="A800" s="163" t="s">
        <v>3724</v>
      </c>
      <c r="B800" s="164" t="s">
        <v>2517</v>
      </c>
      <c r="C800" s="164">
        <v>14117160</v>
      </c>
      <c r="D800" s="164" t="s">
        <v>177</v>
      </c>
      <c r="E800" s="164" t="s">
        <v>3699</v>
      </c>
      <c r="F800" s="165">
        <v>355.58</v>
      </c>
    </row>
    <row r="801" spans="1:6" x14ac:dyDescent="0.2">
      <c r="A801" s="166" t="s">
        <v>3724</v>
      </c>
      <c r="B801" s="167" t="s">
        <v>2517</v>
      </c>
      <c r="C801" s="167">
        <v>14117158</v>
      </c>
      <c r="D801" s="167" t="s">
        <v>176</v>
      </c>
      <c r="E801" s="167" t="s">
        <v>3699</v>
      </c>
      <c r="F801" s="168">
        <v>355.58</v>
      </c>
    </row>
    <row r="802" spans="1:6" x14ac:dyDescent="0.2">
      <c r="A802" s="163" t="s">
        <v>3724</v>
      </c>
      <c r="B802" s="164" t="s">
        <v>2517</v>
      </c>
      <c r="C802" s="164">
        <v>14117157</v>
      </c>
      <c r="D802" s="164" t="s">
        <v>246</v>
      </c>
      <c r="E802" s="164" t="s">
        <v>3699</v>
      </c>
      <c r="F802" s="165">
        <v>355.58</v>
      </c>
    </row>
    <row r="803" spans="1:6" x14ac:dyDescent="0.2">
      <c r="A803" s="166" t="s">
        <v>3724</v>
      </c>
      <c r="B803" s="167" t="s">
        <v>2517</v>
      </c>
      <c r="C803" s="167">
        <v>14116929</v>
      </c>
      <c r="D803" s="167" t="s">
        <v>373</v>
      </c>
      <c r="E803" s="167" t="s">
        <v>3699</v>
      </c>
      <c r="F803" s="168">
        <v>355.58</v>
      </c>
    </row>
    <row r="804" spans="1:6" x14ac:dyDescent="0.2">
      <c r="A804" s="163" t="s">
        <v>3724</v>
      </c>
      <c r="B804" s="164" t="s">
        <v>2517</v>
      </c>
      <c r="C804" s="164">
        <v>14116917</v>
      </c>
      <c r="D804" s="164" t="s">
        <v>174</v>
      </c>
      <c r="E804" s="164" t="s">
        <v>3699</v>
      </c>
      <c r="F804" s="165">
        <v>355.58</v>
      </c>
    </row>
    <row r="805" spans="1:6" x14ac:dyDescent="0.2">
      <c r="A805" s="166" t="s">
        <v>3724</v>
      </c>
      <c r="B805" s="167" t="s">
        <v>2517</v>
      </c>
      <c r="C805" s="167">
        <v>14116860</v>
      </c>
      <c r="D805" s="167" t="s">
        <v>172</v>
      </c>
      <c r="E805" s="167" t="s">
        <v>3699</v>
      </c>
      <c r="F805" s="168">
        <v>355.58</v>
      </c>
    </row>
    <row r="806" spans="1:6" x14ac:dyDescent="0.2">
      <c r="A806" s="163" t="s">
        <v>3724</v>
      </c>
      <c r="B806" s="164" t="s">
        <v>2517</v>
      </c>
      <c r="C806" s="164">
        <v>14116855</v>
      </c>
      <c r="D806" s="164" t="s">
        <v>171</v>
      </c>
      <c r="E806" s="164" t="s">
        <v>3699</v>
      </c>
      <c r="F806" s="165">
        <v>355.58</v>
      </c>
    </row>
    <row r="807" spans="1:6" x14ac:dyDescent="0.2">
      <c r="A807" s="166" t="s">
        <v>3724</v>
      </c>
      <c r="B807" s="167" t="s">
        <v>2517</v>
      </c>
      <c r="C807" s="167">
        <v>14116853</v>
      </c>
      <c r="D807" s="167" t="s">
        <v>256</v>
      </c>
      <c r="E807" s="167" t="s">
        <v>3699</v>
      </c>
      <c r="F807" s="168">
        <v>355.58</v>
      </c>
    </row>
    <row r="808" spans="1:6" x14ac:dyDescent="0.2">
      <c r="A808" s="163" t="s">
        <v>3724</v>
      </c>
      <c r="B808" s="164" t="s">
        <v>2517</v>
      </c>
      <c r="C808" s="164">
        <v>14116723</v>
      </c>
      <c r="D808" s="164" t="s">
        <v>170</v>
      </c>
      <c r="E808" s="164" t="s">
        <v>3699</v>
      </c>
      <c r="F808" s="165">
        <v>355.58</v>
      </c>
    </row>
    <row r="809" spans="1:6" x14ac:dyDescent="0.2">
      <c r="A809" s="166" t="s">
        <v>3724</v>
      </c>
      <c r="B809" s="167" t="s">
        <v>2517</v>
      </c>
      <c r="C809" s="167">
        <v>14116564</v>
      </c>
      <c r="D809" s="167" t="s">
        <v>167</v>
      </c>
      <c r="E809" s="167" t="s">
        <v>3699</v>
      </c>
      <c r="F809" s="168">
        <v>355.58</v>
      </c>
    </row>
    <row r="810" spans="1:6" x14ac:dyDescent="0.2">
      <c r="A810" s="163" t="s">
        <v>3724</v>
      </c>
      <c r="B810" s="164" t="s">
        <v>2517</v>
      </c>
      <c r="C810" s="164">
        <v>14116373</v>
      </c>
      <c r="D810" s="164" t="s">
        <v>162</v>
      </c>
      <c r="E810" s="164" t="s">
        <v>3699</v>
      </c>
      <c r="F810" s="165">
        <v>355.58</v>
      </c>
    </row>
    <row r="811" spans="1:6" x14ac:dyDescent="0.2">
      <c r="A811" s="166" t="s">
        <v>3724</v>
      </c>
      <c r="B811" s="167" t="s">
        <v>2517</v>
      </c>
      <c r="C811" s="167">
        <v>14116250</v>
      </c>
      <c r="D811" s="167" t="s">
        <v>431</v>
      </c>
      <c r="E811" s="167" t="s">
        <v>3699</v>
      </c>
      <c r="F811" s="168">
        <v>355.58</v>
      </c>
    </row>
    <row r="812" spans="1:6" x14ac:dyDescent="0.2">
      <c r="A812" s="163" t="s">
        <v>3724</v>
      </c>
      <c r="B812" s="164" t="s">
        <v>2517</v>
      </c>
      <c r="C812" s="164">
        <v>14116134</v>
      </c>
      <c r="D812" s="164" t="s">
        <v>157</v>
      </c>
      <c r="E812" s="164" t="s">
        <v>3699</v>
      </c>
      <c r="F812" s="165">
        <v>355.58</v>
      </c>
    </row>
    <row r="813" spans="1:6" x14ac:dyDescent="0.2">
      <c r="A813" s="166" t="s">
        <v>3724</v>
      </c>
      <c r="B813" s="167" t="s">
        <v>2517</v>
      </c>
      <c r="C813" s="167">
        <v>14116046</v>
      </c>
      <c r="D813" s="167" t="s">
        <v>153</v>
      </c>
      <c r="E813" s="167" t="s">
        <v>3699</v>
      </c>
      <c r="F813" s="168">
        <v>355.58</v>
      </c>
    </row>
    <row r="814" spans="1:6" x14ac:dyDescent="0.2">
      <c r="A814" s="163" t="s">
        <v>3724</v>
      </c>
      <c r="B814" s="164" t="s">
        <v>2517</v>
      </c>
      <c r="C814" s="164">
        <v>14115908</v>
      </c>
      <c r="D814" s="164" t="s">
        <v>150</v>
      </c>
      <c r="E814" s="164" t="s">
        <v>3699</v>
      </c>
      <c r="F814" s="165">
        <v>355.58</v>
      </c>
    </row>
    <row r="815" spans="1:6" x14ac:dyDescent="0.2">
      <c r="A815" s="166" t="s">
        <v>3724</v>
      </c>
      <c r="B815" s="167" t="s">
        <v>2517</v>
      </c>
      <c r="C815" s="167">
        <v>14115535</v>
      </c>
      <c r="D815" s="167" t="s">
        <v>289</v>
      </c>
      <c r="E815" s="167" t="s">
        <v>3699</v>
      </c>
      <c r="F815" s="168">
        <v>355.58</v>
      </c>
    </row>
    <row r="816" spans="1:6" x14ac:dyDescent="0.2">
      <c r="A816" s="163" t="s">
        <v>3724</v>
      </c>
      <c r="B816" s="164" t="s">
        <v>2517</v>
      </c>
      <c r="C816" s="164">
        <v>14115435</v>
      </c>
      <c r="D816" s="164" t="s">
        <v>143</v>
      </c>
      <c r="E816" s="164" t="s">
        <v>3699</v>
      </c>
      <c r="F816" s="165">
        <v>355.58</v>
      </c>
    </row>
    <row r="817" spans="1:6" x14ac:dyDescent="0.2">
      <c r="A817" s="166" t="s">
        <v>3724</v>
      </c>
      <c r="B817" s="167" t="s">
        <v>2517</v>
      </c>
      <c r="C817" s="167">
        <v>14115244</v>
      </c>
      <c r="D817" s="167" t="s">
        <v>141</v>
      </c>
      <c r="E817" s="167" t="s">
        <v>3699</v>
      </c>
      <c r="F817" s="168">
        <v>355.58</v>
      </c>
    </row>
    <row r="818" spans="1:6" x14ac:dyDescent="0.2">
      <c r="A818" s="163" t="s">
        <v>3724</v>
      </c>
      <c r="B818" s="164" t="s">
        <v>2517</v>
      </c>
      <c r="C818" s="164">
        <v>14115136</v>
      </c>
      <c r="D818" s="164" t="s">
        <v>140</v>
      </c>
      <c r="E818" s="164" t="s">
        <v>3699</v>
      </c>
      <c r="F818" s="165">
        <v>355.58</v>
      </c>
    </row>
    <row r="819" spans="1:6" x14ac:dyDescent="0.2">
      <c r="A819" s="166" t="s">
        <v>3724</v>
      </c>
      <c r="B819" s="167" t="s">
        <v>2517</v>
      </c>
      <c r="C819" s="167">
        <v>14114709</v>
      </c>
      <c r="D819" s="167" t="s">
        <v>139</v>
      </c>
      <c r="E819" s="167" t="s">
        <v>3699</v>
      </c>
      <c r="F819" s="168">
        <v>355.58</v>
      </c>
    </row>
    <row r="820" spans="1:6" x14ac:dyDescent="0.2">
      <c r="A820" s="163" t="s">
        <v>3724</v>
      </c>
      <c r="B820" s="164" t="s">
        <v>2517</v>
      </c>
      <c r="C820" s="164">
        <v>14114667</v>
      </c>
      <c r="D820" s="164" t="s">
        <v>138</v>
      </c>
      <c r="E820" s="164" t="s">
        <v>3699</v>
      </c>
      <c r="F820" s="165">
        <v>355.58</v>
      </c>
    </row>
    <row r="821" spans="1:6" x14ac:dyDescent="0.2">
      <c r="A821" s="166" t="s">
        <v>3724</v>
      </c>
      <c r="B821" s="167" t="s">
        <v>2517</v>
      </c>
      <c r="C821" s="167">
        <v>14114431</v>
      </c>
      <c r="D821" s="167" t="s">
        <v>136</v>
      </c>
      <c r="E821" s="167" t="s">
        <v>3699</v>
      </c>
      <c r="F821" s="168">
        <v>355.58</v>
      </c>
    </row>
    <row r="822" spans="1:6" x14ac:dyDescent="0.2">
      <c r="A822" s="163" t="s">
        <v>3724</v>
      </c>
      <c r="B822" s="164" t="s">
        <v>2517</v>
      </c>
      <c r="C822" s="164">
        <v>14114330</v>
      </c>
      <c r="D822" s="164" t="s">
        <v>135</v>
      </c>
      <c r="E822" s="164" t="s">
        <v>3699</v>
      </c>
      <c r="F822" s="165">
        <v>355.58</v>
      </c>
    </row>
    <row r="823" spans="1:6" x14ac:dyDescent="0.2">
      <c r="A823" s="166" t="s">
        <v>3724</v>
      </c>
      <c r="B823" s="167" t="s">
        <v>2517</v>
      </c>
      <c r="C823" s="167">
        <v>14114062</v>
      </c>
      <c r="D823" s="167" t="s">
        <v>134</v>
      </c>
      <c r="E823" s="167" t="s">
        <v>3699</v>
      </c>
      <c r="F823" s="168">
        <v>355.58</v>
      </c>
    </row>
    <row r="824" spans="1:6" x14ac:dyDescent="0.2">
      <c r="A824" s="163" t="s">
        <v>3724</v>
      </c>
      <c r="B824" s="164" t="s">
        <v>2517</v>
      </c>
      <c r="C824" s="164">
        <v>14114037</v>
      </c>
      <c r="D824" s="164" t="s">
        <v>184</v>
      </c>
      <c r="E824" s="164" t="s">
        <v>3699</v>
      </c>
      <c r="F824" s="165">
        <v>355.58</v>
      </c>
    </row>
    <row r="825" spans="1:6" x14ac:dyDescent="0.2">
      <c r="A825" s="166" t="s">
        <v>3724</v>
      </c>
      <c r="B825" s="167" t="s">
        <v>2517</v>
      </c>
      <c r="C825" s="167">
        <v>14114030</v>
      </c>
      <c r="D825" s="167" t="s">
        <v>133</v>
      </c>
      <c r="E825" s="167" t="s">
        <v>3699</v>
      </c>
      <c r="F825" s="168">
        <v>355.58</v>
      </c>
    </row>
    <row r="826" spans="1:6" x14ac:dyDescent="0.2">
      <c r="A826" s="163" t="s">
        <v>3724</v>
      </c>
      <c r="B826" s="164" t="s">
        <v>2517</v>
      </c>
      <c r="C826" s="164">
        <v>14113837</v>
      </c>
      <c r="D826" s="164" t="s">
        <v>132</v>
      </c>
      <c r="E826" s="164" t="s">
        <v>3699</v>
      </c>
      <c r="F826" s="165">
        <v>355.58</v>
      </c>
    </row>
    <row r="827" spans="1:6" x14ac:dyDescent="0.2">
      <c r="A827" s="166" t="s">
        <v>3724</v>
      </c>
      <c r="B827" s="167" t="s">
        <v>2517</v>
      </c>
      <c r="C827" s="167">
        <v>14113803</v>
      </c>
      <c r="D827" s="167" t="s">
        <v>299</v>
      </c>
      <c r="E827" s="167" t="s">
        <v>3699</v>
      </c>
      <c r="F827" s="168">
        <v>355.58</v>
      </c>
    </row>
    <row r="828" spans="1:6" x14ac:dyDescent="0.2">
      <c r="A828" s="163" t="s">
        <v>3724</v>
      </c>
      <c r="B828" s="164" t="s">
        <v>2517</v>
      </c>
      <c r="C828" s="164">
        <v>14113565</v>
      </c>
      <c r="D828" s="164" t="s">
        <v>130</v>
      </c>
      <c r="E828" s="164" t="s">
        <v>3699</v>
      </c>
      <c r="F828" s="165">
        <v>355.58</v>
      </c>
    </row>
    <row r="829" spans="1:6" x14ac:dyDescent="0.2">
      <c r="A829" s="166" t="s">
        <v>3724</v>
      </c>
      <c r="B829" s="167" t="s">
        <v>2517</v>
      </c>
      <c r="C829" s="167">
        <v>14113200</v>
      </c>
      <c r="D829" s="167" t="s">
        <v>126</v>
      </c>
      <c r="E829" s="167" t="s">
        <v>3699</v>
      </c>
      <c r="F829" s="168">
        <v>355.58</v>
      </c>
    </row>
    <row r="830" spans="1:6" x14ac:dyDescent="0.2">
      <c r="A830" s="163" t="s">
        <v>3724</v>
      </c>
      <c r="B830" s="164" t="s">
        <v>2517</v>
      </c>
      <c r="C830" s="164">
        <v>14113146</v>
      </c>
      <c r="D830" s="164" t="s">
        <v>125</v>
      </c>
      <c r="E830" s="164" t="s">
        <v>3699</v>
      </c>
      <c r="F830" s="165">
        <v>355.58</v>
      </c>
    </row>
    <row r="831" spans="1:6" x14ac:dyDescent="0.2">
      <c r="A831" s="166" t="s">
        <v>3724</v>
      </c>
      <c r="B831" s="167" t="s">
        <v>2517</v>
      </c>
      <c r="C831" s="167">
        <v>14113140</v>
      </c>
      <c r="D831" s="167" t="s">
        <v>124</v>
      </c>
      <c r="E831" s="167" t="s">
        <v>3699</v>
      </c>
      <c r="F831" s="168">
        <v>355.58</v>
      </c>
    </row>
    <row r="832" spans="1:6" x14ac:dyDescent="0.2">
      <c r="A832" s="163" t="s">
        <v>3724</v>
      </c>
      <c r="B832" s="164" t="s">
        <v>2517</v>
      </c>
      <c r="C832" s="164">
        <v>14113056</v>
      </c>
      <c r="D832" s="164" t="s">
        <v>236</v>
      </c>
      <c r="E832" s="164" t="s">
        <v>3699</v>
      </c>
      <c r="F832" s="165">
        <v>355.58</v>
      </c>
    </row>
    <row r="833" spans="1:6" x14ac:dyDescent="0.2">
      <c r="A833" s="166" t="s">
        <v>3724</v>
      </c>
      <c r="B833" s="167" t="s">
        <v>2517</v>
      </c>
      <c r="C833" s="167">
        <v>14113054</v>
      </c>
      <c r="D833" s="167" t="s">
        <v>123</v>
      </c>
      <c r="E833" s="167" t="s">
        <v>3699</v>
      </c>
      <c r="F833" s="168">
        <v>355.58</v>
      </c>
    </row>
    <row r="834" spans="1:6" x14ac:dyDescent="0.2">
      <c r="A834" s="163" t="s">
        <v>3724</v>
      </c>
      <c r="B834" s="164" t="s">
        <v>2517</v>
      </c>
      <c r="C834" s="164">
        <v>14112757</v>
      </c>
      <c r="D834" s="164" t="s">
        <v>355</v>
      </c>
      <c r="E834" s="164" t="s">
        <v>3699</v>
      </c>
      <c r="F834" s="165">
        <v>355.58</v>
      </c>
    </row>
    <row r="835" spans="1:6" x14ac:dyDescent="0.2">
      <c r="A835" s="166" t="s">
        <v>3724</v>
      </c>
      <c r="B835" s="167" t="s">
        <v>2517</v>
      </c>
      <c r="C835" s="167">
        <v>14112605</v>
      </c>
      <c r="D835" s="167" t="s">
        <v>121</v>
      </c>
      <c r="E835" s="167" t="s">
        <v>3699</v>
      </c>
      <c r="F835" s="168">
        <v>355.58</v>
      </c>
    </row>
    <row r="836" spans="1:6" x14ac:dyDescent="0.2">
      <c r="A836" s="163" t="s">
        <v>3724</v>
      </c>
      <c r="B836" s="164" t="s">
        <v>2517</v>
      </c>
      <c r="C836" s="164">
        <v>14112603</v>
      </c>
      <c r="D836" s="164" t="s">
        <v>120</v>
      </c>
      <c r="E836" s="164" t="s">
        <v>3699</v>
      </c>
      <c r="F836" s="165">
        <v>355.58</v>
      </c>
    </row>
    <row r="837" spans="1:6" x14ac:dyDescent="0.2">
      <c r="A837" s="166" t="s">
        <v>3724</v>
      </c>
      <c r="B837" s="167" t="s">
        <v>2517</v>
      </c>
      <c r="C837" s="167">
        <v>14112602</v>
      </c>
      <c r="D837" s="167" t="s">
        <v>119</v>
      </c>
      <c r="E837" s="167" t="s">
        <v>3699</v>
      </c>
      <c r="F837" s="168">
        <v>355.58</v>
      </c>
    </row>
    <row r="838" spans="1:6" x14ac:dyDescent="0.2">
      <c r="A838" s="163" t="s">
        <v>3724</v>
      </c>
      <c r="B838" s="164" t="s">
        <v>2517</v>
      </c>
      <c r="C838" s="164">
        <v>14112597</v>
      </c>
      <c r="D838" s="164" t="s">
        <v>118</v>
      </c>
      <c r="E838" s="164" t="s">
        <v>3699</v>
      </c>
      <c r="F838" s="165">
        <v>355.58</v>
      </c>
    </row>
    <row r="839" spans="1:6" x14ac:dyDescent="0.2">
      <c r="A839" s="166" t="s">
        <v>3724</v>
      </c>
      <c r="B839" s="167" t="s">
        <v>2517</v>
      </c>
      <c r="C839" s="167">
        <v>14112595</v>
      </c>
      <c r="D839" s="167" t="s">
        <v>372</v>
      </c>
      <c r="E839" s="167" t="s">
        <v>3699</v>
      </c>
      <c r="F839" s="168">
        <v>355.58</v>
      </c>
    </row>
    <row r="840" spans="1:6" x14ac:dyDescent="0.2">
      <c r="A840" s="163" t="s">
        <v>3724</v>
      </c>
      <c r="B840" s="164" t="s">
        <v>2517</v>
      </c>
      <c r="C840" s="164">
        <v>14112592</v>
      </c>
      <c r="D840" s="164" t="s">
        <v>117</v>
      </c>
      <c r="E840" s="164" t="s">
        <v>3699</v>
      </c>
      <c r="F840" s="165">
        <v>355.58</v>
      </c>
    </row>
    <row r="841" spans="1:6" x14ac:dyDescent="0.2">
      <c r="A841" s="166" t="s">
        <v>3724</v>
      </c>
      <c r="B841" s="167" t="s">
        <v>2517</v>
      </c>
      <c r="C841" s="167">
        <v>14112588</v>
      </c>
      <c r="D841" s="167" t="s">
        <v>935</v>
      </c>
      <c r="E841" s="167" t="s">
        <v>3699</v>
      </c>
      <c r="F841" s="168">
        <v>355.58</v>
      </c>
    </row>
    <row r="842" spans="1:6" x14ac:dyDescent="0.2">
      <c r="A842" s="163" t="s">
        <v>3724</v>
      </c>
      <c r="B842" s="164" t="s">
        <v>2517</v>
      </c>
      <c r="C842" s="164">
        <v>14112449</v>
      </c>
      <c r="D842" s="164" t="s">
        <v>197</v>
      </c>
      <c r="E842" s="164" t="s">
        <v>3699</v>
      </c>
      <c r="F842" s="165">
        <v>355.58</v>
      </c>
    </row>
    <row r="843" spans="1:6" x14ac:dyDescent="0.2">
      <c r="A843" s="166" t="s">
        <v>3724</v>
      </c>
      <c r="B843" s="167" t="s">
        <v>2517</v>
      </c>
      <c r="C843" s="167">
        <v>14112292</v>
      </c>
      <c r="D843" s="167" t="s">
        <v>195</v>
      </c>
      <c r="E843" s="167" t="s">
        <v>3699</v>
      </c>
      <c r="F843" s="168">
        <v>355.58</v>
      </c>
    </row>
    <row r="844" spans="1:6" x14ac:dyDescent="0.2">
      <c r="A844" s="163" t="s">
        <v>3724</v>
      </c>
      <c r="B844" s="164" t="s">
        <v>2517</v>
      </c>
      <c r="C844" s="164">
        <v>14112174</v>
      </c>
      <c r="D844" s="164" t="s">
        <v>115</v>
      </c>
      <c r="E844" s="164" t="s">
        <v>3699</v>
      </c>
      <c r="F844" s="165">
        <v>355.58</v>
      </c>
    </row>
    <row r="845" spans="1:6" x14ac:dyDescent="0.2">
      <c r="A845" s="166" t="s">
        <v>3724</v>
      </c>
      <c r="B845" s="167" t="s">
        <v>2517</v>
      </c>
      <c r="C845" s="167">
        <v>14112124</v>
      </c>
      <c r="D845" s="167" t="s">
        <v>251</v>
      </c>
      <c r="E845" s="167" t="s">
        <v>3699</v>
      </c>
      <c r="F845" s="168">
        <v>355.58</v>
      </c>
    </row>
    <row r="846" spans="1:6" x14ac:dyDescent="0.2">
      <c r="A846" s="163" t="s">
        <v>3724</v>
      </c>
      <c r="B846" s="164" t="s">
        <v>2517</v>
      </c>
      <c r="C846" s="164">
        <v>14112026</v>
      </c>
      <c r="D846" s="164" t="s">
        <v>114</v>
      </c>
      <c r="E846" s="164" t="s">
        <v>3699</v>
      </c>
      <c r="F846" s="165">
        <v>355.58</v>
      </c>
    </row>
    <row r="847" spans="1:6" x14ac:dyDescent="0.2">
      <c r="A847" s="166" t="s">
        <v>3724</v>
      </c>
      <c r="B847" s="167" t="s">
        <v>2517</v>
      </c>
      <c r="C847" s="167">
        <v>14111678</v>
      </c>
      <c r="D847" s="167" t="s">
        <v>284</v>
      </c>
      <c r="E847" s="167" t="s">
        <v>3699</v>
      </c>
      <c r="F847" s="168">
        <v>355.58</v>
      </c>
    </row>
    <row r="848" spans="1:6" x14ac:dyDescent="0.2">
      <c r="A848" s="163" t="s">
        <v>3724</v>
      </c>
      <c r="B848" s="164" t="s">
        <v>2517</v>
      </c>
      <c r="C848" s="164">
        <v>14111675</v>
      </c>
      <c r="D848" s="164" t="s">
        <v>113</v>
      </c>
      <c r="E848" s="164" t="s">
        <v>3699</v>
      </c>
      <c r="F848" s="165">
        <v>355.58</v>
      </c>
    </row>
    <row r="849" spans="1:6" x14ac:dyDescent="0.2">
      <c r="A849" s="166" t="s">
        <v>3724</v>
      </c>
      <c r="B849" s="167" t="s">
        <v>2517</v>
      </c>
      <c r="C849" s="167">
        <v>14110973</v>
      </c>
      <c r="D849" s="167" t="s">
        <v>107</v>
      </c>
      <c r="E849" s="167" t="s">
        <v>3699</v>
      </c>
      <c r="F849" s="168">
        <v>355.58</v>
      </c>
    </row>
    <row r="850" spans="1:6" x14ac:dyDescent="0.2">
      <c r="A850" s="163" t="s">
        <v>3724</v>
      </c>
      <c r="B850" s="164" t="s">
        <v>2517</v>
      </c>
      <c r="C850" s="164">
        <v>14110799</v>
      </c>
      <c r="D850" s="164" t="s">
        <v>462</v>
      </c>
      <c r="E850" s="164" t="s">
        <v>3699</v>
      </c>
      <c r="F850" s="165">
        <v>355.58</v>
      </c>
    </row>
    <row r="851" spans="1:6" x14ac:dyDescent="0.2">
      <c r="A851" s="166" t="s">
        <v>3724</v>
      </c>
      <c r="B851" s="167" t="s">
        <v>2517</v>
      </c>
      <c r="C851" s="167">
        <v>14110765</v>
      </c>
      <c r="D851" s="167" t="s">
        <v>106</v>
      </c>
      <c r="E851" s="167" t="s">
        <v>3699</v>
      </c>
      <c r="F851" s="168">
        <v>355.58</v>
      </c>
    </row>
    <row r="852" spans="1:6" x14ac:dyDescent="0.2">
      <c r="A852" s="163" t="s">
        <v>3724</v>
      </c>
      <c r="B852" s="164" t="s">
        <v>2517</v>
      </c>
      <c r="C852" s="164">
        <v>14110761</v>
      </c>
      <c r="D852" s="164" t="s">
        <v>105</v>
      </c>
      <c r="E852" s="164" t="s">
        <v>3699</v>
      </c>
      <c r="F852" s="165">
        <v>355.58</v>
      </c>
    </row>
    <row r="853" spans="1:6" x14ac:dyDescent="0.2">
      <c r="A853" s="166" t="s">
        <v>3724</v>
      </c>
      <c r="B853" s="167" t="s">
        <v>2517</v>
      </c>
      <c r="C853" s="167">
        <v>14110707</v>
      </c>
      <c r="D853" s="167" t="s">
        <v>268</v>
      </c>
      <c r="E853" s="167" t="s">
        <v>3699</v>
      </c>
      <c r="F853" s="168">
        <v>355.58</v>
      </c>
    </row>
    <row r="854" spans="1:6" x14ac:dyDescent="0.2">
      <c r="A854" s="163" t="s">
        <v>3724</v>
      </c>
      <c r="B854" s="164" t="s">
        <v>2517</v>
      </c>
      <c r="C854" s="164">
        <v>14110604</v>
      </c>
      <c r="D854" s="164" t="s">
        <v>336</v>
      </c>
      <c r="E854" s="164" t="s">
        <v>3699</v>
      </c>
      <c r="F854" s="165">
        <v>355.58</v>
      </c>
    </row>
    <row r="855" spans="1:6" x14ac:dyDescent="0.2">
      <c r="A855" s="166" t="s">
        <v>3724</v>
      </c>
      <c r="B855" s="167" t="s">
        <v>2517</v>
      </c>
      <c r="C855" s="167">
        <v>14110506</v>
      </c>
      <c r="D855" s="167" t="s">
        <v>427</v>
      </c>
      <c r="E855" s="167" t="s">
        <v>3699</v>
      </c>
      <c r="F855" s="168">
        <v>355.58</v>
      </c>
    </row>
    <row r="856" spans="1:6" x14ac:dyDescent="0.2">
      <c r="A856" s="163" t="s">
        <v>3724</v>
      </c>
      <c r="B856" s="164" t="s">
        <v>2517</v>
      </c>
      <c r="C856" s="164">
        <v>14110465</v>
      </c>
      <c r="D856" s="164" t="s">
        <v>103</v>
      </c>
      <c r="E856" s="164" t="s">
        <v>3699</v>
      </c>
      <c r="F856" s="165">
        <v>355.58</v>
      </c>
    </row>
    <row r="857" spans="1:6" x14ac:dyDescent="0.2">
      <c r="A857" s="166" t="s">
        <v>3724</v>
      </c>
      <c r="B857" s="167" t="s">
        <v>2517</v>
      </c>
      <c r="C857" s="167">
        <v>14110336</v>
      </c>
      <c r="D857" s="167" t="s">
        <v>983</v>
      </c>
      <c r="E857" s="167" t="s">
        <v>3699</v>
      </c>
      <c r="F857" s="168">
        <v>355.58</v>
      </c>
    </row>
    <row r="858" spans="1:6" x14ac:dyDescent="0.2">
      <c r="A858" s="163" t="s">
        <v>3724</v>
      </c>
      <c r="B858" s="164" t="s">
        <v>2517</v>
      </c>
      <c r="C858" s="164">
        <v>14110044</v>
      </c>
      <c r="D858" s="164" t="s">
        <v>145</v>
      </c>
      <c r="E858" s="164" t="s">
        <v>3699</v>
      </c>
      <c r="F858" s="165">
        <v>355.58</v>
      </c>
    </row>
    <row r="859" spans="1:6" x14ac:dyDescent="0.2">
      <c r="A859" s="166" t="s">
        <v>3724</v>
      </c>
      <c r="B859" s="167" t="s">
        <v>2517</v>
      </c>
      <c r="C859" s="167">
        <v>14110042</v>
      </c>
      <c r="D859" s="167" t="s">
        <v>335</v>
      </c>
      <c r="E859" s="167" t="s">
        <v>3699</v>
      </c>
      <c r="F859" s="168">
        <v>355.58</v>
      </c>
    </row>
    <row r="860" spans="1:6" x14ac:dyDescent="0.2">
      <c r="A860" s="163" t="s">
        <v>3724</v>
      </c>
      <c r="B860" s="164" t="s">
        <v>2517</v>
      </c>
      <c r="C860" s="164">
        <v>14109874</v>
      </c>
      <c r="D860" s="164" t="s">
        <v>98</v>
      </c>
      <c r="E860" s="164" t="s">
        <v>3699</v>
      </c>
      <c r="F860" s="165">
        <v>355.58</v>
      </c>
    </row>
    <row r="861" spans="1:6" x14ac:dyDescent="0.2">
      <c r="A861" s="166" t="s">
        <v>3724</v>
      </c>
      <c r="B861" s="167" t="s">
        <v>2517</v>
      </c>
      <c r="C861" s="167">
        <v>14109738</v>
      </c>
      <c r="D861" s="167" t="s">
        <v>94</v>
      </c>
      <c r="E861" s="167" t="s">
        <v>3699</v>
      </c>
      <c r="F861" s="168">
        <v>355.58</v>
      </c>
    </row>
    <row r="862" spans="1:6" x14ac:dyDescent="0.2">
      <c r="A862" s="163" t="s">
        <v>3724</v>
      </c>
      <c r="B862" s="164" t="s">
        <v>2517</v>
      </c>
      <c r="C862" s="164">
        <v>14109707</v>
      </c>
      <c r="D862" s="164" t="s">
        <v>93</v>
      </c>
      <c r="E862" s="164" t="s">
        <v>3699</v>
      </c>
      <c r="F862" s="165">
        <v>355.58</v>
      </c>
    </row>
    <row r="863" spans="1:6" x14ac:dyDescent="0.2">
      <c r="A863" s="166" t="s">
        <v>3724</v>
      </c>
      <c r="B863" s="167" t="s">
        <v>2517</v>
      </c>
      <c r="C863" s="167">
        <v>14109674</v>
      </c>
      <c r="D863" s="167" t="s">
        <v>91</v>
      </c>
      <c r="E863" s="167" t="s">
        <v>3699</v>
      </c>
      <c r="F863" s="168">
        <v>355.58</v>
      </c>
    </row>
    <row r="864" spans="1:6" x14ac:dyDescent="0.2">
      <c r="A864" s="163" t="s">
        <v>3724</v>
      </c>
      <c r="B864" s="164" t="s">
        <v>2517</v>
      </c>
      <c r="C864" s="164">
        <v>14109436</v>
      </c>
      <c r="D864" s="164" t="s">
        <v>371</v>
      </c>
      <c r="E864" s="164" t="s">
        <v>3699</v>
      </c>
      <c r="F864" s="165">
        <v>355.58</v>
      </c>
    </row>
    <row r="865" spans="1:6" x14ac:dyDescent="0.2">
      <c r="A865" s="166" t="s">
        <v>3724</v>
      </c>
      <c r="B865" s="167" t="s">
        <v>2517</v>
      </c>
      <c r="C865" s="167">
        <v>14109408</v>
      </c>
      <c r="D865" s="167" t="s">
        <v>87</v>
      </c>
      <c r="E865" s="167" t="s">
        <v>3699</v>
      </c>
      <c r="F865" s="168">
        <v>355.58</v>
      </c>
    </row>
    <row r="866" spans="1:6" x14ac:dyDescent="0.2">
      <c r="A866" s="163" t="s">
        <v>3724</v>
      </c>
      <c r="B866" s="164" t="s">
        <v>2517</v>
      </c>
      <c r="C866" s="164">
        <v>14109378</v>
      </c>
      <c r="D866" s="164" t="s">
        <v>86</v>
      </c>
      <c r="E866" s="164" t="s">
        <v>3699</v>
      </c>
      <c r="F866" s="165">
        <v>355.58</v>
      </c>
    </row>
    <row r="867" spans="1:6" x14ac:dyDescent="0.2">
      <c r="A867" s="166" t="s">
        <v>3724</v>
      </c>
      <c r="B867" s="167" t="s">
        <v>2517</v>
      </c>
      <c r="C867" s="167">
        <v>14109134</v>
      </c>
      <c r="D867" s="167" t="s">
        <v>85</v>
      </c>
      <c r="E867" s="167" t="s">
        <v>3699</v>
      </c>
      <c r="F867" s="168">
        <v>355.58</v>
      </c>
    </row>
    <row r="868" spans="1:6" x14ac:dyDescent="0.2">
      <c r="A868" s="163" t="s">
        <v>3724</v>
      </c>
      <c r="B868" s="164" t="s">
        <v>2517</v>
      </c>
      <c r="C868" s="164">
        <v>14109097</v>
      </c>
      <c r="D868" s="164" t="s">
        <v>82</v>
      </c>
      <c r="E868" s="164" t="s">
        <v>3699</v>
      </c>
      <c r="F868" s="165">
        <v>355.58</v>
      </c>
    </row>
    <row r="869" spans="1:6" x14ac:dyDescent="0.2">
      <c r="A869" s="166" t="s">
        <v>3724</v>
      </c>
      <c r="B869" s="167" t="s">
        <v>2517</v>
      </c>
      <c r="C869" s="167">
        <v>14109032</v>
      </c>
      <c r="D869" s="167" t="s">
        <v>81</v>
      </c>
      <c r="E869" s="167" t="s">
        <v>3699</v>
      </c>
      <c r="F869" s="168">
        <v>355.58</v>
      </c>
    </row>
    <row r="870" spans="1:6" x14ac:dyDescent="0.2">
      <c r="A870" s="163" t="s">
        <v>3724</v>
      </c>
      <c r="B870" s="164" t="s">
        <v>2517</v>
      </c>
      <c r="C870" s="164">
        <v>14108775</v>
      </c>
      <c r="D870" s="164" t="s">
        <v>182</v>
      </c>
      <c r="E870" s="164" t="s">
        <v>3699</v>
      </c>
      <c r="F870" s="165">
        <v>355.58</v>
      </c>
    </row>
    <row r="871" spans="1:6" x14ac:dyDescent="0.2">
      <c r="A871" s="166" t="s">
        <v>3724</v>
      </c>
      <c r="B871" s="167" t="s">
        <v>2517</v>
      </c>
      <c r="C871" s="167">
        <v>14108571</v>
      </c>
      <c r="D871" s="167" t="s">
        <v>78</v>
      </c>
      <c r="E871" s="167" t="s">
        <v>3699</v>
      </c>
      <c r="F871" s="168">
        <v>355.58</v>
      </c>
    </row>
    <row r="872" spans="1:6" x14ac:dyDescent="0.2">
      <c r="A872" s="163" t="s">
        <v>3724</v>
      </c>
      <c r="B872" s="164" t="s">
        <v>2517</v>
      </c>
      <c r="C872" s="164">
        <v>14108267</v>
      </c>
      <c r="D872" s="164" t="s">
        <v>73</v>
      </c>
      <c r="E872" s="164" t="s">
        <v>3699</v>
      </c>
      <c r="F872" s="165">
        <v>711.16</v>
      </c>
    </row>
    <row r="873" spans="1:6" x14ac:dyDescent="0.2">
      <c r="A873" s="166" t="s">
        <v>3724</v>
      </c>
      <c r="B873" s="167" t="s">
        <v>2517</v>
      </c>
      <c r="C873" s="167">
        <v>14108111</v>
      </c>
      <c r="D873" s="167" t="s">
        <v>70</v>
      </c>
      <c r="E873" s="167" t="s">
        <v>3699</v>
      </c>
      <c r="F873" s="168">
        <v>355.58</v>
      </c>
    </row>
    <row r="874" spans="1:6" x14ac:dyDescent="0.2">
      <c r="A874" s="163" t="s">
        <v>3724</v>
      </c>
      <c r="B874" s="164" t="s">
        <v>2517</v>
      </c>
      <c r="C874" s="164">
        <v>14107978</v>
      </c>
      <c r="D874" s="164" t="s">
        <v>69</v>
      </c>
      <c r="E874" s="164" t="s">
        <v>3699</v>
      </c>
      <c r="F874" s="165">
        <v>355.58</v>
      </c>
    </row>
    <row r="875" spans="1:6" x14ac:dyDescent="0.2">
      <c r="A875" s="166" t="s">
        <v>3724</v>
      </c>
      <c r="B875" s="167" t="s">
        <v>2517</v>
      </c>
      <c r="C875" s="167">
        <v>14107840</v>
      </c>
      <c r="D875" s="167" t="s">
        <v>67</v>
      </c>
      <c r="E875" s="167" t="s">
        <v>3699</v>
      </c>
      <c r="F875" s="168">
        <v>355.58</v>
      </c>
    </row>
    <row r="876" spans="1:6" x14ac:dyDescent="0.2">
      <c r="A876" s="163" t="s">
        <v>3724</v>
      </c>
      <c r="B876" s="164" t="s">
        <v>2517</v>
      </c>
      <c r="C876" s="164">
        <v>14107552</v>
      </c>
      <c r="D876" s="164" t="s">
        <v>64</v>
      </c>
      <c r="E876" s="164" t="s">
        <v>3699</v>
      </c>
      <c r="F876" s="165">
        <v>355.58</v>
      </c>
    </row>
    <row r="877" spans="1:6" x14ac:dyDescent="0.2">
      <c r="A877" s="166" t="s">
        <v>3724</v>
      </c>
      <c r="B877" s="167" t="s">
        <v>2517</v>
      </c>
      <c r="C877" s="167">
        <v>14107484</v>
      </c>
      <c r="D877" s="167" t="s">
        <v>63</v>
      </c>
      <c r="E877" s="167" t="s">
        <v>3699</v>
      </c>
      <c r="F877" s="168">
        <v>355.58</v>
      </c>
    </row>
    <row r="878" spans="1:6" x14ac:dyDescent="0.2">
      <c r="A878" s="163" t="s">
        <v>3724</v>
      </c>
      <c r="B878" s="164" t="s">
        <v>2517</v>
      </c>
      <c r="C878" s="164">
        <v>14107271</v>
      </c>
      <c r="D878" s="164" t="s">
        <v>61</v>
      </c>
      <c r="E878" s="164" t="s">
        <v>3699</v>
      </c>
      <c r="F878" s="165">
        <v>355.58</v>
      </c>
    </row>
    <row r="879" spans="1:6" x14ac:dyDescent="0.2">
      <c r="A879" s="166" t="s">
        <v>3724</v>
      </c>
      <c r="B879" s="167" t="s">
        <v>2517</v>
      </c>
      <c r="C879" s="167">
        <v>14107202</v>
      </c>
      <c r="D879" s="167" t="s">
        <v>58</v>
      </c>
      <c r="E879" s="167" t="s">
        <v>3699</v>
      </c>
      <c r="F879" s="168">
        <v>355.58</v>
      </c>
    </row>
    <row r="880" spans="1:6" x14ac:dyDescent="0.2">
      <c r="A880" s="163" t="s">
        <v>3724</v>
      </c>
      <c r="B880" s="164" t="s">
        <v>2517</v>
      </c>
      <c r="C880" s="164">
        <v>14107167</v>
      </c>
      <c r="D880" s="164" t="s">
        <v>57</v>
      </c>
      <c r="E880" s="164" t="s">
        <v>3699</v>
      </c>
      <c r="F880" s="165">
        <v>355.58</v>
      </c>
    </row>
    <row r="881" spans="1:6" x14ac:dyDescent="0.2">
      <c r="A881" s="166" t="s">
        <v>3724</v>
      </c>
      <c r="B881" s="167" t="s">
        <v>2517</v>
      </c>
      <c r="C881" s="167">
        <v>14106980</v>
      </c>
      <c r="D881" s="167" t="s">
        <v>55</v>
      </c>
      <c r="E881" s="167" t="s">
        <v>3699</v>
      </c>
      <c r="F881" s="168">
        <v>355.58</v>
      </c>
    </row>
    <row r="882" spans="1:6" x14ac:dyDescent="0.2">
      <c r="A882" s="163" t="s">
        <v>3724</v>
      </c>
      <c r="B882" s="164" t="s">
        <v>2517</v>
      </c>
      <c r="C882" s="164">
        <v>14106368</v>
      </c>
      <c r="D882" s="164" t="s">
        <v>51</v>
      </c>
      <c r="E882" s="164" t="s">
        <v>3699</v>
      </c>
      <c r="F882" s="165">
        <v>355.58</v>
      </c>
    </row>
    <row r="883" spans="1:6" x14ac:dyDescent="0.2">
      <c r="A883" s="166" t="s">
        <v>3724</v>
      </c>
      <c r="B883" s="167" t="s">
        <v>2517</v>
      </c>
      <c r="C883" s="167">
        <v>14106233</v>
      </c>
      <c r="D883" s="167" t="s">
        <v>347</v>
      </c>
      <c r="E883" s="167" t="s">
        <v>3699</v>
      </c>
      <c r="F883" s="168">
        <v>355.58</v>
      </c>
    </row>
    <row r="884" spans="1:6" x14ac:dyDescent="0.2">
      <c r="A884" s="163" t="s">
        <v>3724</v>
      </c>
      <c r="B884" s="164" t="s">
        <v>2517</v>
      </c>
      <c r="C884" s="164">
        <v>14106035</v>
      </c>
      <c r="D884" s="164" t="s">
        <v>49</v>
      </c>
      <c r="E884" s="164" t="s">
        <v>3699</v>
      </c>
      <c r="F884" s="165">
        <v>355.58</v>
      </c>
    </row>
    <row r="885" spans="1:6" x14ac:dyDescent="0.2">
      <c r="A885" s="166" t="s">
        <v>3724</v>
      </c>
      <c r="B885" s="167" t="s">
        <v>2517</v>
      </c>
      <c r="C885" s="167">
        <v>14106033</v>
      </c>
      <c r="D885" s="167" t="s">
        <v>48</v>
      </c>
      <c r="E885" s="167" t="s">
        <v>3699</v>
      </c>
      <c r="F885" s="168">
        <v>355.58</v>
      </c>
    </row>
    <row r="886" spans="1:6" x14ac:dyDescent="0.2">
      <c r="A886" s="163" t="s">
        <v>3724</v>
      </c>
      <c r="B886" s="164" t="s">
        <v>2517</v>
      </c>
      <c r="C886" s="164">
        <v>14105586</v>
      </c>
      <c r="D886" s="164" t="s">
        <v>47</v>
      </c>
      <c r="E886" s="164" t="s">
        <v>3699</v>
      </c>
      <c r="F886" s="165">
        <v>355.58</v>
      </c>
    </row>
    <row r="887" spans="1:6" x14ac:dyDescent="0.2">
      <c r="A887" s="166" t="s">
        <v>3724</v>
      </c>
      <c r="B887" s="167" t="s">
        <v>2517</v>
      </c>
      <c r="C887" s="167">
        <v>14105437</v>
      </c>
      <c r="D887" s="167" t="s">
        <v>45</v>
      </c>
      <c r="E887" s="167" t="s">
        <v>3699</v>
      </c>
      <c r="F887" s="168">
        <v>355.58</v>
      </c>
    </row>
    <row r="888" spans="1:6" x14ac:dyDescent="0.2">
      <c r="A888" s="163" t="s">
        <v>3724</v>
      </c>
      <c r="B888" s="164" t="s">
        <v>2517</v>
      </c>
      <c r="C888" s="164">
        <v>14104957</v>
      </c>
      <c r="D888" s="164" t="s">
        <v>308</v>
      </c>
      <c r="E888" s="164" t="s">
        <v>3699</v>
      </c>
      <c r="F888" s="165">
        <v>355.58</v>
      </c>
    </row>
    <row r="889" spans="1:6" x14ac:dyDescent="0.2">
      <c r="A889" s="166" t="s">
        <v>3724</v>
      </c>
      <c r="B889" s="167" t="s">
        <v>2517</v>
      </c>
      <c r="C889" s="167">
        <v>14104853</v>
      </c>
      <c r="D889" s="167" t="s">
        <v>185</v>
      </c>
      <c r="E889" s="167" t="s">
        <v>3699</v>
      </c>
      <c r="F889" s="168">
        <v>355.58</v>
      </c>
    </row>
    <row r="890" spans="1:6" x14ac:dyDescent="0.2">
      <c r="A890" s="163" t="s">
        <v>3724</v>
      </c>
      <c r="B890" s="164" t="s">
        <v>2517</v>
      </c>
      <c r="C890" s="164">
        <v>14104839</v>
      </c>
      <c r="D890" s="164" t="s">
        <v>226</v>
      </c>
      <c r="E890" s="164" t="s">
        <v>3699</v>
      </c>
      <c r="F890" s="165">
        <v>355.58</v>
      </c>
    </row>
    <row r="891" spans="1:6" x14ac:dyDescent="0.2">
      <c r="A891" s="166" t="s">
        <v>3724</v>
      </c>
      <c r="B891" s="167" t="s">
        <v>2517</v>
      </c>
      <c r="C891" s="167">
        <v>14104822</v>
      </c>
      <c r="D891" s="167" t="s">
        <v>42</v>
      </c>
      <c r="E891" s="167" t="s">
        <v>3699</v>
      </c>
      <c r="F891" s="168">
        <v>355.58</v>
      </c>
    </row>
    <row r="892" spans="1:6" x14ac:dyDescent="0.2">
      <c r="A892" s="163" t="s">
        <v>3724</v>
      </c>
      <c r="B892" s="164" t="s">
        <v>2517</v>
      </c>
      <c r="C892" s="164">
        <v>14104599</v>
      </c>
      <c r="D892" s="164" t="s">
        <v>41</v>
      </c>
      <c r="E892" s="164" t="s">
        <v>3699</v>
      </c>
      <c r="F892" s="165">
        <v>355.58</v>
      </c>
    </row>
    <row r="893" spans="1:6" x14ac:dyDescent="0.2">
      <c r="A893" s="166" t="s">
        <v>3724</v>
      </c>
      <c r="B893" s="167" t="s">
        <v>2517</v>
      </c>
      <c r="C893" s="167">
        <v>14104316</v>
      </c>
      <c r="D893" s="167" t="s">
        <v>40</v>
      </c>
      <c r="E893" s="167" t="s">
        <v>3699</v>
      </c>
      <c r="F893" s="168">
        <v>355.58</v>
      </c>
    </row>
    <row r="894" spans="1:6" x14ac:dyDescent="0.2">
      <c r="A894" s="163" t="s">
        <v>3724</v>
      </c>
      <c r="B894" s="164" t="s">
        <v>2517</v>
      </c>
      <c r="C894" s="164">
        <v>14104315</v>
      </c>
      <c r="D894" s="164" t="s">
        <v>334</v>
      </c>
      <c r="E894" s="164" t="s">
        <v>3699</v>
      </c>
      <c r="F894" s="165">
        <v>355.58</v>
      </c>
    </row>
    <row r="895" spans="1:6" x14ac:dyDescent="0.2">
      <c r="A895" s="166" t="s">
        <v>3724</v>
      </c>
      <c r="B895" s="167" t="s">
        <v>2517</v>
      </c>
      <c r="C895" s="167">
        <v>14103679</v>
      </c>
      <c r="D895" s="167" t="s">
        <v>38</v>
      </c>
      <c r="E895" s="167" t="s">
        <v>3699</v>
      </c>
      <c r="F895" s="168">
        <v>355.58</v>
      </c>
    </row>
    <row r="896" spans="1:6" x14ac:dyDescent="0.2">
      <c r="A896" s="163" t="s">
        <v>3724</v>
      </c>
      <c r="B896" s="164" t="s">
        <v>2517</v>
      </c>
      <c r="C896" s="164">
        <v>14103335</v>
      </c>
      <c r="D896" s="164" t="s">
        <v>37</v>
      </c>
      <c r="E896" s="164" t="s">
        <v>3699</v>
      </c>
      <c r="F896" s="165">
        <v>355.58</v>
      </c>
    </row>
    <row r="897" spans="1:6" x14ac:dyDescent="0.2">
      <c r="A897" s="166" t="s">
        <v>3724</v>
      </c>
      <c r="B897" s="167" t="s">
        <v>2517</v>
      </c>
      <c r="C897" s="167">
        <v>14103106</v>
      </c>
      <c r="D897" s="167" t="s">
        <v>35</v>
      </c>
      <c r="E897" s="167" t="s">
        <v>3699</v>
      </c>
      <c r="F897" s="168">
        <v>355.58</v>
      </c>
    </row>
    <row r="898" spans="1:6" x14ac:dyDescent="0.2">
      <c r="A898" s="163" t="s">
        <v>3724</v>
      </c>
      <c r="B898" s="164" t="s">
        <v>2517</v>
      </c>
      <c r="C898" s="164">
        <v>14102875</v>
      </c>
      <c r="D898" s="164" t="s">
        <v>33</v>
      </c>
      <c r="E898" s="164" t="s">
        <v>3699</v>
      </c>
      <c r="F898" s="165">
        <v>355.58</v>
      </c>
    </row>
    <row r="899" spans="1:6" x14ac:dyDescent="0.2">
      <c r="A899" s="166" t="s">
        <v>3724</v>
      </c>
      <c r="B899" s="167" t="s">
        <v>2517</v>
      </c>
      <c r="C899" s="167">
        <v>14102730</v>
      </c>
      <c r="D899" s="167" t="s">
        <v>32</v>
      </c>
      <c r="E899" s="167" t="s">
        <v>3699</v>
      </c>
      <c r="F899" s="168">
        <v>355.58</v>
      </c>
    </row>
    <row r="900" spans="1:6" x14ac:dyDescent="0.2">
      <c r="A900" s="163" t="s">
        <v>3724</v>
      </c>
      <c r="B900" s="164" t="s">
        <v>2517</v>
      </c>
      <c r="C900" s="164">
        <v>14102701</v>
      </c>
      <c r="D900" s="164" t="s">
        <v>31</v>
      </c>
      <c r="E900" s="164" t="s">
        <v>3699</v>
      </c>
      <c r="F900" s="165">
        <v>355.58</v>
      </c>
    </row>
    <row r="901" spans="1:6" x14ac:dyDescent="0.2">
      <c r="A901" s="166" t="s">
        <v>3724</v>
      </c>
      <c r="B901" s="167" t="s">
        <v>2517</v>
      </c>
      <c r="C901" s="167">
        <v>14102288</v>
      </c>
      <c r="D901" s="167" t="s">
        <v>30</v>
      </c>
      <c r="E901" s="167" t="s">
        <v>3699</v>
      </c>
      <c r="F901" s="168">
        <v>355.58</v>
      </c>
    </row>
    <row r="902" spans="1:6" x14ac:dyDescent="0.2">
      <c r="A902" s="163" t="s">
        <v>3724</v>
      </c>
      <c r="B902" s="164" t="s">
        <v>2517</v>
      </c>
      <c r="C902" s="164">
        <v>14101984</v>
      </c>
      <c r="D902" s="164" t="s">
        <v>28</v>
      </c>
      <c r="E902" s="164" t="s">
        <v>3699</v>
      </c>
      <c r="F902" s="165">
        <v>355.58</v>
      </c>
    </row>
    <row r="903" spans="1:6" x14ac:dyDescent="0.2">
      <c r="A903" s="166" t="s">
        <v>3724</v>
      </c>
      <c r="B903" s="167" t="s">
        <v>2517</v>
      </c>
      <c r="C903" s="167">
        <v>14101881</v>
      </c>
      <c r="D903" s="167" t="s">
        <v>27</v>
      </c>
      <c r="E903" s="167" t="s">
        <v>3699</v>
      </c>
      <c r="F903" s="168">
        <v>355.58</v>
      </c>
    </row>
    <row r="904" spans="1:6" x14ac:dyDescent="0.2">
      <c r="A904" s="163" t="s">
        <v>3724</v>
      </c>
      <c r="B904" s="164" t="s">
        <v>2517</v>
      </c>
      <c r="C904" s="164">
        <v>14100902</v>
      </c>
      <c r="D904" s="164" t="s">
        <v>354</v>
      </c>
      <c r="E904" s="164" t="s">
        <v>3699</v>
      </c>
      <c r="F904" s="165">
        <v>355.58</v>
      </c>
    </row>
    <row r="905" spans="1:6" x14ac:dyDescent="0.2">
      <c r="A905" s="166" t="s">
        <v>3724</v>
      </c>
      <c r="B905" s="167" t="s">
        <v>2517</v>
      </c>
      <c r="C905" s="167">
        <v>14100863</v>
      </c>
      <c r="D905" s="167" t="s">
        <v>26</v>
      </c>
      <c r="E905" s="167" t="s">
        <v>3699</v>
      </c>
      <c r="F905" s="168">
        <v>355.58</v>
      </c>
    </row>
    <row r="906" spans="1:6" x14ac:dyDescent="0.2">
      <c r="A906" s="163" t="s">
        <v>3724</v>
      </c>
      <c r="B906" s="164" t="s">
        <v>2517</v>
      </c>
      <c r="C906" s="164">
        <v>14100858</v>
      </c>
      <c r="D906" s="164" t="s">
        <v>262</v>
      </c>
      <c r="E906" s="164" t="s">
        <v>3699</v>
      </c>
      <c r="F906" s="165">
        <v>355.58</v>
      </c>
    </row>
    <row r="907" spans="1:6" x14ac:dyDescent="0.2">
      <c r="A907" s="166" t="s">
        <v>3724</v>
      </c>
      <c r="B907" s="167" t="s">
        <v>2517</v>
      </c>
      <c r="C907" s="167">
        <v>14100843</v>
      </c>
      <c r="D907" s="167" t="s">
        <v>223</v>
      </c>
      <c r="E907" s="167" t="s">
        <v>3699</v>
      </c>
      <c r="F907" s="168">
        <v>355.58</v>
      </c>
    </row>
    <row r="908" spans="1:6" x14ac:dyDescent="0.2">
      <c r="A908" s="163" t="s">
        <v>3724</v>
      </c>
      <c r="B908" s="164" t="s">
        <v>2517</v>
      </c>
      <c r="C908" s="164">
        <v>14100842</v>
      </c>
      <c r="D908" s="164" t="s">
        <v>25</v>
      </c>
      <c r="E908" s="164" t="s">
        <v>3699</v>
      </c>
      <c r="F908" s="165">
        <v>355.58</v>
      </c>
    </row>
    <row r="909" spans="1:6" x14ac:dyDescent="0.2">
      <c r="A909" s="166" t="s">
        <v>3724</v>
      </c>
      <c r="B909" s="167" t="s">
        <v>2517</v>
      </c>
      <c r="C909" s="167">
        <v>14100823</v>
      </c>
      <c r="D909" s="167" t="s">
        <v>275</v>
      </c>
      <c r="E909" s="167" t="s">
        <v>3699</v>
      </c>
      <c r="F909" s="168">
        <v>355.58</v>
      </c>
    </row>
    <row r="910" spans="1:6" x14ac:dyDescent="0.2">
      <c r="A910" s="163" t="s">
        <v>3724</v>
      </c>
      <c r="B910" s="164" t="s">
        <v>2517</v>
      </c>
      <c r="C910" s="164">
        <v>14100807</v>
      </c>
      <c r="D910" s="164" t="s">
        <v>24</v>
      </c>
      <c r="E910" s="164" t="s">
        <v>3699</v>
      </c>
      <c r="F910" s="165">
        <v>355.58</v>
      </c>
    </row>
    <row r="911" spans="1:6" x14ac:dyDescent="0.2">
      <c r="A911" s="166" t="s">
        <v>3724</v>
      </c>
      <c r="B911" s="167" t="s">
        <v>2517</v>
      </c>
      <c r="C911" s="167">
        <v>14100798</v>
      </c>
      <c r="D911" s="167" t="s">
        <v>23</v>
      </c>
      <c r="E911" s="167" t="s">
        <v>3699</v>
      </c>
      <c r="F911" s="168">
        <v>355.58</v>
      </c>
    </row>
    <row r="912" spans="1:6" x14ac:dyDescent="0.2">
      <c r="A912" s="163" t="s">
        <v>3724</v>
      </c>
      <c r="B912" s="164" t="s">
        <v>2517</v>
      </c>
      <c r="C912" s="164">
        <v>14100795</v>
      </c>
      <c r="D912" s="164" t="s">
        <v>22</v>
      </c>
      <c r="E912" s="164" t="s">
        <v>3699</v>
      </c>
      <c r="F912" s="165">
        <v>355.58</v>
      </c>
    </row>
    <row r="913" spans="1:6" x14ac:dyDescent="0.2">
      <c r="A913" s="166" t="s">
        <v>3724</v>
      </c>
      <c r="B913" s="167" t="s">
        <v>2517</v>
      </c>
      <c r="C913" s="167">
        <v>14100787</v>
      </c>
      <c r="D913" s="167" t="s">
        <v>21</v>
      </c>
      <c r="E913" s="167" t="s">
        <v>3699</v>
      </c>
      <c r="F913" s="168">
        <v>355.58</v>
      </c>
    </row>
    <row r="914" spans="1:6" x14ac:dyDescent="0.2">
      <c r="A914" s="163" t="s">
        <v>3724</v>
      </c>
      <c r="B914" s="164" t="s">
        <v>2517</v>
      </c>
      <c r="C914" s="164">
        <v>14100740</v>
      </c>
      <c r="D914" s="164" t="s">
        <v>19</v>
      </c>
      <c r="E914" s="164" t="s">
        <v>3699</v>
      </c>
      <c r="F914" s="165">
        <v>355.58</v>
      </c>
    </row>
    <row r="915" spans="1:6" x14ac:dyDescent="0.2">
      <c r="A915" s="166" t="s">
        <v>3724</v>
      </c>
      <c r="B915" s="167" t="s">
        <v>2517</v>
      </c>
      <c r="C915" s="167">
        <v>14100732</v>
      </c>
      <c r="D915" s="167" t="s">
        <v>17</v>
      </c>
      <c r="E915" s="167" t="s">
        <v>3699</v>
      </c>
      <c r="F915" s="168">
        <v>355.58</v>
      </c>
    </row>
    <row r="916" spans="1:6" x14ac:dyDescent="0.2">
      <c r="A916" s="163" t="s">
        <v>3724</v>
      </c>
      <c r="B916" s="164" t="s">
        <v>2517</v>
      </c>
      <c r="C916" s="164">
        <v>14100727</v>
      </c>
      <c r="D916" s="164" t="s">
        <v>14</v>
      </c>
      <c r="E916" s="164" t="s">
        <v>3699</v>
      </c>
      <c r="F916" s="165">
        <v>355.58</v>
      </c>
    </row>
    <row r="917" spans="1:6" x14ac:dyDescent="0.2">
      <c r="A917" s="166" t="s">
        <v>3724</v>
      </c>
      <c r="B917" s="167" t="s">
        <v>2517</v>
      </c>
      <c r="C917" s="167">
        <v>14100726</v>
      </c>
      <c r="D917" s="167" t="s">
        <v>13</v>
      </c>
      <c r="E917" s="167" t="s">
        <v>3699</v>
      </c>
      <c r="F917" s="168">
        <v>355.58</v>
      </c>
    </row>
    <row r="918" spans="1:6" x14ac:dyDescent="0.2">
      <c r="A918" s="163" t="s">
        <v>3724</v>
      </c>
      <c r="B918" s="164" t="s">
        <v>2517</v>
      </c>
      <c r="C918" s="164">
        <v>14100724</v>
      </c>
      <c r="D918" s="164" t="s">
        <v>11</v>
      </c>
      <c r="E918" s="164" t="s">
        <v>3699</v>
      </c>
      <c r="F918" s="165">
        <v>355.58</v>
      </c>
    </row>
    <row r="919" spans="1:6" x14ac:dyDescent="0.2">
      <c r="A919" s="166" t="s">
        <v>3724</v>
      </c>
      <c r="B919" s="167" t="s">
        <v>2517</v>
      </c>
      <c r="C919" s="167">
        <v>14100718</v>
      </c>
      <c r="D919" s="167" t="s">
        <v>9</v>
      </c>
      <c r="E919" s="167" t="s">
        <v>3699</v>
      </c>
      <c r="F919" s="168">
        <v>355.58</v>
      </c>
    </row>
    <row r="920" spans="1:6" x14ac:dyDescent="0.2">
      <c r="A920" s="163" t="s">
        <v>3724</v>
      </c>
      <c r="B920" s="164" t="s">
        <v>2517</v>
      </c>
      <c r="C920" s="164">
        <v>14100716</v>
      </c>
      <c r="D920" s="164" t="s">
        <v>8</v>
      </c>
      <c r="E920" s="164" t="s">
        <v>3699</v>
      </c>
      <c r="F920" s="165">
        <v>355.58</v>
      </c>
    </row>
    <row r="921" spans="1:6" x14ac:dyDescent="0.2">
      <c r="A921" s="166" t="s">
        <v>3724</v>
      </c>
      <c r="B921" s="167" t="s">
        <v>2516</v>
      </c>
      <c r="C921" s="167">
        <v>14124431</v>
      </c>
      <c r="D921" s="167" t="s">
        <v>3701</v>
      </c>
      <c r="E921" s="167" t="s">
        <v>3699</v>
      </c>
      <c r="F921" s="168">
        <v>200</v>
      </c>
    </row>
    <row r="922" spans="1:6" x14ac:dyDescent="0.2">
      <c r="A922" s="163" t="s">
        <v>3724</v>
      </c>
      <c r="B922" s="164" t="s">
        <v>2516</v>
      </c>
      <c r="C922" s="164">
        <v>14124429</v>
      </c>
      <c r="D922" s="164" t="s">
        <v>3702</v>
      </c>
      <c r="E922" s="164" t="s">
        <v>3699</v>
      </c>
      <c r="F922" s="165">
        <v>200</v>
      </c>
    </row>
    <row r="923" spans="1:6" x14ac:dyDescent="0.2">
      <c r="A923" s="166" t="s">
        <v>3724</v>
      </c>
      <c r="B923" s="167" t="s">
        <v>2516</v>
      </c>
      <c r="C923" s="167">
        <v>14124352</v>
      </c>
      <c r="D923" s="167" t="s">
        <v>2555</v>
      </c>
      <c r="E923" s="167" t="s">
        <v>3699</v>
      </c>
      <c r="F923" s="168">
        <v>200</v>
      </c>
    </row>
    <row r="924" spans="1:6" x14ac:dyDescent="0.2">
      <c r="A924" s="163" t="s">
        <v>3724</v>
      </c>
      <c r="B924" s="164" t="s">
        <v>2516</v>
      </c>
      <c r="C924" s="164">
        <v>14124165</v>
      </c>
      <c r="D924" s="164" t="s">
        <v>1923</v>
      </c>
      <c r="E924" s="164" t="s">
        <v>3699</v>
      </c>
      <c r="F924" s="165">
        <v>200</v>
      </c>
    </row>
    <row r="925" spans="1:6" x14ac:dyDescent="0.2">
      <c r="A925" s="166" t="s">
        <v>3724</v>
      </c>
      <c r="B925" s="167" t="s">
        <v>2516</v>
      </c>
      <c r="C925" s="167">
        <v>14124162</v>
      </c>
      <c r="D925" s="167" t="s">
        <v>1998</v>
      </c>
      <c r="E925" s="167" t="s">
        <v>3699</v>
      </c>
      <c r="F925" s="168">
        <v>200</v>
      </c>
    </row>
    <row r="926" spans="1:6" x14ac:dyDescent="0.2">
      <c r="A926" s="163" t="s">
        <v>3724</v>
      </c>
      <c r="B926" s="164" t="s">
        <v>2516</v>
      </c>
      <c r="C926" s="164">
        <v>14124160</v>
      </c>
      <c r="D926" s="164" t="s">
        <v>1972</v>
      </c>
      <c r="E926" s="164" t="s">
        <v>3699</v>
      </c>
      <c r="F926" s="165">
        <v>200</v>
      </c>
    </row>
    <row r="927" spans="1:6" x14ac:dyDescent="0.2">
      <c r="A927" s="166" t="s">
        <v>3724</v>
      </c>
      <c r="B927" s="167" t="s">
        <v>2516</v>
      </c>
      <c r="C927" s="167">
        <v>14124157</v>
      </c>
      <c r="D927" s="167" t="s">
        <v>1918</v>
      </c>
      <c r="E927" s="167" t="s">
        <v>3699</v>
      </c>
      <c r="F927" s="168">
        <v>200</v>
      </c>
    </row>
    <row r="928" spans="1:6" x14ac:dyDescent="0.2">
      <c r="A928" s="163" t="s">
        <v>3724</v>
      </c>
      <c r="B928" s="164" t="s">
        <v>2516</v>
      </c>
      <c r="C928" s="164">
        <v>14124106</v>
      </c>
      <c r="D928" s="164" t="s">
        <v>1621</v>
      </c>
      <c r="E928" s="164" t="s">
        <v>3699</v>
      </c>
      <c r="F928" s="165">
        <v>200</v>
      </c>
    </row>
    <row r="929" spans="1:6" x14ac:dyDescent="0.2">
      <c r="A929" s="166" t="s">
        <v>3724</v>
      </c>
      <c r="B929" s="167" t="s">
        <v>2516</v>
      </c>
      <c r="C929" s="167">
        <v>14124090</v>
      </c>
      <c r="D929" s="167" t="s">
        <v>1615</v>
      </c>
      <c r="E929" s="167" t="s">
        <v>3699</v>
      </c>
      <c r="F929" s="168">
        <v>200</v>
      </c>
    </row>
    <row r="930" spans="1:6" x14ac:dyDescent="0.2">
      <c r="A930" s="163" t="s">
        <v>3724</v>
      </c>
      <c r="B930" s="164" t="s">
        <v>2516</v>
      </c>
      <c r="C930" s="164">
        <v>14124061</v>
      </c>
      <c r="D930" s="164" t="s">
        <v>1610</v>
      </c>
      <c r="E930" s="164" t="s">
        <v>3699</v>
      </c>
      <c r="F930" s="165">
        <v>200</v>
      </c>
    </row>
    <row r="931" spans="1:6" x14ac:dyDescent="0.2">
      <c r="A931" s="166" t="s">
        <v>3724</v>
      </c>
      <c r="B931" s="167" t="s">
        <v>2516</v>
      </c>
      <c r="C931" s="167">
        <v>14123770</v>
      </c>
      <c r="D931" s="167" t="s">
        <v>961</v>
      </c>
      <c r="E931" s="167" t="s">
        <v>3699</v>
      </c>
      <c r="F931" s="168">
        <v>201</v>
      </c>
    </row>
    <row r="932" spans="1:6" x14ac:dyDescent="0.2">
      <c r="A932" s="163" t="s">
        <v>3724</v>
      </c>
      <c r="B932" s="164" t="s">
        <v>2516</v>
      </c>
      <c r="C932" s="164">
        <v>14123708</v>
      </c>
      <c r="D932" s="164" t="s">
        <v>949</v>
      </c>
      <c r="E932" s="164" t="s">
        <v>3699</v>
      </c>
      <c r="F932" s="165">
        <v>200</v>
      </c>
    </row>
    <row r="933" spans="1:6" x14ac:dyDescent="0.2">
      <c r="A933" s="166" t="s">
        <v>3724</v>
      </c>
      <c r="B933" s="167" t="s">
        <v>2516</v>
      </c>
      <c r="C933" s="167">
        <v>14123704</v>
      </c>
      <c r="D933" s="167" t="s">
        <v>946</v>
      </c>
      <c r="E933" s="167" t="s">
        <v>3699</v>
      </c>
      <c r="F933" s="168">
        <v>200</v>
      </c>
    </row>
    <row r="934" spans="1:6" x14ac:dyDescent="0.2">
      <c r="A934" s="163" t="s">
        <v>3724</v>
      </c>
      <c r="B934" s="164" t="s">
        <v>2516</v>
      </c>
      <c r="C934" s="164">
        <v>14123541</v>
      </c>
      <c r="D934" s="164" t="s">
        <v>543</v>
      </c>
      <c r="E934" s="164" t="s">
        <v>3699</v>
      </c>
      <c r="F934" s="165">
        <v>201</v>
      </c>
    </row>
    <row r="935" spans="1:6" x14ac:dyDescent="0.2">
      <c r="A935" s="166" t="s">
        <v>3724</v>
      </c>
      <c r="B935" s="167" t="s">
        <v>2516</v>
      </c>
      <c r="C935" s="167">
        <v>14123375</v>
      </c>
      <c r="D935" s="167" t="s">
        <v>515</v>
      </c>
      <c r="E935" s="167" t="s">
        <v>3699</v>
      </c>
      <c r="F935" s="168">
        <v>200</v>
      </c>
    </row>
    <row r="936" spans="1:6" x14ac:dyDescent="0.2">
      <c r="A936" s="163" t="s">
        <v>3724</v>
      </c>
      <c r="B936" s="164" t="s">
        <v>2516</v>
      </c>
      <c r="C936" s="164">
        <v>14123331</v>
      </c>
      <c r="D936" s="164" t="s">
        <v>511</v>
      </c>
      <c r="E936" s="164" t="s">
        <v>3699</v>
      </c>
      <c r="F936" s="165">
        <v>200</v>
      </c>
    </row>
    <row r="937" spans="1:6" x14ac:dyDescent="0.2">
      <c r="A937" s="166" t="s">
        <v>3724</v>
      </c>
      <c r="B937" s="167" t="s">
        <v>2516</v>
      </c>
      <c r="C937" s="167">
        <v>14123238</v>
      </c>
      <c r="D937" s="167" t="s">
        <v>495</v>
      </c>
      <c r="E937" s="167" t="s">
        <v>3699</v>
      </c>
      <c r="F937" s="168">
        <v>200</v>
      </c>
    </row>
    <row r="938" spans="1:6" x14ac:dyDescent="0.2">
      <c r="A938" s="163" t="s">
        <v>3724</v>
      </c>
      <c r="B938" s="164" t="s">
        <v>2516</v>
      </c>
      <c r="C938" s="164">
        <v>14122873</v>
      </c>
      <c r="D938" s="164" t="s">
        <v>460</v>
      </c>
      <c r="E938" s="164" t="s">
        <v>3699</v>
      </c>
      <c r="F938" s="165">
        <v>200</v>
      </c>
    </row>
    <row r="939" spans="1:6" x14ac:dyDescent="0.2">
      <c r="A939" s="166" t="s">
        <v>3724</v>
      </c>
      <c r="B939" s="167" t="s">
        <v>2516</v>
      </c>
      <c r="C939" s="167">
        <v>14122809</v>
      </c>
      <c r="D939" s="167" t="s">
        <v>451</v>
      </c>
      <c r="E939" s="167" t="s">
        <v>3699</v>
      </c>
      <c r="F939" s="168">
        <v>200</v>
      </c>
    </row>
    <row r="940" spans="1:6" x14ac:dyDescent="0.2">
      <c r="A940" s="163" t="s">
        <v>3724</v>
      </c>
      <c r="B940" s="164" t="s">
        <v>2516</v>
      </c>
      <c r="C940" s="164">
        <v>14122708</v>
      </c>
      <c r="D940" s="164" t="s">
        <v>445</v>
      </c>
      <c r="E940" s="164" t="s">
        <v>3699</v>
      </c>
      <c r="F940" s="165">
        <v>150</v>
      </c>
    </row>
    <row r="941" spans="1:6" x14ac:dyDescent="0.2">
      <c r="A941" s="166" t="s">
        <v>3724</v>
      </c>
      <c r="B941" s="167" t="s">
        <v>2516</v>
      </c>
      <c r="C941" s="167">
        <v>14122706</v>
      </c>
      <c r="D941" s="167" t="s">
        <v>444</v>
      </c>
      <c r="E941" s="167" t="s">
        <v>3699</v>
      </c>
      <c r="F941" s="168">
        <v>150</v>
      </c>
    </row>
    <row r="942" spans="1:6" x14ac:dyDescent="0.2">
      <c r="A942" s="163" t="s">
        <v>3724</v>
      </c>
      <c r="B942" s="164" t="s">
        <v>2516</v>
      </c>
      <c r="C942" s="164">
        <v>14122510</v>
      </c>
      <c r="D942" s="164" t="s">
        <v>430</v>
      </c>
      <c r="E942" s="164" t="s">
        <v>3699</v>
      </c>
      <c r="F942" s="165">
        <v>200</v>
      </c>
    </row>
    <row r="943" spans="1:6" x14ac:dyDescent="0.2">
      <c r="A943" s="166" t="s">
        <v>3724</v>
      </c>
      <c r="B943" s="167" t="s">
        <v>2516</v>
      </c>
      <c r="C943" s="167">
        <v>14122419</v>
      </c>
      <c r="D943" s="167" t="s">
        <v>422</v>
      </c>
      <c r="E943" s="167" t="s">
        <v>3699</v>
      </c>
      <c r="F943" s="168">
        <v>200</v>
      </c>
    </row>
    <row r="944" spans="1:6" x14ac:dyDescent="0.2">
      <c r="A944" s="163" t="s">
        <v>3724</v>
      </c>
      <c r="B944" s="164" t="s">
        <v>2516</v>
      </c>
      <c r="C944" s="164">
        <v>14122035</v>
      </c>
      <c r="D944" s="164" t="s">
        <v>380</v>
      </c>
      <c r="E944" s="164" t="s">
        <v>3699</v>
      </c>
      <c r="F944" s="165">
        <v>201</v>
      </c>
    </row>
    <row r="945" spans="1:6" x14ac:dyDescent="0.2">
      <c r="A945" s="166" t="s">
        <v>3724</v>
      </c>
      <c r="B945" s="167" t="s">
        <v>2516</v>
      </c>
      <c r="C945" s="167">
        <v>14121153</v>
      </c>
      <c r="D945" s="167" t="s">
        <v>321</v>
      </c>
      <c r="E945" s="167" t="s">
        <v>3699</v>
      </c>
      <c r="F945" s="168">
        <v>200</v>
      </c>
    </row>
    <row r="946" spans="1:6" x14ac:dyDescent="0.2">
      <c r="A946" s="163" t="s">
        <v>3724</v>
      </c>
      <c r="B946" s="164" t="s">
        <v>2516</v>
      </c>
      <c r="C946" s="164">
        <v>14119890</v>
      </c>
      <c r="D946" s="164" t="s">
        <v>267</v>
      </c>
      <c r="E946" s="164" t="s">
        <v>3699</v>
      </c>
      <c r="F946" s="165">
        <v>200</v>
      </c>
    </row>
    <row r="947" spans="1:6" x14ac:dyDescent="0.2">
      <c r="A947" s="166" t="s">
        <v>3724</v>
      </c>
      <c r="B947" s="167" t="s">
        <v>2516</v>
      </c>
      <c r="C947" s="167">
        <v>14119837</v>
      </c>
      <c r="D947" s="167" t="s">
        <v>265</v>
      </c>
      <c r="E947" s="167" t="s">
        <v>3699</v>
      </c>
      <c r="F947" s="168">
        <v>200</v>
      </c>
    </row>
    <row r="948" spans="1:6" x14ac:dyDescent="0.2">
      <c r="A948" s="163" t="s">
        <v>3724</v>
      </c>
      <c r="B948" s="164" t="s">
        <v>2516</v>
      </c>
      <c r="C948" s="164">
        <v>14119540</v>
      </c>
      <c r="D948" s="164" t="s">
        <v>254</v>
      </c>
      <c r="E948" s="164" t="s">
        <v>3699</v>
      </c>
      <c r="F948" s="165">
        <v>200</v>
      </c>
    </row>
    <row r="949" spans="1:6" x14ac:dyDescent="0.2">
      <c r="A949" s="166" t="s">
        <v>3724</v>
      </c>
      <c r="B949" s="167" t="s">
        <v>2516</v>
      </c>
      <c r="C949" s="167">
        <v>14119154</v>
      </c>
      <c r="D949" s="167" t="s">
        <v>234</v>
      </c>
      <c r="E949" s="167" t="s">
        <v>3699</v>
      </c>
      <c r="F949" s="168">
        <v>200</v>
      </c>
    </row>
    <row r="950" spans="1:6" x14ac:dyDescent="0.2">
      <c r="A950" s="163" t="s">
        <v>3724</v>
      </c>
      <c r="B950" s="164" t="s">
        <v>2516</v>
      </c>
      <c r="C950" s="164">
        <v>14119153</v>
      </c>
      <c r="D950" s="164" t="s">
        <v>233</v>
      </c>
      <c r="E950" s="164" t="s">
        <v>3699</v>
      </c>
      <c r="F950" s="165">
        <v>200</v>
      </c>
    </row>
    <row r="951" spans="1:6" x14ac:dyDescent="0.2">
      <c r="A951" s="166" t="s">
        <v>3724</v>
      </c>
      <c r="B951" s="167" t="s">
        <v>2516</v>
      </c>
      <c r="C951" s="167">
        <v>14118620</v>
      </c>
      <c r="D951" s="167" t="s">
        <v>205</v>
      </c>
      <c r="E951" s="167" t="s">
        <v>3699</v>
      </c>
      <c r="F951" s="168">
        <v>201</v>
      </c>
    </row>
    <row r="952" spans="1:6" x14ac:dyDescent="0.2">
      <c r="A952" s="163" t="s">
        <v>3724</v>
      </c>
      <c r="B952" s="164" t="s">
        <v>2516</v>
      </c>
      <c r="C952" s="164">
        <v>14118065</v>
      </c>
      <c r="D952" s="164" t="s">
        <v>191</v>
      </c>
      <c r="E952" s="164" t="s">
        <v>3699</v>
      </c>
      <c r="F952" s="165">
        <v>150</v>
      </c>
    </row>
    <row r="953" spans="1:6" x14ac:dyDescent="0.2">
      <c r="A953" s="166" t="s">
        <v>3724</v>
      </c>
      <c r="B953" s="167" t="s">
        <v>2516</v>
      </c>
      <c r="C953" s="167">
        <v>14114667</v>
      </c>
      <c r="D953" s="167" t="s">
        <v>138</v>
      </c>
      <c r="E953" s="167" t="s">
        <v>3699</v>
      </c>
      <c r="F953" s="168">
        <v>200</v>
      </c>
    </row>
    <row r="954" spans="1:6" x14ac:dyDescent="0.2">
      <c r="A954" s="163" t="s">
        <v>3724</v>
      </c>
      <c r="B954" s="164" t="s">
        <v>2516</v>
      </c>
      <c r="C954" s="164">
        <v>14113054</v>
      </c>
      <c r="D954" s="164" t="s">
        <v>123</v>
      </c>
      <c r="E954" s="164" t="s">
        <v>3699</v>
      </c>
      <c r="F954" s="165">
        <v>201</v>
      </c>
    </row>
    <row r="955" spans="1:6" x14ac:dyDescent="0.2">
      <c r="A955" s="166" t="s">
        <v>3724</v>
      </c>
      <c r="B955" s="167" t="s">
        <v>2516</v>
      </c>
      <c r="C955" s="167">
        <v>14112757</v>
      </c>
      <c r="D955" s="167" t="s">
        <v>355</v>
      </c>
      <c r="E955" s="167" t="s">
        <v>3699</v>
      </c>
      <c r="F955" s="168">
        <v>200</v>
      </c>
    </row>
    <row r="956" spans="1:6" x14ac:dyDescent="0.2">
      <c r="A956" s="163" t="s">
        <v>3724</v>
      </c>
      <c r="B956" s="164" t="s">
        <v>2516</v>
      </c>
      <c r="C956" s="164">
        <v>14112635</v>
      </c>
      <c r="D956" s="164" t="s">
        <v>985</v>
      </c>
      <c r="E956" s="164" t="s">
        <v>3699</v>
      </c>
      <c r="F956" s="165">
        <v>201</v>
      </c>
    </row>
    <row r="957" spans="1:6" x14ac:dyDescent="0.2">
      <c r="A957" s="166" t="s">
        <v>3724</v>
      </c>
      <c r="B957" s="167" t="s">
        <v>2516</v>
      </c>
      <c r="C957" s="167">
        <v>14112588</v>
      </c>
      <c r="D957" s="167" t="s">
        <v>935</v>
      </c>
      <c r="E957" s="167" t="s">
        <v>3699</v>
      </c>
      <c r="F957" s="168">
        <v>200</v>
      </c>
    </row>
    <row r="958" spans="1:6" x14ac:dyDescent="0.2">
      <c r="A958" s="163" t="s">
        <v>3724</v>
      </c>
      <c r="B958" s="164" t="s">
        <v>2516</v>
      </c>
      <c r="C958" s="164">
        <v>14112197</v>
      </c>
      <c r="D958" s="164" t="s">
        <v>244</v>
      </c>
      <c r="E958" s="164" t="s">
        <v>3699</v>
      </c>
      <c r="F958" s="165">
        <v>201</v>
      </c>
    </row>
    <row r="959" spans="1:6" x14ac:dyDescent="0.2">
      <c r="A959" s="166" t="s">
        <v>3724</v>
      </c>
      <c r="B959" s="167" t="s">
        <v>2516</v>
      </c>
      <c r="C959" s="167">
        <v>14111678</v>
      </c>
      <c r="D959" s="167" t="s">
        <v>284</v>
      </c>
      <c r="E959" s="167" t="s">
        <v>3699</v>
      </c>
      <c r="F959" s="168">
        <v>200</v>
      </c>
    </row>
    <row r="960" spans="1:6" x14ac:dyDescent="0.2">
      <c r="A960" s="163" t="s">
        <v>3724</v>
      </c>
      <c r="B960" s="164" t="s">
        <v>2516</v>
      </c>
      <c r="C960" s="164">
        <v>14110336</v>
      </c>
      <c r="D960" s="164" t="s">
        <v>983</v>
      </c>
      <c r="E960" s="164" t="s">
        <v>3699</v>
      </c>
      <c r="F960" s="165">
        <v>200</v>
      </c>
    </row>
    <row r="961" spans="1:6" x14ac:dyDescent="0.2">
      <c r="A961" s="166" t="s">
        <v>3724</v>
      </c>
      <c r="B961" s="167" t="s">
        <v>2516</v>
      </c>
      <c r="C961" s="167">
        <v>14109874</v>
      </c>
      <c r="D961" s="167" t="s">
        <v>98</v>
      </c>
      <c r="E961" s="167" t="s">
        <v>3699</v>
      </c>
      <c r="F961" s="168">
        <v>150</v>
      </c>
    </row>
    <row r="962" spans="1:6" x14ac:dyDescent="0.2">
      <c r="A962" s="163" t="s">
        <v>3724</v>
      </c>
      <c r="B962" s="164" t="s">
        <v>2516</v>
      </c>
      <c r="C962" s="164">
        <v>14108775</v>
      </c>
      <c r="D962" s="164" t="s">
        <v>182</v>
      </c>
      <c r="E962" s="164" t="s">
        <v>3699</v>
      </c>
      <c r="F962" s="165">
        <v>150</v>
      </c>
    </row>
    <row r="963" spans="1:6" x14ac:dyDescent="0.2">
      <c r="A963" s="166" t="s">
        <v>3724</v>
      </c>
      <c r="B963" s="167" t="s">
        <v>2516</v>
      </c>
      <c r="C963" s="167">
        <v>14108361</v>
      </c>
      <c r="D963" s="167" t="s">
        <v>75</v>
      </c>
      <c r="E963" s="167" t="s">
        <v>3699</v>
      </c>
      <c r="F963" s="168">
        <v>150</v>
      </c>
    </row>
    <row r="964" spans="1:6" x14ac:dyDescent="0.2">
      <c r="A964" s="163" t="s">
        <v>3724</v>
      </c>
      <c r="B964" s="164" t="s">
        <v>2516</v>
      </c>
      <c r="C964" s="164">
        <v>14108271</v>
      </c>
      <c r="D964" s="164" t="s">
        <v>74</v>
      </c>
      <c r="E964" s="164" t="s">
        <v>3699</v>
      </c>
      <c r="F964" s="165">
        <v>200</v>
      </c>
    </row>
    <row r="965" spans="1:6" x14ac:dyDescent="0.2">
      <c r="A965" s="166" t="s">
        <v>3724</v>
      </c>
      <c r="B965" s="167" t="s">
        <v>2516</v>
      </c>
      <c r="C965" s="167">
        <v>14107271</v>
      </c>
      <c r="D965" s="167" t="s">
        <v>61</v>
      </c>
      <c r="E965" s="167" t="s">
        <v>3699</v>
      </c>
      <c r="F965" s="168">
        <v>150</v>
      </c>
    </row>
    <row r="966" spans="1:6" x14ac:dyDescent="0.2">
      <c r="A966" s="163" t="s">
        <v>3724</v>
      </c>
      <c r="B966" s="164" t="s">
        <v>2516</v>
      </c>
      <c r="C966" s="164">
        <v>14106233</v>
      </c>
      <c r="D966" s="164" t="s">
        <v>347</v>
      </c>
      <c r="E966" s="164" t="s">
        <v>3699</v>
      </c>
      <c r="F966" s="165">
        <v>200</v>
      </c>
    </row>
    <row r="967" spans="1:6" x14ac:dyDescent="0.2">
      <c r="A967" s="166" t="s">
        <v>3724</v>
      </c>
      <c r="B967" s="167" t="s">
        <v>2516</v>
      </c>
      <c r="C967" s="167">
        <v>14104932</v>
      </c>
      <c r="D967" s="167" t="s">
        <v>43</v>
      </c>
      <c r="E967" s="167" t="s">
        <v>3699</v>
      </c>
      <c r="F967" s="168">
        <v>201</v>
      </c>
    </row>
    <row r="968" spans="1:6" x14ac:dyDescent="0.2">
      <c r="A968" s="163" t="s">
        <v>3724</v>
      </c>
      <c r="B968" s="164" t="s">
        <v>2516</v>
      </c>
      <c r="C968" s="164">
        <v>14102081</v>
      </c>
      <c r="D968" s="164" t="s">
        <v>29</v>
      </c>
      <c r="E968" s="164" t="s">
        <v>3699</v>
      </c>
      <c r="F968" s="165">
        <v>200</v>
      </c>
    </row>
    <row r="969" spans="1:6" x14ac:dyDescent="0.2">
      <c r="A969" s="166" t="s">
        <v>3724</v>
      </c>
      <c r="B969" s="167" t="s">
        <v>2516</v>
      </c>
      <c r="C969" s="167">
        <v>14101984</v>
      </c>
      <c r="D969" s="167" t="s">
        <v>28</v>
      </c>
      <c r="E969" s="167" t="s">
        <v>3699</v>
      </c>
      <c r="F969" s="168">
        <v>200</v>
      </c>
    </row>
    <row r="970" spans="1:6" x14ac:dyDescent="0.2">
      <c r="A970" s="163" t="s">
        <v>3724</v>
      </c>
      <c r="B970" s="164" t="s">
        <v>2516</v>
      </c>
      <c r="C970" s="164">
        <v>14100902</v>
      </c>
      <c r="D970" s="164" t="s">
        <v>354</v>
      </c>
      <c r="E970" s="164" t="s">
        <v>3699</v>
      </c>
      <c r="F970" s="165">
        <v>200</v>
      </c>
    </row>
    <row r="971" spans="1:6" x14ac:dyDescent="0.2">
      <c r="A971" s="166" t="s">
        <v>3724</v>
      </c>
      <c r="B971" s="167" t="s">
        <v>2516</v>
      </c>
      <c r="C971" s="167">
        <v>14224259</v>
      </c>
      <c r="D971" s="167" t="s">
        <v>2385</v>
      </c>
      <c r="E971" s="167" t="s">
        <v>3699</v>
      </c>
      <c r="F971" s="168">
        <v>1000</v>
      </c>
    </row>
    <row r="972" spans="1:6" x14ac:dyDescent="0.2">
      <c r="A972" s="163" t="s">
        <v>3724</v>
      </c>
      <c r="B972" s="164" t="s">
        <v>2516</v>
      </c>
      <c r="C972" s="164">
        <v>14223590</v>
      </c>
      <c r="D972" s="164" t="s">
        <v>2379</v>
      </c>
      <c r="E972" s="164" t="s">
        <v>3699</v>
      </c>
      <c r="F972" s="165">
        <v>1000</v>
      </c>
    </row>
    <row r="973" spans="1:6" x14ac:dyDescent="0.2">
      <c r="A973" s="166" t="s">
        <v>3724</v>
      </c>
      <c r="B973" s="167" t="s">
        <v>2516</v>
      </c>
      <c r="C973" s="167">
        <v>14223379</v>
      </c>
      <c r="D973" s="167" t="s">
        <v>2378</v>
      </c>
      <c r="E973" s="167" t="s">
        <v>3699</v>
      </c>
      <c r="F973" s="168">
        <v>1000</v>
      </c>
    </row>
    <row r="974" spans="1:6" x14ac:dyDescent="0.2">
      <c r="A974" s="163" t="s">
        <v>3724</v>
      </c>
      <c r="B974" s="164" t="s">
        <v>2516</v>
      </c>
      <c r="C974" s="164">
        <v>14222576</v>
      </c>
      <c r="D974" s="164" t="s">
        <v>2375</v>
      </c>
      <c r="E974" s="164" t="s">
        <v>3699</v>
      </c>
      <c r="F974" s="165">
        <v>1000</v>
      </c>
    </row>
    <row r="975" spans="1:6" x14ac:dyDescent="0.2">
      <c r="A975" s="166" t="s">
        <v>3724</v>
      </c>
      <c r="B975" s="167" t="s">
        <v>2516</v>
      </c>
      <c r="C975" s="167">
        <v>14222163</v>
      </c>
      <c r="D975" s="167" t="s">
        <v>2374</v>
      </c>
      <c r="E975" s="167" t="s">
        <v>3699</v>
      </c>
      <c r="F975" s="168">
        <v>1000</v>
      </c>
    </row>
    <row r="976" spans="1:6" x14ac:dyDescent="0.2">
      <c r="A976" s="163" t="s">
        <v>3724</v>
      </c>
      <c r="B976" s="164" t="s">
        <v>2516</v>
      </c>
      <c r="C976" s="164">
        <v>14222082</v>
      </c>
      <c r="D976" s="164" t="s">
        <v>2373</v>
      </c>
      <c r="E976" s="164" t="s">
        <v>3699</v>
      </c>
      <c r="F976" s="165">
        <v>1000</v>
      </c>
    </row>
    <row r="977" spans="1:6" x14ac:dyDescent="0.2">
      <c r="A977" s="166" t="s">
        <v>3724</v>
      </c>
      <c r="B977" s="167" t="s">
        <v>2516</v>
      </c>
      <c r="C977" s="167">
        <v>14221921</v>
      </c>
      <c r="D977" s="167" t="s">
        <v>2372</v>
      </c>
      <c r="E977" s="167" t="s">
        <v>3699</v>
      </c>
      <c r="F977" s="168">
        <v>250</v>
      </c>
    </row>
    <row r="978" spans="1:6" x14ac:dyDescent="0.2">
      <c r="A978" s="163" t="s">
        <v>3724</v>
      </c>
      <c r="B978" s="164" t="s">
        <v>2516</v>
      </c>
      <c r="C978" s="164">
        <v>14221253</v>
      </c>
      <c r="D978" s="164" t="s">
        <v>2370</v>
      </c>
      <c r="E978" s="164" t="s">
        <v>3699</v>
      </c>
      <c r="F978" s="165">
        <v>600</v>
      </c>
    </row>
    <row r="979" spans="1:6" x14ac:dyDescent="0.2">
      <c r="A979" s="166" t="s">
        <v>3724</v>
      </c>
      <c r="B979" s="167" t="s">
        <v>2516</v>
      </c>
      <c r="C979" s="167">
        <v>14221054</v>
      </c>
      <c r="D979" s="167" t="s">
        <v>2369</v>
      </c>
      <c r="E979" s="167" t="s">
        <v>3699</v>
      </c>
      <c r="F979" s="168">
        <v>1000</v>
      </c>
    </row>
    <row r="980" spans="1:6" x14ac:dyDescent="0.2">
      <c r="A980" s="163" t="s">
        <v>3724</v>
      </c>
      <c r="B980" s="164" t="s">
        <v>2516</v>
      </c>
      <c r="C980" s="164">
        <v>14220597</v>
      </c>
      <c r="D980" s="164" t="s">
        <v>2368</v>
      </c>
      <c r="E980" s="164" t="s">
        <v>3699</v>
      </c>
      <c r="F980" s="165">
        <v>1000</v>
      </c>
    </row>
    <row r="981" spans="1:6" x14ac:dyDescent="0.2">
      <c r="A981" s="166" t="s">
        <v>3724</v>
      </c>
      <c r="B981" s="167" t="s">
        <v>2516</v>
      </c>
      <c r="C981" s="167">
        <v>14219234</v>
      </c>
      <c r="D981" s="167" t="s">
        <v>2367</v>
      </c>
      <c r="E981" s="167" t="s">
        <v>3699</v>
      </c>
      <c r="F981" s="168">
        <v>1600</v>
      </c>
    </row>
    <row r="982" spans="1:6" x14ac:dyDescent="0.2">
      <c r="A982" s="163" t="s">
        <v>3724</v>
      </c>
      <c r="B982" s="164" t="s">
        <v>2516</v>
      </c>
      <c r="C982" s="164">
        <v>14217918</v>
      </c>
      <c r="D982" s="164" t="s">
        <v>2366</v>
      </c>
      <c r="E982" s="164" t="s">
        <v>3699</v>
      </c>
      <c r="F982" s="165">
        <v>600</v>
      </c>
    </row>
    <row r="983" spans="1:6" x14ac:dyDescent="0.2">
      <c r="A983" s="166" t="s">
        <v>3724</v>
      </c>
      <c r="B983" s="167" t="s">
        <v>2516</v>
      </c>
      <c r="C983" s="167">
        <v>14217446</v>
      </c>
      <c r="D983" s="167" t="s">
        <v>2365</v>
      </c>
      <c r="E983" s="167" t="s">
        <v>3699</v>
      </c>
      <c r="F983" s="168">
        <v>1000</v>
      </c>
    </row>
    <row r="984" spans="1:6" x14ac:dyDescent="0.2">
      <c r="A984" s="163" t="s">
        <v>3724</v>
      </c>
      <c r="B984" s="164" t="s">
        <v>2516</v>
      </c>
      <c r="C984" s="164">
        <v>14217374</v>
      </c>
      <c r="D984" s="164" t="s">
        <v>2364</v>
      </c>
      <c r="E984" s="164" t="s">
        <v>3699</v>
      </c>
      <c r="F984" s="165">
        <v>250</v>
      </c>
    </row>
    <row r="985" spans="1:6" x14ac:dyDescent="0.2">
      <c r="A985" s="166" t="s">
        <v>3724</v>
      </c>
      <c r="B985" s="167" t="s">
        <v>2516</v>
      </c>
      <c r="C985" s="167">
        <v>14216184</v>
      </c>
      <c r="D985" s="167" t="s">
        <v>2362</v>
      </c>
      <c r="E985" s="167" t="s">
        <v>3699</v>
      </c>
      <c r="F985" s="168">
        <v>325</v>
      </c>
    </row>
    <row r="986" spans="1:6" x14ac:dyDescent="0.2">
      <c r="A986" s="163" t="s">
        <v>3724</v>
      </c>
      <c r="B986" s="164" t="s">
        <v>2516</v>
      </c>
      <c r="C986" s="164">
        <v>14213524</v>
      </c>
      <c r="D986" s="164" t="s">
        <v>2360</v>
      </c>
      <c r="E986" s="164" t="s">
        <v>3699</v>
      </c>
      <c r="F986" s="165">
        <v>1000</v>
      </c>
    </row>
    <row r="987" spans="1:6" x14ac:dyDescent="0.2">
      <c r="A987" s="166" t="s">
        <v>3724</v>
      </c>
      <c r="B987" s="167" t="s">
        <v>2516</v>
      </c>
      <c r="C987" s="167">
        <v>14111999</v>
      </c>
      <c r="D987" s="167" t="s">
        <v>2359</v>
      </c>
      <c r="E987" s="167" t="s">
        <v>3699</v>
      </c>
      <c r="F987" s="168">
        <v>1000</v>
      </c>
    </row>
    <row r="988" spans="1:6" x14ac:dyDescent="0.2">
      <c r="A988" s="163" t="s">
        <v>3724</v>
      </c>
      <c r="B988" s="164" t="s">
        <v>2516</v>
      </c>
      <c r="C988" s="164">
        <v>14111997</v>
      </c>
      <c r="D988" s="164" t="s">
        <v>2358</v>
      </c>
      <c r="E988" s="164" t="s">
        <v>3699</v>
      </c>
      <c r="F988" s="165">
        <v>1000</v>
      </c>
    </row>
    <row r="989" spans="1:6" x14ac:dyDescent="0.2">
      <c r="A989" s="166" t="s">
        <v>3724</v>
      </c>
      <c r="B989" s="167" t="s">
        <v>2516</v>
      </c>
      <c r="C989" s="167">
        <v>14111652</v>
      </c>
      <c r="D989" s="167" t="s">
        <v>2357</v>
      </c>
      <c r="E989" s="167" t="s">
        <v>3699</v>
      </c>
      <c r="F989" s="168">
        <v>3000</v>
      </c>
    </row>
    <row r="990" spans="1:6" x14ac:dyDescent="0.2">
      <c r="A990" s="163" t="s">
        <v>3724</v>
      </c>
      <c r="B990" s="164" t="s">
        <v>2516</v>
      </c>
      <c r="C990" s="164">
        <v>14111633</v>
      </c>
      <c r="D990" s="164" t="s">
        <v>2356</v>
      </c>
      <c r="E990" s="164" t="s">
        <v>3699</v>
      </c>
      <c r="F990" s="165">
        <v>250</v>
      </c>
    </row>
    <row r="991" spans="1:6" x14ac:dyDescent="0.2">
      <c r="A991" s="166" t="s">
        <v>3724</v>
      </c>
      <c r="B991" s="167" t="s">
        <v>2516</v>
      </c>
      <c r="C991" s="167">
        <v>14111447</v>
      </c>
      <c r="D991" s="167" t="s">
        <v>2355</v>
      </c>
      <c r="E991" s="167" t="s">
        <v>3699</v>
      </c>
      <c r="F991" s="168">
        <v>250</v>
      </c>
    </row>
    <row r="992" spans="1:6" x14ac:dyDescent="0.2">
      <c r="A992" s="163" t="s">
        <v>3724</v>
      </c>
      <c r="B992" s="164" t="s">
        <v>2516</v>
      </c>
      <c r="C992" s="164">
        <v>14111336</v>
      </c>
      <c r="D992" s="164" t="s">
        <v>2354</v>
      </c>
      <c r="E992" s="164" t="s">
        <v>3699</v>
      </c>
      <c r="F992" s="165">
        <v>1000</v>
      </c>
    </row>
    <row r="993" spans="1:6" x14ac:dyDescent="0.2">
      <c r="A993" s="166" t="s">
        <v>3724</v>
      </c>
      <c r="B993" s="167" t="s">
        <v>2516</v>
      </c>
      <c r="C993" s="167">
        <v>14111261</v>
      </c>
      <c r="D993" s="167" t="s">
        <v>2353</v>
      </c>
      <c r="E993" s="167" t="s">
        <v>3699</v>
      </c>
      <c r="F993" s="168">
        <v>1000</v>
      </c>
    </row>
    <row r="994" spans="1:6" x14ac:dyDescent="0.2">
      <c r="A994" s="163" t="s">
        <v>3724</v>
      </c>
      <c r="B994" s="164" t="s">
        <v>2516</v>
      </c>
      <c r="C994" s="164">
        <v>14108427</v>
      </c>
      <c r="D994" s="164" t="s">
        <v>2352</v>
      </c>
      <c r="E994" s="164" t="s">
        <v>3699</v>
      </c>
      <c r="F994" s="165">
        <v>250</v>
      </c>
    </row>
    <row r="995" spans="1:6" x14ac:dyDescent="0.2">
      <c r="A995" s="166" t="s">
        <v>3724</v>
      </c>
      <c r="B995" s="167" t="s">
        <v>2516</v>
      </c>
      <c r="C995" s="167">
        <v>14100913</v>
      </c>
      <c r="D995" s="167" t="s">
        <v>2346</v>
      </c>
      <c r="E995" s="167" t="s">
        <v>3699</v>
      </c>
      <c r="F995" s="168">
        <v>250</v>
      </c>
    </row>
    <row r="996" spans="1:6" x14ac:dyDescent="0.2">
      <c r="A996" s="163" t="s">
        <v>3724</v>
      </c>
      <c r="B996" s="164" t="s">
        <v>2515</v>
      </c>
      <c r="C996" s="164">
        <v>16118485</v>
      </c>
      <c r="D996" s="164" t="s">
        <v>2454</v>
      </c>
      <c r="E996" s="164" t="s">
        <v>3699</v>
      </c>
      <c r="F996" s="165">
        <v>1373</v>
      </c>
    </row>
    <row r="997" spans="1:6" x14ac:dyDescent="0.2">
      <c r="A997" s="166" t="s">
        <v>3724</v>
      </c>
      <c r="B997" s="167" t="s">
        <v>2515</v>
      </c>
      <c r="C997" s="167">
        <v>16117764</v>
      </c>
      <c r="D997" s="167" t="s">
        <v>2452</v>
      </c>
      <c r="E997" s="167" t="s">
        <v>3699</v>
      </c>
      <c r="F997" s="168">
        <v>1800</v>
      </c>
    </row>
    <row r="998" spans="1:6" x14ac:dyDescent="0.2">
      <c r="A998" s="163" t="s">
        <v>3724</v>
      </c>
      <c r="B998" s="164" t="s">
        <v>2515</v>
      </c>
      <c r="C998" s="164">
        <v>14124344</v>
      </c>
      <c r="D998" s="164" t="s">
        <v>2567</v>
      </c>
      <c r="E998" s="164" t="s">
        <v>3699</v>
      </c>
      <c r="F998" s="165">
        <v>206.9</v>
      </c>
    </row>
    <row r="999" spans="1:6" x14ac:dyDescent="0.2">
      <c r="A999" s="166" t="s">
        <v>3724</v>
      </c>
      <c r="B999" s="167" t="s">
        <v>2515</v>
      </c>
      <c r="C999" s="167">
        <v>14124320</v>
      </c>
      <c r="D999" s="167" t="s">
        <v>2404</v>
      </c>
      <c r="E999" s="167" t="s">
        <v>3699</v>
      </c>
      <c r="F999" s="168">
        <v>206.9</v>
      </c>
    </row>
    <row r="1000" spans="1:6" x14ac:dyDescent="0.2">
      <c r="A1000" s="163" t="s">
        <v>3724</v>
      </c>
      <c r="B1000" s="164" t="s">
        <v>2515</v>
      </c>
      <c r="C1000" s="164">
        <v>14123720</v>
      </c>
      <c r="D1000" s="164" t="s">
        <v>957</v>
      </c>
      <c r="E1000" s="164" t="s">
        <v>3699</v>
      </c>
      <c r="F1000" s="165">
        <v>206.9</v>
      </c>
    </row>
    <row r="1001" spans="1:6" x14ac:dyDescent="0.2">
      <c r="A1001" s="166" t="s">
        <v>3724</v>
      </c>
      <c r="B1001" s="167" t="s">
        <v>2515</v>
      </c>
      <c r="C1001" s="167">
        <v>14123445</v>
      </c>
      <c r="D1001" s="167" t="s">
        <v>518</v>
      </c>
      <c r="E1001" s="167" t="s">
        <v>3699</v>
      </c>
      <c r="F1001" s="168">
        <v>206.9</v>
      </c>
    </row>
    <row r="1002" spans="1:6" x14ac:dyDescent="0.2">
      <c r="A1002" s="163" t="s">
        <v>3724</v>
      </c>
      <c r="B1002" s="164" t="s">
        <v>2515</v>
      </c>
      <c r="C1002" s="164">
        <v>14123010</v>
      </c>
      <c r="D1002" s="164" t="s">
        <v>477</v>
      </c>
      <c r="E1002" s="164" t="s">
        <v>3699</v>
      </c>
      <c r="F1002" s="165">
        <v>206.9</v>
      </c>
    </row>
    <row r="1003" spans="1:6" x14ac:dyDescent="0.2">
      <c r="A1003" s="166" t="s">
        <v>3724</v>
      </c>
      <c r="B1003" s="167" t="s">
        <v>2515</v>
      </c>
      <c r="C1003" s="167">
        <v>14122417</v>
      </c>
      <c r="D1003" s="167" t="s">
        <v>421</v>
      </c>
      <c r="E1003" s="167" t="s">
        <v>3699</v>
      </c>
      <c r="F1003" s="168">
        <v>206.9</v>
      </c>
    </row>
    <row r="1004" spans="1:6" x14ac:dyDescent="0.2">
      <c r="A1004" s="163" t="s">
        <v>3724</v>
      </c>
      <c r="B1004" s="164" t="s">
        <v>2515</v>
      </c>
      <c r="C1004" s="164">
        <v>14122394</v>
      </c>
      <c r="D1004" s="164" t="s">
        <v>419</v>
      </c>
      <c r="E1004" s="164" t="s">
        <v>3699</v>
      </c>
      <c r="F1004" s="165">
        <v>206.9</v>
      </c>
    </row>
    <row r="1005" spans="1:6" x14ac:dyDescent="0.2">
      <c r="A1005" s="166" t="s">
        <v>3724</v>
      </c>
      <c r="B1005" s="167" t="s">
        <v>2515</v>
      </c>
      <c r="C1005" s="167">
        <v>14122355</v>
      </c>
      <c r="D1005" s="167" t="s">
        <v>417</v>
      </c>
      <c r="E1005" s="167" t="s">
        <v>3699</v>
      </c>
      <c r="F1005" s="168">
        <v>206.9</v>
      </c>
    </row>
    <row r="1006" spans="1:6" x14ac:dyDescent="0.2">
      <c r="A1006" s="163" t="s">
        <v>3724</v>
      </c>
      <c r="B1006" s="164" t="s">
        <v>2515</v>
      </c>
      <c r="C1006" s="164">
        <v>14122291</v>
      </c>
      <c r="D1006" s="164" t="s">
        <v>408</v>
      </c>
      <c r="E1006" s="164" t="s">
        <v>3699</v>
      </c>
      <c r="F1006" s="165">
        <v>206.9</v>
      </c>
    </row>
    <row r="1007" spans="1:6" x14ac:dyDescent="0.2">
      <c r="A1007" s="166" t="s">
        <v>3724</v>
      </c>
      <c r="B1007" s="167" t="s">
        <v>2515</v>
      </c>
      <c r="C1007" s="167">
        <v>14122191</v>
      </c>
      <c r="D1007" s="167" t="s">
        <v>400</v>
      </c>
      <c r="E1007" s="167" t="s">
        <v>3699</v>
      </c>
      <c r="F1007" s="168">
        <v>307.2</v>
      </c>
    </row>
    <row r="1008" spans="1:6" x14ac:dyDescent="0.2">
      <c r="A1008" s="163" t="s">
        <v>3724</v>
      </c>
      <c r="B1008" s="164" t="s">
        <v>2515</v>
      </c>
      <c r="C1008" s="164">
        <v>14122083</v>
      </c>
      <c r="D1008" s="164" t="s">
        <v>385</v>
      </c>
      <c r="E1008" s="164" t="s">
        <v>3699</v>
      </c>
      <c r="F1008" s="165">
        <v>1231.03</v>
      </c>
    </row>
    <row r="1009" spans="1:6" x14ac:dyDescent="0.2">
      <c r="A1009" s="166" t="s">
        <v>3724</v>
      </c>
      <c r="B1009" s="167" t="s">
        <v>2515</v>
      </c>
      <c r="C1009" s="167">
        <v>14121856</v>
      </c>
      <c r="D1009" s="167" t="s">
        <v>365</v>
      </c>
      <c r="E1009" s="167" t="s">
        <v>3699</v>
      </c>
      <c r="F1009" s="168">
        <v>206.9</v>
      </c>
    </row>
    <row r="1010" spans="1:6" x14ac:dyDescent="0.2">
      <c r="A1010" s="163" t="s">
        <v>3724</v>
      </c>
      <c r="B1010" s="164" t="s">
        <v>2515</v>
      </c>
      <c r="C1010" s="164">
        <v>14121809</v>
      </c>
      <c r="D1010" s="164" t="s">
        <v>362</v>
      </c>
      <c r="E1010" s="164" t="s">
        <v>3699</v>
      </c>
      <c r="F1010" s="165">
        <v>206.9</v>
      </c>
    </row>
    <row r="1011" spans="1:6" x14ac:dyDescent="0.2">
      <c r="A1011" s="166" t="s">
        <v>3724</v>
      </c>
      <c r="B1011" s="167" t="s">
        <v>2515</v>
      </c>
      <c r="C1011" s="167">
        <v>14121766</v>
      </c>
      <c r="D1011" s="167" t="s">
        <v>358</v>
      </c>
      <c r="E1011" s="167" t="s">
        <v>3699</v>
      </c>
      <c r="F1011" s="168">
        <v>206.9</v>
      </c>
    </row>
    <row r="1012" spans="1:6" x14ac:dyDescent="0.2">
      <c r="A1012" s="163" t="s">
        <v>3724</v>
      </c>
      <c r="B1012" s="164" t="s">
        <v>2515</v>
      </c>
      <c r="C1012" s="164">
        <v>14121756</v>
      </c>
      <c r="D1012" s="164" t="s">
        <v>357</v>
      </c>
      <c r="E1012" s="164" t="s">
        <v>3699</v>
      </c>
      <c r="F1012" s="165">
        <v>206.9</v>
      </c>
    </row>
    <row r="1013" spans="1:6" x14ac:dyDescent="0.2">
      <c r="A1013" s="166" t="s">
        <v>3724</v>
      </c>
      <c r="B1013" s="167" t="s">
        <v>2515</v>
      </c>
      <c r="C1013" s="167">
        <v>14121523</v>
      </c>
      <c r="D1013" s="167" t="s">
        <v>338</v>
      </c>
      <c r="E1013" s="167" t="s">
        <v>3699</v>
      </c>
      <c r="F1013" s="168">
        <v>206.9</v>
      </c>
    </row>
    <row r="1014" spans="1:6" x14ac:dyDescent="0.2">
      <c r="A1014" s="163" t="s">
        <v>3724</v>
      </c>
      <c r="B1014" s="164" t="s">
        <v>2515</v>
      </c>
      <c r="C1014" s="164">
        <v>14120655</v>
      </c>
      <c r="D1014" s="164" t="s">
        <v>296</v>
      </c>
      <c r="E1014" s="164" t="s">
        <v>3699</v>
      </c>
      <c r="F1014" s="165">
        <v>1509.6</v>
      </c>
    </row>
    <row r="1015" spans="1:6" x14ac:dyDescent="0.2">
      <c r="A1015" s="166" t="s">
        <v>3724</v>
      </c>
      <c r="B1015" s="167" t="s">
        <v>2515</v>
      </c>
      <c r="C1015" s="167">
        <v>14118887</v>
      </c>
      <c r="D1015" s="167" t="s">
        <v>220</v>
      </c>
      <c r="E1015" s="167" t="s">
        <v>3699</v>
      </c>
      <c r="F1015" s="168">
        <v>307.2</v>
      </c>
    </row>
    <row r="1016" spans="1:6" x14ac:dyDescent="0.2">
      <c r="A1016" s="163" t="s">
        <v>3724</v>
      </c>
      <c r="B1016" s="164" t="s">
        <v>2515</v>
      </c>
      <c r="C1016" s="164">
        <v>14118640</v>
      </c>
      <c r="D1016" s="164" t="s">
        <v>209</v>
      </c>
      <c r="E1016" s="164" t="s">
        <v>3699</v>
      </c>
      <c r="F1016" s="165">
        <v>206.9</v>
      </c>
    </row>
    <row r="1017" spans="1:6" x14ac:dyDescent="0.2">
      <c r="A1017" s="166" t="s">
        <v>3724</v>
      </c>
      <c r="B1017" s="167" t="s">
        <v>2515</v>
      </c>
      <c r="C1017" s="167">
        <v>14118028</v>
      </c>
      <c r="D1017" s="167" t="s">
        <v>189</v>
      </c>
      <c r="E1017" s="167" t="s">
        <v>3699</v>
      </c>
      <c r="F1017" s="168">
        <v>1663.2</v>
      </c>
    </row>
    <row r="1018" spans="1:6" x14ac:dyDescent="0.2">
      <c r="A1018" s="163" t="s">
        <v>3724</v>
      </c>
      <c r="B1018" s="164" t="s">
        <v>2515</v>
      </c>
      <c r="C1018" s="164">
        <v>14116431</v>
      </c>
      <c r="D1018" s="164" t="s">
        <v>163</v>
      </c>
      <c r="E1018" s="164" t="s">
        <v>3699</v>
      </c>
      <c r="F1018" s="165">
        <v>206.9</v>
      </c>
    </row>
    <row r="1019" spans="1:6" x14ac:dyDescent="0.2">
      <c r="A1019" s="166" t="s">
        <v>3724</v>
      </c>
      <c r="B1019" s="167" t="s">
        <v>2515</v>
      </c>
      <c r="C1019" s="167">
        <v>14115917</v>
      </c>
      <c r="D1019" s="167" t="s">
        <v>151</v>
      </c>
      <c r="E1019" s="167" t="s">
        <v>3699</v>
      </c>
      <c r="F1019" s="168">
        <v>206.9</v>
      </c>
    </row>
    <row r="1020" spans="1:6" x14ac:dyDescent="0.2">
      <c r="A1020" s="163" t="s">
        <v>3724</v>
      </c>
      <c r="B1020" s="164" t="s">
        <v>2515</v>
      </c>
      <c r="C1020" s="164">
        <v>14115820</v>
      </c>
      <c r="D1020" s="164" t="s">
        <v>148</v>
      </c>
      <c r="E1020" s="164" t="s">
        <v>3699</v>
      </c>
      <c r="F1020" s="165">
        <v>307.2</v>
      </c>
    </row>
    <row r="1021" spans="1:6" x14ac:dyDescent="0.2">
      <c r="A1021" s="166" t="s">
        <v>3724</v>
      </c>
      <c r="B1021" s="167" t="s">
        <v>2515</v>
      </c>
      <c r="C1021" s="167">
        <v>14114037</v>
      </c>
      <c r="D1021" s="167" t="s">
        <v>184</v>
      </c>
      <c r="E1021" s="167" t="s">
        <v>3699</v>
      </c>
      <c r="F1021" s="168">
        <v>1524.41</v>
      </c>
    </row>
    <row r="1022" spans="1:6" x14ac:dyDescent="0.2">
      <c r="A1022" s="163" t="s">
        <v>3724</v>
      </c>
      <c r="B1022" s="164" t="s">
        <v>2515</v>
      </c>
      <c r="C1022" s="164">
        <v>14110550</v>
      </c>
      <c r="D1022" s="164" t="s">
        <v>104</v>
      </c>
      <c r="E1022" s="164" t="s">
        <v>3699</v>
      </c>
      <c r="F1022" s="165">
        <v>320.69</v>
      </c>
    </row>
    <row r="1023" spans="1:6" x14ac:dyDescent="0.2">
      <c r="A1023" s="166" t="s">
        <v>3724</v>
      </c>
      <c r="B1023" s="167" t="s">
        <v>2515</v>
      </c>
      <c r="C1023" s="167">
        <v>14110506</v>
      </c>
      <c r="D1023" s="167" t="s">
        <v>427</v>
      </c>
      <c r="E1023" s="167" t="s">
        <v>3699</v>
      </c>
      <c r="F1023" s="168">
        <v>206.9</v>
      </c>
    </row>
    <row r="1024" spans="1:6" x14ac:dyDescent="0.2">
      <c r="A1024" s="163" t="s">
        <v>3724</v>
      </c>
      <c r="B1024" s="164" t="s">
        <v>2515</v>
      </c>
      <c r="C1024" s="164">
        <v>14110042</v>
      </c>
      <c r="D1024" s="164" t="s">
        <v>335</v>
      </c>
      <c r="E1024" s="164" t="s">
        <v>3699</v>
      </c>
      <c r="F1024" s="165">
        <v>206.9</v>
      </c>
    </row>
    <row r="1025" spans="1:6" x14ac:dyDescent="0.2">
      <c r="A1025" s="166" t="s">
        <v>3724</v>
      </c>
      <c r="B1025" s="167" t="s">
        <v>2515</v>
      </c>
      <c r="C1025" s="167">
        <v>14109802</v>
      </c>
      <c r="D1025" s="167" t="s">
        <v>96</v>
      </c>
      <c r="E1025" s="167" t="s">
        <v>3699</v>
      </c>
      <c r="F1025" s="168">
        <v>153.6</v>
      </c>
    </row>
    <row r="1026" spans="1:6" x14ac:dyDescent="0.2">
      <c r="A1026" s="163" t="s">
        <v>3724</v>
      </c>
      <c r="B1026" s="164" t="s">
        <v>2515</v>
      </c>
      <c r="C1026" s="164">
        <v>14108552</v>
      </c>
      <c r="D1026" s="164" t="s">
        <v>314</v>
      </c>
      <c r="E1026" s="164" t="s">
        <v>3699</v>
      </c>
      <c r="F1026" s="165">
        <v>678</v>
      </c>
    </row>
    <row r="1027" spans="1:6" x14ac:dyDescent="0.2">
      <c r="A1027" s="166" t="s">
        <v>3724</v>
      </c>
      <c r="B1027" s="167" t="s">
        <v>2515</v>
      </c>
      <c r="C1027" s="167">
        <v>14108267</v>
      </c>
      <c r="D1027" s="167" t="s">
        <v>73</v>
      </c>
      <c r="E1027" s="167" t="s">
        <v>3699</v>
      </c>
      <c r="F1027" s="168">
        <v>615.52</v>
      </c>
    </row>
    <row r="1028" spans="1:6" x14ac:dyDescent="0.2">
      <c r="A1028" s="163" t="s">
        <v>3724</v>
      </c>
      <c r="B1028" s="164" t="s">
        <v>2515</v>
      </c>
      <c r="C1028" s="164">
        <v>14100727</v>
      </c>
      <c r="D1028" s="164" t="s">
        <v>14</v>
      </c>
      <c r="E1028" s="164" t="s">
        <v>3699</v>
      </c>
      <c r="F1028" s="165">
        <v>206.9</v>
      </c>
    </row>
    <row r="1029" spans="1:6" x14ac:dyDescent="0.2">
      <c r="A1029" s="166" t="s">
        <v>3724</v>
      </c>
      <c r="B1029" s="167" t="s">
        <v>2515</v>
      </c>
      <c r="C1029" s="167">
        <v>14221921</v>
      </c>
      <c r="D1029" s="167" t="s">
        <v>2372</v>
      </c>
      <c r="E1029" s="167" t="s">
        <v>3699</v>
      </c>
      <c r="F1029" s="168">
        <v>758.28</v>
      </c>
    </row>
    <row r="1030" spans="1:6" x14ac:dyDescent="0.2">
      <c r="A1030" s="163" t="s">
        <v>3724</v>
      </c>
      <c r="B1030" s="164" t="s">
        <v>2515</v>
      </c>
      <c r="C1030" s="164">
        <v>14217374</v>
      </c>
      <c r="D1030" s="164" t="s">
        <v>2364</v>
      </c>
      <c r="E1030" s="164" t="s">
        <v>3699</v>
      </c>
      <c r="F1030" s="165">
        <v>1516.56</v>
      </c>
    </row>
    <row r="1031" spans="1:6" x14ac:dyDescent="0.2">
      <c r="A1031" s="166" t="s">
        <v>3724</v>
      </c>
      <c r="B1031" s="167" t="s">
        <v>2515</v>
      </c>
      <c r="C1031" s="167">
        <v>14108427</v>
      </c>
      <c r="D1031" s="167" t="s">
        <v>2352</v>
      </c>
      <c r="E1031" s="167" t="s">
        <v>3699</v>
      </c>
      <c r="F1031" s="168">
        <v>758.28</v>
      </c>
    </row>
    <row r="1032" spans="1:6" x14ac:dyDescent="0.2">
      <c r="A1032" s="163" t="s">
        <v>3724</v>
      </c>
      <c r="B1032" s="164" t="s">
        <v>2515</v>
      </c>
      <c r="C1032" s="164">
        <v>14100913</v>
      </c>
      <c r="D1032" s="164" t="s">
        <v>2346</v>
      </c>
      <c r="E1032" s="164" t="s">
        <v>3699</v>
      </c>
      <c r="F1032" s="165">
        <v>758.28</v>
      </c>
    </row>
    <row r="1033" spans="1:6" x14ac:dyDescent="0.2">
      <c r="A1033" s="166" t="s">
        <v>3724</v>
      </c>
      <c r="B1033" s="167" t="s">
        <v>3725</v>
      </c>
      <c r="C1033" s="167">
        <v>16122376</v>
      </c>
      <c r="D1033" s="167" t="s">
        <v>2479</v>
      </c>
      <c r="E1033" s="167" t="s">
        <v>3699</v>
      </c>
      <c r="F1033" s="168">
        <v>900</v>
      </c>
    </row>
    <row r="1034" spans="1:6" x14ac:dyDescent="0.2">
      <c r="A1034" s="163" t="s">
        <v>3724</v>
      </c>
      <c r="B1034" s="164" t="s">
        <v>3725</v>
      </c>
      <c r="C1034" s="164">
        <v>16121844</v>
      </c>
      <c r="D1034" s="164" t="s">
        <v>2472</v>
      </c>
      <c r="E1034" s="164" t="s">
        <v>3699</v>
      </c>
      <c r="F1034" s="165">
        <v>800</v>
      </c>
    </row>
    <row r="1035" spans="1:6" x14ac:dyDescent="0.2">
      <c r="A1035" s="166" t="s">
        <v>3724</v>
      </c>
      <c r="B1035" s="167" t="s">
        <v>3725</v>
      </c>
      <c r="C1035" s="167">
        <v>16121373</v>
      </c>
      <c r="D1035" s="167" t="s">
        <v>2470</v>
      </c>
      <c r="E1035" s="167" t="s">
        <v>3699</v>
      </c>
      <c r="F1035" s="168">
        <v>375</v>
      </c>
    </row>
    <row r="1036" spans="1:6" x14ac:dyDescent="0.2">
      <c r="A1036" s="163" t="s">
        <v>3724</v>
      </c>
      <c r="B1036" s="164" t="s">
        <v>3725</v>
      </c>
      <c r="C1036" s="164">
        <v>16119354</v>
      </c>
      <c r="D1036" s="164" t="s">
        <v>2462</v>
      </c>
      <c r="E1036" s="164" t="s">
        <v>3699</v>
      </c>
      <c r="F1036" s="165">
        <v>100</v>
      </c>
    </row>
    <row r="1037" spans="1:6" x14ac:dyDescent="0.2">
      <c r="A1037" s="166" t="s">
        <v>3724</v>
      </c>
      <c r="B1037" s="167" t="s">
        <v>3725</v>
      </c>
      <c r="C1037" s="167">
        <v>16118963</v>
      </c>
      <c r="D1037" s="167" t="s">
        <v>2459</v>
      </c>
      <c r="E1037" s="167" t="s">
        <v>3699</v>
      </c>
      <c r="F1037" s="168">
        <v>1275</v>
      </c>
    </row>
    <row r="1038" spans="1:6" x14ac:dyDescent="0.2">
      <c r="A1038" s="163" t="s">
        <v>3724</v>
      </c>
      <c r="B1038" s="164" t="s">
        <v>3725</v>
      </c>
      <c r="C1038" s="164">
        <v>16118421</v>
      </c>
      <c r="D1038" s="164" t="s">
        <v>2453</v>
      </c>
      <c r="E1038" s="164" t="s">
        <v>3699</v>
      </c>
      <c r="F1038" s="165">
        <v>300</v>
      </c>
    </row>
    <row r="1039" spans="1:6" x14ac:dyDescent="0.2">
      <c r="A1039" s="166" t="s">
        <v>3724</v>
      </c>
      <c r="B1039" s="167" t="s">
        <v>3725</v>
      </c>
      <c r="C1039" s="167">
        <v>16116202</v>
      </c>
      <c r="D1039" s="167" t="s">
        <v>2447</v>
      </c>
      <c r="E1039" s="167" t="s">
        <v>3699</v>
      </c>
      <c r="F1039" s="168">
        <v>800</v>
      </c>
    </row>
    <row r="1040" spans="1:6" x14ac:dyDescent="0.2">
      <c r="A1040" s="163" t="s">
        <v>3724</v>
      </c>
      <c r="B1040" s="164" t="s">
        <v>3725</v>
      </c>
      <c r="C1040" s="164">
        <v>16115586</v>
      </c>
      <c r="D1040" s="164" t="s">
        <v>2443</v>
      </c>
      <c r="E1040" s="164" t="s">
        <v>3699</v>
      </c>
      <c r="F1040" s="165">
        <v>500</v>
      </c>
    </row>
    <row r="1041" spans="1:6" x14ac:dyDescent="0.2">
      <c r="A1041" s="166" t="s">
        <v>3724</v>
      </c>
      <c r="B1041" s="167" t="s">
        <v>3725</v>
      </c>
      <c r="C1041" s="167">
        <v>16114991</v>
      </c>
      <c r="D1041" s="167" t="s">
        <v>2440</v>
      </c>
      <c r="E1041" s="167" t="s">
        <v>3699</v>
      </c>
      <c r="F1041" s="168">
        <v>1950</v>
      </c>
    </row>
    <row r="1042" spans="1:6" x14ac:dyDescent="0.2">
      <c r="A1042" s="163" t="s">
        <v>3724</v>
      </c>
      <c r="B1042" s="164" t="s">
        <v>3725</v>
      </c>
      <c r="C1042" s="164">
        <v>16112068</v>
      </c>
      <c r="D1042" s="164" t="s">
        <v>2432</v>
      </c>
      <c r="E1042" s="164" t="s">
        <v>3699</v>
      </c>
      <c r="F1042" s="165">
        <v>2350</v>
      </c>
    </row>
    <row r="1043" spans="1:6" x14ac:dyDescent="0.2">
      <c r="A1043" s="166" t="s">
        <v>3724</v>
      </c>
      <c r="B1043" s="167" t="s">
        <v>3725</v>
      </c>
      <c r="C1043" s="167">
        <v>16110177</v>
      </c>
      <c r="D1043" s="167" t="s">
        <v>2429</v>
      </c>
      <c r="E1043" s="167" t="s">
        <v>3699</v>
      </c>
      <c r="F1043" s="168">
        <v>500</v>
      </c>
    </row>
    <row r="1044" spans="1:6" x14ac:dyDescent="0.2">
      <c r="A1044" s="163" t="s">
        <v>3724</v>
      </c>
      <c r="B1044" s="164" t="s">
        <v>3725</v>
      </c>
      <c r="C1044" s="164">
        <v>16105115</v>
      </c>
      <c r="D1044" s="164" t="s">
        <v>2422</v>
      </c>
      <c r="E1044" s="164" t="s">
        <v>3699</v>
      </c>
      <c r="F1044" s="165">
        <v>600</v>
      </c>
    </row>
    <row r="1045" spans="1:6" x14ac:dyDescent="0.2">
      <c r="A1045" s="166" t="s">
        <v>3724</v>
      </c>
      <c r="B1045" s="167" t="s">
        <v>3725</v>
      </c>
      <c r="C1045" s="167">
        <v>16101382</v>
      </c>
      <c r="D1045" s="167" t="s">
        <v>2412</v>
      </c>
      <c r="E1045" s="167" t="s">
        <v>3699</v>
      </c>
      <c r="F1045" s="168">
        <v>1400</v>
      </c>
    </row>
    <row r="1046" spans="1:6" x14ac:dyDescent="0.2">
      <c r="A1046" s="163" t="s">
        <v>3724</v>
      </c>
      <c r="B1046" s="164" t="s">
        <v>3725</v>
      </c>
      <c r="C1046" s="164">
        <v>16101324</v>
      </c>
      <c r="D1046" s="164" t="s">
        <v>2409</v>
      </c>
      <c r="E1046" s="164" t="s">
        <v>3699</v>
      </c>
      <c r="F1046" s="165">
        <v>2000</v>
      </c>
    </row>
    <row r="1047" spans="1:6" x14ac:dyDescent="0.2">
      <c r="A1047" s="166" t="s">
        <v>3724</v>
      </c>
      <c r="B1047" s="167" t="s">
        <v>3725</v>
      </c>
      <c r="C1047" s="167">
        <v>16101291</v>
      </c>
      <c r="D1047" s="167" t="s">
        <v>2405</v>
      </c>
      <c r="E1047" s="167" t="s">
        <v>3699</v>
      </c>
      <c r="F1047" s="168">
        <v>500</v>
      </c>
    </row>
    <row r="1048" spans="1:6" x14ac:dyDescent="0.2">
      <c r="A1048" s="163" t="s">
        <v>3724</v>
      </c>
      <c r="B1048" s="164" t="s">
        <v>3725</v>
      </c>
      <c r="C1048" s="164">
        <v>14124406</v>
      </c>
      <c r="D1048" s="164" t="s">
        <v>2591</v>
      </c>
      <c r="E1048" s="164" t="s">
        <v>3699</v>
      </c>
      <c r="F1048" s="165">
        <v>100</v>
      </c>
    </row>
    <row r="1049" spans="1:6" x14ac:dyDescent="0.2">
      <c r="A1049" s="166" t="s">
        <v>3724</v>
      </c>
      <c r="B1049" s="167" t="s">
        <v>3725</v>
      </c>
      <c r="C1049" s="167">
        <v>14124286</v>
      </c>
      <c r="D1049" s="167" t="s">
        <v>2401</v>
      </c>
      <c r="E1049" s="167" t="s">
        <v>3699</v>
      </c>
      <c r="F1049" s="168">
        <v>100</v>
      </c>
    </row>
    <row r="1050" spans="1:6" x14ac:dyDescent="0.2">
      <c r="A1050" s="163" t="s">
        <v>3724</v>
      </c>
      <c r="B1050" s="164" t="s">
        <v>3725</v>
      </c>
      <c r="C1050" s="164">
        <v>14124263</v>
      </c>
      <c r="D1050" s="164" t="s">
        <v>2400</v>
      </c>
      <c r="E1050" s="164" t="s">
        <v>3699</v>
      </c>
      <c r="F1050" s="165">
        <v>400</v>
      </c>
    </row>
    <row r="1051" spans="1:6" x14ac:dyDescent="0.2">
      <c r="A1051" s="166" t="s">
        <v>3724</v>
      </c>
      <c r="B1051" s="167" t="s">
        <v>3725</v>
      </c>
      <c r="C1051" s="167">
        <v>14124189</v>
      </c>
      <c r="D1051" s="167" t="s">
        <v>2390</v>
      </c>
      <c r="E1051" s="167" t="s">
        <v>3699</v>
      </c>
      <c r="F1051" s="168">
        <v>300</v>
      </c>
    </row>
    <row r="1052" spans="1:6" x14ac:dyDescent="0.2">
      <c r="A1052" s="163" t="s">
        <v>3724</v>
      </c>
      <c r="B1052" s="164" t="s">
        <v>3725</v>
      </c>
      <c r="C1052" s="164">
        <v>14124185</v>
      </c>
      <c r="D1052" s="164" t="s">
        <v>2018</v>
      </c>
      <c r="E1052" s="164" t="s">
        <v>3699</v>
      </c>
      <c r="F1052" s="165">
        <v>100</v>
      </c>
    </row>
    <row r="1053" spans="1:6" x14ac:dyDescent="0.2">
      <c r="A1053" s="166" t="s">
        <v>3724</v>
      </c>
      <c r="B1053" s="167" t="s">
        <v>3725</v>
      </c>
      <c r="C1053" s="167">
        <v>14124162</v>
      </c>
      <c r="D1053" s="167" t="s">
        <v>1998</v>
      </c>
      <c r="E1053" s="167" t="s">
        <v>3699</v>
      </c>
      <c r="F1053" s="168">
        <v>100</v>
      </c>
    </row>
    <row r="1054" spans="1:6" x14ac:dyDescent="0.2">
      <c r="A1054" s="163" t="s">
        <v>3724</v>
      </c>
      <c r="B1054" s="164" t="s">
        <v>3725</v>
      </c>
      <c r="C1054" s="164">
        <v>14124160</v>
      </c>
      <c r="D1054" s="164" t="s">
        <v>1972</v>
      </c>
      <c r="E1054" s="164" t="s">
        <v>3699</v>
      </c>
      <c r="F1054" s="165">
        <v>200</v>
      </c>
    </row>
    <row r="1055" spans="1:6" x14ac:dyDescent="0.2">
      <c r="A1055" s="166" t="s">
        <v>3724</v>
      </c>
      <c r="B1055" s="167" t="s">
        <v>3725</v>
      </c>
      <c r="C1055" s="167">
        <v>14124091</v>
      </c>
      <c r="D1055" s="167" t="s">
        <v>1617</v>
      </c>
      <c r="E1055" s="167" t="s">
        <v>3699</v>
      </c>
      <c r="F1055" s="168">
        <v>100</v>
      </c>
    </row>
    <row r="1056" spans="1:6" x14ac:dyDescent="0.2">
      <c r="A1056" s="163" t="s">
        <v>3724</v>
      </c>
      <c r="B1056" s="164" t="s">
        <v>3725</v>
      </c>
      <c r="C1056" s="164">
        <v>14124041</v>
      </c>
      <c r="D1056" s="164" t="s">
        <v>1009</v>
      </c>
      <c r="E1056" s="164" t="s">
        <v>3699</v>
      </c>
      <c r="F1056" s="165">
        <v>500</v>
      </c>
    </row>
    <row r="1057" spans="1:6" x14ac:dyDescent="0.2">
      <c r="A1057" s="166" t="s">
        <v>3724</v>
      </c>
      <c r="B1057" s="167" t="s">
        <v>3725</v>
      </c>
      <c r="C1057" s="167">
        <v>14123951</v>
      </c>
      <c r="D1057" s="167" t="s">
        <v>996</v>
      </c>
      <c r="E1057" s="167" t="s">
        <v>3699</v>
      </c>
      <c r="F1057" s="168">
        <v>400</v>
      </c>
    </row>
    <row r="1058" spans="1:6" x14ac:dyDescent="0.2">
      <c r="A1058" s="163" t="s">
        <v>3724</v>
      </c>
      <c r="B1058" s="164" t="s">
        <v>3725</v>
      </c>
      <c r="C1058" s="164">
        <v>14123919</v>
      </c>
      <c r="D1058" s="164" t="s">
        <v>990</v>
      </c>
      <c r="E1058" s="164" t="s">
        <v>3699</v>
      </c>
      <c r="F1058" s="165">
        <v>100</v>
      </c>
    </row>
    <row r="1059" spans="1:6" x14ac:dyDescent="0.2">
      <c r="A1059" s="166" t="s">
        <v>3724</v>
      </c>
      <c r="B1059" s="167" t="s">
        <v>3725</v>
      </c>
      <c r="C1059" s="167">
        <v>14123894</v>
      </c>
      <c r="D1059" s="167" t="s">
        <v>982</v>
      </c>
      <c r="E1059" s="167" t="s">
        <v>3699</v>
      </c>
      <c r="F1059" s="168">
        <v>100</v>
      </c>
    </row>
    <row r="1060" spans="1:6" x14ac:dyDescent="0.2">
      <c r="A1060" s="163" t="s">
        <v>3724</v>
      </c>
      <c r="B1060" s="164" t="s">
        <v>3725</v>
      </c>
      <c r="C1060" s="164">
        <v>14123885</v>
      </c>
      <c r="D1060" s="164" t="s">
        <v>979</v>
      </c>
      <c r="E1060" s="164" t="s">
        <v>3699</v>
      </c>
      <c r="F1060" s="165">
        <v>200</v>
      </c>
    </row>
    <row r="1061" spans="1:6" x14ac:dyDescent="0.2">
      <c r="A1061" s="166" t="s">
        <v>3724</v>
      </c>
      <c r="B1061" s="167" t="s">
        <v>3725</v>
      </c>
      <c r="C1061" s="167">
        <v>14123846</v>
      </c>
      <c r="D1061" s="167" t="s">
        <v>975</v>
      </c>
      <c r="E1061" s="167" t="s">
        <v>3699</v>
      </c>
      <c r="F1061" s="168">
        <v>100</v>
      </c>
    </row>
    <row r="1062" spans="1:6" x14ac:dyDescent="0.2">
      <c r="A1062" s="163" t="s">
        <v>3724</v>
      </c>
      <c r="B1062" s="164" t="s">
        <v>3725</v>
      </c>
      <c r="C1062" s="164">
        <v>14123770</v>
      </c>
      <c r="D1062" s="164" t="s">
        <v>961</v>
      </c>
      <c r="E1062" s="164" t="s">
        <v>3699</v>
      </c>
      <c r="F1062" s="165">
        <v>200</v>
      </c>
    </row>
    <row r="1063" spans="1:6" x14ac:dyDescent="0.2">
      <c r="A1063" s="166" t="s">
        <v>3724</v>
      </c>
      <c r="B1063" s="167" t="s">
        <v>3725</v>
      </c>
      <c r="C1063" s="167">
        <v>14123651</v>
      </c>
      <c r="D1063" s="167" t="s">
        <v>909</v>
      </c>
      <c r="E1063" s="167" t="s">
        <v>3699</v>
      </c>
      <c r="F1063" s="168">
        <v>700</v>
      </c>
    </row>
    <row r="1064" spans="1:6" x14ac:dyDescent="0.2">
      <c r="A1064" s="163" t="s">
        <v>3724</v>
      </c>
      <c r="B1064" s="164" t="s">
        <v>3725</v>
      </c>
      <c r="C1064" s="164">
        <v>14123568</v>
      </c>
      <c r="D1064" s="164" t="s">
        <v>547</v>
      </c>
      <c r="E1064" s="164" t="s">
        <v>3699</v>
      </c>
      <c r="F1064" s="165">
        <v>100</v>
      </c>
    </row>
    <row r="1065" spans="1:6" x14ac:dyDescent="0.2">
      <c r="A1065" s="166" t="s">
        <v>3724</v>
      </c>
      <c r="B1065" s="167" t="s">
        <v>3725</v>
      </c>
      <c r="C1065" s="167">
        <v>14123559</v>
      </c>
      <c r="D1065" s="167" t="s">
        <v>545</v>
      </c>
      <c r="E1065" s="167" t="s">
        <v>3699</v>
      </c>
      <c r="F1065" s="168">
        <v>1400</v>
      </c>
    </row>
    <row r="1066" spans="1:6" x14ac:dyDescent="0.2">
      <c r="A1066" s="163" t="s">
        <v>3724</v>
      </c>
      <c r="B1066" s="164" t="s">
        <v>3725</v>
      </c>
      <c r="C1066" s="164">
        <v>14123541</v>
      </c>
      <c r="D1066" s="164" t="s">
        <v>543</v>
      </c>
      <c r="E1066" s="164" t="s">
        <v>3699</v>
      </c>
      <c r="F1066" s="165">
        <v>200</v>
      </c>
    </row>
    <row r="1067" spans="1:6" x14ac:dyDescent="0.2">
      <c r="A1067" s="166" t="s">
        <v>3724</v>
      </c>
      <c r="B1067" s="167" t="s">
        <v>3725</v>
      </c>
      <c r="C1067" s="167">
        <v>14123530</v>
      </c>
      <c r="D1067" s="167" t="s">
        <v>541</v>
      </c>
      <c r="E1067" s="167" t="s">
        <v>3699</v>
      </c>
      <c r="F1067" s="168">
        <v>200</v>
      </c>
    </row>
    <row r="1068" spans="1:6" x14ac:dyDescent="0.2">
      <c r="A1068" s="163" t="s">
        <v>3724</v>
      </c>
      <c r="B1068" s="164" t="s">
        <v>3725</v>
      </c>
      <c r="C1068" s="164">
        <v>14123447</v>
      </c>
      <c r="D1068" s="164" t="s">
        <v>520</v>
      </c>
      <c r="E1068" s="164" t="s">
        <v>3699</v>
      </c>
      <c r="F1068" s="165">
        <v>100</v>
      </c>
    </row>
    <row r="1069" spans="1:6" x14ac:dyDescent="0.2">
      <c r="A1069" s="166" t="s">
        <v>3724</v>
      </c>
      <c r="B1069" s="167" t="s">
        <v>3725</v>
      </c>
      <c r="C1069" s="167">
        <v>14123377</v>
      </c>
      <c r="D1069" s="167" t="s">
        <v>516</v>
      </c>
      <c r="E1069" s="167" t="s">
        <v>3699</v>
      </c>
      <c r="F1069" s="168">
        <v>100</v>
      </c>
    </row>
    <row r="1070" spans="1:6" x14ac:dyDescent="0.2">
      <c r="A1070" s="163" t="s">
        <v>3724</v>
      </c>
      <c r="B1070" s="164" t="s">
        <v>3725</v>
      </c>
      <c r="C1070" s="164">
        <v>14123375</v>
      </c>
      <c r="D1070" s="164" t="s">
        <v>515</v>
      </c>
      <c r="E1070" s="164" t="s">
        <v>3699</v>
      </c>
      <c r="F1070" s="165">
        <v>100</v>
      </c>
    </row>
    <row r="1071" spans="1:6" x14ac:dyDescent="0.2">
      <c r="A1071" s="166" t="s">
        <v>3724</v>
      </c>
      <c r="B1071" s="167" t="s">
        <v>3725</v>
      </c>
      <c r="C1071" s="167">
        <v>14123334</v>
      </c>
      <c r="D1071" s="167" t="s">
        <v>513</v>
      </c>
      <c r="E1071" s="167" t="s">
        <v>3699</v>
      </c>
      <c r="F1071" s="168">
        <v>200</v>
      </c>
    </row>
    <row r="1072" spans="1:6" x14ac:dyDescent="0.2">
      <c r="A1072" s="163" t="s">
        <v>3724</v>
      </c>
      <c r="B1072" s="164" t="s">
        <v>3725</v>
      </c>
      <c r="C1072" s="164">
        <v>14123107</v>
      </c>
      <c r="D1072" s="164" t="s">
        <v>487</v>
      </c>
      <c r="E1072" s="164" t="s">
        <v>3699</v>
      </c>
      <c r="F1072" s="165">
        <v>800</v>
      </c>
    </row>
    <row r="1073" spans="1:6" x14ac:dyDescent="0.2">
      <c r="A1073" s="166" t="s">
        <v>3724</v>
      </c>
      <c r="B1073" s="167" t="s">
        <v>3725</v>
      </c>
      <c r="C1073" s="167">
        <v>14122992</v>
      </c>
      <c r="D1073" s="167" t="s">
        <v>472</v>
      </c>
      <c r="E1073" s="167" t="s">
        <v>3699</v>
      </c>
      <c r="F1073" s="168">
        <v>100</v>
      </c>
    </row>
    <row r="1074" spans="1:6" x14ac:dyDescent="0.2">
      <c r="A1074" s="163" t="s">
        <v>3724</v>
      </c>
      <c r="B1074" s="164" t="s">
        <v>3725</v>
      </c>
      <c r="C1074" s="164">
        <v>14122925</v>
      </c>
      <c r="D1074" s="164" t="s">
        <v>467</v>
      </c>
      <c r="E1074" s="164" t="s">
        <v>3699</v>
      </c>
      <c r="F1074" s="165">
        <v>100</v>
      </c>
    </row>
    <row r="1075" spans="1:6" x14ac:dyDescent="0.2">
      <c r="A1075" s="166" t="s">
        <v>3724</v>
      </c>
      <c r="B1075" s="167" t="s">
        <v>3725</v>
      </c>
      <c r="C1075" s="167">
        <v>14122873</v>
      </c>
      <c r="D1075" s="167" t="s">
        <v>460</v>
      </c>
      <c r="E1075" s="167" t="s">
        <v>3699</v>
      </c>
      <c r="F1075" s="168">
        <v>200</v>
      </c>
    </row>
    <row r="1076" spans="1:6" x14ac:dyDescent="0.2">
      <c r="A1076" s="163" t="s">
        <v>3724</v>
      </c>
      <c r="B1076" s="164" t="s">
        <v>3725</v>
      </c>
      <c r="C1076" s="164">
        <v>14122871</v>
      </c>
      <c r="D1076" s="164" t="s">
        <v>459</v>
      </c>
      <c r="E1076" s="164" t="s">
        <v>3699</v>
      </c>
      <c r="F1076" s="165">
        <v>200</v>
      </c>
    </row>
    <row r="1077" spans="1:6" x14ac:dyDescent="0.2">
      <c r="A1077" s="166" t="s">
        <v>3724</v>
      </c>
      <c r="B1077" s="167" t="s">
        <v>3725</v>
      </c>
      <c r="C1077" s="167">
        <v>14122855</v>
      </c>
      <c r="D1077" s="167" t="s">
        <v>457</v>
      </c>
      <c r="E1077" s="167" t="s">
        <v>3699</v>
      </c>
      <c r="F1077" s="168">
        <v>300</v>
      </c>
    </row>
    <row r="1078" spans="1:6" x14ac:dyDescent="0.2">
      <c r="A1078" s="163" t="s">
        <v>3724</v>
      </c>
      <c r="B1078" s="164" t="s">
        <v>3725</v>
      </c>
      <c r="C1078" s="164">
        <v>14122709</v>
      </c>
      <c r="D1078" s="164" t="s">
        <v>446</v>
      </c>
      <c r="E1078" s="164" t="s">
        <v>3699</v>
      </c>
      <c r="F1078" s="165">
        <v>300</v>
      </c>
    </row>
    <row r="1079" spans="1:6" x14ac:dyDescent="0.2">
      <c r="A1079" s="166" t="s">
        <v>3724</v>
      </c>
      <c r="B1079" s="167" t="s">
        <v>3725</v>
      </c>
      <c r="C1079" s="167">
        <v>14122683</v>
      </c>
      <c r="D1079" s="167" t="s">
        <v>441</v>
      </c>
      <c r="E1079" s="167" t="s">
        <v>3699</v>
      </c>
      <c r="F1079" s="168">
        <v>800</v>
      </c>
    </row>
    <row r="1080" spans="1:6" x14ac:dyDescent="0.2">
      <c r="A1080" s="163" t="s">
        <v>3724</v>
      </c>
      <c r="B1080" s="164" t="s">
        <v>3725</v>
      </c>
      <c r="C1080" s="164">
        <v>14122510</v>
      </c>
      <c r="D1080" s="164" t="s">
        <v>430</v>
      </c>
      <c r="E1080" s="164" t="s">
        <v>3699</v>
      </c>
      <c r="F1080" s="165">
        <v>200</v>
      </c>
    </row>
    <row r="1081" spans="1:6" x14ac:dyDescent="0.2">
      <c r="A1081" s="166" t="s">
        <v>3724</v>
      </c>
      <c r="B1081" s="167" t="s">
        <v>3725</v>
      </c>
      <c r="C1081" s="167">
        <v>14122416</v>
      </c>
      <c r="D1081" s="167" t="s">
        <v>420</v>
      </c>
      <c r="E1081" s="167" t="s">
        <v>3699</v>
      </c>
      <c r="F1081" s="168">
        <v>400</v>
      </c>
    </row>
    <row r="1082" spans="1:6" x14ac:dyDescent="0.2">
      <c r="A1082" s="163" t="s">
        <v>3724</v>
      </c>
      <c r="B1082" s="164" t="s">
        <v>3725</v>
      </c>
      <c r="C1082" s="164">
        <v>14122320</v>
      </c>
      <c r="D1082" s="164" t="s">
        <v>411</v>
      </c>
      <c r="E1082" s="164" t="s">
        <v>3699</v>
      </c>
      <c r="F1082" s="165">
        <v>800</v>
      </c>
    </row>
    <row r="1083" spans="1:6" x14ac:dyDescent="0.2">
      <c r="A1083" s="166" t="s">
        <v>3724</v>
      </c>
      <c r="B1083" s="167" t="s">
        <v>3725</v>
      </c>
      <c r="C1083" s="167">
        <v>14122221</v>
      </c>
      <c r="D1083" s="167" t="s">
        <v>402</v>
      </c>
      <c r="E1083" s="167" t="s">
        <v>3699</v>
      </c>
      <c r="F1083" s="168">
        <v>1300</v>
      </c>
    </row>
    <row r="1084" spans="1:6" x14ac:dyDescent="0.2">
      <c r="A1084" s="163" t="s">
        <v>3724</v>
      </c>
      <c r="B1084" s="164" t="s">
        <v>3725</v>
      </c>
      <c r="C1084" s="164">
        <v>14122194</v>
      </c>
      <c r="D1084" s="164" t="s">
        <v>401</v>
      </c>
      <c r="E1084" s="164" t="s">
        <v>3699</v>
      </c>
      <c r="F1084" s="165">
        <v>300</v>
      </c>
    </row>
    <row r="1085" spans="1:6" x14ac:dyDescent="0.2">
      <c r="A1085" s="166" t="s">
        <v>3724</v>
      </c>
      <c r="B1085" s="167" t="s">
        <v>3725</v>
      </c>
      <c r="C1085" s="167">
        <v>14122136</v>
      </c>
      <c r="D1085" s="167" t="s">
        <v>392</v>
      </c>
      <c r="E1085" s="167" t="s">
        <v>3699</v>
      </c>
      <c r="F1085" s="168">
        <v>100</v>
      </c>
    </row>
    <row r="1086" spans="1:6" x14ac:dyDescent="0.2">
      <c r="A1086" s="163" t="s">
        <v>3724</v>
      </c>
      <c r="B1086" s="164" t="s">
        <v>3725</v>
      </c>
      <c r="C1086" s="164">
        <v>14122103</v>
      </c>
      <c r="D1086" s="164" t="s">
        <v>389</v>
      </c>
      <c r="E1086" s="164" t="s">
        <v>3699</v>
      </c>
      <c r="F1086" s="165">
        <v>200</v>
      </c>
    </row>
    <row r="1087" spans="1:6" x14ac:dyDescent="0.2">
      <c r="A1087" s="166" t="s">
        <v>3724</v>
      </c>
      <c r="B1087" s="167" t="s">
        <v>3725</v>
      </c>
      <c r="C1087" s="167">
        <v>14122094</v>
      </c>
      <c r="D1087" s="167" t="s">
        <v>386</v>
      </c>
      <c r="E1087" s="167" t="s">
        <v>3699</v>
      </c>
      <c r="F1087" s="168">
        <v>100</v>
      </c>
    </row>
    <row r="1088" spans="1:6" x14ac:dyDescent="0.2">
      <c r="A1088" s="163" t="s">
        <v>3724</v>
      </c>
      <c r="B1088" s="164" t="s">
        <v>3725</v>
      </c>
      <c r="C1088" s="164">
        <v>14122073</v>
      </c>
      <c r="D1088" s="164" t="s">
        <v>383</v>
      </c>
      <c r="E1088" s="164" t="s">
        <v>3699</v>
      </c>
      <c r="F1088" s="165">
        <v>200</v>
      </c>
    </row>
    <row r="1089" spans="1:6" x14ac:dyDescent="0.2">
      <c r="A1089" s="166" t="s">
        <v>3724</v>
      </c>
      <c r="B1089" s="167" t="s">
        <v>3725</v>
      </c>
      <c r="C1089" s="167">
        <v>14122067</v>
      </c>
      <c r="D1089" s="167" t="s">
        <v>381</v>
      </c>
      <c r="E1089" s="167" t="s">
        <v>3699</v>
      </c>
      <c r="F1089" s="168">
        <v>400</v>
      </c>
    </row>
    <row r="1090" spans="1:6" x14ac:dyDescent="0.2">
      <c r="A1090" s="163" t="s">
        <v>3724</v>
      </c>
      <c r="B1090" s="164" t="s">
        <v>3725</v>
      </c>
      <c r="C1090" s="164">
        <v>14122035</v>
      </c>
      <c r="D1090" s="164" t="s">
        <v>380</v>
      </c>
      <c r="E1090" s="164" t="s">
        <v>3699</v>
      </c>
      <c r="F1090" s="165">
        <v>400</v>
      </c>
    </row>
    <row r="1091" spans="1:6" x14ac:dyDescent="0.2">
      <c r="A1091" s="166" t="s">
        <v>3724</v>
      </c>
      <c r="B1091" s="167" t="s">
        <v>3725</v>
      </c>
      <c r="C1091" s="167">
        <v>14121985</v>
      </c>
      <c r="D1091" s="167" t="s">
        <v>376</v>
      </c>
      <c r="E1091" s="167" t="s">
        <v>3699</v>
      </c>
      <c r="F1091" s="168">
        <v>100</v>
      </c>
    </row>
    <row r="1092" spans="1:6" x14ac:dyDescent="0.2">
      <c r="A1092" s="163" t="s">
        <v>3724</v>
      </c>
      <c r="B1092" s="164" t="s">
        <v>3725</v>
      </c>
      <c r="C1092" s="164">
        <v>14121860</v>
      </c>
      <c r="D1092" s="164" t="s">
        <v>367</v>
      </c>
      <c r="E1092" s="164" t="s">
        <v>3699</v>
      </c>
      <c r="F1092" s="165">
        <v>100</v>
      </c>
    </row>
    <row r="1093" spans="1:6" x14ac:dyDescent="0.2">
      <c r="A1093" s="166" t="s">
        <v>3724</v>
      </c>
      <c r="B1093" s="167" t="s">
        <v>3725</v>
      </c>
      <c r="C1093" s="167">
        <v>14121571</v>
      </c>
      <c r="D1093" s="167" t="s">
        <v>342</v>
      </c>
      <c r="E1093" s="167" t="s">
        <v>3699</v>
      </c>
      <c r="F1093" s="168">
        <v>100</v>
      </c>
    </row>
    <row r="1094" spans="1:6" x14ac:dyDescent="0.2">
      <c r="A1094" s="163" t="s">
        <v>3724</v>
      </c>
      <c r="B1094" s="164" t="s">
        <v>3725</v>
      </c>
      <c r="C1094" s="164">
        <v>14121523</v>
      </c>
      <c r="D1094" s="164" t="s">
        <v>338</v>
      </c>
      <c r="E1094" s="164" t="s">
        <v>3699</v>
      </c>
      <c r="F1094" s="165">
        <v>400</v>
      </c>
    </row>
    <row r="1095" spans="1:6" x14ac:dyDescent="0.2">
      <c r="A1095" s="166" t="s">
        <v>3724</v>
      </c>
      <c r="B1095" s="167" t="s">
        <v>3725</v>
      </c>
      <c r="C1095" s="167">
        <v>14121522</v>
      </c>
      <c r="D1095" s="167" t="s">
        <v>337</v>
      </c>
      <c r="E1095" s="167" t="s">
        <v>3699</v>
      </c>
      <c r="F1095" s="168">
        <v>800</v>
      </c>
    </row>
    <row r="1096" spans="1:6" x14ac:dyDescent="0.2">
      <c r="A1096" s="163" t="s">
        <v>3724</v>
      </c>
      <c r="B1096" s="164" t="s">
        <v>3725</v>
      </c>
      <c r="C1096" s="164">
        <v>14121104</v>
      </c>
      <c r="D1096" s="164" t="s">
        <v>313</v>
      </c>
      <c r="E1096" s="164" t="s">
        <v>3699</v>
      </c>
      <c r="F1096" s="165">
        <v>500</v>
      </c>
    </row>
    <row r="1097" spans="1:6" x14ac:dyDescent="0.2">
      <c r="A1097" s="166" t="s">
        <v>3724</v>
      </c>
      <c r="B1097" s="167" t="s">
        <v>3725</v>
      </c>
      <c r="C1097" s="167">
        <v>14121013</v>
      </c>
      <c r="D1097" s="167" t="s">
        <v>310</v>
      </c>
      <c r="E1097" s="167" t="s">
        <v>3699</v>
      </c>
      <c r="F1097" s="168">
        <v>1200</v>
      </c>
    </row>
    <row r="1098" spans="1:6" x14ac:dyDescent="0.2">
      <c r="A1098" s="163" t="s">
        <v>3724</v>
      </c>
      <c r="B1098" s="164" t="s">
        <v>3725</v>
      </c>
      <c r="C1098" s="164">
        <v>14120925</v>
      </c>
      <c r="D1098" s="164" t="s">
        <v>309</v>
      </c>
      <c r="E1098" s="164" t="s">
        <v>3699</v>
      </c>
      <c r="F1098" s="165">
        <v>300</v>
      </c>
    </row>
    <row r="1099" spans="1:6" x14ac:dyDescent="0.2">
      <c r="A1099" s="166" t="s">
        <v>3724</v>
      </c>
      <c r="B1099" s="167" t="s">
        <v>3725</v>
      </c>
      <c r="C1099" s="167">
        <v>14120789</v>
      </c>
      <c r="D1099" s="167" t="s">
        <v>302</v>
      </c>
      <c r="E1099" s="167" t="s">
        <v>3699</v>
      </c>
      <c r="F1099" s="168">
        <v>100</v>
      </c>
    </row>
    <row r="1100" spans="1:6" x14ac:dyDescent="0.2">
      <c r="A1100" s="163" t="s">
        <v>3724</v>
      </c>
      <c r="B1100" s="164" t="s">
        <v>3725</v>
      </c>
      <c r="C1100" s="164">
        <v>14120788</v>
      </c>
      <c r="D1100" s="164" t="s">
        <v>301</v>
      </c>
      <c r="E1100" s="164" t="s">
        <v>3699</v>
      </c>
      <c r="F1100" s="165">
        <v>100</v>
      </c>
    </row>
    <row r="1101" spans="1:6" x14ac:dyDescent="0.2">
      <c r="A1101" s="166" t="s">
        <v>3724</v>
      </c>
      <c r="B1101" s="167" t="s">
        <v>3725</v>
      </c>
      <c r="C1101" s="167">
        <v>14120611</v>
      </c>
      <c r="D1101" s="167" t="s">
        <v>292</v>
      </c>
      <c r="E1101" s="167" t="s">
        <v>3699</v>
      </c>
      <c r="F1101" s="168">
        <v>100</v>
      </c>
    </row>
    <row r="1102" spans="1:6" x14ac:dyDescent="0.2">
      <c r="A1102" s="163" t="s">
        <v>3724</v>
      </c>
      <c r="B1102" s="164" t="s">
        <v>3725</v>
      </c>
      <c r="C1102" s="164">
        <v>14120196</v>
      </c>
      <c r="D1102" s="164" t="s">
        <v>280</v>
      </c>
      <c r="E1102" s="164" t="s">
        <v>3699</v>
      </c>
      <c r="F1102" s="165">
        <v>100</v>
      </c>
    </row>
    <row r="1103" spans="1:6" x14ac:dyDescent="0.2">
      <c r="A1103" s="166" t="s">
        <v>3724</v>
      </c>
      <c r="B1103" s="167" t="s">
        <v>3725</v>
      </c>
      <c r="C1103" s="167">
        <v>14120041</v>
      </c>
      <c r="D1103" s="167" t="s">
        <v>273</v>
      </c>
      <c r="E1103" s="167" t="s">
        <v>3699</v>
      </c>
      <c r="F1103" s="168">
        <v>200</v>
      </c>
    </row>
    <row r="1104" spans="1:6" x14ac:dyDescent="0.2">
      <c r="A1104" s="163" t="s">
        <v>3724</v>
      </c>
      <c r="B1104" s="164" t="s">
        <v>3725</v>
      </c>
      <c r="C1104" s="164">
        <v>14119956</v>
      </c>
      <c r="D1104" s="164" t="s">
        <v>270</v>
      </c>
      <c r="E1104" s="164" t="s">
        <v>3699</v>
      </c>
      <c r="F1104" s="165">
        <v>100</v>
      </c>
    </row>
    <row r="1105" spans="1:6" x14ac:dyDescent="0.2">
      <c r="A1105" s="166" t="s">
        <v>3724</v>
      </c>
      <c r="B1105" s="167" t="s">
        <v>3725</v>
      </c>
      <c r="C1105" s="167">
        <v>14119751</v>
      </c>
      <c r="D1105" s="167" t="s">
        <v>258</v>
      </c>
      <c r="E1105" s="167" t="s">
        <v>3699</v>
      </c>
      <c r="F1105" s="168">
        <v>100</v>
      </c>
    </row>
    <row r="1106" spans="1:6" x14ac:dyDescent="0.2">
      <c r="A1106" s="163" t="s">
        <v>3724</v>
      </c>
      <c r="B1106" s="164" t="s">
        <v>3725</v>
      </c>
      <c r="C1106" s="164">
        <v>14119481</v>
      </c>
      <c r="D1106" s="164" t="s">
        <v>248</v>
      </c>
      <c r="E1106" s="164" t="s">
        <v>3699</v>
      </c>
      <c r="F1106" s="165">
        <v>500</v>
      </c>
    </row>
    <row r="1107" spans="1:6" x14ac:dyDescent="0.2">
      <c r="A1107" s="166" t="s">
        <v>3724</v>
      </c>
      <c r="B1107" s="167" t="s">
        <v>3725</v>
      </c>
      <c r="C1107" s="167">
        <v>14119155</v>
      </c>
      <c r="D1107" s="167" t="s">
        <v>235</v>
      </c>
      <c r="E1107" s="167" t="s">
        <v>3699</v>
      </c>
      <c r="F1107" s="168">
        <v>400</v>
      </c>
    </row>
    <row r="1108" spans="1:6" x14ac:dyDescent="0.2">
      <c r="A1108" s="163" t="s">
        <v>3724</v>
      </c>
      <c r="B1108" s="164" t="s">
        <v>3725</v>
      </c>
      <c r="C1108" s="164">
        <v>14119154</v>
      </c>
      <c r="D1108" s="164" t="s">
        <v>234</v>
      </c>
      <c r="E1108" s="164" t="s">
        <v>3699</v>
      </c>
      <c r="F1108" s="165">
        <v>300</v>
      </c>
    </row>
    <row r="1109" spans="1:6" x14ac:dyDescent="0.2">
      <c r="A1109" s="166" t="s">
        <v>3724</v>
      </c>
      <c r="B1109" s="167" t="s">
        <v>3725</v>
      </c>
      <c r="C1109" s="167">
        <v>14119057</v>
      </c>
      <c r="D1109" s="167" t="s">
        <v>231</v>
      </c>
      <c r="E1109" s="167" t="s">
        <v>3699</v>
      </c>
      <c r="F1109" s="168">
        <v>400</v>
      </c>
    </row>
    <row r="1110" spans="1:6" x14ac:dyDescent="0.2">
      <c r="A1110" s="163" t="s">
        <v>3724</v>
      </c>
      <c r="B1110" s="164" t="s">
        <v>3725</v>
      </c>
      <c r="C1110" s="164">
        <v>14119018</v>
      </c>
      <c r="D1110" s="164" t="s">
        <v>230</v>
      </c>
      <c r="E1110" s="164" t="s">
        <v>3699</v>
      </c>
      <c r="F1110" s="165">
        <v>100</v>
      </c>
    </row>
    <row r="1111" spans="1:6" x14ac:dyDescent="0.2">
      <c r="A1111" s="166" t="s">
        <v>3724</v>
      </c>
      <c r="B1111" s="167" t="s">
        <v>3725</v>
      </c>
      <c r="C1111" s="167">
        <v>14119017</v>
      </c>
      <c r="D1111" s="167" t="s">
        <v>229</v>
      </c>
      <c r="E1111" s="167" t="s">
        <v>3699</v>
      </c>
      <c r="F1111" s="168">
        <v>200</v>
      </c>
    </row>
    <row r="1112" spans="1:6" x14ac:dyDescent="0.2">
      <c r="A1112" s="163" t="s">
        <v>3724</v>
      </c>
      <c r="B1112" s="164" t="s">
        <v>3725</v>
      </c>
      <c r="C1112" s="164">
        <v>14118811</v>
      </c>
      <c r="D1112" s="164" t="s">
        <v>217</v>
      </c>
      <c r="E1112" s="164" t="s">
        <v>3699</v>
      </c>
      <c r="F1112" s="165">
        <v>300</v>
      </c>
    </row>
    <row r="1113" spans="1:6" x14ac:dyDescent="0.2">
      <c r="A1113" s="166" t="s">
        <v>3724</v>
      </c>
      <c r="B1113" s="167" t="s">
        <v>3725</v>
      </c>
      <c r="C1113" s="167">
        <v>14118397</v>
      </c>
      <c r="D1113" s="167" t="s">
        <v>200</v>
      </c>
      <c r="E1113" s="167" t="s">
        <v>3699</v>
      </c>
      <c r="F1113" s="168">
        <v>300</v>
      </c>
    </row>
    <row r="1114" spans="1:6" x14ac:dyDescent="0.2">
      <c r="A1114" s="163" t="s">
        <v>3724</v>
      </c>
      <c r="B1114" s="164" t="s">
        <v>3725</v>
      </c>
      <c r="C1114" s="164">
        <v>14117967</v>
      </c>
      <c r="D1114" s="164" t="s">
        <v>186</v>
      </c>
      <c r="E1114" s="164" t="s">
        <v>3699</v>
      </c>
      <c r="F1114" s="165">
        <v>800</v>
      </c>
    </row>
    <row r="1115" spans="1:6" x14ac:dyDescent="0.2">
      <c r="A1115" s="166" t="s">
        <v>3724</v>
      </c>
      <c r="B1115" s="167" t="s">
        <v>3725</v>
      </c>
      <c r="C1115" s="167">
        <v>14117509</v>
      </c>
      <c r="D1115" s="167" t="s">
        <v>237</v>
      </c>
      <c r="E1115" s="167" t="s">
        <v>3699</v>
      </c>
      <c r="F1115" s="168">
        <v>800</v>
      </c>
    </row>
    <row r="1116" spans="1:6" x14ac:dyDescent="0.2">
      <c r="A1116" s="163" t="s">
        <v>3724</v>
      </c>
      <c r="B1116" s="164" t="s">
        <v>3725</v>
      </c>
      <c r="C1116" s="164">
        <v>14117297</v>
      </c>
      <c r="D1116" s="164" t="s">
        <v>178</v>
      </c>
      <c r="E1116" s="164" t="s">
        <v>3699</v>
      </c>
      <c r="F1116" s="165">
        <v>400</v>
      </c>
    </row>
    <row r="1117" spans="1:6" x14ac:dyDescent="0.2">
      <c r="A1117" s="166" t="s">
        <v>3724</v>
      </c>
      <c r="B1117" s="167" t="s">
        <v>3725</v>
      </c>
      <c r="C1117" s="167">
        <v>14117158</v>
      </c>
      <c r="D1117" s="167" t="s">
        <v>176</v>
      </c>
      <c r="E1117" s="167" t="s">
        <v>3699</v>
      </c>
      <c r="F1117" s="168">
        <v>200</v>
      </c>
    </row>
    <row r="1118" spans="1:6" x14ac:dyDescent="0.2">
      <c r="A1118" s="163" t="s">
        <v>3724</v>
      </c>
      <c r="B1118" s="164" t="s">
        <v>3725</v>
      </c>
      <c r="C1118" s="164">
        <v>14117157</v>
      </c>
      <c r="D1118" s="164" t="s">
        <v>246</v>
      </c>
      <c r="E1118" s="164" t="s">
        <v>3699</v>
      </c>
      <c r="F1118" s="165">
        <v>100</v>
      </c>
    </row>
    <row r="1119" spans="1:6" x14ac:dyDescent="0.2">
      <c r="A1119" s="166" t="s">
        <v>3724</v>
      </c>
      <c r="B1119" s="167" t="s">
        <v>3725</v>
      </c>
      <c r="C1119" s="167">
        <v>14116917</v>
      </c>
      <c r="D1119" s="167" t="s">
        <v>174</v>
      </c>
      <c r="E1119" s="167" t="s">
        <v>3699</v>
      </c>
      <c r="F1119" s="168">
        <v>200</v>
      </c>
    </row>
    <row r="1120" spans="1:6" x14ac:dyDescent="0.2">
      <c r="A1120" s="163" t="s">
        <v>3724</v>
      </c>
      <c r="B1120" s="164" t="s">
        <v>3725</v>
      </c>
      <c r="C1120" s="164">
        <v>14116855</v>
      </c>
      <c r="D1120" s="164" t="s">
        <v>171</v>
      </c>
      <c r="E1120" s="164" t="s">
        <v>3699</v>
      </c>
      <c r="F1120" s="165">
        <v>100</v>
      </c>
    </row>
    <row r="1121" spans="1:6" x14ac:dyDescent="0.2">
      <c r="A1121" s="166" t="s">
        <v>3724</v>
      </c>
      <c r="B1121" s="167" t="s">
        <v>3725</v>
      </c>
      <c r="C1121" s="167">
        <v>14116853</v>
      </c>
      <c r="D1121" s="167" t="s">
        <v>256</v>
      </c>
      <c r="E1121" s="167" t="s">
        <v>3699</v>
      </c>
      <c r="F1121" s="168">
        <v>300</v>
      </c>
    </row>
    <row r="1122" spans="1:6" x14ac:dyDescent="0.2">
      <c r="A1122" s="163" t="s">
        <v>3724</v>
      </c>
      <c r="B1122" s="164" t="s">
        <v>3725</v>
      </c>
      <c r="C1122" s="164">
        <v>14116564</v>
      </c>
      <c r="D1122" s="164" t="s">
        <v>167</v>
      </c>
      <c r="E1122" s="164" t="s">
        <v>3699</v>
      </c>
      <c r="F1122" s="165">
        <v>800</v>
      </c>
    </row>
    <row r="1123" spans="1:6" x14ac:dyDescent="0.2">
      <c r="A1123" s="166" t="s">
        <v>3724</v>
      </c>
      <c r="B1123" s="167" t="s">
        <v>3725</v>
      </c>
      <c r="C1123" s="167">
        <v>14115917</v>
      </c>
      <c r="D1123" s="167" t="s">
        <v>151</v>
      </c>
      <c r="E1123" s="167" t="s">
        <v>3699</v>
      </c>
      <c r="F1123" s="168">
        <v>100</v>
      </c>
    </row>
    <row r="1124" spans="1:6" x14ac:dyDescent="0.2">
      <c r="A1124" s="163" t="s">
        <v>3724</v>
      </c>
      <c r="B1124" s="164" t="s">
        <v>3725</v>
      </c>
      <c r="C1124" s="164">
        <v>14115435</v>
      </c>
      <c r="D1124" s="164" t="s">
        <v>143</v>
      </c>
      <c r="E1124" s="164" t="s">
        <v>3699</v>
      </c>
      <c r="F1124" s="165">
        <v>100</v>
      </c>
    </row>
    <row r="1125" spans="1:6" x14ac:dyDescent="0.2">
      <c r="A1125" s="166" t="s">
        <v>3724</v>
      </c>
      <c r="B1125" s="167" t="s">
        <v>3725</v>
      </c>
      <c r="C1125" s="167">
        <v>14115136</v>
      </c>
      <c r="D1125" s="167" t="s">
        <v>140</v>
      </c>
      <c r="E1125" s="167" t="s">
        <v>3699</v>
      </c>
      <c r="F1125" s="168">
        <v>1600</v>
      </c>
    </row>
    <row r="1126" spans="1:6" x14ac:dyDescent="0.2">
      <c r="A1126" s="163" t="s">
        <v>3724</v>
      </c>
      <c r="B1126" s="164" t="s">
        <v>3725</v>
      </c>
      <c r="C1126" s="164">
        <v>14114667</v>
      </c>
      <c r="D1126" s="164" t="s">
        <v>138</v>
      </c>
      <c r="E1126" s="164" t="s">
        <v>3699</v>
      </c>
      <c r="F1126" s="165">
        <v>200</v>
      </c>
    </row>
    <row r="1127" spans="1:6" x14ac:dyDescent="0.2">
      <c r="A1127" s="166" t="s">
        <v>3724</v>
      </c>
      <c r="B1127" s="167" t="s">
        <v>3725</v>
      </c>
      <c r="C1127" s="167">
        <v>14114062</v>
      </c>
      <c r="D1127" s="167" t="s">
        <v>134</v>
      </c>
      <c r="E1127" s="167" t="s">
        <v>3699</v>
      </c>
      <c r="F1127" s="168">
        <v>300</v>
      </c>
    </row>
    <row r="1128" spans="1:6" x14ac:dyDescent="0.2">
      <c r="A1128" s="163" t="s">
        <v>3724</v>
      </c>
      <c r="B1128" s="164" t="s">
        <v>3725</v>
      </c>
      <c r="C1128" s="164">
        <v>14113200</v>
      </c>
      <c r="D1128" s="164" t="s">
        <v>126</v>
      </c>
      <c r="E1128" s="164" t="s">
        <v>3699</v>
      </c>
      <c r="F1128" s="165">
        <v>1000</v>
      </c>
    </row>
    <row r="1129" spans="1:6" x14ac:dyDescent="0.2">
      <c r="A1129" s="166" t="s">
        <v>3724</v>
      </c>
      <c r="B1129" s="167" t="s">
        <v>3725</v>
      </c>
      <c r="C1129" s="167">
        <v>14113056</v>
      </c>
      <c r="D1129" s="167" t="s">
        <v>236</v>
      </c>
      <c r="E1129" s="167" t="s">
        <v>3699</v>
      </c>
      <c r="F1129" s="168">
        <v>100</v>
      </c>
    </row>
    <row r="1130" spans="1:6" x14ac:dyDescent="0.2">
      <c r="A1130" s="163" t="s">
        <v>3724</v>
      </c>
      <c r="B1130" s="164" t="s">
        <v>3725</v>
      </c>
      <c r="C1130" s="164">
        <v>14112757</v>
      </c>
      <c r="D1130" s="164" t="s">
        <v>355</v>
      </c>
      <c r="E1130" s="164" t="s">
        <v>3699</v>
      </c>
      <c r="F1130" s="165">
        <v>200</v>
      </c>
    </row>
    <row r="1131" spans="1:6" x14ac:dyDescent="0.2">
      <c r="A1131" s="166" t="s">
        <v>3724</v>
      </c>
      <c r="B1131" s="167" t="s">
        <v>3725</v>
      </c>
      <c r="C1131" s="167">
        <v>14112605</v>
      </c>
      <c r="D1131" s="167" t="s">
        <v>121</v>
      </c>
      <c r="E1131" s="167" t="s">
        <v>3699</v>
      </c>
      <c r="F1131" s="168">
        <v>500</v>
      </c>
    </row>
    <row r="1132" spans="1:6" x14ac:dyDescent="0.2">
      <c r="A1132" s="163" t="s">
        <v>3724</v>
      </c>
      <c r="B1132" s="164" t="s">
        <v>3725</v>
      </c>
      <c r="C1132" s="164">
        <v>14112603</v>
      </c>
      <c r="D1132" s="164" t="s">
        <v>120</v>
      </c>
      <c r="E1132" s="164" t="s">
        <v>3699</v>
      </c>
      <c r="F1132" s="165">
        <v>300</v>
      </c>
    </row>
    <row r="1133" spans="1:6" x14ac:dyDescent="0.2">
      <c r="A1133" s="166" t="s">
        <v>3724</v>
      </c>
      <c r="B1133" s="167" t="s">
        <v>3725</v>
      </c>
      <c r="C1133" s="167">
        <v>14112597</v>
      </c>
      <c r="D1133" s="167" t="s">
        <v>118</v>
      </c>
      <c r="E1133" s="167" t="s">
        <v>3699</v>
      </c>
      <c r="F1133" s="168">
        <v>100</v>
      </c>
    </row>
    <row r="1134" spans="1:6" x14ac:dyDescent="0.2">
      <c r="A1134" s="163" t="s">
        <v>3724</v>
      </c>
      <c r="B1134" s="164" t="s">
        <v>3725</v>
      </c>
      <c r="C1134" s="164">
        <v>14112449</v>
      </c>
      <c r="D1134" s="164" t="s">
        <v>197</v>
      </c>
      <c r="E1134" s="164" t="s">
        <v>3699</v>
      </c>
      <c r="F1134" s="165">
        <v>600</v>
      </c>
    </row>
    <row r="1135" spans="1:6" x14ac:dyDescent="0.2">
      <c r="A1135" s="166" t="s">
        <v>3724</v>
      </c>
      <c r="B1135" s="167" t="s">
        <v>3725</v>
      </c>
      <c r="C1135" s="167">
        <v>14110761</v>
      </c>
      <c r="D1135" s="167" t="s">
        <v>105</v>
      </c>
      <c r="E1135" s="167" t="s">
        <v>3699</v>
      </c>
      <c r="F1135" s="168">
        <v>700</v>
      </c>
    </row>
    <row r="1136" spans="1:6" x14ac:dyDescent="0.2">
      <c r="A1136" s="163" t="s">
        <v>3724</v>
      </c>
      <c r="B1136" s="164" t="s">
        <v>3725</v>
      </c>
      <c r="C1136" s="164">
        <v>14110292</v>
      </c>
      <c r="D1136" s="164" t="s">
        <v>101</v>
      </c>
      <c r="E1136" s="164" t="s">
        <v>3699</v>
      </c>
      <c r="F1136" s="165">
        <v>800</v>
      </c>
    </row>
    <row r="1137" spans="1:6" x14ac:dyDescent="0.2">
      <c r="A1137" s="166" t="s">
        <v>3724</v>
      </c>
      <c r="B1137" s="167" t="s">
        <v>3725</v>
      </c>
      <c r="C1137" s="167">
        <v>14109948</v>
      </c>
      <c r="D1137" s="167" t="s">
        <v>166</v>
      </c>
      <c r="E1137" s="167" t="s">
        <v>3699</v>
      </c>
      <c r="F1137" s="168">
        <v>100</v>
      </c>
    </row>
    <row r="1138" spans="1:6" x14ac:dyDescent="0.2">
      <c r="A1138" s="163" t="s">
        <v>3724</v>
      </c>
      <c r="B1138" s="164" t="s">
        <v>3725</v>
      </c>
      <c r="C1138" s="164">
        <v>14109133</v>
      </c>
      <c r="D1138" s="164" t="s">
        <v>84</v>
      </c>
      <c r="E1138" s="164" t="s">
        <v>3699</v>
      </c>
      <c r="F1138" s="165">
        <v>100</v>
      </c>
    </row>
    <row r="1139" spans="1:6" x14ac:dyDescent="0.2">
      <c r="A1139" s="166" t="s">
        <v>3724</v>
      </c>
      <c r="B1139" s="167" t="s">
        <v>3725</v>
      </c>
      <c r="C1139" s="167">
        <v>14109131</v>
      </c>
      <c r="D1139" s="167" t="s">
        <v>83</v>
      </c>
      <c r="E1139" s="167" t="s">
        <v>3699</v>
      </c>
      <c r="F1139" s="168">
        <v>100</v>
      </c>
    </row>
    <row r="1140" spans="1:6" x14ac:dyDescent="0.2">
      <c r="A1140" s="163" t="s">
        <v>3724</v>
      </c>
      <c r="B1140" s="164" t="s">
        <v>3725</v>
      </c>
      <c r="C1140" s="164">
        <v>14109097</v>
      </c>
      <c r="D1140" s="164" t="s">
        <v>82</v>
      </c>
      <c r="E1140" s="164" t="s">
        <v>3699</v>
      </c>
      <c r="F1140" s="165">
        <v>100</v>
      </c>
    </row>
    <row r="1141" spans="1:6" x14ac:dyDescent="0.2">
      <c r="A1141" s="166" t="s">
        <v>3724</v>
      </c>
      <c r="B1141" s="167" t="s">
        <v>3725</v>
      </c>
      <c r="C1141" s="167">
        <v>14108916</v>
      </c>
      <c r="D1141" s="167" t="s">
        <v>80</v>
      </c>
      <c r="E1141" s="167" t="s">
        <v>3699</v>
      </c>
      <c r="F1141" s="168">
        <v>100</v>
      </c>
    </row>
    <row r="1142" spans="1:6" x14ac:dyDescent="0.2">
      <c r="A1142" s="163" t="s">
        <v>3724</v>
      </c>
      <c r="B1142" s="164" t="s">
        <v>3725</v>
      </c>
      <c r="C1142" s="164">
        <v>14108111</v>
      </c>
      <c r="D1142" s="164" t="s">
        <v>70</v>
      </c>
      <c r="E1142" s="164" t="s">
        <v>3699</v>
      </c>
      <c r="F1142" s="165">
        <v>900</v>
      </c>
    </row>
    <row r="1143" spans="1:6" x14ac:dyDescent="0.2">
      <c r="A1143" s="166" t="s">
        <v>3724</v>
      </c>
      <c r="B1143" s="167" t="s">
        <v>3725</v>
      </c>
      <c r="C1143" s="167">
        <v>14107978</v>
      </c>
      <c r="D1143" s="167" t="s">
        <v>69</v>
      </c>
      <c r="E1143" s="167" t="s">
        <v>3699</v>
      </c>
      <c r="F1143" s="168">
        <v>1100</v>
      </c>
    </row>
    <row r="1144" spans="1:6" x14ac:dyDescent="0.2">
      <c r="A1144" s="163" t="s">
        <v>3724</v>
      </c>
      <c r="B1144" s="164" t="s">
        <v>3725</v>
      </c>
      <c r="C1144" s="164">
        <v>14107967</v>
      </c>
      <c r="D1144" s="164" t="s">
        <v>68</v>
      </c>
      <c r="E1144" s="164" t="s">
        <v>3699</v>
      </c>
      <c r="F1144" s="165">
        <v>200</v>
      </c>
    </row>
    <row r="1145" spans="1:6" x14ac:dyDescent="0.2">
      <c r="A1145" s="166" t="s">
        <v>3724</v>
      </c>
      <c r="B1145" s="167" t="s">
        <v>3725</v>
      </c>
      <c r="C1145" s="167">
        <v>14107484</v>
      </c>
      <c r="D1145" s="167" t="s">
        <v>63</v>
      </c>
      <c r="E1145" s="167" t="s">
        <v>3699</v>
      </c>
      <c r="F1145" s="168">
        <v>500</v>
      </c>
    </row>
    <row r="1146" spans="1:6" x14ac:dyDescent="0.2">
      <c r="A1146" s="163" t="s">
        <v>3724</v>
      </c>
      <c r="B1146" s="164" t="s">
        <v>3725</v>
      </c>
      <c r="C1146" s="164">
        <v>14107393</v>
      </c>
      <c r="D1146" s="164" t="s">
        <v>62</v>
      </c>
      <c r="E1146" s="164" t="s">
        <v>3699</v>
      </c>
      <c r="F1146" s="165">
        <v>100</v>
      </c>
    </row>
    <row r="1147" spans="1:6" x14ac:dyDescent="0.2">
      <c r="A1147" s="166" t="s">
        <v>3724</v>
      </c>
      <c r="B1147" s="167" t="s">
        <v>3725</v>
      </c>
      <c r="C1147" s="167">
        <v>14107081</v>
      </c>
      <c r="D1147" s="167" t="s">
        <v>56</v>
      </c>
      <c r="E1147" s="167" t="s">
        <v>3699</v>
      </c>
      <c r="F1147" s="168">
        <v>100</v>
      </c>
    </row>
    <row r="1148" spans="1:6" x14ac:dyDescent="0.2">
      <c r="A1148" s="163" t="s">
        <v>3724</v>
      </c>
      <c r="B1148" s="164" t="s">
        <v>3725</v>
      </c>
      <c r="C1148" s="164">
        <v>14106438</v>
      </c>
      <c r="D1148" s="164" t="s">
        <v>52</v>
      </c>
      <c r="E1148" s="164" t="s">
        <v>3699</v>
      </c>
      <c r="F1148" s="165">
        <v>100</v>
      </c>
    </row>
    <row r="1149" spans="1:6" x14ac:dyDescent="0.2">
      <c r="A1149" s="166" t="s">
        <v>3724</v>
      </c>
      <c r="B1149" s="167" t="s">
        <v>3725</v>
      </c>
      <c r="C1149" s="167">
        <v>14106368</v>
      </c>
      <c r="D1149" s="167" t="s">
        <v>51</v>
      </c>
      <c r="E1149" s="167" t="s">
        <v>3699</v>
      </c>
      <c r="F1149" s="168">
        <v>1100</v>
      </c>
    </row>
    <row r="1150" spans="1:6" x14ac:dyDescent="0.2">
      <c r="A1150" s="163" t="s">
        <v>3724</v>
      </c>
      <c r="B1150" s="164" t="s">
        <v>3725</v>
      </c>
      <c r="C1150" s="164">
        <v>14104932</v>
      </c>
      <c r="D1150" s="164" t="s">
        <v>43</v>
      </c>
      <c r="E1150" s="164" t="s">
        <v>3699</v>
      </c>
      <c r="F1150" s="165">
        <v>100</v>
      </c>
    </row>
    <row r="1151" spans="1:6" x14ac:dyDescent="0.2">
      <c r="A1151" s="166" t="s">
        <v>3724</v>
      </c>
      <c r="B1151" s="167" t="s">
        <v>3725</v>
      </c>
      <c r="C1151" s="167">
        <v>14104316</v>
      </c>
      <c r="D1151" s="167" t="s">
        <v>40</v>
      </c>
      <c r="E1151" s="167" t="s">
        <v>3699</v>
      </c>
      <c r="F1151" s="168">
        <v>100</v>
      </c>
    </row>
    <row r="1152" spans="1:6" x14ac:dyDescent="0.2">
      <c r="A1152" s="163" t="s">
        <v>3724</v>
      </c>
      <c r="B1152" s="164" t="s">
        <v>3725</v>
      </c>
      <c r="C1152" s="164">
        <v>14103335</v>
      </c>
      <c r="D1152" s="164" t="s">
        <v>37</v>
      </c>
      <c r="E1152" s="164" t="s">
        <v>3699</v>
      </c>
      <c r="F1152" s="165">
        <v>500</v>
      </c>
    </row>
    <row r="1153" spans="1:6" x14ac:dyDescent="0.2">
      <c r="A1153" s="166" t="s">
        <v>3724</v>
      </c>
      <c r="B1153" s="167" t="s">
        <v>3725</v>
      </c>
      <c r="C1153" s="167">
        <v>14100902</v>
      </c>
      <c r="D1153" s="167" t="s">
        <v>354</v>
      </c>
      <c r="E1153" s="167" t="s">
        <v>3699</v>
      </c>
      <c r="F1153" s="168">
        <v>100</v>
      </c>
    </row>
    <row r="1154" spans="1:6" x14ac:dyDescent="0.2">
      <c r="A1154" s="163" t="s">
        <v>3724</v>
      </c>
      <c r="B1154" s="164" t="s">
        <v>3725</v>
      </c>
      <c r="C1154" s="164">
        <v>14100858</v>
      </c>
      <c r="D1154" s="164" t="s">
        <v>262</v>
      </c>
      <c r="E1154" s="164" t="s">
        <v>3699</v>
      </c>
      <c r="F1154" s="165">
        <v>800</v>
      </c>
    </row>
    <row r="1155" spans="1:6" x14ac:dyDescent="0.2">
      <c r="A1155" s="166" t="s">
        <v>3724</v>
      </c>
      <c r="B1155" s="167" t="s">
        <v>3725</v>
      </c>
      <c r="C1155" s="167">
        <v>14100807</v>
      </c>
      <c r="D1155" s="167" t="s">
        <v>24</v>
      </c>
      <c r="E1155" s="167" t="s">
        <v>3699</v>
      </c>
      <c r="F1155" s="168">
        <v>500</v>
      </c>
    </row>
    <row r="1156" spans="1:6" x14ac:dyDescent="0.2">
      <c r="A1156" s="163" t="s">
        <v>3724</v>
      </c>
      <c r="B1156" s="164" t="s">
        <v>3725</v>
      </c>
      <c r="C1156" s="164">
        <v>14100798</v>
      </c>
      <c r="D1156" s="164" t="s">
        <v>23</v>
      </c>
      <c r="E1156" s="164" t="s">
        <v>3699</v>
      </c>
      <c r="F1156" s="165">
        <v>800</v>
      </c>
    </row>
    <row r="1157" spans="1:6" x14ac:dyDescent="0.2">
      <c r="A1157" s="166" t="s">
        <v>3724</v>
      </c>
      <c r="B1157" s="167" t="s">
        <v>3725</v>
      </c>
      <c r="C1157" s="167">
        <v>14100795</v>
      </c>
      <c r="D1157" s="167" t="s">
        <v>22</v>
      </c>
      <c r="E1157" s="167" t="s">
        <v>3699</v>
      </c>
      <c r="F1157" s="168">
        <v>200</v>
      </c>
    </row>
    <row r="1158" spans="1:6" x14ac:dyDescent="0.2">
      <c r="A1158" s="163" t="s">
        <v>3724</v>
      </c>
      <c r="B1158" s="164" t="s">
        <v>3725</v>
      </c>
      <c r="C1158" s="164">
        <v>14100740</v>
      </c>
      <c r="D1158" s="164" t="s">
        <v>19</v>
      </c>
      <c r="E1158" s="164" t="s">
        <v>3699</v>
      </c>
      <c r="F1158" s="165">
        <v>400</v>
      </c>
    </row>
    <row r="1159" spans="1:6" x14ac:dyDescent="0.2">
      <c r="A1159" s="166" t="s">
        <v>3724</v>
      </c>
      <c r="B1159" s="167" t="s">
        <v>3725</v>
      </c>
      <c r="C1159" s="167">
        <v>14100733</v>
      </c>
      <c r="D1159" s="167" t="s">
        <v>18</v>
      </c>
      <c r="E1159" s="167" t="s">
        <v>3699</v>
      </c>
      <c r="F1159" s="168">
        <v>700</v>
      </c>
    </row>
    <row r="1160" spans="1:6" x14ac:dyDescent="0.2">
      <c r="A1160" s="163" t="s">
        <v>3724</v>
      </c>
      <c r="B1160" s="164" t="s">
        <v>3725</v>
      </c>
      <c r="C1160" s="164">
        <v>14100729</v>
      </c>
      <c r="D1160" s="164" t="s">
        <v>15</v>
      </c>
      <c r="E1160" s="164" t="s">
        <v>3699</v>
      </c>
      <c r="F1160" s="165">
        <v>800</v>
      </c>
    </row>
    <row r="1161" spans="1:6" x14ac:dyDescent="0.2">
      <c r="A1161" s="166" t="s">
        <v>3724</v>
      </c>
      <c r="B1161" s="167" t="s">
        <v>3725</v>
      </c>
      <c r="C1161" s="167">
        <v>14100724</v>
      </c>
      <c r="D1161" s="167" t="s">
        <v>11</v>
      </c>
      <c r="E1161" s="167" t="s">
        <v>3699</v>
      </c>
      <c r="F1161" s="168">
        <v>600</v>
      </c>
    </row>
    <row r="1162" spans="1:6" x14ac:dyDescent="0.2">
      <c r="A1162" s="163" t="s">
        <v>3724</v>
      </c>
      <c r="B1162" s="164" t="s">
        <v>3725</v>
      </c>
      <c r="C1162" s="164">
        <v>14100721</v>
      </c>
      <c r="D1162" s="164" t="s">
        <v>10</v>
      </c>
      <c r="E1162" s="164" t="s">
        <v>3699</v>
      </c>
      <c r="F1162" s="165">
        <v>300</v>
      </c>
    </row>
    <row r="1163" spans="1:6" x14ac:dyDescent="0.2">
      <c r="A1163" s="166" t="s">
        <v>3724</v>
      </c>
      <c r="B1163" s="167" t="s">
        <v>2514</v>
      </c>
      <c r="C1163" s="167">
        <v>16113686</v>
      </c>
      <c r="D1163" s="167" t="s">
        <v>2436</v>
      </c>
      <c r="E1163" s="167" t="s">
        <v>3699</v>
      </c>
      <c r="F1163" s="168">
        <v>180.86</v>
      </c>
    </row>
    <row r="1164" spans="1:6" x14ac:dyDescent="0.2">
      <c r="A1164" s="163" t="s">
        <v>3724</v>
      </c>
      <c r="B1164" s="164" t="s">
        <v>2514</v>
      </c>
      <c r="C1164" s="164">
        <v>16102211</v>
      </c>
      <c r="D1164" s="164" t="s">
        <v>2415</v>
      </c>
      <c r="E1164" s="164" t="s">
        <v>3699</v>
      </c>
      <c r="F1164" s="165">
        <v>1044.6199999999999</v>
      </c>
    </row>
    <row r="1165" spans="1:6" x14ac:dyDescent="0.2">
      <c r="A1165" s="166" t="s">
        <v>3724</v>
      </c>
      <c r="B1165" s="167" t="s">
        <v>2513</v>
      </c>
      <c r="C1165" s="167">
        <v>16118965</v>
      </c>
      <c r="D1165" s="167" t="s">
        <v>2460</v>
      </c>
      <c r="E1165" s="167" t="s">
        <v>3699</v>
      </c>
      <c r="F1165" s="168">
        <v>544.94000000000005</v>
      </c>
    </row>
    <row r="1166" spans="1:6" x14ac:dyDescent="0.2">
      <c r="A1166" s="163" t="s">
        <v>3724</v>
      </c>
      <c r="B1166" s="164" t="s">
        <v>2513</v>
      </c>
      <c r="C1166" s="164">
        <v>14221824</v>
      </c>
      <c r="D1166" s="164" t="s">
        <v>2371</v>
      </c>
      <c r="E1166" s="164" t="s">
        <v>3699</v>
      </c>
      <c r="F1166" s="165">
        <v>1902.31</v>
      </c>
    </row>
    <row r="1167" spans="1:6" x14ac:dyDescent="0.2">
      <c r="A1167" s="166" t="s">
        <v>3724</v>
      </c>
      <c r="B1167" s="167" t="s">
        <v>2513</v>
      </c>
      <c r="C1167" s="167">
        <v>14213768</v>
      </c>
      <c r="D1167" s="167" t="s">
        <v>2361</v>
      </c>
      <c r="E1167" s="167" t="s">
        <v>3699</v>
      </c>
      <c r="F1167" s="168">
        <v>1556.28</v>
      </c>
    </row>
    <row r="1168" spans="1:6" x14ac:dyDescent="0.2">
      <c r="A1168" s="163" t="s">
        <v>3724</v>
      </c>
      <c r="B1168" s="164" t="s">
        <v>2512</v>
      </c>
      <c r="C1168" s="164">
        <v>16104436</v>
      </c>
      <c r="D1168" s="164" t="s">
        <v>2420</v>
      </c>
      <c r="E1168" s="164" t="s">
        <v>3699</v>
      </c>
      <c r="F1168" s="165">
        <v>852.5</v>
      </c>
    </row>
    <row r="1169" spans="1:6" x14ac:dyDescent="0.2">
      <c r="A1169" s="166" t="s">
        <v>3724</v>
      </c>
      <c r="B1169" s="167" t="s">
        <v>2512</v>
      </c>
      <c r="C1169" s="167">
        <v>16102525</v>
      </c>
      <c r="D1169" s="167" t="s">
        <v>2417</v>
      </c>
      <c r="E1169" s="167" t="s">
        <v>3699</v>
      </c>
      <c r="F1169" s="168">
        <v>852.5</v>
      </c>
    </row>
    <row r="1170" spans="1:6" x14ac:dyDescent="0.2">
      <c r="A1170" s="163" t="s">
        <v>3724</v>
      </c>
      <c r="B1170" s="164" t="s">
        <v>2512</v>
      </c>
      <c r="C1170" s="164">
        <v>14123277</v>
      </c>
      <c r="D1170" s="164" t="s">
        <v>505</v>
      </c>
      <c r="E1170" s="164" t="s">
        <v>3699</v>
      </c>
      <c r="F1170" s="165">
        <v>939.56</v>
      </c>
    </row>
    <row r="1171" spans="1:6" x14ac:dyDescent="0.2">
      <c r="A1171" s="166" t="s">
        <v>3724</v>
      </c>
      <c r="B1171" s="167" t="s">
        <v>2512</v>
      </c>
      <c r="C1171" s="167">
        <v>14122355</v>
      </c>
      <c r="D1171" s="167" t="s">
        <v>417</v>
      </c>
      <c r="E1171" s="167" t="s">
        <v>3699</v>
      </c>
      <c r="F1171" s="168">
        <v>966.02</v>
      </c>
    </row>
    <row r="1172" spans="1:6" x14ac:dyDescent="0.2">
      <c r="A1172" s="163" t="s">
        <v>3724</v>
      </c>
      <c r="B1172" s="164" t="s">
        <v>2512</v>
      </c>
      <c r="C1172" s="164">
        <v>14121809</v>
      </c>
      <c r="D1172" s="164" t="s">
        <v>362</v>
      </c>
      <c r="E1172" s="164" t="s">
        <v>3699</v>
      </c>
      <c r="F1172" s="165">
        <v>966.02</v>
      </c>
    </row>
    <row r="1173" spans="1:6" x14ac:dyDescent="0.2">
      <c r="A1173" s="166" t="s">
        <v>3724</v>
      </c>
      <c r="B1173" s="167" t="s">
        <v>2512</v>
      </c>
      <c r="C1173" s="167">
        <v>14121266</v>
      </c>
      <c r="D1173" s="167" t="s">
        <v>329</v>
      </c>
      <c r="E1173" s="167" t="s">
        <v>3699</v>
      </c>
      <c r="F1173" s="168">
        <v>966.02</v>
      </c>
    </row>
    <row r="1174" spans="1:6" x14ac:dyDescent="0.2">
      <c r="A1174" s="163" t="s">
        <v>3724</v>
      </c>
      <c r="B1174" s="164" t="s">
        <v>2512</v>
      </c>
      <c r="C1174" s="164">
        <v>14119890</v>
      </c>
      <c r="D1174" s="164" t="s">
        <v>267</v>
      </c>
      <c r="E1174" s="164" t="s">
        <v>3699</v>
      </c>
      <c r="F1174" s="165">
        <v>1001.26</v>
      </c>
    </row>
    <row r="1175" spans="1:6" x14ac:dyDescent="0.2">
      <c r="A1175" s="166" t="s">
        <v>3724</v>
      </c>
      <c r="B1175" s="167" t="s">
        <v>2512</v>
      </c>
      <c r="C1175" s="167">
        <v>14118957</v>
      </c>
      <c r="D1175" s="167" t="s">
        <v>225</v>
      </c>
      <c r="E1175" s="167" t="s">
        <v>3699</v>
      </c>
      <c r="F1175" s="168">
        <v>1001.26</v>
      </c>
    </row>
    <row r="1176" spans="1:6" x14ac:dyDescent="0.2">
      <c r="A1176" s="163" t="s">
        <v>3724</v>
      </c>
      <c r="B1176" s="164" t="s">
        <v>2512</v>
      </c>
      <c r="C1176" s="164">
        <v>14109707</v>
      </c>
      <c r="D1176" s="164" t="s">
        <v>93</v>
      </c>
      <c r="E1176" s="164" t="s">
        <v>3699</v>
      </c>
      <c r="F1176" s="165">
        <v>1042.6600000000001</v>
      </c>
    </row>
    <row r="1177" spans="1:6" x14ac:dyDescent="0.2">
      <c r="A1177" s="166" t="s">
        <v>3724</v>
      </c>
      <c r="B1177" s="167" t="s">
        <v>2512</v>
      </c>
      <c r="C1177" s="167">
        <v>14104957</v>
      </c>
      <c r="D1177" s="167" t="s">
        <v>308</v>
      </c>
      <c r="E1177" s="167" t="s">
        <v>3699</v>
      </c>
      <c r="F1177" s="168">
        <v>966.02</v>
      </c>
    </row>
    <row r="1178" spans="1:6" x14ac:dyDescent="0.2">
      <c r="A1178" s="163" t="s">
        <v>3724</v>
      </c>
      <c r="B1178" s="164" t="s">
        <v>2512</v>
      </c>
      <c r="C1178" s="164">
        <v>14104839</v>
      </c>
      <c r="D1178" s="164" t="s">
        <v>226</v>
      </c>
      <c r="E1178" s="164" t="s">
        <v>3699</v>
      </c>
      <c r="F1178" s="165">
        <v>1001.26</v>
      </c>
    </row>
    <row r="1179" spans="1:6" x14ac:dyDescent="0.2">
      <c r="A1179" s="166" t="s">
        <v>3724</v>
      </c>
      <c r="B1179" s="167" t="s">
        <v>2512</v>
      </c>
      <c r="C1179" s="167">
        <v>14100726</v>
      </c>
      <c r="D1179" s="167" t="s">
        <v>13</v>
      </c>
      <c r="E1179" s="167" t="s">
        <v>3699</v>
      </c>
      <c r="F1179" s="168">
        <v>1042.6600000000001</v>
      </c>
    </row>
    <row r="1180" spans="1:6" x14ac:dyDescent="0.2">
      <c r="A1180" s="163" t="s">
        <v>3724</v>
      </c>
      <c r="B1180" s="164" t="s">
        <v>2511</v>
      </c>
      <c r="C1180" s="164">
        <v>16124018</v>
      </c>
      <c r="D1180" s="164" t="s">
        <v>2496</v>
      </c>
      <c r="E1180" s="164" t="s">
        <v>3699</v>
      </c>
      <c r="F1180" s="165">
        <v>852.5</v>
      </c>
    </row>
    <row r="1181" spans="1:6" x14ac:dyDescent="0.2">
      <c r="A1181" s="166" t="s">
        <v>3724</v>
      </c>
      <c r="B1181" s="167" t="s">
        <v>2511</v>
      </c>
      <c r="C1181" s="167">
        <v>16123909</v>
      </c>
      <c r="D1181" s="167" t="s">
        <v>2491</v>
      </c>
      <c r="E1181" s="167" t="s">
        <v>3699</v>
      </c>
      <c r="F1181" s="168">
        <v>852.5</v>
      </c>
    </row>
    <row r="1182" spans="1:6" x14ac:dyDescent="0.2">
      <c r="A1182" s="163" t="s">
        <v>3724</v>
      </c>
      <c r="B1182" s="164" t="s">
        <v>2511</v>
      </c>
      <c r="C1182" s="164">
        <v>16123764</v>
      </c>
      <c r="D1182" s="164" t="s">
        <v>2485</v>
      </c>
      <c r="E1182" s="164" t="s">
        <v>3699</v>
      </c>
      <c r="F1182" s="165">
        <v>852.5</v>
      </c>
    </row>
    <row r="1183" spans="1:6" x14ac:dyDescent="0.2">
      <c r="A1183" s="166" t="s">
        <v>3724</v>
      </c>
      <c r="B1183" s="167" t="s">
        <v>2511</v>
      </c>
      <c r="C1183" s="167">
        <v>16123745</v>
      </c>
      <c r="D1183" s="167" t="s">
        <v>2484</v>
      </c>
      <c r="E1183" s="167" t="s">
        <v>3699</v>
      </c>
      <c r="F1183" s="168">
        <v>852.5</v>
      </c>
    </row>
    <row r="1184" spans="1:6" x14ac:dyDescent="0.2">
      <c r="A1184" s="163" t="s">
        <v>3724</v>
      </c>
      <c r="B1184" s="164" t="s">
        <v>2511</v>
      </c>
      <c r="C1184" s="164">
        <v>16123499</v>
      </c>
      <c r="D1184" s="164" t="s">
        <v>2483</v>
      </c>
      <c r="E1184" s="164" t="s">
        <v>3699</v>
      </c>
      <c r="F1184" s="165">
        <v>852.5</v>
      </c>
    </row>
    <row r="1185" spans="1:6" x14ac:dyDescent="0.2">
      <c r="A1185" s="166" t="s">
        <v>3724</v>
      </c>
      <c r="B1185" s="167" t="s">
        <v>2511</v>
      </c>
      <c r="C1185" s="167">
        <v>16123358</v>
      </c>
      <c r="D1185" s="167" t="s">
        <v>2482</v>
      </c>
      <c r="E1185" s="167" t="s">
        <v>3699</v>
      </c>
      <c r="F1185" s="168">
        <v>852.5</v>
      </c>
    </row>
    <row r="1186" spans="1:6" x14ac:dyDescent="0.2">
      <c r="A1186" s="163" t="s">
        <v>3724</v>
      </c>
      <c r="B1186" s="164" t="s">
        <v>2511</v>
      </c>
      <c r="C1186" s="164">
        <v>16122568</v>
      </c>
      <c r="D1186" s="164" t="s">
        <v>2481</v>
      </c>
      <c r="E1186" s="164" t="s">
        <v>3699</v>
      </c>
      <c r="F1186" s="165">
        <v>852.5</v>
      </c>
    </row>
    <row r="1187" spans="1:6" x14ac:dyDescent="0.2">
      <c r="A1187" s="166" t="s">
        <v>3724</v>
      </c>
      <c r="B1187" s="167" t="s">
        <v>2511</v>
      </c>
      <c r="C1187" s="167">
        <v>16122324</v>
      </c>
      <c r="D1187" s="167" t="s">
        <v>2478</v>
      </c>
      <c r="E1187" s="167" t="s">
        <v>3699</v>
      </c>
      <c r="F1187" s="168">
        <v>852.5</v>
      </c>
    </row>
    <row r="1188" spans="1:6" x14ac:dyDescent="0.2">
      <c r="A1188" s="163" t="s">
        <v>3724</v>
      </c>
      <c r="B1188" s="164" t="s">
        <v>2511</v>
      </c>
      <c r="C1188" s="164">
        <v>16121844</v>
      </c>
      <c r="D1188" s="164" t="s">
        <v>2472</v>
      </c>
      <c r="E1188" s="164" t="s">
        <v>3699</v>
      </c>
      <c r="F1188" s="165">
        <v>852.5</v>
      </c>
    </row>
    <row r="1189" spans="1:6" x14ac:dyDescent="0.2">
      <c r="A1189" s="166" t="s">
        <v>3724</v>
      </c>
      <c r="B1189" s="167" t="s">
        <v>2511</v>
      </c>
      <c r="C1189" s="167">
        <v>16121712</v>
      </c>
      <c r="D1189" s="167" t="s">
        <v>2471</v>
      </c>
      <c r="E1189" s="167" t="s">
        <v>3699</v>
      </c>
      <c r="F1189" s="168">
        <v>852.5</v>
      </c>
    </row>
    <row r="1190" spans="1:6" x14ac:dyDescent="0.2">
      <c r="A1190" s="163" t="s">
        <v>3724</v>
      </c>
      <c r="B1190" s="164" t="s">
        <v>2511</v>
      </c>
      <c r="C1190" s="164">
        <v>16116733</v>
      </c>
      <c r="D1190" s="164" t="s">
        <v>2450</v>
      </c>
      <c r="E1190" s="164" t="s">
        <v>3699</v>
      </c>
      <c r="F1190" s="165">
        <v>852.5</v>
      </c>
    </row>
    <row r="1191" spans="1:6" x14ac:dyDescent="0.2">
      <c r="A1191" s="166" t="s">
        <v>3724</v>
      </c>
      <c r="B1191" s="167" t="s">
        <v>2511</v>
      </c>
      <c r="C1191" s="167">
        <v>16116202</v>
      </c>
      <c r="D1191" s="167" t="s">
        <v>2447</v>
      </c>
      <c r="E1191" s="167" t="s">
        <v>3699</v>
      </c>
      <c r="F1191" s="168">
        <v>852.5</v>
      </c>
    </row>
    <row r="1192" spans="1:6" x14ac:dyDescent="0.2">
      <c r="A1192" s="163" t="s">
        <v>3724</v>
      </c>
      <c r="B1192" s="164" t="s">
        <v>2511</v>
      </c>
      <c r="C1192" s="164">
        <v>16115150</v>
      </c>
      <c r="D1192" s="164" t="s">
        <v>2442</v>
      </c>
      <c r="E1192" s="164" t="s">
        <v>3699</v>
      </c>
      <c r="F1192" s="165">
        <v>852.5</v>
      </c>
    </row>
    <row r="1193" spans="1:6" x14ac:dyDescent="0.2">
      <c r="A1193" s="166" t="s">
        <v>3724</v>
      </c>
      <c r="B1193" s="167" t="s">
        <v>2511</v>
      </c>
      <c r="C1193" s="167">
        <v>16114991</v>
      </c>
      <c r="D1193" s="167" t="s">
        <v>2440</v>
      </c>
      <c r="E1193" s="167" t="s">
        <v>3699</v>
      </c>
      <c r="F1193" s="168">
        <v>852.5</v>
      </c>
    </row>
    <row r="1194" spans="1:6" x14ac:dyDescent="0.2">
      <c r="A1194" s="163" t="s">
        <v>3724</v>
      </c>
      <c r="B1194" s="164" t="s">
        <v>2511</v>
      </c>
      <c r="C1194" s="164">
        <v>16111231</v>
      </c>
      <c r="D1194" s="164" t="s">
        <v>2430</v>
      </c>
      <c r="E1194" s="164" t="s">
        <v>3699</v>
      </c>
      <c r="F1194" s="165">
        <v>852.5</v>
      </c>
    </row>
    <row r="1195" spans="1:6" x14ac:dyDescent="0.2">
      <c r="A1195" s="166" t="s">
        <v>3724</v>
      </c>
      <c r="B1195" s="167" t="s">
        <v>2511</v>
      </c>
      <c r="C1195" s="167">
        <v>16110177</v>
      </c>
      <c r="D1195" s="167" t="s">
        <v>2429</v>
      </c>
      <c r="E1195" s="167" t="s">
        <v>3699</v>
      </c>
      <c r="F1195" s="168">
        <v>852.5</v>
      </c>
    </row>
    <row r="1196" spans="1:6" x14ac:dyDescent="0.2">
      <c r="A1196" s="163" t="s">
        <v>3724</v>
      </c>
      <c r="B1196" s="164" t="s">
        <v>2511</v>
      </c>
      <c r="C1196" s="164">
        <v>16107905</v>
      </c>
      <c r="D1196" s="164" t="s">
        <v>2428</v>
      </c>
      <c r="E1196" s="164" t="s">
        <v>3699</v>
      </c>
      <c r="F1196" s="165">
        <v>852.5</v>
      </c>
    </row>
    <row r="1197" spans="1:6" x14ac:dyDescent="0.2">
      <c r="A1197" s="166" t="s">
        <v>3724</v>
      </c>
      <c r="B1197" s="167" t="s">
        <v>2511</v>
      </c>
      <c r="C1197" s="167">
        <v>16107705</v>
      </c>
      <c r="D1197" s="167" t="s">
        <v>2426</v>
      </c>
      <c r="E1197" s="167" t="s">
        <v>3699</v>
      </c>
      <c r="F1197" s="168">
        <v>852.5</v>
      </c>
    </row>
    <row r="1198" spans="1:6" x14ac:dyDescent="0.2">
      <c r="A1198" s="163" t="s">
        <v>3724</v>
      </c>
      <c r="B1198" s="164" t="s">
        <v>2511</v>
      </c>
      <c r="C1198" s="164">
        <v>16104436</v>
      </c>
      <c r="D1198" s="164" t="s">
        <v>2420</v>
      </c>
      <c r="E1198" s="164" t="s">
        <v>3699</v>
      </c>
      <c r="F1198" s="165">
        <v>852.5</v>
      </c>
    </row>
    <row r="1199" spans="1:6" x14ac:dyDescent="0.2">
      <c r="A1199" s="166" t="s">
        <v>3724</v>
      </c>
      <c r="B1199" s="167" t="s">
        <v>2511</v>
      </c>
      <c r="C1199" s="167">
        <v>16102762</v>
      </c>
      <c r="D1199" s="167" t="s">
        <v>2419</v>
      </c>
      <c r="E1199" s="167" t="s">
        <v>3699</v>
      </c>
      <c r="F1199" s="168">
        <v>852.5</v>
      </c>
    </row>
    <row r="1200" spans="1:6" x14ac:dyDescent="0.2">
      <c r="A1200" s="163" t="s">
        <v>3724</v>
      </c>
      <c r="B1200" s="164" t="s">
        <v>2511</v>
      </c>
      <c r="C1200" s="164">
        <v>16102525</v>
      </c>
      <c r="D1200" s="164" t="s">
        <v>2417</v>
      </c>
      <c r="E1200" s="164" t="s">
        <v>3699</v>
      </c>
      <c r="F1200" s="165">
        <v>852.5</v>
      </c>
    </row>
    <row r="1201" spans="1:6" x14ac:dyDescent="0.2">
      <c r="A1201" s="166" t="s">
        <v>3724</v>
      </c>
      <c r="B1201" s="167" t="s">
        <v>2511</v>
      </c>
      <c r="C1201" s="167">
        <v>16102200</v>
      </c>
      <c r="D1201" s="167" t="s">
        <v>2414</v>
      </c>
      <c r="E1201" s="167" t="s">
        <v>3699</v>
      </c>
      <c r="F1201" s="168">
        <v>852.5</v>
      </c>
    </row>
    <row r="1202" spans="1:6" x14ac:dyDescent="0.2">
      <c r="A1202" s="163" t="s">
        <v>3724</v>
      </c>
      <c r="B1202" s="164" t="s">
        <v>2511</v>
      </c>
      <c r="C1202" s="164">
        <v>16101321</v>
      </c>
      <c r="D1202" s="164" t="s">
        <v>2408</v>
      </c>
      <c r="E1202" s="164" t="s">
        <v>3699</v>
      </c>
      <c r="F1202" s="165">
        <v>852.5</v>
      </c>
    </row>
    <row r="1203" spans="1:6" x14ac:dyDescent="0.2">
      <c r="A1203" s="166" t="s">
        <v>3724</v>
      </c>
      <c r="B1203" s="167" t="s">
        <v>2511</v>
      </c>
      <c r="C1203" s="167">
        <v>14124406</v>
      </c>
      <c r="D1203" s="167" t="s">
        <v>2591</v>
      </c>
      <c r="E1203" s="167" t="s">
        <v>3699</v>
      </c>
      <c r="F1203" s="168">
        <v>939.56</v>
      </c>
    </row>
    <row r="1204" spans="1:6" x14ac:dyDescent="0.2">
      <c r="A1204" s="163" t="s">
        <v>3724</v>
      </c>
      <c r="B1204" s="164" t="s">
        <v>2511</v>
      </c>
      <c r="C1204" s="164">
        <v>14124384</v>
      </c>
      <c r="D1204" s="164" t="s">
        <v>2551</v>
      </c>
      <c r="E1204" s="164" t="s">
        <v>3699</v>
      </c>
      <c r="F1204" s="165">
        <v>939.56</v>
      </c>
    </row>
    <row r="1205" spans="1:6" x14ac:dyDescent="0.2">
      <c r="A1205" s="166" t="s">
        <v>3724</v>
      </c>
      <c r="B1205" s="167" t="s">
        <v>2511</v>
      </c>
      <c r="C1205" s="167">
        <v>14124376</v>
      </c>
      <c r="D1205" s="167" t="s">
        <v>2559</v>
      </c>
      <c r="E1205" s="167" t="s">
        <v>3699</v>
      </c>
      <c r="F1205" s="168">
        <v>939.56</v>
      </c>
    </row>
    <row r="1206" spans="1:6" x14ac:dyDescent="0.2">
      <c r="A1206" s="163" t="s">
        <v>3724</v>
      </c>
      <c r="B1206" s="164" t="s">
        <v>2511</v>
      </c>
      <c r="C1206" s="164">
        <v>14124350</v>
      </c>
      <c r="D1206" s="164" t="s">
        <v>2566</v>
      </c>
      <c r="E1206" s="164" t="s">
        <v>3699</v>
      </c>
      <c r="F1206" s="165">
        <v>939.56</v>
      </c>
    </row>
    <row r="1207" spans="1:6" x14ac:dyDescent="0.2">
      <c r="A1207" s="166" t="s">
        <v>3724</v>
      </c>
      <c r="B1207" s="167" t="s">
        <v>2511</v>
      </c>
      <c r="C1207" s="167">
        <v>14124349</v>
      </c>
      <c r="D1207" s="167" t="s">
        <v>2561</v>
      </c>
      <c r="E1207" s="167" t="s">
        <v>3699</v>
      </c>
      <c r="F1207" s="168">
        <v>939.56</v>
      </c>
    </row>
    <row r="1208" spans="1:6" x14ac:dyDescent="0.2">
      <c r="A1208" s="163" t="s">
        <v>3724</v>
      </c>
      <c r="B1208" s="164" t="s">
        <v>2511</v>
      </c>
      <c r="C1208" s="164">
        <v>14124348</v>
      </c>
      <c r="D1208" s="164" t="s">
        <v>2554</v>
      </c>
      <c r="E1208" s="164" t="s">
        <v>3699</v>
      </c>
      <c r="F1208" s="165">
        <v>939.56</v>
      </c>
    </row>
    <row r="1209" spans="1:6" x14ac:dyDescent="0.2">
      <c r="A1209" s="166" t="s">
        <v>3724</v>
      </c>
      <c r="B1209" s="167" t="s">
        <v>2511</v>
      </c>
      <c r="C1209" s="167">
        <v>14124347</v>
      </c>
      <c r="D1209" s="167" t="s">
        <v>2553</v>
      </c>
      <c r="E1209" s="167" t="s">
        <v>3699</v>
      </c>
      <c r="F1209" s="168">
        <v>939.56</v>
      </c>
    </row>
    <row r="1210" spans="1:6" x14ac:dyDescent="0.2">
      <c r="A1210" s="163" t="s">
        <v>3724</v>
      </c>
      <c r="B1210" s="164" t="s">
        <v>2511</v>
      </c>
      <c r="C1210" s="164">
        <v>14124346</v>
      </c>
      <c r="D1210" s="164" t="s">
        <v>2552</v>
      </c>
      <c r="E1210" s="164" t="s">
        <v>3699</v>
      </c>
      <c r="F1210" s="165">
        <v>939.56</v>
      </c>
    </row>
    <row r="1211" spans="1:6" x14ac:dyDescent="0.2">
      <c r="A1211" s="166" t="s">
        <v>3724</v>
      </c>
      <c r="B1211" s="167" t="s">
        <v>2511</v>
      </c>
      <c r="C1211" s="167">
        <v>14124334</v>
      </c>
      <c r="D1211" s="167" t="s">
        <v>2538</v>
      </c>
      <c r="E1211" s="167" t="s">
        <v>3699</v>
      </c>
      <c r="F1211" s="168">
        <v>939.56</v>
      </c>
    </row>
    <row r="1212" spans="1:6" x14ac:dyDescent="0.2">
      <c r="A1212" s="163" t="s">
        <v>3724</v>
      </c>
      <c r="B1212" s="164" t="s">
        <v>2511</v>
      </c>
      <c r="C1212" s="164">
        <v>14124320</v>
      </c>
      <c r="D1212" s="164" t="s">
        <v>2404</v>
      </c>
      <c r="E1212" s="164" t="s">
        <v>3699</v>
      </c>
      <c r="F1212" s="165">
        <v>939.56</v>
      </c>
    </row>
    <row r="1213" spans="1:6" x14ac:dyDescent="0.2">
      <c r="A1213" s="166" t="s">
        <v>3724</v>
      </c>
      <c r="B1213" s="167" t="s">
        <v>2511</v>
      </c>
      <c r="C1213" s="167">
        <v>14124303</v>
      </c>
      <c r="D1213" s="167" t="s">
        <v>2403</v>
      </c>
      <c r="E1213" s="167" t="s">
        <v>3699</v>
      </c>
      <c r="F1213" s="168">
        <v>939.56</v>
      </c>
    </row>
    <row r="1214" spans="1:6" x14ac:dyDescent="0.2">
      <c r="A1214" s="163" t="s">
        <v>3724</v>
      </c>
      <c r="B1214" s="164" t="s">
        <v>2511</v>
      </c>
      <c r="C1214" s="164">
        <v>14124263</v>
      </c>
      <c r="D1214" s="164" t="s">
        <v>2400</v>
      </c>
      <c r="E1214" s="164" t="s">
        <v>3699</v>
      </c>
      <c r="F1214" s="165">
        <v>939.56</v>
      </c>
    </row>
    <row r="1215" spans="1:6" x14ac:dyDescent="0.2">
      <c r="A1215" s="166" t="s">
        <v>3724</v>
      </c>
      <c r="B1215" s="167" t="s">
        <v>2511</v>
      </c>
      <c r="C1215" s="167">
        <v>14124260</v>
      </c>
      <c r="D1215" s="167" t="s">
        <v>2397</v>
      </c>
      <c r="E1215" s="167" t="s">
        <v>3699</v>
      </c>
      <c r="F1215" s="168">
        <v>939.56</v>
      </c>
    </row>
    <row r="1216" spans="1:6" x14ac:dyDescent="0.2">
      <c r="A1216" s="163" t="s">
        <v>3724</v>
      </c>
      <c r="B1216" s="164" t="s">
        <v>2511</v>
      </c>
      <c r="C1216" s="164">
        <v>14124244</v>
      </c>
      <c r="D1216" s="164" t="s">
        <v>2393</v>
      </c>
      <c r="E1216" s="164" t="s">
        <v>3699</v>
      </c>
      <c r="F1216" s="165">
        <v>939.56</v>
      </c>
    </row>
    <row r="1217" spans="1:6" x14ac:dyDescent="0.2">
      <c r="A1217" s="166" t="s">
        <v>3724</v>
      </c>
      <c r="B1217" s="167" t="s">
        <v>2511</v>
      </c>
      <c r="C1217" s="167">
        <v>14124243</v>
      </c>
      <c r="D1217" s="167" t="s">
        <v>2392</v>
      </c>
      <c r="E1217" s="167" t="s">
        <v>3699</v>
      </c>
      <c r="F1217" s="168">
        <v>939.56</v>
      </c>
    </row>
    <row r="1218" spans="1:6" x14ac:dyDescent="0.2">
      <c r="A1218" s="163" t="s">
        <v>3724</v>
      </c>
      <c r="B1218" s="164" t="s">
        <v>2511</v>
      </c>
      <c r="C1218" s="164">
        <v>14124206</v>
      </c>
      <c r="D1218" s="164" t="s">
        <v>2391</v>
      </c>
      <c r="E1218" s="164" t="s">
        <v>3699</v>
      </c>
      <c r="F1218" s="165">
        <v>939.56</v>
      </c>
    </row>
    <row r="1219" spans="1:6" x14ac:dyDescent="0.2">
      <c r="A1219" s="166" t="s">
        <v>3724</v>
      </c>
      <c r="B1219" s="167" t="s">
        <v>2511</v>
      </c>
      <c r="C1219" s="167">
        <v>14124189</v>
      </c>
      <c r="D1219" s="167" t="s">
        <v>2390</v>
      </c>
      <c r="E1219" s="167" t="s">
        <v>3699</v>
      </c>
      <c r="F1219" s="168">
        <v>939.56</v>
      </c>
    </row>
    <row r="1220" spans="1:6" x14ac:dyDescent="0.2">
      <c r="A1220" s="163" t="s">
        <v>3724</v>
      </c>
      <c r="B1220" s="164" t="s">
        <v>2511</v>
      </c>
      <c r="C1220" s="164">
        <v>14124188</v>
      </c>
      <c r="D1220" s="164" t="s">
        <v>2016</v>
      </c>
      <c r="E1220" s="164" t="s">
        <v>3699</v>
      </c>
      <c r="F1220" s="165">
        <v>939.56</v>
      </c>
    </row>
    <row r="1221" spans="1:6" x14ac:dyDescent="0.2">
      <c r="A1221" s="166" t="s">
        <v>3724</v>
      </c>
      <c r="B1221" s="167" t="s">
        <v>2511</v>
      </c>
      <c r="C1221" s="167">
        <v>14124186</v>
      </c>
      <c r="D1221" s="167" t="s">
        <v>2021</v>
      </c>
      <c r="E1221" s="167" t="s">
        <v>3699</v>
      </c>
      <c r="F1221" s="168">
        <v>939.56</v>
      </c>
    </row>
    <row r="1222" spans="1:6" x14ac:dyDescent="0.2">
      <c r="A1222" s="163" t="s">
        <v>3724</v>
      </c>
      <c r="B1222" s="164" t="s">
        <v>2511</v>
      </c>
      <c r="C1222" s="164">
        <v>14124166</v>
      </c>
      <c r="D1222" s="164" t="s">
        <v>1963</v>
      </c>
      <c r="E1222" s="164" t="s">
        <v>3699</v>
      </c>
      <c r="F1222" s="165">
        <v>939.56</v>
      </c>
    </row>
    <row r="1223" spans="1:6" x14ac:dyDescent="0.2">
      <c r="A1223" s="166" t="s">
        <v>3724</v>
      </c>
      <c r="B1223" s="167" t="s">
        <v>2511</v>
      </c>
      <c r="C1223" s="167">
        <v>14124161</v>
      </c>
      <c r="D1223" s="167" t="s">
        <v>2031</v>
      </c>
      <c r="E1223" s="167" t="s">
        <v>3699</v>
      </c>
      <c r="F1223" s="168">
        <v>939.56</v>
      </c>
    </row>
    <row r="1224" spans="1:6" x14ac:dyDescent="0.2">
      <c r="A1224" s="163" t="s">
        <v>3724</v>
      </c>
      <c r="B1224" s="164" t="s">
        <v>2511</v>
      </c>
      <c r="C1224" s="164">
        <v>14124160</v>
      </c>
      <c r="D1224" s="164" t="s">
        <v>1972</v>
      </c>
      <c r="E1224" s="164" t="s">
        <v>3699</v>
      </c>
      <c r="F1224" s="165">
        <v>939.56</v>
      </c>
    </row>
    <row r="1225" spans="1:6" x14ac:dyDescent="0.2">
      <c r="A1225" s="166" t="s">
        <v>3724</v>
      </c>
      <c r="B1225" s="167" t="s">
        <v>2511</v>
      </c>
      <c r="C1225" s="167">
        <v>14124157</v>
      </c>
      <c r="D1225" s="167" t="s">
        <v>1918</v>
      </c>
      <c r="E1225" s="167" t="s">
        <v>3699</v>
      </c>
      <c r="F1225" s="168">
        <v>939.56</v>
      </c>
    </row>
    <row r="1226" spans="1:6" x14ac:dyDescent="0.2">
      <c r="A1226" s="163" t="s">
        <v>3724</v>
      </c>
      <c r="B1226" s="164" t="s">
        <v>2511</v>
      </c>
      <c r="C1226" s="164">
        <v>14124113</v>
      </c>
      <c r="D1226" s="164" t="s">
        <v>1624</v>
      </c>
      <c r="E1226" s="164" t="s">
        <v>3699</v>
      </c>
      <c r="F1226" s="165">
        <v>939.56</v>
      </c>
    </row>
    <row r="1227" spans="1:6" x14ac:dyDescent="0.2">
      <c r="A1227" s="166" t="s">
        <v>3724</v>
      </c>
      <c r="B1227" s="167" t="s">
        <v>2511</v>
      </c>
      <c r="C1227" s="167">
        <v>14124105</v>
      </c>
      <c r="D1227" s="167" t="s">
        <v>1620</v>
      </c>
      <c r="E1227" s="167" t="s">
        <v>3699</v>
      </c>
      <c r="F1227" s="168">
        <v>939.56</v>
      </c>
    </row>
    <row r="1228" spans="1:6" x14ac:dyDescent="0.2">
      <c r="A1228" s="163" t="s">
        <v>3724</v>
      </c>
      <c r="B1228" s="164" t="s">
        <v>2511</v>
      </c>
      <c r="C1228" s="164">
        <v>14124061</v>
      </c>
      <c r="D1228" s="164" t="s">
        <v>1610</v>
      </c>
      <c r="E1228" s="164" t="s">
        <v>3699</v>
      </c>
      <c r="F1228" s="165">
        <v>939.56</v>
      </c>
    </row>
    <row r="1229" spans="1:6" x14ac:dyDescent="0.2">
      <c r="A1229" s="166" t="s">
        <v>3724</v>
      </c>
      <c r="B1229" s="167" t="s">
        <v>2511</v>
      </c>
      <c r="C1229" s="167">
        <v>14124020</v>
      </c>
      <c r="D1229" s="167" t="s">
        <v>1004</v>
      </c>
      <c r="E1229" s="167" t="s">
        <v>3699</v>
      </c>
      <c r="F1229" s="168">
        <v>939.56</v>
      </c>
    </row>
    <row r="1230" spans="1:6" x14ac:dyDescent="0.2">
      <c r="A1230" s="163" t="s">
        <v>3724</v>
      </c>
      <c r="B1230" s="164" t="s">
        <v>2511</v>
      </c>
      <c r="C1230" s="164">
        <v>14123950</v>
      </c>
      <c r="D1230" s="164" t="s">
        <v>995</v>
      </c>
      <c r="E1230" s="164" t="s">
        <v>3699</v>
      </c>
      <c r="F1230" s="165">
        <v>939.56</v>
      </c>
    </row>
    <row r="1231" spans="1:6" x14ac:dyDescent="0.2">
      <c r="A1231" s="166" t="s">
        <v>3724</v>
      </c>
      <c r="B1231" s="167" t="s">
        <v>2511</v>
      </c>
      <c r="C1231" s="167">
        <v>14123725</v>
      </c>
      <c r="D1231" s="167" t="s">
        <v>958</v>
      </c>
      <c r="E1231" s="167" t="s">
        <v>3699</v>
      </c>
      <c r="F1231" s="168">
        <v>939.56</v>
      </c>
    </row>
    <row r="1232" spans="1:6" x14ac:dyDescent="0.2">
      <c r="A1232" s="163" t="s">
        <v>3724</v>
      </c>
      <c r="B1232" s="164" t="s">
        <v>2511</v>
      </c>
      <c r="C1232" s="164">
        <v>14123720</v>
      </c>
      <c r="D1232" s="164" t="s">
        <v>957</v>
      </c>
      <c r="E1232" s="164" t="s">
        <v>3699</v>
      </c>
      <c r="F1232" s="165">
        <v>939.56</v>
      </c>
    </row>
    <row r="1233" spans="1:6" x14ac:dyDescent="0.2">
      <c r="A1233" s="166" t="s">
        <v>3724</v>
      </c>
      <c r="B1233" s="167" t="s">
        <v>2511</v>
      </c>
      <c r="C1233" s="167">
        <v>14123702</v>
      </c>
      <c r="D1233" s="167" t="s">
        <v>944</v>
      </c>
      <c r="E1233" s="167" t="s">
        <v>3699</v>
      </c>
      <c r="F1233" s="168">
        <v>939.56</v>
      </c>
    </row>
    <row r="1234" spans="1:6" x14ac:dyDescent="0.2">
      <c r="A1234" s="163" t="s">
        <v>3724</v>
      </c>
      <c r="B1234" s="164" t="s">
        <v>2511</v>
      </c>
      <c r="C1234" s="164">
        <v>14123656</v>
      </c>
      <c r="D1234" s="164" t="s">
        <v>940</v>
      </c>
      <c r="E1234" s="164" t="s">
        <v>3699</v>
      </c>
      <c r="F1234" s="165">
        <v>939.56</v>
      </c>
    </row>
    <row r="1235" spans="1:6" x14ac:dyDescent="0.2">
      <c r="A1235" s="166" t="s">
        <v>3724</v>
      </c>
      <c r="B1235" s="167" t="s">
        <v>2511</v>
      </c>
      <c r="C1235" s="167">
        <v>14123654</v>
      </c>
      <c r="D1235" s="167" t="s">
        <v>938</v>
      </c>
      <c r="E1235" s="167" t="s">
        <v>3699</v>
      </c>
      <c r="F1235" s="168">
        <v>939.56</v>
      </c>
    </row>
    <row r="1236" spans="1:6" x14ac:dyDescent="0.2">
      <c r="A1236" s="163" t="s">
        <v>3724</v>
      </c>
      <c r="B1236" s="164" t="s">
        <v>2511</v>
      </c>
      <c r="C1236" s="164">
        <v>14123652</v>
      </c>
      <c r="D1236" s="164" t="s">
        <v>910</v>
      </c>
      <c r="E1236" s="164" t="s">
        <v>3699</v>
      </c>
      <c r="F1236" s="165">
        <v>939.56</v>
      </c>
    </row>
    <row r="1237" spans="1:6" x14ac:dyDescent="0.2">
      <c r="A1237" s="166" t="s">
        <v>3724</v>
      </c>
      <c r="B1237" s="167" t="s">
        <v>2511</v>
      </c>
      <c r="C1237" s="167">
        <v>14123651</v>
      </c>
      <c r="D1237" s="167" t="s">
        <v>909</v>
      </c>
      <c r="E1237" s="167" t="s">
        <v>3699</v>
      </c>
      <c r="F1237" s="168">
        <v>939.56</v>
      </c>
    </row>
    <row r="1238" spans="1:6" x14ac:dyDescent="0.2">
      <c r="A1238" s="163" t="s">
        <v>3724</v>
      </c>
      <c r="B1238" s="164" t="s">
        <v>2511</v>
      </c>
      <c r="C1238" s="164">
        <v>14123642</v>
      </c>
      <c r="D1238" s="164" t="s">
        <v>906</v>
      </c>
      <c r="E1238" s="164" t="s">
        <v>3699</v>
      </c>
      <c r="F1238" s="165">
        <v>939.56</v>
      </c>
    </row>
    <row r="1239" spans="1:6" x14ac:dyDescent="0.2">
      <c r="A1239" s="166" t="s">
        <v>3724</v>
      </c>
      <c r="B1239" s="167" t="s">
        <v>2511</v>
      </c>
      <c r="C1239" s="167">
        <v>14123634</v>
      </c>
      <c r="D1239" s="167" t="s">
        <v>902</v>
      </c>
      <c r="E1239" s="167" t="s">
        <v>3699</v>
      </c>
      <c r="F1239" s="168">
        <v>939.56</v>
      </c>
    </row>
    <row r="1240" spans="1:6" x14ac:dyDescent="0.2">
      <c r="A1240" s="163" t="s">
        <v>3724</v>
      </c>
      <c r="B1240" s="164" t="s">
        <v>2511</v>
      </c>
      <c r="C1240" s="164">
        <v>14123570</v>
      </c>
      <c r="D1240" s="164" t="s">
        <v>549</v>
      </c>
      <c r="E1240" s="164" t="s">
        <v>3699</v>
      </c>
      <c r="F1240" s="165">
        <v>939.56</v>
      </c>
    </row>
    <row r="1241" spans="1:6" x14ac:dyDescent="0.2">
      <c r="A1241" s="166" t="s">
        <v>3724</v>
      </c>
      <c r="B1241" s="167" t="s">
        <v>2511</v>
      </c>
      <c r="C1241" s="167">
        <v>14123519</v>
      </c>
      <c r="D1241" s="167" t="s">
        <v>535</v>
      </c>
      <c r="E1241" s="167" t="s">
        <v>3699</v>
      </c>
      <c r="F1241" s="168">
        <v>939.56</v>
      </c>
    </row>
    <row r="1242" spans="1:6" x14ac:dyDescent="0.2">
      <c r="A1242" s="163" t="s">
        <v>3724</v>
      </c>
      <c r="B1242" s="164" t="s">
        <v>2511</v>
      </c>
      <c r="C1242" s="164">
        <v>14123514</v>
      </c>
      <c r="D1242" s="164" t="s">
        <v>533</v>
      </c>
      <c r="E1242" s="164" t="s">
        <v>3699</v>
      </c>
      <c r="F1242" s="165">
        <v>939.56</v>
      </c>
    </row>
    <row r="1243" spans="1:6" x14ac:dyDescent="0.2">
      <c r="A1243" s="166" t="s">
        <v>3724</v>
      </c>
      <c r="B1243" s="167" t="s">
        <v>2511</v>
      </c>
      <c r="C1243" s="167">
        <v>14123461</v>
      </c>
      <c r="D1243" s="167" t="s">
        <v>523</v>
      </c>
      <c r="E1243" s="167" t="s">
        <v>3699</v>
      </c>
      <c r="F1243" s="168">
        <v>939.56</v>
      </c>
    </row>
    <row r="1244" spans="1:6" x14ac:dyDescent="0.2">
      <c r="A1244" s="163" t="s">
        <v>3724</v>
      </c>
      <c r="B1244" s="164" t="s">
        <v>2511</v>
      </c>
      <c r="C1244" s="164">
        <v>14123445</v>
      </c>
      <c r="D1244" s="164" t="s">
        <v>518</v>
      </c>
      <c r="E1244" s="164" t="s">
        <v>3699</v>
      </c>
      <c r="F1244" s="165">
        <v>939.56</v>
      </c>
    </row>
    <row r="1245" spans="1:6" x14ac:dyDescent="0.2">
      <c r="A1245" s="166" t="s">
        <v>3724</v>
      </c>
      <c r="B1245" s="167" t="s">
        <v>2511</v>
      </c>
      <c r="C1245" s="167">
        <v>14123377</v>
      </c>
      <c r="D1245" s="167" t="s">
        <v>516</v>
      </c>
      <c r="E1245" s="167" t="s">
        <v>3699</v>
      </c>
      <c r="F1245" s="168">
        <v>939.56</v>
      </c>
    </row>
    <row r="1246" spans="1:6" x14ac:dyDescent="0.2">
      <c r="A1246" s="163" t="s">
        <v>3724</v>
      </c>
      <c r="B1246" s="164" t="s">
        <v>2511</v>
      </c>
      <c r="C1246" s="164">
        <v>14123336</v>
      </c>
      <c r="D1246" s="164" t="s">
        <v>514</v>
      </c>
      <c r="E1246" s="164" t="s">
        <v>3699</v>
      </c>
      <c r="F1246" s="165">
        <v>939.56</v>
      </c>
    </row>
    <row r="1247" spans="1:6" x14ac:dyDescent="0.2">
      <c r="A1247" s="166" t="s">
        <v>3724</v>
      </c>
      <c r="B1247" s="167" t="s">
        <v>2511</v>
      </c>
      <c r="C1247" s="167">
        <v>14123332</v>
      </c>
      <c r="D1247" s="167" t="s">
        <v>512</v>
      </c>
      <c r="E1247" s="167" t="s">
        <v>3699</v>
      </c>
      <c r="F1247" s="168">
        <v>886.72</v>
      </c>
    </row>
    <row r="1248" spans="1:6" x14ac:dyDescent="0.2">
      <c r="A1248" s="163" t="s">
        <v>3724</v>
      </c>
      <c r="B1248" s="164" t="s">
        <v>2511</v>
      </c>
      <c r="C1248" s="164">
        <v>14123277</v>
      </c>
      <c r="D1248" s="164" t="s">
        <v>505</v>
      </c>
      <c r="E1248" s="164" t="s">
        <v>3699</v>
      </c>
      <c r="F1248" s="165">
        <v>939.56</v>
      </c>
    </row>
    <row r="1249" spans="1:6" x14ac:dyDescent="0.2">
      <c r="A1249" s="166" t="s">
        <v>3724</v>
      </c>
      <c r="B1249" s="167" t="s">
        <v>2511</v>
      </c>
      <c r="C1249" s="167">
        <v>14123273</v>
      </c>
      <c r="D1249" s="167" t="s">
        <v>501</v>
      </c>
      <c r="E1249" s="167" t="s">
        <v>3699</v>
      </c>
      <c r="F1249" s="168">
        <v>939.56</v>
      </c>
    </row>
    <row r="1250" spans="1:6" x14ac:dyDescent="0.2">
      <c r="A1250" s="163" t="s">
        <v>3724</v>
      </c>
      <c r="B1250" s="164" t="s">
        <v>2511</v>
      </c>
      <c r="C1250" s="164">
        <v>14123254</v>
      </c>
      <c r="D1250" s="164" t="s">
        <v>499</v>
      </c>
      <c r="E1250" s="164" t="s">
        <v>3699</v>
      </c>
      <c r="F1250" s="165">
        <v>939.56</v>
      </c>
    </row>
    <row r="1251" spans="1:6" x14ac:dyDescent="0.2">
      <c r="A1251" s="166" t="s">
        <v>3724</v>
      </c>
      <c r="B1251" s="167" t="s">
        <v>2511</v>
      </c>
      <c r="C1251" s="167">
        <v>14123145</v>
      </c>
      <c r="D1251" s="167" t="s">
        <v>490</v>
      </c>
      <c r="E1251" s="167" t="s">
        <v>3699</v>
      </c>
      <c r="F1251" s="168">
        <v>886.72</v>
      </c>
    </row>
    <row r="1252" spans="1:6" x14ac:dyDescent="0.2">
      <c r="A1252" s="163" t="s">
        <v>3724</v>
      </c>
      <c r="B1252" s="164" t="s">
        <v>2511</v>
      </c>
      <c r="C1252" s="164">
        <v>14123107</v>
      </c>
      <c r="D1252" s="164" t="s">
        <v>487</v>
      </c>
      <c r="E1252" s="164" t="s">
        <v>3699</v>
      </c>
      <c r="F1252" s="165">
        <v>939.56</v>
      </c>
    </row>
    <row r="1253" spans="1:6" x14ac:dyDescent="0.2">
      <c r="A1253" s="166" t="s">
        <v>3724</v>
      </c>
      <c r="B1253" s="167" t="s">
        <v>2511</v>
      </c>
      <c r="C1253" s="167">
        <v>14123063</v>
      </c>
      <c r="D1253" s="167" t="s">
        <v>479</v>
      </c>
      <c r="E1253" s="167" t="s">
        <v>3699</v>
      </c>
      <c r="F1253" s="168">
        <v>939.56</v>
      </c>
    </row>
    <row r="1254" spans="1:6" x14ac:dyDescent="0.2">
      <c r="A1254" s="163" t="s">
        <v>3724</v>
      </c>
      <c r="B1254" s="164" t="s">
        <v>2511</v>
      </c>
      <c r="C1254" s="164">
        <v>14123010</v>
      </c>
      <c r="D1254" s="164" t="s">
        <v>477</v>
      </c>
      <c r="E1254" s="164" t="s">
        <v>3699</v>
      </c>
      <c r="F1254" s="165">
        <v>939.56</v>
      </c>
    </row>
    <row r="1255" spans="1:6" x14ac:dyDescent="0.2">
      <c r="A1255" s="166" t="s">
        <v>3724</v>
      </c>
      <c r="B1255" s="167" t="s">
        <v>2511</v>
      </c>
      <c r="C1255" s="167">
        <v>14122928</v>
      </c>
      <c r="D1255" s="167" t="s">
        <v>469</v>
      </c>
      <c r="E1255" s="167" t="s">
        <v>3699</v>
      </c>
      <c r="F1255" s="168">
        <v>939.56</v>
      </c>
    </row>
    <row r="1256" spans="1:6" x14ac:dyDescent="0.2">
      <c r="A1256" s="163" t="s">
        <v>3724</v>
      </c>
      <c r="B1256" s="164" t="s">
        <v>2511</v>
      </c>
      <c r="C1256" s="164">
        <v>14122927</v>
      </c>
      <c r="D1256" s="164" t="s">
        <v>468</v>
      </c>
      <c r="E1256" s="164" t="s">
        <v>3699</v>
      </c>
      <c r="F1256" s="165">
        <v>939.56</v>
      </c>
    </row>
    <row r="1257" spans="1:6" x14ac:dyDescent="0.2">
      <c r="A1257" s="166" t="s">
        <v>3724</v>
      </c>
      <c r="B1257" s="167" t="s">
        <v>2511</v>
      </c>
      <c r="C1257" s="167">
        <v>14122904</v>
      </c>
      <c r="D1257" s="167" t="s">
        <v>464</v>
      </c>
      <c r="E1257" s="167" t="s">
        <v>3699</v>
      </c>
      <c r="F1257" s="168">
        <v>939.56</v>
      </c>
    </row>
    <row r="1258" spans="1:6" x14ac:dyDescent="0.2">
      <c r="A1258" s="163" t="s">
        <v>3724</v>
      </c>
      <c r="B1258" s="164" t="s">
        <v>2511</v>
      </c>
      <c r="C1258" s="164">
        <v>14122854</v>
      </c>
      <c r="D1258" s="164" t="s">
        <v>456</v>
      </c>
      <c r="E1258" s="164" t="s">
        <v>3699</v>
      </c>
      <c r="F1258" s="165">
        <v>939.56</v>
      </c>
    </row>
    <row r="1259" spans="1:6" x14ac:dyDescent="0.2">
      <c r="A1259" s="166" t="s">
        <v>3724</v>
      </c>
      <c r="B1259" s="167" t="s">
        <v>2511</v>
      </c>
      <c r="C1259" s="167">
        <v>14122775</v>
      </c>
      <c r="D1259" s="167" t="s">
        <v>450</v>
      </c>
      <c r="E1259" s="167" t="s">
        <v>3699</v>
      </c>
      <c r="F1259" s="168">
        <v>939.56</v>
      </c>
    </row>
    <row r="1260" spans="1:6" x14ac:dyDescent="0.2">
      <c r="A1260" s="163" t="s">
        <v>3724</v>
      </c>
      <c r="B1260" s="164" t="s">
        <v>2511</v>
      </c>
      <c r="C1260" s="164">
        <v>14122772</v>
      </c>
      <c r="D1260" s="164" t="s">
        <v>448</v>
      </c>
      <c r="E1260" s="164" t="s">
        <v>3699</v>
      </c>
      <c r="F1260" s="165">
        <v>939.56</v>
      </c>
    </row>
    <row r="1261" spans="1:6" x14ac:dyDescent="0.2">
      <c r="A1261" s="166" t="s">
        <v>3724</v>
      </c>
      <c r="B1261" s="167" t="s">
        <v>2511</v>
      </c>
      <c r="C1261" s="167">
        <v>14122758</v>
      </c>
      <c r="D1261" s="167" t="s">
        <v>447</v>
      </c>
      <c r="E1261" s="167" t="s">
        <v>3699</v>
      </c>
      <c r="F1261" s="168">
        <v>939.56</v>
      </c>
    </row>
    <row r="1262" spans="1:6" x14ac:dyDescent="0.2">
      <c r="A1262" s="163" t="s">
        <v>3724</v>
      </c>
      <c r="B1262" s="164" t="s">
        <v>2511</v>
      </c>
      <c r="C1262" s="164">
        <v>14122618</v>
      </c>
      <c r="D1262" s="164" t="s">
        <v>436</v>
      </c>
      <c r="E1262" s="164" t="s">
        <v>3699</v>
      </c>
      <c r="F1262" s="165">
        <v>939.56</v>
      </c>
    </row>
    <row r="1263" spans="1:6" x14ac:dyDescent="0.2">
      <c r="A1263" s="166" t="s">
        <v>3724</v>
      </c>
      <c r="B1263" s="167" t="s">
        <v>2511</v>
      </c>
      <c r="C1263" s="167">
        <v>14122617</v>
      </c>
      <c r="D1263" s="167" t="s">
        <v>435</v>
      </c>
      <c r="E1263" s="167" t="s">
        <v>3699</v>
      </c>
      <c r="F1263" s="168">
        <v>939.56</v>
      </c>
    </row>
    <row r="1264" spans="1:6" x14ac:dyDescent="0.2">
      <c r="A1264" s="163" t="s">
        <v>3724</v>
      </c>
      <c r="B1264" s="164" t="s">
        <v>2511</v>
      </c>
      <c r="C1264" s="164">
        <v>14122481</v>
      </c>
      <c r="D1264" s="164" t="s">
        <v>426</v>
      </c>
      <c r="E1264" s="164" t="s">
        <v>3699</v>
      </c>
      <c r="F1264" s="165">
        <v>939.56</v>
      </c>
    </row>
    <row r="1265" spans="1:6" x14ac:dyDescent="0.2">
      <c r="A1265" s="166" t="s">
        <v>3724</v>
      </c>
      <c r="B1265" s="167" t="s">
        <v>2511</v>
      </c>
      <c r="C1265" s="167">
        <v>14122431</v>
      </c>
      <c r="D1265" s="167" t="s">
        <v>425</v>
      </c>
      <c r="E1265" s="167" t="s">
        <v>3699</v>
      </c>
      <c r="F1265" s="168">
        <v>966.02</v>
      </c>
    </row>
    <row r="1266" spans="1:6" x14ac:dyDescent="0.2">
      <c r="A1266" s="163" t="s">
        <v>3724</v>
      </c>
      <c r="B1266" s="164" t="s">
        <v>2511</v>
      </c>
      <c r="C1266" s="164">
        <v>14122429</v>
      </c>
      <c r="D1266" s="164" t="s">
        <v>424</v>
      </c>
      <c r="E1266" s="164" t="s">
        <v>3699</v>
      </c>
      <c r="F1266" s="165">
        <v>966.02</v>
      </c>
    </row>
    <row r="1267" spans="1:6" x14ac:dyDescent="0.2">
      <c r="A1267" s="166" t="s">
        <v>3724</v>
      </c>
      <c r="B1267" s="167" t="s">
        <v>2511</v>
      </c>
      <c r="C1267" s="167">
        <v>14122419</v>
      </c>
      <c r="D1267" s="167" t="s">
        <v>422</v>
      </c>
      <c r="E1267" s="167" t="s">
        <v>3699</v>
      </c>
      <c r="F1267" s="168">
        <v>966.02</v>
      </c>
    </row>
    <row r="1268" spans="1:6" x14ac:dyDescent="0.2">
      <c r="A1268" s="163" t="s">
        <v>3724</v>
      </c>
      <c r="B1268" s="164" t="s">
        <v>2511</v>
      </c>
      <c r="C1268" s="164">
        <v>14122416</v>
      </c>
      <c r="D1268" s="164" t="s">
        <v>420</v>
      </c>
      <c r="E1268" s="164" t="s">
        <v>3699</v>
      </c>
      <c r="F1268" s="165">
        <v>966.02</v>
      </c>
    </row>
    <row r="1269" spans="1:6" x14ac:dyDescent="0.2">
      <c r="A1269" s="166" t="s">
        <v>3724</v>
      </c>
      <c r="B1269" s="167" t="s">
        <v>2511</v>
      </c>
      <c r="C1269" s="167">
        <v>14122394</v>
      </c>
      <c r="D1269" s="167" t="s">
        <v>419</v>
      </c>
      <c r="E1269" s="167" t="s">
        <v>3699</v>
      </c>
      <c r="F1269" s="168">
        <v>966.02</v>
      </c>
    </row>
    <row r="1270" spans="1:6" x14ac:dyDescent="0.2">
      <c r="A1270" s="163" t="s">
        <v>3724</v>
      </c>
      <c r="B1270" s="164" t="s">
        <v>2511</v>
      </c>
      <c r="C1270" s="164">
        <v>14122355</v>
      </c>
      <c r="D1270" s="164" t="s">
        <v>417</v>
      </c>
      <c r="E1270" s="164" t="s">
        <v>3699</v>
      </c>
      <c r="F1270" s="165">
        <v>966.02</v>
      </c>
    </row>
    <row r="1271" spans="1:6" x14ac:dyDescent="0.2">
      <c r="A1271" s="166" t="s">
        <v>3724</v>
      </c>
      <c r="B1271" s="167" t="s">
        <v>2511</v>
      </c>
      <c r="C1271" s="167">
        <v>14122330</v>
      </c>
      <c r="D1271" s="167" t="s">
        <v>413</v>
      </c>
      <c r="E1271" s="167" t="s">
        <v>3699</v>
      </c>
      <c r="F1271" s="168">
        <v>966.02</v>
      </c>
    </row>
    <row r="1272" spans="1:6" x14ac:dyDescent="0.2">
      <c r="A1272" s="163" t="s">
        <v>3724</v>
      </c>
      <c r="B1272" s="164" t="s">
        <v>2511</v>
      </c>
      <c r="C1272" s="164">
        <v>14122320</v>
      </c>
      <c r="D1272" s="164" t="s">
        <v>411</v>
      </c>
      <c r="E1272" s="164" t="s">
        <v>3699</v>
      </c>
      <c r="F1272" s="165">
        <v>966.02</v>
      </c>
    </row>
    <row r="1273" spans="1:6" x14ac:dyDescent="0.2">
      <c r="A1273" s="166" t="s">
        <v>3724</v>
      </c>
      <c r="B1273" s="167" t="s">
        <v>2511</v>
      </c>
      <c r="C1273" s="167">
        <v>14122294</v>
      </c>
      <c r="D1273" s="167" t="s">
        <v>410</v>
      </c>
      <c r="E1273" s="167" t="s">
        <v>3699</v>
      </c>
      <c r="F1273" s="168">
        <v>966.02</v>
      </c>
    </row>
    <row r="1274" spans="1:6" x14ac:dyDescent="0.2">
      <c r="A1274" s="163" t="s">
        <v>3724</v>
      </c>
      <c r="B1274" s="164" t="s">
        <v>2511</v>
      </c>
      <c r="C1274" s="164">
        <v>14122194</v>
      </c>
      <c r="D1274" s="164" t="s">
        <v>401</v>
      </c>
      <c r="E1274" s="164" t="s">
        <v>3699</v>
      </c>
      <c r="F1274" s="165">
        <v>966.02</v>
      </c>
    </row>
    <row r="1275" spans="1:6" x14ac:dyDescent="0.2">
      <c r="A1275" s="166" t="s">
        <v>3724</v>
      </c>
      <c r="B1275" s="167" t="s">
        <v>2511</v>
      </c>
      <c r="C1275" s="167">
        <v>14122158</v>
      </c>
      <c r="D1275" s="167" t="s">
        <v>396</v>
      </c>
      <c r="E1275" s="167" t="s">
        <v>3699</v>
      </c>
      <c r="F1275" s="168">
        <v>966.02</v>
      </c>
    </row>
    <row r="1276" spans="1:6" x14ac:dyDescent="0.2">
      <c r="A1276" s="163" t="s">
        <v>3724</v>
      </c>
      <c r="B1276" s="164" t="s">
        <v>2511</v>
      </c>
      <c r="C1276" s="164">
        <v>14122137</v>
      </c>
      <c r="D1276" s="164" t="s">
        <v>393</v>
      </c>
      <c r="E1276" s="164" t="s">
        <v>3699</v>
      </c>
      <c r="F1276" s="165">
        <v>966.02</v>
      </c>
    </row>
    <row r="1277" spans="1:6" x14ac:dyDescent="0.2">
      <c r="A1277" s="166" t="s">
        <v>3724</v>
      </c>
      <c r="B1277" s="167" t="s">
        <v>2511</v>
      </c>
      <c r="C1277" s="167">
        <v>14122136</v>
      </c>
      <c r="D1277" s="167" t="s">
        <v>392</v>
      </c>
      <c r="E1277" s="167" t="s">
        <v>3699</v>
      </c>
      <c r="F1277" s="168">
        <v>966.02</v>
      </c>
    </row>
    <row r="1278" spans="1:6" x14ac:dyDescent="0.2">
      <c r="A1278" s="163" t="s">
        <v>3724</v>
      </c>
      <c r="B1278" s="164" t="s">
        <v>2511</v>
      </c>
      <c r="C1278" s="164">
        <v>14122094</v>
      </c>
      <c r="D1278" s="164" t="s">
        <v>386</v>
      </c>
      <c r="E1278" s="164" t="s">
        <v>3699</v>
      </c>
      <c r="F1278" s="165">
        <v>1042.6600000000001</v>
      </c>
    </row>
    <row r="1279" spans="1:6" x14ac:dyDescent="0.2">
      <c r="A1279" s="166" t="s">
        <v>3724</v>
      </c>
      <c r="B1279" s="167" t="s">
        <v>2511</v>
      </c>
      <c r="C1279" s="167">
        <v>14122083</v>
      </c>
      <c r="D1279" s="167" t="s">
        <v>385</v>
      </c>
      <c r="E1279" s="167" t="s">
        <v>3699</v>
      </c>
      <c r="F1279" s="168">
        <v>1042.6600000000001</v>
      </c>
    </row>
    <row r="1280" spans="1:6" x14ac:dyDescent="0.2">
      <c r="A1280" s="163" t="s">
        <v>3724</v>
      </c>
      <c r="B1280" s="164" t="s">
        <v>2511</v>
      </c>
      <c r="C1280" s="164">
        <v>14121985</v>
      </c>
      <c r="D1280" s="164" t="s">
        <v>376</v>
      </c>
      <c r="E1280" s="164" t="s">
        <v>3699</v>
      </c>
      <c r="F1280" s="165">
        <v>966.02</v>
      </c>
    </row>
    <row r="1281" spans="1:6" x14ac:dyDescent="0.2">
      <c r="A1281" s="166" t="s">
        <v>3724</v>
      </c>
      <c r="B1281" s="167" t="s">
        <v>2511</v>
      </c>
      <c r="C1281" s="167">
        <v>14121964</v>
      </c>
      <c r="D1281" s="167" t="s">
        <v>375</v>
      </c>
      <c r="E1281" s="167" t="s">
        <v>3699</v>
      </c>
      <c r="F1281" s="168">
        <v>966.02</v>
      </c>
    </row>
    <row r="1282" spans="1:6" x14ac:dyDescent="0.2">
      <c r="A1282" s="163" t="s">
        <v>3724</v>
      </c>
      <c r="B1282" s="164" t="s">
        <v>2511</v>
      </c>
      <c r="C1282" s="164">
        <v>14121917</v>
      </c>
      <c r="D1282" s="164" t="s">
        <v>370</v>
      </c>
      <c r="E1282" s="164" t="s">
        <v>3699</v>
      </c>
      <c r="F1282" s="165">
        <v>1042.6600000000001</v>
      </c>
    </row>
    <row r="1283" spans="1:6" x14ac:dyDescent="0.2">
      <c r="A1283" s="166" t="s">
        <v>3724</v>
      </c>
      <c r="B1283" s="167" t="s">
        <v>2511</v>
      </c>
      <c r="C1283" s="167">
        <v>14121811</v>
      </c>
      <c r="D1283" s="167" t="s">
        <v>363</v>
      </c>
      <c r="E1283" s="167" t="s">
        <v>3699</v>
      </c>
      <c r="F1283" s="168">
        <v>966.02</v>
      </c>
    </row>
    <row r="1284" spans="1:6" x14ac:dyDescent="0.2">
      <c r="A1284" s="163" t="s">
        <v>3724</v>
      </c>
      <c r="B1284" s="164" t="s">
        <v>2511</v>
      </c>
      <c r="C1284" s="164">
        <v>14121809</v>
      </c>
      <c r="D1284" s="164" t="s">
        <v>362</v>
      </c>
      <c r="E1284" s="164" t="s">
        <v>3699</v>
      </c>
      <c r="F1284" s="165">
        <v>966.02</v>
      </c>
    </row>
    <row r="1285" spans="1:6" x14ac:dyDescent="0.2">
      <c r="A1285" s="166" t="s">
        <v>3724</v>
      </c>
      <c r="B1285" s="167" t="s">
        <v>2511</v>
      </c>
      <c r="C1285" s="167">
        <v>14121791</v>
      </c>
      <c r="D1285" s="167" t="s">
        <v>361</v>
      </c>
      <c r="E1285" s="167" t="s">
        <v>3699</v>
      </c>
      <c r="F1285" s="168">
        <v>966.02</v>
      </c>
    </row>
    <row r="1286" spans="1:6" x14ac:dyDescent="0.2">
      <c r="A1286" s="163" t="s">
        <v>3724</v>
      </c>
      <c r="B1286" s="164" t="s">
        <v>2511</v>
      </c>
      <c r="C1286" s="164">
        <v>14121785</v>
      </c>
      <c r="D1286" s="164" t="s">
        <v>360</v>
      </c>
      <c r="E1286" s="164" t="s">
        <v>3699</v>
      </c>
      <c r="F1286" s="165">
        <v>966.02</v>
      </c>
    </row>
    <row r="1287" spans="1:6" x14ac:dyDescent="0.2">
      <c r="A1287" s="166" t="s">
        <v>3724</v>
      </c>
      <c r="B1287" s="167" t="s">
        <v>2511</v>
      </c>
      <c r="C1287" s="167">
        <v>14121784</v>
      </c>
      <c r="D1287" s="167" t="s">
        <v>359</v>
      </c>
      <c r="E1287" s="167" t="s">
        <v>3699</v>
      </c>
      <c r="F1287" s="168">
        <v>966.02</v>
      </c>
    </row>
    <row r="1288" spans="1:6" x14ac:dyDescent="0.2">
      <c r="A1288" s="163" t="s">
        <v>3724</v>
      </c>
      <c r="B1288" s="164" t="s">
        <v>2511</v>
      </c>
      <c r="C1288" s="164">
        <v>14121766</v>
      </c>
      <c r="D1288" s="164" t="s">
        <v>358</v>
      </c>
      <c r="E1288" s="164" t="s">
        <v>3699</v>
      </c>
      <c r="F1288" s="165">
        <v>1042.6600000000001</v>
      </c>
    </row>
    <row r="1289" spans="1:6" x14ac:dyDescent="0.2">
      <c r="A1289" s="166" t="s">
        <v>3724</v>
      </c>
      <c r="B1289" s="167" t="s">
        <v>2511</v>
      </c>
      <c r="C1289" s="167">
        <v>14121756</v>
      </c>
      <c r="D1289" s="167" t="s">
        <v>357</v>
      </c>
      <c r="E1289" s="167" t="s">
        <v>3699</v>
      </c>
      <c r="F1289" s="168">
        <v>966.02</v>
      </c>
    </row>
    <row r="1290" spans="1:6" x14ac:dyDescent="0.2">
      <c r="A1290" s="163" t="s">
        <v>3724</v>
      </c>
      <c r="B1290" s="164" t="s">
        <v>2511</v>
      </c>
      <c r="C1290" s="164">
        <v>14121733</v>
      </c>
      <c r="D1290" s="164" t="s">
        <v>353</v>
      </c>
      <c r="E1290" s="164" t="s">
        <v>3699</v>
      </c>
      <c r="F1290" s="165">
        <v>966.02</v>
      </c>
    </row>
    <row r="1291" spans="1:6" x14ac:dyDescent="0.2">
      <c r="A1291" s="166" t="s">
        <v>3724</v>
      </c>
      <c r="B1291" s="167" t="s">
        <v>2511</v>
      </c>
      <c r="C1291" s="167">
        <v>14121728</v>
      </c>
      <c r="D1291" s="167" t="s">
        <v>352</v>
      </c>
      <c r="E1291" s="167" t="s">
        <v>3699</v>
      </c>
      <c r="F1291" s="168">
        <v>966.02</v>
      </c>
    </row>
    <row r="1292" spans="1:6" x14ac:dyDescent="0.2">
      <c r="A1292" s="163" t="s">
        <v>3724</v>
      </c>
      <c r="B1292" s="164" t="s">
        <v>2511</v>
      </c>
      <c r="C1292" s="164">
        <v>14121600</v>
      </c>
      <c r="D1292" s="164" t="s">
        <v>346</v>
      </c>
      <c r="E1292" s="164" t="s">
        <v>3699</v>
      </c>
      <c r="F1292" s="165">
        <v>966.02</v>
      </c>
    </row>
    <row r="1293" spans="1:6" x14ac:dyDescent="0.2">
      <c r="A1293" s="166" t="s">
        <v>3724</v>
      </c>
      <c r="B1293" s="167" t="s">
        <v>2511</v>
      </c>
      <c r="C1293" s="167">
        <v>14121598</v>
      </c>
      <c r="D1293" s="167" t="s">
        <v>345</v>
      </c>
      <c r="E1293" s="167" t="s">
        <v>3699</v>
      </c>
      <c r="F1293" s="168">
        <v>966.02</v>
      </c>
    </row>
    <row r="1294" spans="1:6" x14ac:dyDescent="0.2">
      <c r="A1294" s="163" t="s">
        <v>3724</v>
      </c>
      <c r="B1294" s="164" t="s">
        <v>2511</v>
      </c>
      <c r="C1294" s="164">
        <v>14121582</v>
      </c>
      <c r="D1294" s="164" t="s">
        <v>343</v>
      </c>
      <c r="E1294" s="164" t="s">
        <v>3699</v>
      </c>
      <c r="F1294" s="165">
        <v>1042.6600000000001</v>
      </c>
    </row>
    <row r="1295" spans="1:6" x14ac:dyDescent="0.2">
      <c r="A1295" s="166" t="s">
        <v>3724</v>
      </c>
      <c r="B1295" s="167" t="s">
        <v>2511</v>
      </c>
      <c r="C1295" s="167">
        <v>14121328</v>
      </c>
      <c r="D1295" s="167" t="s">
        <v>331</v>
      </c>
      <c r="E1295" s="167" t="s">
        <v>3699</v>
      </c>
      <c r="F1295" s="168">
        <v>966.02</v>
      </c>
    </row>
    <row r="1296" spans="1:6" x14ac:dyDescent="0.2">
      <c r="A1296" s="163" t="s">
        <v>3724</v>
      </c>
      <c r="B1296" s="164" t="s">
        <v>2511</v>
      </c>
      <c r="C1296" s="164">
        <v>14121266</v>
      </c>
      <c r="D1296" s="164" t="s">
        <v>329</v>
      </c>
      <c r="E1296" s="164" t="s">
        <v>3699</v>
      </c>
      <c r="F1296" s="165">
        <v>966.02</v>
      </c>
    </row>
    <row r="1297" spans="1:6" x14ac:dyDescent="0.2">
      <c r="A1297" s="166" t="s">
        <v>3724</v>
      </c>
      <c r="B1297" s="167" t="s">
        <v>2511</v>
      </c>
      <c r="C1297" s="167">
        <v>14121235</v>
      </c>
      <c r="D1297" s="167" t="s">
        <v>326</v>
      </c>
      <c r="E1297" s="167" t="s">
        <v>3699</v>
      </c>
      <c r="F1297" s="168">
        <v>966.02</v>
      </c>
    </row>
    <row r="1298" spans="1:6" x14ac:dyDescent="0.2">
      <c r="A1298" s="163" t="s">
        <v>3724</v>
      </c>
      <c r="B1298" s="164" t="s">
        <v>2511</v>
      </c>
      <c r="C1298" s="164">
        <v>14121159</v>
      </c>
      <c r="D1298" s="164" t="s">
        <v>323</v>
      </c>
      <c r="E1298" s="164" t="s">
        <v>3699</v>
      </c>
      <c r="F1298" s="165">
        <v>966.02</v>
      </c>
    </row>
    <row r="1299" spans="1:6" x14ac:dyDescent="0.2">
      <c r="A1299" s="166" t="s">
        <v>3724</v>
      </c>
      <c r="B1299" s="167" t="s">
        <v>2511</v>
      </c>
      <c r="C1299" s="167">
        <v>14121158</v>
      </c>
      <c r="D1299" s="167" t="s">
        <v>322</v>
      </c>
      <c r="E1299" s="167" t="s">
        <v>3699</v>
      </c>
      <c r="F1299" s="168">
        <v>966.02</v>
      </c>
    </row>
    <row r="1300" spans="1:6" x14ac:dyDescent="0.2">
      <c r="A1300" s="163" t="s">
        <v>3724</v>
      </c>
      <c r="B1300" s="164" t="s">
        <v>2511</v>
      </c>
      <c r="C1300" s="164">
        <v>14121152</v>
      </c>
      <c r="D1300" s="164" t="s">
        <v>320</v>
      </c>
      <c r="E1300" s="164" t="s">
        <v>3699</v>
      </c>
      <c r="F1300" s="165">
        <v>966.02</v>
      </c>
    </row>
    <row r="1301" spans="1:6" x14ac:dyDescent="0.2">
      <c r="A1301" s="166" t="s">
        <v>3724</v>
      </c>
      <c r="B1301" s="167" t="s">
        <v>2511</v>
      </c>
      <c r="C1301" s="167">
        <v>14121013</v>
      </c>
      <c r="D1301" s="167" t="s">
        <v>310</v>
      </c>
      <c r="E1301" s="167" t="s">
        <v>3699</v>
      </c>
      <c r="F1301" s="168">
        <v>966.02</v>
      </c>
    </row>
    <row r="1302" spans="1:6" x14ac:dyDescent="0.2">
      <c r="A1302" s="163" t="s">
        <v>3724</v>
      </c>
      <c r="B1302" s="164" t="s">
        <v>2511</v>
      </c>
      <c r="C1302" s="164">
        <v>14120885</v>
      </c>
      <c r="D1302" s="164" t="s">
        <v>307</v>
      </c>
      <c r="E1302" s="164" t="s">
        <v>3699</v>
      </c>
      <c r="F1302" s="165">
        <v>966.02</v>
      </c>
    </row>
    <row r="1303" spans="1:6" x14ac:dyDescent="0.2">
      <c r="A1303" s="166" t="s">
        <v>3724</v>
      </c>
      <c r="B1303" s="167" t="s">
        <v>2511</v>
      </c>
      <c r="C1303" s="167">
        <v>14120668</v>
      </c>
      <c r="D1303" s="167" t="s">
        <v>297</v>
      </c>
      <c r="E1303" s="167" t="s">
        <v>3699</v>
      </c>
      <c r="F1303" s="168">
        <v>1001.26</v>
      </c>
    </row>
    <row r="1304" spans="1:6" x14ac:dyDescent="0.2">
      <c r="A1304" s="163" t="s">
        <v>3724</v>
      </c>
      <c r="B1304" s="164" t="s">
        <v>2511</v>
      </c>
      <c r="C1304" s="164">
        <v>14120613</v>
      </c>
      <c r="D1304" s="164" t="s">
        <v>293</v>
      </c>
      <c r="E1304" s="164" t="s">
        <v>3699</v>
      </c>
      <c r="F1304" s="165">
        <v>1001.26</v>
      </c>
    </row>
    <row r="1305" spans="1:6" x14ac:dyDescent="0.2">
      <c r="A1305" s="166" t="s">
        <v>3724</v>
      </c>
      <c r="B1305" s="167" t="s">
        <v>2511</v>
      </c>
      <c r="C1305" s="167">
        <v>14120455</v>
      </c>
      <c r="D1305" s="167" t="s">
        <v>290</v>
      </c>
      <c r="E1305" s="167" t="s">
        <v>3699</v>
      </c>
      <c r="F1305" s="168">
        <v>966.02</v>
      </c>
    </row>
    <row r="1306" spans="1:6" x14ac:dyDescent="0.2">
      <c r="A1306" s="163" t="s">
        <v>3724</v>
      </c>
      <c r="B1306" s="164" t="s">
        <v>2511</v>
      </c>
      <c r="C1306" s="164">
        <v>14120349</v>
      </c>
      <c r="D1306" s="164" t="s">
        <v>285</v>
      </c>
      <c r="E1306" s="164" t="s">
        <v>3699</v>
      </c>
      <c r="F1306" s="165">
        <v>1001.26</v>
      </c>
    </row>
    <row r="1307" spans="1:6" x14ac:dyDescent="0.2">
      <c r="A1307" s="166" t="s">
        <v>3724</v>
      </c>
      <c r="B1307" s="167" t="s">
        <v>2511</v>
      </c>
      <c r="C1307" s="167">
        <v>14120276</v>
      </c>
      <c r="D1307" s="167" t="s">
        <v>283</v>
      </c>
      <c r="E1307" s="167" t="s">
        <v>3699</v>
      </c>
      <c r="F1307" s="168">
        <v>1001.26</v>
      </c>
    </row>
    <row r="1308" spans="1:6" x14ac:dyDescent="0.2">
      <c r="A1308" s="163" t="s">
        <v>3724</v>
      </c>
      <c r="B1308" s="164" t="s">
        <v>2511</v>
      </c>
      <c r="C1308" s="164">
        <v>14120270</v>
      </c>
      <c r="D1308" s="164" t="s">
        <v>282</v>
      </c>
      <c r="E1308" s="164" t="s">
        <v>3699</v>
      </c>
      <c r="F1308" s="165">
        <v>1001.26</v>
      </c>
    </row>
    <row r="1309" spans="1:6" x14ac:dyDescent="0.2">
      <c r="A1309" s="166" t="s">
        <v>3724</v>
      </c>
      <c r="B1309" s="167" t="s">
        <v>2511</v>
      </c>
      <c r="C1309" s="167">
        <v>14120199</v>
      </c>
      <c r="D1309" s="167" t="s">
        <v>406</v>
      </c>
      <c r="E1309" s="167" t="s">
        <v>3699</v>
      </c>
      <c r="F1309" s="168">
        <v>966.02</v>
      </c>
    </row>
    <row r="1310" spans="1:6" x14ac:dyDescent="0.2">
      <c r="A1310" s="163" t="s">
        <v>3724</v>
      </c>
      <c r="B1310" s="164" t="s">
        <v>2511</v>
      </c>
      <c r="C1310" s="164">
        <v>14120041</v>
      </c>
      <c r="D1310" s="164" t="s">
        <v>273</v>
      </c>
      <c r="E1310" s="164" t="s">
        <v>3699</v>
      </c>
      <c r="F1310" s="165">
        <v>1001.26</v>
      </c>
    </row>
    <row r="1311" spans="1:6" x14ac:dyDescent="0.2">
      <c r="A1311" s="166" t="s">
        <v>3724</v>
      </c>
      <c r="B1311" s="167" t="s">
        <v>2511</v>
      </c>
      <c r="C1311" s="167">
        <v>14119890</v>
      </c>
      <c r="D1311" s="167" t="s">
        <v>267</v>
      </c>
      <c r="E1311" s="167" t="s">
        <v>3699</v>
      </c>
      <c r="F1311" s="168">
        <v>1001.26</v>
      </c>
    </row>
    <row r="1312" spans="1:6" x14ac:dyDescent="0.2">
      <c r="A1312" s="163" t="s">
        <v>3724</v>
      </c>
      <c r="B1312" s="164" t="s">
        <v>2511</v>
      </c>
      <c r="C1312" s="164">
        <v>14119787</v>
      </c>
      <c r="D1312" s="164" t="s">
        <v>261</v>
      </c>
      <c r="E1312" s="164" t="s">
        <v>3699</v>
      </c>
      <c r="F1312" s="165">
        <v>1001.26</v>
      </c>
    </row>
    <row r="1313" spans="1:6" x14ac:dyDescent="0.2">
      <c r="A1313" s="166" t="s">
        <v>3724</v>
      </c>
      <c r="B1313" s="167" t="s">
        <v>2511</v>
      </c>
      <c r="C1313" s="167">
        <v>14119785</v>
      </c>
      <c r="D1313" s="167" t="s">
        <v>259</v>
      </c>
      <c r="E1313" s="167" t="s">
        <v>3699</v>
      </c>
      <c r="F1313" s="168">
        <v>1001.26</v>
      </c>
    </row>
    <row r="1314" spans="1:6" x14ac:dyDescent="0.2">
      <c r="A1314" s="163" t="s">
        <v>3724</v>
      </c>
      <c r="B1314" s="164" t="s">
        <v>2511</v>
      </c>
      <c r="C1314" s="164">
        <v>14119751</v>
      </c>
      <c r="D1314" s="164" t="s">
        <v>258</v>
      </c>
      <c r="E1314" s="164" t="s">
        <v>3699</v>
      </c>
      <c r="F1314" s="165">
        <v>1001.26</v>
      </c>
    </row>
    <row r="1315" spans="1:6" x14ac:dyDescent="0.2">
      <c r="A1315" s="166" t="s">
        <v>3724</v>
      </c>
      <c r="B1315" s="167" t="s">
        <v>2511</v>
      </c>
      <c r="C1315" s="167">
        <v>14119517</v>
      </c>
      <c r="D1315" s="167" t="s">
        <v>252</v>
      </c>
      <c r="E1315" s="167" t="s">
        <v>3699</v>
      </c>
      <c r="F1315" s="168">
        <v>1001.26</v>
      </c>
    </row>
    <row r="1316" spans="1:6" x14ac:dyDescent="0.2">
      <c r="A1316" s="163" t="s">
        <v>3724</v>
      </c>
      <c r="B1316" s="164" t="s">
        <v>2511</v>
      </c>
      <c r="C1316" s="164">
        <v>14119481</v>
      </c>
      <c r="D1316" s="164" t="s">
        <v>248</v>
      </c>
      <c r="E1316" s="164" t="s">
        <v>3699</v>
      </c>
      <c r="F1316" s="165">
        <v>1001.26</v>
      </c>
    </row>
    <row r="1317" spans="1:6" x14ac:dyDescent="0.2">
      <c r="A1317" s="166" t="s">
        <v>3724</v>
      </c>
      <c r="B1317" s="167" t="s">
        <v>2511</v>
      </c>
      <c r="C1317" s="167">
        <v>14119175</v>
      </c>
      <c r="D1317" s="167" t="s">
        <v>238</v>
      </c>
      <c r="E1317" s="167" t="s">
        <v>3699</v>
      </c>
      <c r="F1317" s="168">
        <v>1001.26</v>
      </c>
    </row>
    <row r="1318" spans="1:6" x14ac:dyDescent="0.2">
      <c r="A1318" s="163" t="s">
        <v>3724</v>
      </c>
      <c r="B1318" s="164" t="s">
        <v>2511</v>
      </c>
      <c r="C1318" s="164">
        <v>14119155</v>
      </c>
      <c r="D1318" s="164" t="s">
        <v>235</v>
      </c>
      <c r="E1318" s="164" t="s">
        <v>3699</v>
      </c>
      <c r="F1318" s="165">
        <v>1001.26</v>
      </c>
    </row>
    <row r="1319" spans="1:6" x14ac:dyDescent="0.2">
      <c r="A1319" s="166" t="s">
        <v>3724</v>
      </c>
      <c r="B1319" s="167" t="s">
        <v>2511</v>
      </c>
      <c r="C1319" s="167">
        <v>14119076</v>
      </c>
      <c r="D1319" s="167" t="s">
        <v>232</v>
      </c>
      <c r="E1319" s="167" t="s">
        <v>3699</v>
      </c>
      <c r="F1319" s="168">
        <v>1001.26</v>
      </c>
    </row>
    <row r="1320" spans="1:6" x14ac:dyDescent="0.2">
      <c r="A1320" s="163" t="s">
        <v>3724</v>
      </c>
      <c r="B1320" s="164" t="s">
        <v>2511</v>
      </c>
      <c r="C1320" s="164">
        <v>14118809</v>
      </c>
      <c r="D1320" s="164" t="s">
        <v>216</v>
      </c>
      <c r="E1320" s="164" t="s">
        <v>3699</v>
      </c>
      <c r="F1320" s="165">
        <v>1042.6600000000001</v>
      </c>
    </row>
    <row r="1321" spans="1:6" x14ac:dyDescent="0.2">
      <c r="A1321" s="166" t="s">
        <v>3724</v>
      </c>
      <c r="B1321" s="167" t="s">
        <v>2511</v>
      </c>
      <c r="C1321" s="167">
        <v>14118745</v>
      </c>
      <c r="D1321" s="167" t="s">
        <v>212</v>
      </c>
      <c r="E1321" s="167" t="s">
        <v>3699</v>
      </c>
      <c r="F1321" s="168">
        <v>1042.6600000000001</v>
      </c>
    </row>
    <row r="1322" spans="1:6" x14ac:dyDescent="0.2">
      <c r="A1322" s="163" t="s">
        <v>3724</v>
      </c>
      <c r="B1322" s="164" t="s">
        <v>2511</v>
      </c>
      <c r="C1322" s="164">
        <v>14118660</v>
      </c>
      <c r="D1322" s="164" t="s">
        <v>210</v>
      </c>
      <c r="E1322" s="164" t="s">
        <v>3699</v>
      </c>
      <c r="F1322" s="165">
        <v>1042.6600000000001</v>
      </c>
    </row>
    <row r="1323" spans="1:6" x14ac:dyDescent="0.2">
      <c r="A1323" s="166" t="s">
        <v>3724</v>
      </c>
      <c r="B1323" s="167" t="s">
        <v>2511</v>
      </c>
      <c r="C1323" s="167">
        <v>14118505</v>
      </c>
      <c r="D1323" s="167" t="s">
        <v>356</v>
      </c>
      <c r="E1323" s="167" t="s">
        <v>3699</v>
      </c>
      <c r="F1323" s="168">
        <v>966.02</v>
      </c>
    </row>
    <row r="1324" spans="1:6" x14ac:dyDescent="0.2">
      <c r="A1324" s="163" t="s">
        <v>3724</v>
      </c>
      <c r="B1324" s="164" t="s">
        <v>2511</v>
      </c>
      <c r="C1324" s="164">
        <v>14118440</v>
      </c>
      <c r="D1324" s="164" t="s">
        <v>201</v>
      </c>
      <c r="E1324" s="164" t="s">
        <v>3699</v>
      </c>
      <c r="F1324" s="165">
        <v>1042.6600000000001</v>
      </c>
    </row>
    <row r="1325" spans="1:6" x14ac:dyDescent="0.2">
      <c r="A1325" s="166" t="s">
        <v>3724</v>
      </c>
      <c r="B1325" s="167" t="s">
        <v>2511</v>
      </c>
      <c r="C1325" s="167">
        <v>14118225</v>
      </c>
      <c r="D1325" s="167" t="s">
        <v>272</v>
      </c>
      <c r="E1325" s="167" t="s">
        <v>3699</v>
      </c>
      <c r="F1325" s="168">
        <v>1001.26</v>
      </c>
    </row>
    <row r="1326" spans="1:6" x14ac:dyDescent="0.2">
      <c r="A1326" s="163" t="s">
        <v>3724</v>
      </c>
      <c r="B1326" s="164" t="s">
        <v>2511</v>
      </c>
      <c r="C1326" s="164">
        <v>14118210</v>
      </c>
      <c r="D1326" s="164" t="s">
        <v>194</v>
      </c>
      <c r="E1326" s="164" t="s">
        <v>3699</v>
      </c>
      <c r="F1326" s="165">
        <v>1042.6600000000001</v>
      </c>
    </row>
    <row r="1327" spans="1:6" x14ac:dyDescent="0.2">
      <c r="A1327" s="166" t="s">
        <v>3724</v>
      </c>
      <c r="B1327" s="167" t="s">
        <v>2511</v>
      </c>
      <c r="C1327" s="167">
        <v>14118186</v>
      </c>
      <c r="D1327" s="167" t="s">
        <v>192</v>
      </c>
      <c r="E1327" s="167" t="s">
        <v>3699</v>
      </c>
      <c r="F1327" s="168">
        <v>1042.6600000000001</v>
      </c>
    </row>
    <row r="1328" spans="1:6" x14ac:dyDescent="0.2">
      <c r="A1328" s="163" t="s">
        <v>3724</v>
      </c>
      <c r="B1328" s="164" t="s">
        <v>2511</v>
      </c>
      <c r="C1328" s="164">
        <v>14118184</v>
      </c>
      <c r="D1328" s="164" t="s">
        <v>239</v>
      </c>
      <c r="E1328" s="164" t="s">
        <v>3699</v>
      </c>
      <c r="F1328" s="165">
        <v>1001.26</v>
      </c>
    </row>
    <row r="1329" spans="1:6" x14ac:dyDescent="0.2">
      <c r="A1329" s="166" t="s">
        <v>3724</v>
      </c>
      <c r="B1329" s="167" t="s">
        <v>2511</v>
      </c>
      <c r="C1329" s="167">
        <v>14117986</v>
      </c>
      <c r="D1329" s="167" t="s">
        <v>188</v>
      </c>
      <c r="E1329" s="167" t="s">
        <v>3699</v>
      </c>
      <c r="F1329" s="168">
        <v>1042.6600000000001</v>
      </c>
    </row>
    <row r="1330" spans="1:6" x14ac:dyDescent="0.2">
      <c r="A1330" s="163" t="s">
        <v>3724</v>
      </c>
      <c r="B1330" s="164" t="s">
        <v>2511</v>
      </c>
      <c r="C1330" s="164">
        <v>14117970</v>
      </c>
      <c r="D1330" s="164" t="s">
        <v>190</v>
      </c>
      <c r="E1330" s="164" t="s">
        <v>3699</v>
      </c>
      <c r="F1330" s="165">
        <v>1218.58</v>
      </c>
    </row>
    <row r="1331" spans="1:6" x14ac:dyDescent="0.2">
      <c r="A1331" s="166" t="s">
        <v>3724</v>
      </c>
      <c r="B1331" s="167" t="s">
        <v>2511</v>
      </c>
      <c r="C1331" s="167">
        <v>14117969</v>
      </c>
      <c r="D1331" s="167" t="s">
        <v>405</v>
      </c>
      <c r="E1331" s="167" t="s">
        <v>3699</v>
      </c>
      <c r="F1331" s="168">
        <v>966.02</v>
      </c>
    </row>
    <row r="1332" spans="1:6" x14ac:dyDescent="0.2">
      <c r="A1332" s="163" t="s">
        <v>3724</v>
      </c>
      <c r="B1332" s="164" t="s">
        <v>2511</v>
      </c>
      <c r="C1332" s="164">
        <v>14117967</v>
      </c>
      <c r="D1332" s="164" t="s">
        <v>186</v>
      </c>
      <c r="E1332" s="164" t="s">
        <v>3699</v>
      </c>
      <c r="F1332" s="165">
        <v>1042.6600000000001</v>
      </c>
    </row>
    <row r="1333" spans="1:6" x14ac:dyDescent="0.2">
      <c r="A1333" s="166" t="s">
        <v>3724</v>
      </c>
      <c r="B1333" s="167" t="s">
        <v>2511</v>
      </c>
      <c r="C1333" s="167">
        <v>14117508</v>
      </c>
      <c r="D1333" s="167" t="s">
        <v>318</v>
      </c>
      <c r="E1333" s="167" t="s">
        <v>3699</v>
      </c>
      <c r="F1333" s="168">
        <v>966.02</v>
      </c>
    </row>
    <row r="1334" spans="1:6" x14ac:dyDescent="0.2">
      <c r="A1334" s="163" t="s">
        <v>3724</v>
      </c>
      <c r="B1334" s="164" t="s">
        <v>2511</v>
      </c>
      <c r="C1334" s="164">
        <v>14117160</v>
      </c>
      <c r="D1334" s="164" t="s">
        <v>177</v>
      </c>
      <c r="E1334" s="164" t="s">
        <v>3699</v>
      </c>
      <c r="F1334" s="165">
        <v>1042.6600000000001</v>
      </c>
    </row>
    <row r="1335" spans="1:6" x14ac:dyDescent="0.2">
      <c r="A1335" s="166" t="s">
        <v>3724</v>
      </c>
      <c r="B1335" s="167" t="s">
        <v>2511</v>
      </c>
      <c r="C1335" s="167">
        <v>14117157</v>
      </c>
      <c r="D1335" s="167" t="s">
        <v>246</v>
      </c>
      <c r="E1335" s="167" t="s">
        <v>3699</v>
      </c>
      <c r="F1335" s="168">
        <v>1001.26</v>
      </c>
    </row>
    <row r="1336" spans="1:6" x14ac:dyDescent="0.2">
      <c r="A1336" s="163" t="s">
        <v>3724</v>
      </c>
      <c r="B1336" s="164" t="s">
        <v>2511</v>
      </c>
      <c r="C1336" s="164">
        <v>14117156</v>
      </c>
      <c r="D1336" s="164" t="s">
        <v>241</v>
      </c>
      <c r="E1336" s="164" t="s">
        <v>3699</v>
      </c>
      <c r="F1336" s="165">
        <v>1001.26</v>
      </c>
    </row>
    <row r="1337" spans="1:6" x14ac:dyDescent="0.2">
      <c r="A1337" s="166" t="s">
        <v>3724</v>
      </c>
      <c r="B1337" s="167" t="s">
        <v>2511</v>
      </c>
      <c r="C1337" s="167">
        <v>14116917</v>
      </c>
      <c r="D1337" s="167" t="s">
        <v>174</v>
      </c>
      <c r="E1337" s="167" t="s">
        <v>3699</v>
      </c>
      <c r="F1337" s="168">
        <v>1042.6600000000001</v>
      </c>
    </row>
    <row r="1338" spans="1:6" x14ac:dyDescent="0.2">
      <c r="A1338" s="163" t="s">
        <v>3724</v>
      </c>
      <c r="B1338" s="164" t="s">
        <v>2511</v>
      </c>
      <c r="C1338" s="164">
        <v>14116860</v>
      </c>
      <c r="D1338" s="164" t="s">
        <v>172</v>
      </c>
      <c r="E1338" s="164" t="s">
        <v>3699</v>
      </c>
      <c r="F1338" s="165">
        <v>966.02</v>
      </c>
    </row>
    <row r="1339" spans="1:6" x14ac:dyDescent="0.2">
      <c r="A1339" s="166" t="s">
        <v>3724</v>
      </c>
      <c r="B1339" s="167" t="s">
        <v>2511</v>
      </c>
      <c r="C1339" s="167">
        <v>14116643</v>
      </c>
      <c r="D1339" s="167" t="s">
        <v>295</v>
      </c>
      <c r="E1339" s="167" t="s">
        <v>3699</v>
      </c>
      <c r="F1339" s="168">
        <v>1001.26</v>
      </c>
    </row>
    <row r="1340" spans="1:6" x14ac:dyDescent="0.2">
      <c r="A1340" s="163" t="s">
        <v>3724</v>
      </c>
      <c r="B1340" s="164" t="s">
        <v>2511</v>
      </c>
      <c r="C1340" s="164">
        <v>14116295</v>
      </c>
      <c r="D1340" s="164" t="s">
        <v>159</v>
      </c>
      <c r="E1340" s="164" t="s">
        <v>3699</v>
      </c>
      <c r="F1340" s="165">
        <v>1042.6600000000001</v>
      </c>
    </row>
    <row r="1341" spans="1:6" x14ac:dyDescent="0.2">
      <c r="A1341" s="166" t="s">
        <v>3724</v>
      </c>
      <c r="B1341" s="167" t="s">
        <v>2511</v>
      </c>
      <c r="C1341" s="167">
        <v>14116262</v>
      </c>
      <c r="D1341" s="167" t="s">
        <v>158</v>
      </c>
      <c r="E1341" s="167" t="s">
        <v>3699</v>
      </c>
      <c r="F1341" s="168">
        <v>1042.6600000000001</v>
      </c>
    </row>
    <row r="1342" spans="1:6" x14ac:dyDescent="0.2">
      <c r="A1342" s="163" t="s">
        <v>3724</v>
      </c>
      <c r="B1342" s="164" t="s">
        <v>2511</v>
      </c>
      <c r="C1342" s="164">
        <v>14116250</v>
      </c>
      <c r="D1342" s="164" t="s">
        <v>431</v>
      </c>
      <c r="E1342" s="164" t="s">
        <v>3699</v>
      </c>
      <c r="F1342" s="165">
        <v>939.56</v>
      </c>
    </row>
    <row r="1343" spans="1:6" x14ac:dyDescent="0.2">
      <c r="A1343" s="166" t="s">
        <v>3724</v>
      </c>
      <c r="B1343" s="167" t="s">
        <v>2511</v>
      </c>
      <c r="C1343" s="167">
        <v>14116058</v>
      </c>
      <c r="D1343" s="167" t="s">
        <v>154</v>
      </c>
      <c r="E1343" s="167" t="s">
        <v>3699</v>
      </c>
      <c r="F1343" s="168">
        <v>1042.6600000000001</v>
      </c>
    </row>
    <row r="1344" spans="1:6" x14ac:dyDescent="0.2">
      <c r="A1344" s="163" t="s">
        <v>3724</v>
      </c>
      <c r="B1344" s="164" t="s">
        <v>2511</v>
      </c>
      <c r="C1344" s="164">
        <v>14115917</v>
      </c>
      <c r="D1344" s="164" t="s">
        <v>151</v>
      </c>
      <c r="E1344" s="164" t="s">
        <v>3699</v>
      </c>
      <c r="F1344" s="165">
        <v>1042.6600000000001</v>
      </c>
    </row>
    <row r="1345" spans="1:6" x14ac:dyDescent="0.2">
      <c r="A1345" s="166" t="s">
        <v>3724</v>
      </c>
      <c r="B1345" s="167" t="s">
        <v>2511</v>
      </c>
      <c r="C1345" s="167">
        <v>14115908</v>
      </c>
      <c r="D1345" s="167" t="s">
        <v>150</v>
      </c>
      <c r="E1345" s="167" t="s">
        <v>3699</v>
      </c>
      <c r="F1345" s="168">
        <v>1042.6600000000001</v>
      </c>
    </row>
    <row r="1346" spans="1:6" x14ac:dyDescent="0.2">
      <c r="A1346" s="163" t="s">
        <v>3724</v>
      </c>
      <c r="B1346" s="164" t="s">
        <v>2511</v>
      </c>
      <c r="C1346" s="164">
        <v>14115630</v>
      </c>
      <c r="D1346" s="164" t="s">
        <v>146</v>
      </c>
      <c r="E1346" s="164" t="s">
        <v>3699</v>
      </c>
      <c r="F1346" s="165">
        <v>1042.6600000000001</v>
      </c>
    </row>
    <row r="1347" spans="1:6" x14ac:dyDescent="0.2">
      <c r="A1347" s="166" t="s">
        <v>3724</v>
      </c>
      <c r="B1347" s="167" t="s">
        <v>2511</v>
      </c>
      <c r="C1347" s="167">
        <v>14114709</v>
      </c>
      <c r="D1347" s="167" t="s">
        <v>139</v>
      </c>
      <c r="E1347" s="167" t="s">
        <v>3699</v>
      </c>
      <c r="F1347" s="168">
        <v>1042.6600000000001</v>
      </c>
    </row>
    <row r="1348" spans="1:6" x14ac:dyDescent="0.2">
      <c r="A1348" s="163" t="s">
        <v>3724</v>
      </c>
      <c r="B1348" s="164" t="s">
        <v>2511</v>
      </c>
      <c r="C1348" s="164">
        <v>14114667</v>
      </c>
      <c r="D1348" s="164" t="s">
        <v>138</v>
      </c>
      <c r="E1348" s="164" t="s">
        <v>3699</v>
      </c>
      <c r="F1348" s="165">
        <v>1042.6600000000001</v>
      </c>
    </row>
    <row r="1349" spans="1:6" x14ac:dyDescent="0.2">
      <c r="A1349" s="166" t="s">
        <v>3724</v>
      </c>
      <c r="B1349" s="167" t="s">
        <v>2511</v>
      </c>
      <c r="C1349" s="167">
        <v>14114431</v>
      </c>
      <c r="D1349" s="167" t="s">
        <v>136</v>
      </c>
      <c r="E1349" s="167" t="s">
        <v>3699</v>
      </c>
      <c r="F1349" s="168">
        <v>1042.6600000000001</v>
      </c>
    </row>
    <row r="1350" spans="1:6" x14ac:dyDescent="0.2">
      <c r="A1350" s="163" t="s">
        <v>3724</v>
      </c>
      <c r="B1350" s="164" t="s">
        <v>2511</v>
      </c>
      <c r="C1350" s="164">
        <v>14114062</v>
      </c>
      <c r="D1350" s="164" t="s">
        <v>134</v>
      </c>
      <c r="E1350" s="164" t="s">
        <v>3699</v>
      </c>
      <c r="F1350" s="165">
        <v>1042.6600000000001</v>
      </c>
    </row>
    <row r="1351" spans="1:6" x14ac:dyDescent="0.2">
      <c r="A1351" s="166" t="s">
        <v>3724</v>
      </c>
      <c r="B1351" s="167" t="s">
        <v>2511</v>
      </c>
      <c r="C1351" s="167">
        <v>14114037</v>
      </c>
      <c r="D1351" s="167" t="s">
        <v>184</v>
      </c>
      <c r="E1351" s="167" t="s">
        <v>3699</v>
      </c>
      <c r="F1351" s="168">
        <v>1042.6600000000001</v>
      </c>
    </row>
    <row r="1352" spans="1:6" x14ac:dyDescent="0.2">
      <c r="A1352" s="163" t="s">
        <v>3724</v>
      </c>
      <c r="B1352" s="164" t="s">
        <v>2511</v>
      </c>
      <c r="C1352" s="164">
        <v>14113803</v>
      </c>
      <c r="D1352" s="164" t="s">
        <v>299</v>
      </c>
      <c r="E1352" s="164" t="s">
        <v>3699</v>
      </c>
      <c r="F1352" s="165">
        <v>1001.26</v>
      </c>
    </row>
    <row r="1353" spans="1:6" x14ac:dyDescent="0.2">
      <c r="A1353" s="166" t="s">
        <v>3724</v>
      </c>
      <c r="B1353" s="167" t="s">
        <v>2511</v>
      </c>
      <c r="C1353" s="167">
        <v>14112730</v>
      </c>
      <c r="D1353" s="167" t="s">
        <v>281</v>
      </c>
      <c r="E1353" s="167" t="s">
        <v>3699</v>
      </c>
      <c r="F1353" s="168">
        <v>1001.26</v>
      </c>
    </row>
    <row r="1354" spans="1:6" x14ac:dyDescent="0.2">
      <c r="A1354" s="163" t="s">
        <v>3724</v>
      </c>
      <c r="B1354" s="164" t="s">
        <v>2511</v>
      </c>
      <c r="C1354" s="164">
        <v>14112605</v>
      </c>
      <c r="D1354" s="164" t="s">
        <v>121</v>
      </c>
      <c r="E1354" s="164" t="s">
        <v>3699</v>
      </c>
      <c r="F1354" s="165">
        <v>1042.6600000000001</v>
      </c>
    </row>
    <row r="1355" spans="1:6" x14ac:dyDescent="0.2">
      <c r="A1355" s="166" t="s">
        <v>3724</v>
      </c>
      <c r="B1355" s="167" t="s">
        <v>2511</v>
      </c>
      <c r="C1355" s="167">
        <v>14112595</v>
      </c>
      <c r="D1355" s="167" t="s">
        <v>372</v>
      </c>
      <c r="E1355" s="167" t="s">
        <v>3699</v>
      </c>
      <c r="F1355" s="168">
        <v>1042.6600000000001</v>
      </c>
    </row>
    <row r="1356" spans="1:6" x14ac:dyDescent="0.2">
      <c r="A1356" s="163" t="s">
        <v>3724</v>
      </c>
      <c r="B1356" s="164" t="s">
        <v>2511</v>
      </c>
      <c r="C1356" s="164">
        <v>14112588</v>
      </c>
      <c r="D1356" s="164" t="s">
        <v>935</v>
      </c>
      <c r="E1356" s="164" t="s">
        <v>3699</v>
      </c>
      <c r="F1356" s="165">
        <v>939.56</v>
      </c>
    </row>
    <row r="1357" spans="1:6" x14ac:dyDescent="0.2">
      <c r="A1357" s="166" t="s">
        <v>3724</v>
      </c>
      <c r="B1357" s="167" t="s">
        <v>2511</v>
      </c>
      <c r="C1357" s="167">
        <v>14112292</v>
      </c>
      <c r="D1357" s="167" t="s">
        <v>195</v>
      </c>
      <c r="E1357" s="167" t="s">
        <v>3699</v>
      </c>
      <c r="F1357" s="168">
        <v>1042.6600000000001</v>
      </c>
    </row>
    <row r="1358" spans="1:6" x14ac:dyDescent="0.2">
      <c r="A1358" s="163" t="s">
        <v>3724</v>
      </c>
      <c r="B1358" s="164" t="s">
        <v>2511</v>
      </c>
      <c r="C1358" s="164">
        <v>14112124</v>
      </c>
      <c r="D1358" s="164" t="s">
        <v>251</v>
      </c>
      <c r="E1358" s="164" t="s">
        <v>3699</v>
      </c>
      <c r="F1358" s="165">
        <v>1001.26</v>
      </c>
    </row>
    <row r="1359" spans="1:6" x14ac:dyDescent="0.2">
      <c r="A1359" s="166" t="s">
        <v>3724</v>
      </c>
      <c r="B1359" s="167" t="s">
        <v>2511</v>
      </c>
      <c r="C1359" s="167">
        <v>14111754</v>
      </c>
      <c r="D1359" s="167" t="s">
        <v>316</v>
      </c>
      <c r="E1359" s="167" t="s">
        <v>3699</v>
      </c>
      <c r="F1359" s="168">
        <v>1042.6600000000001</v>
      </c>
    </row>
    <row r="1360" spans="1:6" x14ac:dyDescent="0.2">
      <c r="A1360" s="163" t="s">
        <v>3724</v>
      </c>
      <c r="B1360" s="164" t="s">
        <v>2511</v>
      </c>
      <c r="C1360" s="164">
        <v>14111675</v>
      </c>
      <c r="D1360" s="164" t="s">
        <v>113</v>
      </c>
      <c r="E1360" s="164" t="s">
        <v>3699</v>
      </c>
      <c r="F1360" s="165">
        <v>966.02</v>
      </c>
    </row>
    <row r="1361" spans="1:6" x14ac:dyDescent="0.2">
      <c r="A1361" s="166" t="s">
        <v>3724</v>
      </c>
      <c r="B1361" s="167" t="s">
        <v>2511</v>
      </c>
      <c r="C1361" s="167">
        <v>14111557</v>
      </c>
      <c r="D1361" s="167" t="s">
        <v>112</v>
      </c>
      <c r="E1361" s="167" t="s">
        <v>3699</v>
      </c>
      <c r="F1361" s="168">
        <v>1042.6600000000001</v>
      </c>
    </row>
    <row r="1362" spans="1:6" x14ac:dyDescent="0.2">
      <c r="A1362" s="163" t="s">
        <v>3724</v>
      </c>
      <c r="B1362" s="164" t="s">
        <v>2511</v>
      </c>
      <c r="C1362" s="164">
        <v>14110929</v>
      </c>
      <c r="D1362" s="164" t="s">
        <v>183</v>
      </c>
      <c r="E1362" s="164" t="s">
        <v>3699</v>
      </c>
      <c r="F1362" s="165">
        <v>1042.6600000000001</v>
      </c>
    </row>
    <row r="1363" spans="1:6" x14ac:dyDescent="0.2">
      <c r="A1363" s="166" t="s">
        <v>3724</v>
      </c>
      <c r="B1363" s="167" t="s">
        <v>2511</v>
      </c>
      <c r="C1363" s="167">
        <v>14110506</v>
      </c>
      <c r="D1363" s="167" t="s">
        <v>427</v>
      </c>
      <c r="E1363" s="167" t="s">
        <v>3699</v>
      </c>
      <c r="F1363" s="168">
        <v>939.56</v>
      </c>
    </row>
    <row r="1364" spans="1:6" x14ac:dyDescent="0.2">
      <c r="A1364" s="163" t="s">
        <v>3724</v>
      </c>
      <c r="B1364" s="164" t="s">
        <v>2511</v>
      </c>
      <c r="C1364" s="164">
        <v>14110339</v>
      </c>
      <c r="D1364" s="164" t="s">
        <v>102</v>
      </c>
      <c r="E1364" s="164" t="s">
        <v>3699</v>
      </c>
      <c r="F1364" s="165">
        <v>1042.6600000000001</v>
      </c>
    </row>
    <row r="1365" spans="1:6" x14ac:dyDescent="0.2">
      <c r="A1365" s="166" t="s">
        <v>3724</v>
      </c>
      <c r="B1365" s="167" t="s">
        <v>2511</v>
      </c>
      <c r="C1365" s="167">
        <v>14110336</v>
      </c>
      <c r="D1365" s="167" t="s">
        <v>983</v>
      </c>
      <c r="E1365" s="167" t="s">
        <v>3699</v>
      </c>
      <c r="F1365" s="168">
        <v>939.56</v>
      </c>
    </row>
    <row r="1366" spans="1:6" x14ac:dyDescent="0.2">
      <c r="A1366" s="163" t="s">
        <v>3724</v>
      </c>
      <c r="B1366" s="164" t="s">
        <v>2511</v>
      </c>
      <c r="C1366" s="164">
        <v>14110044</v>
      </c>
      <c r="D1366" s="164" t="s">
        <v>145</v>
      </c>
      <c r="E1366" s="164" t="s">
        <v>3699</v>
      </c>
      <c r="F1366" s="165">
        <v>1042.6600000000001</v>
      </c>
    </row>
    <row r="1367" spans="1:6" x14ac:dyDescent="0.2">
      <c r="A1367" s="166" t="s">
        <v>3724</v>
      </c>
      <c r="B1367" s="167" t="s">
        <v>2511</v>
      </c>
      <c r="C1367" s="167">
        <v>14109802</v>
      </c>
      <c r="D1367" s="167" t="s">
        <v>96</v>
      </c>
      <c r="E1367" s="167" t="s">
        <v>3699</v>
      </c>
      <c r="F1367" s="168">
        <v>966.02</v>
      </c>
    </row>
    <row r="1368" spans="1:6" x14ac:dyDescent="0.2">
      <c r="A1368" s="163" t="s">
        <v>3724</v>
      </c>
      <c r="B1368" s="164" t="s">
        <v>2511</v>
      </c>
      <c r="C1368" s="164">
        <v>14109648</v>
      </c>
      <c r="D1368" s="164" t="s">
        <v>214</v>
      </c>
      <c r="E1368" s="164" t="s">
        <v>3699</v>
      </c>
      <c r="F1368" s="165">
        <v>1042.6600000000001</v>
      </c>
    </row>
    <row r="1369" spans="1:6" x14ac:dyDescent="0.2">
      <c r="A1369" s="166" t="s">
        <v>3724</v>
      </c>
      <c r="B1369" s="167" t="s">
        <v>2511</v>
      </c>
      <c r="C1369" s="167">
        <v>14109436</v>
      </c>
      <c r="D1369" s="167" t="s">
        <v>371</v>
      </c>
      <c r="E1369" s="167" t="s">
        <v>3699</v>
      </c>
      <c r="F1369" s="168">
        <v>1042.6600000000001</v>
      </c>
    </row>
    <row r="1370" spans="1:6" x14ac:dyDescent="0.2">
      <c r="A1370" s="163" t="s">
        <v>3724</v>
      </c>
      <c r="B1370" s="164" t="s">
        <v>2511</v>
      </c>
      <c r="C1370" s="164">
        <v>14109408</v>
      </c>
      <c r="D1370" s="164" t="s">
        <v>87</v>
      </c>
      <c r="E1370" s="164" t="s">
        <v>3699</v>
      </c>
      <c r="F1370" s="165">
        <v>1042.6600000000001</v>
      </c>
    </row>
    <row r="1371" spans="1:6" x14ac:dyDescent="0.2">
      <c r="A1371" s="166" t="s">
        <v>3724</v>
      </c>
      <c r="B1371" s="167" t="s">
        <v>2511</v>
      </c>
      <c r="C1371" s="167">
        <v>14109131</v>
      </c>
      <c r="D1371" s="167" t="s">
        <v>83</v>
      </c>
      <c r="E1371" s="167" t="s">
        <v>3699</v>
      </c>
      <c r="F1371" s="168">
        <v>1042.6600000000001</v>
      </c>
    </row>
    <row r="1372" spans="1:6" x14ac:dyDescent="0.2">
      <c r="A1372" s="163" t="s">
        <v>3724</v>
      </c>
      <c r="B1372" s="164" t="s">
        <v>2511</v>
      </c>
      <c r="C1372" s="164">
        <v>14108552</v>
      </c>
      <c r="D1372" s="164" t="s">
        <v>314</v>
      </c>
      <c r="E1372" s="164" t="s">
        <v>3699</v>
      </c>
      <c r="F1372" s="165">
        <v>1042.6600000000001</v>
      </c>
    </row>
    <row r="1373" spans="1:6" x14ac:dyDescent="0.2">
      <c r="A1373" s="166" t="s">
        <v>3724</v>
      </c>
      <c r="B1373" s="167" t="s">
        <v>2511</v>
      </c>
      <c r="C1373" s="167">
        <v>14107202</v>
      </c>
      <c r="D1373" s="167" t="s">
        <v>58</v>
      </c>
      <c r="E1373" s="167" t="s">
        <v>3699</v>
      </c>
      <c r="F1373" s="168">
        <v>1042.6600000000001</v>
      </c>
    </row>
    <row r="1374" spans="1:6" x14ac:dyDescent="0.2">
      <c r="A1374" s="163" t="s">
        <v>3724</v>
      </c>
      <c r="B1374" s="164" t="s">
        <v>2511</v>
      </c>
      <c r="C1374" s="164">
        <v>14106980</v>
      </c>
      <c r="D1374" s="164" t="s">
        <v>55</v>
      </c>
      <c r="E1374" s="164" t="s">
        <v>3699</v>
      </c>
      <c r="F1374" s="165">
        <v>1042.6600000000001</v>
      </c>
    </row>
    <row r="1375" spans="1:6" x14ac:dyDescent="0.2">
      <c r="A1375" s="166" t="s">
        <v>3724</v>
      </c>
      <c r="B1375" s="167" t="s">
        <v>2511</v>
      </c>
      <c r="C1375" s="167">
        <v>14106778</v>
      </c>
      <c r="D1375" s="167" t="s">
        <v>53</v>
      </c>
      <c r="E1375" s="167" t="s">
        <v>3699</v>
      </c>
      <c r="F1375" s="168">
        <v>1042.6600000000001</v>
      </c>
    </row>
    <row r="1376" spans="1:6" x14ac:dyDescent="0.2">
      <c r="A1376" s="163" t="s">
        <v>3724</v>
      </c>
      <c r="B1376" s="164" t="s">
        <v>2511</v>
      </c>
      <c r="C1376" s="164">
        <v>14106438</v>
      </c>
      <c r="D1376" s="164" t="s">
        <v>52</v>
      </c>
      <c r="E1376" s="164" t="s">
        <v>3699</v>
      </c>
      <c r="F1376" s="165">
        <v>1042.6600000000001</v>
      </c>
    </row>
    <row r="1377" spans="1:6" x14ac:dyDescent="0.2">
      <c r="A1377" s="166" t="s">
        <v>3724</v>
      </c>
      <c r="B1377" s="167" t="s">
        <v>2511</v>
      </c>
      <c r="C1377" s="167">
        <v>14105645</v>
      </c>
      <c r="D1377" s="167" t="s">
        <v>161</v>
      </c>
      <c r="E1377" s="167" t="s">
        <v>3699</v>
      </c>
      <c r="F1377" s="168">
        <v>1042.6600000000001</v>
      </c>
    </row>
    <row r="1378" spans="1:6" x14ac:dyDescent="0.2">
      <c r="A1378" s="163" t="s">
        <v>3724</v>
      </c>
      <c r="B1378" s="164" t="s">
        <v>2511</v>
      </c>
      <c r="C1378" s="164">
        <v>14105586</v>
      </c>
      <c r="D1378" s="164" t="s">
        <v>47</v>
      </c>
      <c r="E1378" s="164" t="s">
        <v>3699</v>
      </c>
      <c r="F1378" s="165">
        <v>1042.6600000000001</v>
      </c>
    </row>
    <row r="1379" spans="1:6" x14ac:dyDescent="0.2">
      <c r="A1379" s="166" t="s">
        <v>3724</v>
      </c>
      <c r="B1379" s="167" t="s">
        <v>2511</v>
      </c>
      <c r="C1379" s="167">
        <v>14104839</v>
      </c>
      <c r="D1379" s="167" t="s">
        <v>226</v>
      </c>
      <c r="E1379" s="167" t="s">
        <v>3699</v>
      </c>
      <c r="F1379" s="168">
        <v>1001.26</v>
      </c>
    </row>
    <row r="1380" spans="1:6" x14ac:dyDescent="0.2">
      <c r="A1380" s="163" t="s">
        <v>3724</v>
      </c>
      <c r="B1380" s="164" t="s">
        <v>2511</v>
      </c>
      <c r="C1380" s="164">
        <v>14104822</v>
      </c>
      <c r="D1380" s="164" t="s">
        <v>42</v>
      </c>
      <c r="E1380" s="164" t="s">
        <v>3699</v>
      </c>
      <c r="F1380" s="165">
        <v>1042.6600000000001</v>
      </c>
    </row>
    <row r="1381" spans="1:6" x14ac:dyDescent="0.2">
      <c r="A1381" s="166" t="s">
        <v>3724</v>
      </c>
      <c r="B1381" s="167" t="s">
        <v>2511</v>
      </c>
      <c r="C1381" s="167">
        <v>14104599</v>
      </c>
      <c r="D1381" s="167" t="s">
        <v>41</v>
      </c>
      <c r="E1381" s="167" t="s">
        <v>3699</v>
      </c>
      <c r="F1381" s="168">
        <v>1042.6600000000001</v>
      </c>
    </row>
    <row r="1382" spans="1:6" x14ac:dyDescent="0.2">
      <c r="A1382" s="163" t="s">
        <v>3724</v>
      </c>
      <c r="B1382" s="164" t="s">
        <v>2511</v>
      </c>
      <c r="C1382" s="164">
        <v>14104316</v>
      </c>
      <c r="D1382" s="164" t="s">
        <v>40</v>
      </c>
      <c r="E1382" s="164" t="s">
        <v>3699</v>
      </c>
      <c r="F1382" s="165">
        <v>1042.6600000000001</v>
      </c>
    </row>
    <row r="1383" spans="1:6" x14ac:dyDescent="0.2">
      <c r="A1383" s="166" t="s">
        <v>3724</v>
      </c>
      <c r="B1383" s="167" t="s">
        <v>2511</v>
      </c>
      <c r="C1383" s="167">
        <v>14104315</v>
      </c>
      <c r="D1383" s="167" t="s">
        <v>334</v>
      </c>
      <c r="E1383" s="167" t="s">
        <v>3699</v>
      </c>
      <c r="F1383" s="168">
        <v>1042.6600000000001</v>
      </c>
    </row>
    <row r="1384" spans="1:6" x14ac:dyDescent="0.2">
      <c r="A1384" s="163" t="s">
        <v>3724</v>
      </c>
      <c r="B1384" s="164" t="s">
        <v>2511</v>
      </c>
      <c r="C1384" s="164">
        <v>14103936</v>
      </c>
      <c r="D1384" s="164" t="s">
        <v>294</v>
      </c>
      <c r="E1384" s="164" t="s">
        <v>3699</v>
      </c>
      <c r="F1384" s="165">
        <v>1001.26</v>
      </c>
    </row>
    <row r="1385" spans="1:6" x14ac:dyDescent="0.2">
      <c r="A1385" s="166" t="s">
        <v>3724</v>
      </c>
      <c r="B1385" s="167" t="s">
        <v>2511</v>
      </c>
      <c r="C1385" s="167">
        <v>14102875</v>
      </c>
      <c r="D1385" s="167" t="s">
        <v>33</v>
      </c>
      <c r="E1385" s="167" t="s">
        <v>3699</v>
      </c>
      <c r="F1385" s="168">
        <v>1042.6600000000001</v>
      </c>
    </row>
    <row r="1386" spans="1:6" x14ac:dyDescent="0.2">
      <c r="A1386" s="163" t="s">
        <v>3724</v>
      </c>
      <c r="B1386" s="164" t="s">
        <v>2511</v>
      </c>
      <c r="C1386" s="164">
        <v>14102081</v>
      </c>
      <c r="D1386" s="164" t="s">
        <v>29</v>
      </c>
      <c r="E1386" s="164" t="s">
        <v>3699</v>
      </c>
      <c r="F1386" s="165">
        <v>966.02</v>
      </c>
    </row>
    <row r="1387" spans="1:6" x14ac:dyDescent="0.2">
      <c r="A1387" s="166" t="s">
        <v>3724</v>
      </c>
      <c r="B1387" s="167" t="s">
        <v>2511</v>
      </c>
      <c r="C1387" s="167">
        <v>14101984</v>
      </c>
      <c r="D1387" s="167" t="s">
        <v>28</v>
      </c>
      <c r="E1387" s="167" t="s">
        <v>3699</v>
      </c>
      <c r="F1387" s="168">
        <v>1042.6600000000001</v>
      </c>
    </row>
    <row r="1388" spans="1:6" x14ac:dyDescent="0.2">
      <c r="A1388" s="163" t="s">
        <v>3724</v>
      </c>
      <c r="B1388" s="164" t="s">
        <v>2511</v>
      </c>
      <c r="C1388" s="164">
        <v>14101881</v>
      </c>
      <c r="D1388" s="164" t="s">
        <v>27</v>
      </c>
      <c r="E1388" s="164" t="s">
        <v>3699</v>
      </c>
      <c r="F1388" s="165">
        <v>1042.6600000000001</v>
      </c>
    </row>
    <row r="1389" spans="1:6" x14ac:dyDescent="0.2">
      <c r="A1389" s="166" t="s">
        <v>3724</v>
      </c>
      <c r="B1389" s="167" t="s">
        <v>2511</v>
      </c>
      <c r="C1389" s="167">
        <v>14100863</v>
      </c>
      <c r="D1389" s="167" t="s">
        <v>26</v>
      </c>
      <c r="E1389" s="167" t="s">
        <v>3699</v>
      </c>
      <c r="F1389" s="168">
        <v>1042.6600000000001</v>
      </c>
    </row>
    <row r="1390" spans="1:6" x14ac:dyDescent="0.2">
      <c r="A1390" s="163" t="s">
        <v>3724</v>
      </c>
      <c r="B1390" s="164" t="s">
        <v>2511</v>
      </c>
      <c r="C1390" s="164">
        <v>14100798</v>
      </c>
      <c r="D1390" s="164" t="s">
        <v>23</v>
      </c>
      <c r="E1390" s="164" t="s">
        <v>3699</v>
      </c>
      <c r="F1390" s="165">
        <v>1042.6600000000001</v>
      </c>
    </row>
    <row r="1391" spans="1:6" x14ac:dyDescent="0.2">
      <c r="A1391" s="166" t="s">
        <v>3724</v>
      </c>
      <c r="B1391" s="167" t="s">
        <v>2511</v>
      </c>
      <c r="C1391" s="167">
        <v>14100713</v>
      </c>
      <c r="D1391" s="167" t="s">
        <v>6</v>
      </c>
      <c r="E1391" s="167" t="s">
        <v>3699</v>
      </c>
      <c r="F1391" s="168">
        <v>1280.68</v>
      </c>
    </row>
    <row r="1392" spans="1:6" x14ac:dyDescent="0.2">
      <c r="A1392" s="163" t="s">
        <v>3724</v>
      </c>
      <c r="B1392" s="164" t="s">
        <v>2511</v>
      </c>
      <c r="C1392" s="164">
        <v>14221824</v>
      </c>
      <c r="D1392" s="164" t="s">
        <v>2371</v>
      </c>
      <c r="E1392" s="164" t="s">
        <v>3699</v>
      </c>
      <c r="F1392" s="165">
        <v>1690.94</v>
      </c>
    </row>
    <row r="1393" spans="1:6" x14ac:dyDescent="0.2">
      <c r="A1393" s="166" t="s">
        <v>3724</v>
      </c>
      <c r="B1393" s="167" t="s">
        <v>2511</v>
      </c>
      <c r="C1393" s="167">
        <v>14213768</v>
      </c>
      <c r="D1393" s="167" t="s">
        <v>2361</v>
      </c>
      <c r="E1393" s="167" t="s">
        <v>3699</v>
      </c>
      <c r="F1393" s="168">
        <v>1383.36</v>
      </c>
    </row>
    <row r="1394" spans="1:6" x14ac:dyDescent="0.2">
      <c r="A1394" s="163" t="s">
        <v>3724</v>
      </c>
      <c r="B1394" s="164" t="s">
        <v>2511</v>
      </c>
      <c r="C1394" s="164">
        <v>14213524</v>
      </c>
      <c r="D1394" s="164" t="s">
        <v>2360</v>
      </c>
      <c r="E1394" s="164" t="s">
        <v>3699</v>
      </c>
      <c r="F1394" s="165">
        <v>872.24</v>
      </c>
    </row>
    <row r="1395" spans="1:6" x14ac:dyDescent="0.2">
      <c r="A1395" s="166" t="s">
        <v>3724</v>
      </c>
      <c r="B1395" s="167" t="s">
        <v>2511</v>
      </c>
      <c r="C1395" s="167">
        <v>14102638</v>
      </c>
      <c r="D1395" s="167" t="s">
        <v>2348</v>
      </c>
      <c r="E1395" s="167" t="s">
        <v>3699</v>
      </c>
      <c r="F1395" s="168">
        <v>872.24</v>
      </c>
    </row>
    <row r="1396" spans="1:6" x14ac:dyDescent="0.2">
      <c r="A1396" s="163" t="s">
        <v>3724</v>
      </c>
      <c r="B1396" s="164" t="s">
        <v>2511</v>
      </c>
      <c r="C1396" s="164">
        <v>14102637</v>
      </c>
      <c r="D1396" s="164" t="s">
        <v>2347</v>
      </c>
      <c r="E1396" s="164" t="s">
        <v>3699</v>
      </c>
      <c r="F1396" s="165">
        <v>872.24</v>
      </c>
    </row>
    <row r="1397" spans="1:6" x14ac:dyDescent="0.2">
      <c r="A1397" s="166" t="s">
        <v>3724</v>
      </c>
      <c r="B1397" s="167" t="s">
        <v>2510</v>
      </c>
      <c r="C1397" s="167">
        <v>16124306</v>
      </c>
      <c r="D1397" s="167" t="s">
        <v>2503</v>
      </c>
      <c r="E1397" s="167" t="s">
        <v>3699</v>
      </c>
      <c r="F1397" s="168">
        <v>106.56</v>
      </c>
    </row>
    <row r="1398" spans="1:6" x14ac:dyDescent="0.2">
      <c r="A1398" s="163" t="s">
        <v>3724</v>
      </c>
      <c r="B1398" s="164" t="s">
        <v>2510</v>
      </c>
      <c r="C1398" s="164">
        <v>16124225</v>
      </c>
      <c r="D1398" s="164" t="s">
        <v>2500</v>
      </c>
      <c r="E1398" s="164" t="s">
        <v>3699</v>
      </c>
      <c r="F1398" s="165">
        <v>106.56</v>
      </c>
    </row>
    <row r="1399" spans="1:6" x14ac:dyDescent="0.2">
      <c r="A1399" s="166" t="s">
        <v>3724</v>
      </c>
      <c r="B1399" s="167" t="s">
        <v>2510</v>
      </c>
      <c r="C1399" s="167">
        <v>16124205</v>
      </c>
      <c r="D1399" s="167" t="s">
        <v>2499</v>
      </c>
      <c r="E1399" s="167" t="s">
        <v>3699</v>
      </c>
      <c r="F1399" s="168">
        <v>106.56</v>
      </c>
    </row>
    <row r="1400" spans="1:6" x14ac:dyDescent="0.2">
      <c r="A1400" s="163" t="s">
        <v>3724</v>
      </c>
      <c r="B1400" s="164" t="s">
        <v>2510</v>
      </c>
      <c r="C1400" s="164">
        <v>16124203</v>
      </c>
      <c r="D1400" s="164" t="s">
        <v>2498</v>
      </c>
      <c r="E1400" s="164" t="s">
        <v>3699</v>
      </c>
      <c r="F1400" s="165">
        <v>106.56</v>
      </c>
    </row>
    <row r="1401" spans="1:6" x14ac:dyDescent="0.2">
      <c r="A1401" s="166" t="s">
        <v>3724</v>
      </c>
      <c r="B1401" s="167" t="s">
        <v>2510</v>
      </c>
      <c r="C1401" s="167">
        <v>16124018</v>
      </c>
      <c r="D1401" s="167" t="s">
        <v>2496</v>
      </c>
      <c r="E1401" s="167" t="s">
        <v>3699</v>
      </c>
      <c r="F1401" s="168">
        <v>106.56</v>
      </c>
    </row>
    <row r="1402" spans="1:6" x14ac:dyDescent="0.2">
      <c r="A1402" s="163" t="s">
        <v>3724</v>
      </c>
      <c r="B1402" s="164" t="s">
        <v>2510</v>
      </c>
      <c r="C1402" s="164">
        <v>16124001</v>
      </c>
      <c r="D1402" s="164" t="s">
        <v>2495</v>
      </c>
      <c r="E1402" s="164" t="s">
        <v>3699</v>
      </c>
      <c r="F1402" s="165">
        <v>106.56</v>
      </c>
    </row>
    <row r="1403" spans="1:6" x14ac:dyDescent="0.2">
      <c r="A1403" s="166" t="s">
        <v>3724</v>
      </c>
      <c r="B1403" s="167" t="s">
        <v>2510</v>
      </c>
      <c r="C1403" s="167">
        <v>16123937</v>
      </c>
      <c r="D1403" s="167" t="s">
        <v>2493</v>
      </c>
      <c r="E1403" s="167" t="s">
        <v>3699</v>
      </c>
      <c r="F1403" s="168">
        <v>106.56</v>
      </c>
    </row>
    <row r="1404" spans="1:6" x14ac:dyDescent="0.2">
      <c r="A1404" s="163" t="s">
        <v>3724</v>
      </c>
      <c r="B1404" s="164" t="s">
        <v>2510</v>
      </c>
      <c r="C1404" s="164">
        <v>16123910</v>
      </c>
      <c r="D1404" s="164" t="s">
        <v>2492</v>
      </c>
      <c r="E1404" s="164" t="s">
        <v>3699</v>
      </c>
      <c r="F1404" s="165">
        <v>106.56</v>
      </c>
    </row>
    <row r="1405" spans="1:6" x14ac:dyDescent="0.2">
      <c r="A1405" s="166" t="s">
        <v>3724</v>
      </c>
      <c r="B1405" s="167" t="s">
        <v>2510</v>
      </c>
      <c r="C1405" s="167">
        <v>16123909</v>
      </c>
      <c r="D1405" s="167" t="s">
        <v>2491</v>
      </c>
      <c r="E1405" s="167" t="s">
        <v>3699</v>
      </c>
      <c r="F1405" s="168">
        <v>106.56</v>
      </c>
    </row>
    <row r="1406" spans="1:6" x14ac:dyDescent="0.2">
      <c r="A1406" s="163" t="s">
        <v>3724</v>
      </c>
      <c r="B1406" s="164" t="s">
        <v>2510</v>
      </c>
      <c r="C1406" s="164">
        <v>16123887</v>
      </c>
      <c r="D1406" s="164" t="s">
        <v>2490</v>
      </c>
      <c r="E1406" s="164" t="s">
        <v>3699</v>
      </c>
      <c r="F1406" s="165">
        <v>106.56</v>
      </c>
    </row>
    <row r="1407" spans="1:6" x14ac:dyDescent="0.2">
      <c r="A1407" s="166" t="s">
        <v>3724</v>
      </c>
      <c r="B1407" s="167" t="s">
        <v>2510</v>
      </c>
      <c r="C1407" s="167">
        <v>16123866</v>
      </c>
      <c r="D1407" s="167" t="s">
        <v>2489</v>
      </c>
      <c r="E1407" s="167" t="s">
        <v>3699</v>
      </c>
      <c r="F1407" s="168">
        <v>106.56</v>
      </c>
    </row>
    <row r="1408" spans="1:6" x14ac:dyDescent="0.2">
      <c r="A1408" s="163" t="s">
        <v>3724</v>
      </c>
      <c r="B1408" s="164" t="s">
        <v>2510</v>
      </c>
      <c r="C1408" s="164">
        <v>16123864</v>
      </c>
      <c r="D1408" s="164" t="s">
        <v>2487</v>
      </c>
      <c r="E1408" s="164" t="s">
        <v>3699</v>
      </c>
      <c r="F1408" s="165">
        <v>106.56</v>
      </c>
    </row>
    <row r="1409" spans="1:6" x14ac:dyDescent="0.2">
      <c r="A1409" s="166" t="s">
        <v>3724</v>
      </c>
      <c r="B1409" s="167" t="s">
        <v>2510</v>
      </c>
      <c r="C1409" s="167">
        <v>16123790</v>
      </c>
      <c r="D1409" s="167" t="s">
        <v>2486</v>
      </c>
      <c r="E1409" s="167" t="s">
        <v>3699</v>
      </c>
      <c r="F1409" s="168">
        <v>106.56</v>
      </c>
    </row>
    <row r="1410" spans="1:6" x14ac:dyDescent="0.2">
      <c r="A1410" s="163" t="s">
        <v>3724</v>
      </c>
      <c r="B1410" s="164" t="s">
        <v>2510</v>
      </c>
      <c r="C1410" s="164">
        <v>16123764</v>
      </c>
      <c r="D1410" s="164" t="s">
        <v>2485</v>
      </c>
      <c r="E1410" s="164" t="s">
        <v>3699</v>
      </c>
      <c r="F1410" s="165">
        <v>106.56</v>
      </c>
    </row>
    <row r="1411" spans="1:6" x14ac:dyDescent="0.2">
      <c r="A1411" s="166" t="s">
        <v>3724</v>
      </c>
      <c r="B1411" s="167" t="s">
        <v>2510</v>
      </c>
      <c r="C1411" s="167">
        <v>16123745</v>
      </c>
      <c r="D1411" s="167" t="s">
        <v>2484</v>
      </c>
      <c r="E1411" s="167" t="s">
        <v>3699</v>
      </c>
      <c r="F1411" s="168">
        <v>106.56</v>
      </c>
    </row>
    <row r="1412" spans="1:6" x14ac:dyDescent="0.2">
      <c r="A1412" s="163" t="s">
        <v>3724</v>
      </c>
      <c r="B1412" s="164" t="s">
        <v>2510</v>
      </c>
      <c r="C1412" s="164">
        <v>16123499</v>
      </c>
      <c r="D1412" s="164" t="s">
        <v>2483</v>
      </c>
      <c r="E1412" s="164" t="s">
        <v>3699</v>
      </c>
      <c r="F1412" s="165">
        <v>106.56</v>
      </c>
    </row>
    <row r="1413" spans="1:6" x14ac:dyDescent="0.2">
      <c r="A1413" s="166" t="s">
        <v>3724</v>
      </c>
      <c r="B1413" s="167" t="s">
        <v>2510</v>
      </c>
      <c r="C1413" s="167">
        <v>16123358</v>
      </c>
      <c r="D1413" s="167" t="s">
        <v>2482</v>
      </c>
      <c r="E1413" s="167" t="s">
        <v>3699</v>
      </c>
      <c r="F1413" s="168">
        <v>106.56</v>
      </c>
    </row>
    <row r="1414" spans="1:6" x14ac:dyDescent="0.2">
      <c r="A1414" s="163" t="s">
        <v>3724</v>
      </c>
      <c r="B1414" s="164" t="s">
        <v>2510</v>
      </c>
      <c r="C1414" s="164">
        <v>16122568</v>
      </c>
      <c r="D1414" s="164" t="s">
        <v>2481</v>
      </c>
      <c r="E1414" s="164" t="s">
        <v>3699</v>
      </c>
      <c r="F1414" s="165">
        <v>106.56</v>
      </c>
    </row>
    <row r="1415" spans="1:6" x14ac:dyDescent="0.2">
      <c r="A1415" s="166" t="s">
        <v>3724</v>
      </c>
      <c r="B1415" s="167" t="s">
        <v>2510</v>
      </c>
      <c r="C1415" s="167">
        <v>16122324</v>
      </c>
      <c r="D1415" s="167" t="s">
        <v>2478</v>
      </c>
      <c r="E1415" s="167" t="s">
        <v>3699</v>
      </c>
      <c r="F1415" s="168">
        <v>106.56</v>
      </c>
    </row>
    <row r="1416" spans="1:6" x14ac:dyDescent="0.2">
      <c r="A1416" s="163" t="s">
        <v>3724</v>
      </c>
      <c r="B1416" s="164" t="s">
        <v>2510</v>
      </c>
      <c r="C1416" s="164">
        <v>16122298</v>
      </c>
      <c r="D1416" s="164" t="s">
        <v>2477</v>
      </c>
      <c r="E1416" s="164" t="s">
        <v>3699</v>
      </c>
      <c r="F1416" s="165">
        <v>106.56</v>
      </c>
    </row>
    <row r="1417" spans="1:6" x14ac:dyDescent="0.2">
      <c r="A1417" s="166" t="s">
        <v>3724</v>
      </c>
      <c r="B1417" s="167" t="s">
        <v>2510</v>
      </c>
      <c r="C1417" s="167">
        <v>16122204</v>
      </c>
      <c r="D1417" s="167" t="s">
        <v>2475</v>
      </c>
      <c r="E1417" s="167" t="s">
        <v>3699</v>
      </c>
      <c r="F1417" s="168">
        <v>106.56</v>
      </c>
    </row>
    <row r="1418" spans="1:6" x14ac:dyDescent="0.2">
      <c r="A1418" s="163" t="s">
        <v>3724</v>
      </c>
      <c r="B1418" s="164" t="s">
        <v>2510</v>
      </c>
      <c r="C1418" s="164">
        <v>16122078</v>
      </c>
      <c r="D1418" s="164" t="s">
        <v>2474</v>
      </c>
      <c r="E1418" s="164" t="s">
        <v>3699</v>
      </c>
      <c r="F1418" s="165">
        <v>106.56</v>
      </c>
    </row>
    <row r="1419" spans="1:6" x14ac:dyDescent="0.2">
      <c r="A1419" s="166" t="s">
        <v>3724</v>
      </c>
      <c r="B1419" s="167" t="s">
        <v>2510</v>
      </c>
      <c r="C1419" s="167">
        <v>16121937</v>
      </c>
      <c r="D1419" s="167" t="s">
        <v>2473</v>
      </c>
      <c r="E1419" s="167" t="s">
        <v>3699</v>
      </c>
      <c r="F1419" s="168">
        <v>106.56</v>
      </c>
    </row>
    <row r="1420" spans="1:6" x14ac:dyDescent="0.2">
      <c r="A1420" s="163" t="s">
        <v>3724</v>
      </c>
      <c r="B1420" s="164" t="s">
        <v>2510</v>
      </c>
      <c r="C1420" s="164">
        <v>16121712</v>
      </c>
      <c r="D1420" s="164" t="s">
        <v>2471</v>
      </c>
      <c r="E1420" s="164" t="s">
        <v>3699</v>
      </c>
      <c r="F1420" s="165">
        <v>106.56</v>
      </c>
    </row>
    <row r="1421" spans="1:6" x14ac:dyDescent="0.2">
      <c r="A1421" s="166" t="s">
        <v>3724</v>
      </c>
      <c r="B1421" s="167" t="s">
        <v>2510</v>
      </c>
      <c r="C1421" s="167">
        <v>16121373</v>
      </c>
      <c r="D1421" s="167" t="s">
        <v>2470</v>
      </c>
      <c r="E1421" s="167" t="s">
        <v>3699</v>
      </c>
      <c r="F1421" s="168">
        <v>106.56</v>
      </c>
    </row>
    <row r="1422" spans="1:6" x14ac:dyDescent="0.2">
      <c r="A1422" s="163" t="s">
        <v>3724</v>
      </c>
      <c r="B1422" s="164" t="s">
        <v>2510</v>
      </c>
      <c r="C1422" s="164">
        <v>16120702</v>
      </c>
      <c r="D1422" s="164" t="s">
        <v>2469</v>
      </c>
      <c r="E1422" s="164" t="s">
        <v>3699</v>
      </c>
      <c r="F1422" s="165">
        <v>106.56</v>
      </c>
    </row>
    <row r="1423" spans="1:6" x14ac:dyDescent="0.2">
      <c r="A1423" s="166" t="s">
        <v>3724</v>
      </c>
      <c r="B1423" s="167" t="s">
        <v>2510</v>
      </c>
      <c r="C1423" s="167">
        <v>16120465</v>
      </c>
      <c r="D1423" s="167" t="s">
        <v>2468</v>
      </c>
      <c r="E1423" s="167" t="s">
        <v>3699</v>
      </c>
      <c r="F1423" s="168">
        <v>106.56</v>
      </c>
    </row>
    <row r="1424" spans="1:6" x14ac:dyDescent="0.2">
      <c r="A1424" s="163" t="s">
        <v>3724</v>
      </c>
      <c r="B1424" s="164" t="s">
        <v>2510</v>
      </c>
      <c r="C1424" s="164">
        <v>16119689</v>
      </c>
      <c r="D1424" s="164" t="s">
        <v>2465</v>
      </c>
      <c r="E1424" s="164" t="s">
        <v>3699</v>
      </c>
      <c r="F1424" s="165">
        <v>106.56</v>
      </c>
    </row>
    <row r="1425" spans="1:6" x14ac:dyDescent="0.2">
      <c r="A1425" s="166" t="s">
        <v>3724</v>
      </c>
      <c r="B1425" s="167" t="s">
        <v>2510</v>
      </c>
      <c r="C1425" s="167">
        <v>16119563</v>
      </c>
      <c r="D1425" s="167" t="s">
        <v>2464</v>
      </c>
      <c r="E1425" s="167" t="s">
        <v>3699</v>
      </c>
      <c r="F1425" s="168">
        <v>106.56</v>
      </c>
    </row>
    <row r="1426" spans="1:6" x14ac:dyDescent="0.2">
      <c r="A1426" s="163" t="s">
        <v>3724</v>
      </c>
      <c r="B1426" s="164" t="s">
        <v>2510</v>
      </c>
      <c r="C1426" s="164">
        <v>16119562</v>
      </c>
      <c r="D1426" s="164" t="s">
        <v>2463</v>
      </c>
      <c r="E1426" s="164" t="s">
        <v>3699</v>
      </c>
      <c r="F1426" s="165">
        <v>106.56</v>
      </c>
    </row>
    <row r="1427" spans="1:6" x14ac:dyDescent="0.2">
      <c r="A1427" s="166" t="s">
        <v>3724</v>
      </c>
      <c r="B1427" s="167" t="s">
        <v>2510</v>
      </c>
      <c r="C1427" s="167">
        <v>16119354</v>
      </c>
      <c r="D1427" s="167" t="s">
        <v>2462</v>
      </c>
      <c r="E1427" s="167" t="s">
        <v>3699</v>
      </c>
      <c r="F1427" s="168">
        <v>106.56</v>
      </c>
    </row>
    <row r="1428" spans="1:6" x14ac:dyDescent="0.2">
      <c r="A1428" s="163" t="s">
        <v>3724</v>
      </c>
      <c r="B1428" s="164" t="s">
        <v>2510</v>
      </c>
      <c r="C1428" s="164">
        <v>16119048</v>
      </c>
      <c r="D1428" s="164" t="s">
        <v>2461</v>
      </c>
      <c r="E1428" s="164" t="s">
        <v>3699</v>
      </c>
      <c r="F1428" s="165">
        <v>106.56</v>
      </c>
    </row>
    <row r="1429" spans="1:6" x14ac:dyDescent="0.2">
      <c r="A1429" s="166" t="s">
        <v>3724</v>
      </c>
      <c r="B1429" s="167" t="s">
        <v>2510</v>
      </c>
      <c r="C1429" s="167">
        <v>16118874</v>
      </c>
      <c r="D1429" s="167" t="s">
        <v>2458</v>
      </c>
      <c r="E1429" s="167" t="s">
        <v>3699</v>
      </c>
      <c r="F1429" s="168">
        <v>106.56</v>
      </c>
    </row>
    <row r="1430" spans="1:6" x14ac:dyDescent="0.2">
      <c r="A1430" s="163" t="s">
        <v>3724</v>
      </c>
      <c r="B1430" s="164" t="s">
        <v>2510</v>
      </c>
      <c r="C1430" s="164">
        <v>16118723</v>
      </c>
      <c r="D1430" s="164" t="s">
        <v>2457</v>
      </c>
      <c r="E1430" s="164" t="s">
        <v>3699</v>
      </c>
      <c r="F1430" s="165">
        <v>106.56</v>
      </c>
    </row>
    <row r="1431" spans="1:6" x14ac:dyDescent="0.2">
      <c r="A1431" s="166" t="s">
        <v>3724</v>
      </c>
      <c r="B1431" s="167" t="s">
        <v>2510</v>
      </c>
      <c r="C1431" s="167">
        <v>16118421</v>
      </c>
      <c r="D1431" s="167" t="s">
        <v>2453</v>
      </c>
      <c r="E1431" s="167" t="s">
        <v>3699</v>
      </c>
      <c r="F1431" s="168">
        <v>106.56</v>
      </c>
    </row>
    <row r="1432" spans="1:6" x14ac:dyDescent="0.2">
      <c r="A1432" s="163" t="s">
        <v>3724</v>
      </c>
      <c r="B1432" s="164" t="s">
        <v>2510</v>
      </c>
      <c r="C1432" s="164">
        <v>16116733</v>
      </c>
      <c r="D1432" s="164" t="s">
        <v>2450</v>
      </c>
      <c r="E1432" s="164" t="s">
        <v>3699</v>
      </c>
      <c r="F1432" s="165">
        <v>106.56</v>
      </c>
    </row>
    <row r="1433" spans="1:6" x14ac:dyDescent="0.2">
      <c r="A1433" s="166" t="s">
        <v>3724</v>
      </c>
      <c r="B1433" s="167" t="s">
        <v>2510</v>
      </c>
      <c r="C1433" s="167">
        <v>16116477</v>
      </c>
      <c r="D1433" s="167" t="s">
        <v>2449</v>
      </c>
      <c r="E1433" s="167" t="s">
        <v>3699</v>
      </c>
      <c r="F1433" s="168">
        <v>106.56</v>
      </c>
    </row>
    <row r="1434" spans="1:6" x14ac:dyDescent="0.2">
      <c r="A1434" s="163" t="s">
        <v>3724</v>
      </c>
      <c r="B1434" s="164" t="s">
        <v>2510</v>
      </c>
      <c r="C1434" s="164">
        <v>16116290</v>
      </c>
      <c r="D1434" s="164" t="s">
        <v>2448</v>
      </c>
      <c r="E1434" s="164" t="s">
        <v>3699</v>
      </c>
      <c r="F1434" s="165">
        <v>106.56</v>
      </c>
    </row>
    <row r="1435" spans="1:6" x14ac:dyDescent="0.2">
      <c r="A1435" s="166" t="s">
        <v>3724</v>
      </c>
      <c r="B1435" s="167" t="s">
        <v>2510</v>
      </c>
      <c r="C1435" s="167">
        <v>16116202</v>
      </c>
      <c r="D1435" s="167" t="s">
        <v>2447</v>
      </c>
      <c r="E1435" s="167" t="s">
        <v>3699</v>
      </c>
      <c r="F1435" s="168">
        <v>106.56</v>
      </c>
    </row>
    <row r="1436" spans="1:6" x14ac:dyDescent="0.2">
      <c r="A1436" s="163" t="s">
        <v>3724</v>
      </c>
      <c r="B1436" s="164" t="s">
        <v>2510</v>
      </c>
      <c r="C1436" s="164">
        <v>16115756</v>
      </c>
      <c r="D1436" s="164" t="s">
        <v>2444</v>
      </c>
      <c r="E1436" s="164" t="s">
        <v>3699</v>
      </c>
      <c r="F1436" s="165">
        <v>106.56</v>
      </c>
    </row>
    <row r="1437" spans="1:6" x14ac:dyDescent="0.2">
      <c r="A1437" s="166" t="s">
        <v>3724</v>
      </c>
      <c r="B1437" s="167" t="s">
        <v>2510</v>
      </c>
      <c r="C1437" s="167">
        <v>16115586</v>
      </c>
      <c r="D1437" s="167" t="s">
        <v>2443</v>
      </c>
      <c r="E1437" s="167" t="s">
        <v>3699</v>
      </c>
      <c r="F1437" s="168">
        <v>106.56</v>
      </c>
    </row>
    <row r="1438" spans="1:6" x14ac:dyDescent="0.2">
      <c r="A1438" s="163" t="s">
        <v>3724</v>
      </c>
      <c r="B1438" s="164" t="s">
        <v>2510</v>
      </c>
      <c r="C1438" s="164">
        <v>16115150</v>
      </c>
      <c r="D1438" s="164" t="s">
        <v>2442</v>
      </c>
      <c r="E1438" s="164" t="s">
        <v>3699</v>
      </c>
      <c r="F1438" s="165">
        <v>106.56</v>
      </c>
    </row>
    <row r="1439" spans="1:6" x14ac:dyDescent="0.2">
      <c r="A1439" s="166" t="s">
        <v>3724</v>
      </c>
      <c r="B1439" s="167" t="s">
        <v>2510</v>
      </c>
      <c r="C1439" s="167">
        <v>16115026</v>
      </c>
      <c r="D1439" s="167" t="s">
        <v>2441</v>
      </c>
      <c r="E1439" s="167" t="s">
        <v>3699</v>
      </c>
      <c r="F1439" s="168">
        <v>106.56</v>
      </c>
    </row>
    <row r="1440" spans="1:6" x14ac:dyDescent="0.2">
      <c r="A1440" s="163" t="s">
        <v>3724</v>
      </c>
      <c r="B1440" s="164" t="s">
        <v>2510</v>
      </c>
      <c r="C1440" s="164">
        <v>16114991</v>
      </c>
      <c r="D1440" s="164" t="s">
        <v>2440</v>
      </c>
      <c r="E1440" s="164" t="s">
        <v>3699</v>
      </c>
      <c r="F1440" s="165">
        <v>106.56</v>
      </c>
    </row>
    <row r="1441" spans="1:6" x14ac:dyDescent="0.2">
      <c r="A1441" s="166" t="s">
        <v>3724</v>
      </c>
      <c r="B1441" s="167" t="s">
        <v>2510</v>
      </c>
      <c r="C1441" s="167">
        <v>16114529</v>
      </c>
      <c r="D1441" s="167" t="s">
        <v>2439</v>
      </c>
      <c r="E1441" s="167" t="s">
        <v>3699</v>
      </c>
      <c r="F1441" s="168">
        <v>106.56</v>
      </c>
    </row>
    <row r="1442" spans="1:6" x14ac:dyDescent="0.2">
      <c r="A1442" s="163" t="s">
        <v>3724</v>
      </c>
      <c r="B1442" s="164" t="s">
        <v>2510</v>
      </c>
      <c r="C1442" s="164">
        <v>16114063</v>
      </c>
      <c r="D1442" s="164" t="s">
        <v>2437</v>
      </c>
      <c r="E1442" s="164" t="s">
        <v>3699</v>
      </c>
      <c r="F1442" s="165">
        <v>106.56</v>
      </c>
    </row>
    <row r="1443" spans="1:6" x14ac:dyDescent="0.2">
      <c r="A1443" s="166" t="s">
        <v>3724</v>
      </c>
      <c r="B1443" s="167" t="s">
        <v>2510</v>
      </c>
      <c r="C1443" s="167">
        <v>16113003</v>
      </c>
      <c r="D1443" s="167" t="s">
        <v>2435</v>
      </c>
      <c r="E1443" s="167" t="s">
        <v>3699</v>
      </c>
      <c r="F1443" s="168">
        <v>106.56</v>
      </c>
    </row>
    <row r="1444" spans="1:6" x14ac:dyDescent="0.2">
      <c r="A1444" s="163" t="s">
        <v>3724</v>
      </c>
      <c r="B1444" s="164" t="s">
        <v>2510</v>
      </c>
      <c r="C1444" s="164">
        <v>16112578</v>
      </c>
      <c r="D1444" s="164" t="s">
        <v>2433</v>
      </c>
      <c r="E1444" s="164" t="s">
        <v>3699</v>
      </c>
      <c r="F1444" s="165">
        <v>106.56</v>
      </c>
    </row>
    <row r="1445" spans="1:6" x14ac:dyDescent="0.2">
      <c r="A1445" s="166" t="s">
        <v>3724</v>
      </c>
      <c r="B1445" s="167" t="s">
        <v>2510</v>
      </c>
      <c r="C1445" s="167">
        <v>16112068</v>
      </c>
      <c r="D1445" s="167" t="s">
        <v>2432</v>
      </c>
      <c r="E1445" s="167" t="s">
        <v>3699</v>
      </c>
      <c r="F1445" s="168">
        <v>106.56</v>
      </c>
    </row>
    <row r="1446" spans="1:6" x14ac:dyDescent="0.2">
      <c r="A1446" s="163" t="s">
        <v>3724</v>
      </c>
      <c r="B1446" s="164" t="s">
        <v>2510</v>
      </c>
      <c r="C1446" s="164">
        <v>16111231</v>
      </c>
      <c r="D1446" s="164" t="s">
        <v>2430</v>
      </c>
      <c r="E1446" s="164" t="s">
        <v>3699</v>
      </c>
      <c r="F1446" s="165">
        <v>106.56</v>
      </c>
    </row>
    <row r="1447" spans="1:6" x14ac:dyDescent="0.2">
      <c r="A1447" s="166" t="s">
        <v>3724</v>
      </c>
      <c r="B1447" s="167" t="s">
        <v>2510</v>
      </c>
      <c r="C1447" s="167">
        <v>16110744</v>
      </c>
      <c r="D1447" s="167" t="s">
        <v>2506</v>
      </c>
      <c r="E1447" s="167" t="s">
        <v>3699</v>
      </c>
      <c r="F1447" s="168">
        <v>106.56</v>
      </c>
    </row>
    <row r="1448" spans="1:6" x14ac:dyDescent="0.2">
      <c r="A1448" s="163" t="s">
        <v>3724</v>
      </c>
      <c r="B1448" s="164" t="s">
        <v>2510</v>
      </c>
      <c r="C1448" s="164">
        <v>16110177</v>
      </c>
      <c r="D1448" s="164" t="s">
        <v>2429</v>
      </c>
      <c r="E1448" s="164" t="s">
        <v>3699</v>
      </c>
      <c r="F1448" s="165">
        <v>106.56</v>
      </c>
    </row>
    <row r="1449" spans="1:6" x14ac:dyDescent="0.2">
      <c r="A1449" s="166" t="s">
        <v>3724</v>
      </c>
      <c r="B1449" s="167" t="s">
        <v>2510</v>
      </c>
      <c r="C1449" s="167">
        <v>16107905</v>
      </c>
      <c r="D1449" s="167" t="s">
        <v>2428</v>
      </c>
      <c r="E1449" s="167" t="s">
        <v>3699</v>
      </c>
      <c r="F1449" s="168">
        <v>106.56</v>
      </c>
    </row>
    <row r="1450" spans="1:6" x14ac:dyDescent="0.2">
      <c r="A1450" s="163" t="s">
        <v>3724</v>
      </c>
      <c r="B1450" s="164" t="s">
        <v>2510</v>
      </c>
      <c r="C1450" s="164">
        <v>16107845</v>
      </c>
      <c r="D1450" s="164" t="s">
        <v>2427</v>
      </c>
      <c r="E1450" s="164" t="s">
        <v>3699</v>
      </c>
      <c r="F1450" s="165">
        <v>106.56</v>
      </c>
    </row>
    <row r="1451" spans="1:6" x14ac:dyDescent="0.2">
      <c r="A1451" s="166" t="s">
        <v>3724</v>
      </c>
      <c r="B1451" s="167" t="s">
        <v>2510</v>
      </c>
      <c r="C1451" s="167">
        <v>16107705</v>
      </c>
      <c r="D1451" s="167" t="s">
        <v>2426</v>
      </c>
      <c r="E1451" s="167" t="s">
        <v>3699</v>
      </c>
      <c r="F1451" s="168">
        <v>106.56</v>
      </c>
    </row>
    <row r="1452" spans="1:6" x14ac:dyDescent="0.2">
      <c r="A1452" s="163" t="s">
        <v>3724</v>
      </c>
      <c r="B1452" s="164" t="s">
        <v>2510</v>
      </c>
      <c r="C1452" s="164">
        <v>16107598</v>
      </c>
      <c r="D1452" s="164" t="s">
        <v>2505</v>
      </c>
      <c r="E1452" s="164" t="s">
        <v>3699</v>
      </c>
      <c r="F1452" s="165">
        <v>106.56</v>
      </c>
    </row>
    <row r="1453" spans="1:6" x14ac:dyDescent="0.2">
      <c r="A1453" s="166" t="s">
        <v>3724</v>
      </c>
      <c r="B1453" s="167" t="s">
        <v>2510</v>
      </c>
      <c r="C1453" s="167">
        <v>16107227</v>
      </c>
      <c r="D1453" s="167" t="s">
        <v>2424</v>
      </c>
      <c r="E1453" s="167" t="s">
        <v>3699</v>
      </c>
      <c r="F1453" s="168">
        <v>106.56</v>
      </c>
    </row>
    <row r="1454" spans="1:6" x14ac:dyDescent="0.2">
      <c r="A1454" s="163" t="s">
        <v>3724</v>
      </c>
      <c r="B1454" s="164" t="s">
        <v>2510</v>
      </c>
      <c r="C1454" s="164">
        <v>16105115</v>
      </c>
      <c r="D1454" s="164" t="s">
        <v>2422</v>
      </c>
      <c r="E1454" s="164" t="s">
        <v>3699</v>
      </c>
      <c r="F1454" s="165">
        <v>106.56</v>
      </c>
    </row>
    <row r="1455" spans="1:6" x14ac:dyDescent="0.2">
      <c r="A1455" s="166" t="s">
        <v>3724</v>
      </c>
      <c r="B1455" s="167" t="s">
        <v>2510</v>
      </c>
      <c r="C1455" s="167">
        <v>16104436</v>
      </c>
      <c r="D1455" s="167" t="s">
        <v>2420</v>
      </c>
      <c r="E1455" s="167" t="s">
        <v>3699</v>
      </c>
      <c r="F1455" s="168">
        <v>106.56</v>
      </c>
    </row>
    <row r="1456" spans="1:6" x14ac:dyDescent="0.2">
      <c r="A1456" s="163" t="s">
        <v>3724</v>
      </c>
      <c r="B1456" s="164" t="s">
        <v>2510</v>
      </c>
      <c r="C1456" s="164">
        <v>16103733</v>
      </c>
      <c r="D1456" s="164" t="s">
        <v>2504</v>
      </c>
      <c r="E1456" s="164" t="s">
        <v>3699</v>
      </c>
      <c r="F1456" s="165">
        <v>106.56</v>
      </c>
    </row>
    <row r="1457" spans="1:6" x14ac:dyDescent="0.2">
      <c r="A1457" s="166" t="s">
        <v>3724</v>
      </c>
      <c r="B1457" s="167" t="s">
        <v>2510</v>
      </c>
      <c r="C1457" s="167">
        <v>16102762</v>
      </c>
      <c r="D1457" s="167" t="s">
        <v>2419</v>
      </c>
      <c r="E1457" s="167" t="s">
        <v>3699</v>
      </c>
      <c r="F1457" s="168">
        <v>106.56</v>
      </c>
    </row>
    <row r="1458" spans="1:6" x14ac:dyDescent="0.2">
      <c r="A1458" s="163" t="s">
        <v>3724</v>
      </c>
      <c r="B1458" s="164" t="s">
        <v>2510</v>
      </c>
      <c r="C1458" s="164">
        <v>16102665</v>
      </c>
      <c r="D1458" s="164" t="s">
        <v>2418</v>
      </c>
      <c r="E1458" s="164" t="s">
        <v>3699</v>
      </c>
      <c r="F1458" s="165">
        <v>106.56</v>
      </c>
    </row>
    <row r="1459" spans="1:6" x14ac:dyDescent="0.2">
      <c r="A1459" s="166" t="s">
        <v>3724</v>
      </c>
      <c r="B1459" s="167" t="s">
        <v>2510</v>
      </c>
      <c r="C1459" s="167">
        <v>16102525</v>
      </c>
      <c r="D1459" s="167" t="s">
        <v>2417</v>
      </c>
      <c r="E1459" s="167" t="s">
        <v>3699</v>
      </c>
      <c r="F1459" s="168">
        <v>106.56</v>
      </c>
    </row>
    <row r="1460" spans="1:6" x14ac:dyDescent="0.2">
      <c r="A1460" s="163" t="s">
        <v>3724</v>
      </c>
      <c r="B1460" s="164" t="s">
        <v>2510</v>
      </c>
      <c r="C1460" s="164">
        <v>16102265</v>
      </c>
      <c r="D1460" s="164" t="s">
        <v>2416</v>
      </c>
      <c r="E1460" s="164" t="s">
        <v>3699</v>
      </c>
      <c r="F1460" s="165">
        <v>106.56</v>
      </c>
    </row>
    <row r="1461" spans="1:6" x14ac:dyDescent="0.2">
      <c r="A1461" s="166" t="s">
        <v>3724</v>
      </c>
      <c r="B1461" s="167" t="s">
        <v>2510</v>
      </c>
      <c r="C1461" s="167">
        <v>16102200</v>
      </c>
      <c r="D1461" s="167" t="s">
        <v>2414</v>
      </c>
      <c r="E1461" s="167" t="s">
        <v>3699</v>
      </c>
      <c r="F1461" s="168">
        <v>106.56</v>
      </c>
    </row>
    <row r="1462" spans="1:6" x14ac:dyDescent="0.2">
      <c r="A1462" s="163" t="s">
        <v>3724</v>
      </c>
      <c r="B1462" s="164" t="s">
        <v>2510</v>
      </c>
      <c r="C1462" s="164">
        <v>16101387</v>
      </c>
      <c r="D1462" s="164" t="s">
        <v>2413</v>
      </c>
      <c r="E1462" s="164" t="s">
        <v>3699</v>
      </c>
      <c r="F1462" s="165">
        <v>106.56</v>
      </c>
    </row>
    <row r="1463" spans="1:6" x14ac:dyDescent="0.2">
      <c r="A1463" s="166" t="s">
        <v>3724</v>
      </c>
      <c r="B1463" s="167" t="s">
        <v>2510</v>
      </c>
      <c r="C1463" s="167">
        <v>16101382</v>
      </c>
      <c r="D1463" s="167" t="s">
        <v>2412</v>
      </c>
      <c r="E1463" s="167" t="s">
        <v>3699</v>
      </c>
      <c r="F1463" s="168">
        <v>106.56</v>
      </c>
    </row>
    <row r="1464" spans="1:6" x14ac:dyDescent="0.2">
      <c r="A1464" s="163" t="s">
        <v>3724</v>
      </c>
      <c r="B1464" s="164" t="s">
        <v>2510</v>
      </c>
      <c r="C1464" s="164">
        <v>16101370</v>
      </c>
      <c r="D1464" s="164" t="s">
        <v>2411</v>
      </c>
      <c r="E1464" s="164" t="s">
        <v>3699</v>
      </c>
      <c r="F1464" s="165">
        <v>106.56</v>
      </c>
    </row>
    <row r="1465" spans="1:6" x14ac:dyDescent="0.2">
      <c r="A1465" s="166" t="s">
        <v>3724</v>
      </c>
      <c r="B1465" s="167" t="s">
        <v>2510</v>
      </c>
      <c r="C1465" s="167">
        <v>16101321</v>
      </c>
      <c r="D1465" s="167" t="s">
        <v>2408</v>
      </c>
      <c r="E1465" s="167" t="s">
        <v>3699</v>
      </c>
      <c r="F1465" s="168">
        <v>106.56</v>
      </c>
    </row>
    <row r="1466" spans="1:6" x14ac:dyDescent="0.2">
      <c r="A1466" s="163" t="s">
        <v>3724</v>
      </c>
      <c r="B1466" s="164" t="s">
        <v>2510</v>
      </c>
      <c r="C1466" s="164">
        <v>16101291</v>
      </c>
      <c r="D1466" s="164" t="s">
        <v>2405</v>
      </c>
      <c r="E1466" s="164" t="s">
        <v>3699</v>
      </c>
      <c r="F1466" s="165">
        <v>106.56</v>
      </c>
    </row>
    <row r="1467" spans="1:6" x14ac:dyDescent="0.2">
      <c r="A1467" s="166" t="s">
        <v>3724</v>
      </c>
      <c r="B1467" s="167" t="s">
        <v>2510</v>
      </c>
      <c r="C1467" s="167">
        <v>14124410</v>
      </c>
      <c r="D1467" s="167" t="s">
        <v>2596</v>
      </c>
      <c r="E1467" s="167" t="s">
        <v>3699</v>
      </c>
      <c r="F1467" s="168">
        <v>117.45</v>
      </c>
    </row>
    <row r="1468" spans="1:6" x14ac:dyDescent="0.2">
      <c r="A1468" s="163" t="s">
        <v>3724</v>
      </c>
      <c r="B1468" s="164" t="s">
        <v>2510</v>
      </c>
      <c r="C1468" s="164">
        <v>14124406</v>
      </c>
      <c r="D1468" s="164" t="s">
        <v>2591</v>
      </c>
      <c r="E1468" s="164" t="s">
        <v>3699</v>
      </c>
      <c r="F1468" s="165">
        <v>117.45</v>
      </c>
    </row>
    <row r="1469" spans="1:6" x14ac:dyDescent="0.2">
      <c r="A1469" s="166" t="s">
        <v>3724</v>
      </c>
      <c r="B1469" s="167" t="s">
        <v>2510</v>
      </c>
      <c r="C1469" s="167">
        <v>14124394</v>
      </c>
      <c r="D1469" s="167" t="s">
        <v>2590</v>
      </c>
      <c r="E1469" s="167" t="s">
        <v>3699</v>
      </c>
      <c r="F1469" s="168">
        <v>117.45</v>
      </c>
    </row>
    <row r="1470" spans="1:6" x14ac:dyDescent="0.2">
      <c r="A1470" s="163" t="s">
        <v>3724</v>
      </c>
      <c r="B1470" s="164" t="s">
        <v>2510</v>
      </c>
      <c r="C1470" s="164">
        <v>14124384</v>
      </c>
      <c r="D1470" s="164" t="s">
        <v>2551</v>
      </c>
      <c r="E1470" s="164" t="s">
        <v>3699</v>
      </c>
      <c r="F1470" s="165">
        <v>117.45</v>
      </c>
    </row>
    <row r="1471" spans="1:6" x14ac:dyDescent="0.2">
      <c r="A1471" s="166" t="s">
        <v>3724</v>
      </c>
      <c r="B1471" s="167" t="s">
        <v>2510</v>
      </c>
      <c r="C1471" s="167">
        <v>14124376</v>
      </c>
      <c r="D1471" s="167" t="s">
        <v>2559</v>
      </c>
      <c r="E1471" s="167" t="s">
        <v>3699</v>
      </c>
      <c r="F1471" s="168">
        <v>117.45</v>
      </c>
    </row>
    <row r="1472" spans="1:6" x14ac:dyDescent="0.2">
      <c r="A1472" s="163" t="s">
        <v>3724</v>
      </c>
      <c r="B1472" s="164" t="s">
        <v>2510</v>
      </c>
      <c r="C1472" s="164">
        <v>14124352</v>
      </c>
      <c r="D1472" s="164" t="s">
        <v>2555</v>
      </c>
      <c r="E1472" s="164" t="s">
        <v>3699</v>
      </c>
      <c r="F1472" s="165">
        <v>117.45</v>
      </c>
    </row>
    <row r="1473" spans="1:6" x14ac:dyDescent="0.2">
      <c r="A1473" s="166" t="s">
        <v>3724</v>
      </c>
      <c r="B1473" s="167" t="s">
        <v>2510</v>
      </c>
      <c r="C1473" s="167">
        <v>14124350</v>
      </c>
      <c r="D1473" s="167" t="s">
        <v>2566</v>
      </c>
      <c r="E1473" s="167" t="s">
        <v>3699</v>
      </c>
      <c r="F1473" s="168">
        <v>117.45</v>
      </c>
    </row>
    <row r="1474" spans="1:6" x14ac:dyDescent="0.2">
      <c r="A1474" s="163" t="s">
        <v>3724</v>
      </c>
      <c r="B1474" s="164" t="s">
        <v>2510</v>
      </c>
      <c r="C1474" s="164">
        <v>14124349</v>
      </c>
      <c r="D1474" s="164" t="s">
        <v>2561</v>
      </c>
      <c r="E1474" s="164" t="s">
        <v>3699</v>
      </c>
      <c r="F1474" s="165">
        <v>117.45</v>
      </c>
    </row>
    <row r="1475" spans="1:6" x14ac:dyDescent="0.2">
      <c r="A1475" s="166" t="s">
        <v>3724</v>
      </c>
      <c r="B1475" s="167" t="s">
        <v>2510</v>
      </c>
      <c r="C1475" s="167">
        <v>14124348</v>
      </c>
      <c r="D1475" s="167" t="s">
        <v>2554</v>
      </c>
      <c r="E1475" s="167" t="s">
        <v>3699</v>
      </c>
      <c r="F1475" s="168">
        <v>117.45</v>
      </c>
    </row>
    <row r="1476" spans="1:6" x14ac:dyDescent="0.2">
      <c r="A1476" s="163" t="s">
        <v>3724</v>
      </c>
      <c r="B1476" s="164" t="s">
        <v>2510</v>
      </c>
      <c r="C1476" s="164">
        <v>14124347</v>
      </c>
      <c r="D1476" s="164" t="s">
        <v>2553</v>
      </c>
      <c r="E1476" s="164" t="s">
        <v>3699</v>
      </c>
      <c r="F1476" s="165">
        <v>117.45</v>
      </c>
    </row>
    <row r="1477" spans="1:6" x14ac:dyDescent="0.2">
      <c r="A1477" s="166" t="s">
        <v>3724</v>
      </c>
      <c r="B1477" s="167" t="s">
        <v>2510</v>
      </c>
      <c r="C1477" s="167">
        <v>14124346</v>
      </c>
      <c r="D1477" s="167" t="s">
        <v>2552</v>
      </c>
      <c r="E1477" s="167" t="s">
        <v>3699</v>
      </c>
      <c r="F1477" s="168">
        <v>117.45</v>
      </c>
    </row>
    <row r="1478" spans="1:6" x14ac:dyDescent="0.2">
      <c r="A1478" s="163" t="s">
        <v>3724</v>
      </c>
      <c r="B1478" s="164" t="s">
        <v>2510</v>
      </c>
      <c r="C1478" s="164">
        <v>14124345</v>
      </c>
      <c r="D1478" s="164" t="s">
        <v>2556</v>
      </c>
      <c r="E1478" s="164" t="s">
        <v>3699</v>
      </c>
      <c r="F1478" s="165">
        <v>117.45</v>
      </c>
    </row>
    <row r="1479" spans="1:6" x14ac:dyDescent="0.2">
      <c r="A1479" s="166" t="s">
        <v>3724</v>
      </c>
      <c r="B1479" s="167" t="s">
        <v>2510</v>
      </c>
      <c r="C1479" s="167">
        <v>14124334</v>
      </c>
      <c r="D1479" s="167" t="s">
        <v>2538</v>
      </c>
      <c r="E1479" s="167" t="s">
        <v>3699</v>
      </c>
      <c r="F1479" s="168">
        <v>117.45</v>
      </c>
    </row>
    <row r="1480" spans="1:6" x14ac:dyDescent="0.2">
      <c r="A1480" s="163" t="s">
        <v>3724</v>
      </c>
      <c r="B1480" s="164" t="s">
        <v>2510</v>
      </c>
      <c r="C1480" s="164">
        <v>14124320</v>
      </c>
      <c r="D1480" s="164" t="s">
        <v>2404</v>
      </c>
      <c r="E1480" s="164" t="s">
        <v>3699</v>
      </c>
      <c r="F1480" s="165">
        <v>117.45</v>
      </c>
    </row>
    <row r="1481" spans="1:6" x14ac:dyDescent="0.2">
      <c r="A1481" s="166" t="s">
        <v>3724</v>
      </c>
      <c r="B1481" s="167" t="s">
        <v>2510</v>
      </c>
      <c r="C1481" s="167">
        <v>14124303</v>
      </c>
      <c r="D1481" s="167" t="s">
        <v>2403</v>
      </c>
      <c r="E1481" s="167" t="s">
        <v>3699</v>
      </c>
      <c r="F1481" s="168">
        <v>117.45</v>
      </c>
    </row>
    <row r="1482" spans="1:6" x14ac:dyDescent="0.2">
      <c r="A1482" s="163" t="s">
        <v>3724</v>
      </c>
      <c r="B1482" s="164" t="s">
        <v>2510</v>
      </c>
      <c r="C1482" s="164">
        <v>14124263</v>
      </c>
      <c r="D1482" s="164" t="s">
        <v>2400</v>
      </c>
      <c r="E1482" s="164" t="s">
        <v>3699</v>
      </c>
      <c r="F1482" s="165">
        <v>117.45</v>
      </c>
    </row>
    <row r="1483" spans="1:6" x14ac:dyDescent="0.2">
      <c r="A1483" s="166" t="s">
        <v>3724</v>
      </c>
      <c r="B1483" s="167" t="s">
        <v>2510</v>
      </c>
      <c r="C1483" s="167">
        <v>14124260</v>
      </c>
      <c r="D1483" s="167" t="s">
        <v>2397</v>
      </c>
      <c r="E1483" s="167" t="s">
        <v>3699</v>
      </c>
      <c r="F1483" s="168">
        <v>117.45</v>
      </c>
    </row>
    <row r="1484" spans="1:6" x14ac:dyDescent="0.2">
      <c r="A1484" s="163" t="s">
        <v>3724</v>
      </c>
      <c r="B1484" s="164" t="s">
        <v>2510</v>
      </c>
      <c r="C1484" s="164">
        <v>14124244</v>
      </c>
      <c r="D1484" s="164" t="s">
        <v>2393</v>
      </c>
      <c r="E1484" s="164" t="s">
        <v>3699</v>
      </c>
      <c r="F1484" s="165">
        <v>117.45</v>
      </c>
    </row>
    <row r="1485" spans="1:6" x14ac:dyDescent="0.2">
      <c r="A1485" s="166" t="s">
        <v>3724</v>
      </c>
      <c r="B1485" s="167" t="s">
        <v>2510</v>
      </c>
      <c r="C1485" s="167">
        <v>14124243</v>
      </c>
      <c r="D1485" s="167" t="s">
        <v>2392</v>
      </c>
      <c r="E1485" s="167" t="s">
        <v>3699</v>
      </c>
      <c r="F1485" s="168">
        <v>117.45</v>
      </c>
    </row>
    <row r="1486" spans="1:6" x14ac:dyDescent="0.2">
      <c r="A1486" s="163" t="s">
        <v>3724</v>
      </c>
      <c r="B1486" s="164" t="s">
        <v>2510</v>
      </c>
      <c r="C1486" s="164">
        <v>14124206</v>
      </c>
      <c r="D1486" s="164" t="s">
        <v>2391</v>
      </c>
      <c r="E1486" s="164" t="s">
        <v>3699</v>
      </c>
      <c r="F1486" s="165">
        <v>117.45</v>
      </c>
    </row>
    <row r="1487" spans="1:6" x14ac:dyDescent="0.2">
      <c r="A1487" s="166" t="s">
        <v>3724</v>
      </c>
      <c r="B1487" s="167" t="s">
        <v>2510</v>
      </c>
      <c r="C1487" s="167">
        <v>14124189</v>
      </c>
      <c r="D1487" s="167" t="s">
        <v>2390</v>
      </c>
      <c r="E1487" s="167" t="s">
        <v>3699</v>
      </c>
      <c r="F1487" s="168">
        <v>117.45</v>
      </c>
    </row>
    <row r="1488" spans="1:6" x14ac:dyDescent="0.2">
      <c r="A1488" s="163" t="s">
        <v>3724</v>
      </c>
      <c r="B1488" s="164" t="s">
        <v>2510</v>
      </c>
      <c r="C1488" s="164">
        <v>14124188</v>
      </c>
      <c r="D1488" s="164" t="s">
        <v>2016</v>
      </c>
      <c r="E1488" s="164" t="s">
        <v>3699</v>
      </c>
      <c r="F1488" s="165">
        <v>117.45</v>
      </c>
    </row>
    <row r="1489" spans="1:6" x14ac:dyDescent="0.2">
      <c r="A1489" s="166" t="s">
        <v>3724</v>
      </c>
      <c r="B1489" s="167" t="s">
        <v>2510</v>
      </c>
      <c r="C1489" s="167">
        <v>14124186</v>
      </c>
      <c r="D1489" s="167" t="s">
        <v>2021</v>
      </c>
      <c r="E1489" s="167" t="s">
        <v>3699</v>
      </c>
      <c r="F1489" s="168">
        <v>117.45</v>
      </c>
    </row>
    <row r="1490" spans="1:6" x14ac:dyDescent="0.2">
      <c r="A1490" s="163" t="s">
        <v>3724</v>
      </c>
      <c r="B1490" s="164" t="s">
        <v>2510</v>
      </c>
      <c r="C1490" s="164">
        <v>14124166</v>
      </c>
      <c r="D1490" s="164" t="s">
        <v>1963</v>
      </c>
      <c r="E1490" s="164" t="s">
        <v>3699</v>
      </c>
      <c r="F1490" s="165">
        <v>117.45</v>
      </c>
    </row>
    <row r="1491" spans="1:6" x14ac:dyDescent="0.2">
      <c r="A1491" s="166" t="s">
        <v>3724</v>
      </c>
      <c r="B1491" s="167" t="s">
        <v>2510</v>
      </c>
      <c r="C1491" s="167">
        <v>14124162</v>
      </c>
      <c r="D1491" s="167" t="s">
        <v>1998</v>
      </c>
      <c r="E1491" s="167" t="s">
        <v>3699</v>
      </c>
      <c r="F1491" s="168">
        <v>117.45</v>
      </c>
    </row>
    <row r="1492" spans="1:6" x14ac:dyDescent="0.2">
      <c r="A1492" s="163" t="s">
        <v>3724</v>
      </c>
      <c r="B1492" s="164" t="s">
        <v>2510</v>
      </c>
      <c r="C1492" s="164">
        <v>14124161</v>
      </c>
      <c r="D1492" s="164" t="s">
        <v>2031</v>
      </c>
      <c r="E1492" s="164" t="s">
        <v>3699</v>
      </c>
      <c r="F1492" s="165">
        <v>117.45</v>
      </c>
    </row>
    <row r="1493" spans="1:6" x14ac:dyDescent="0.2">
      <c r="A1493" s="166" t="s">
        <v>3724</v>
      </c>
      <c r="B1493" s="167" t="s">
        <v>2510</v>
      </c>
      <c r="C1493" s="167">
        <v>14124160</v>
      </c>
      <c r="D1493" s="167" t="s">
        <v>1972</v>
      </c>
      <c r="E1493" s="167" t="s">
        <v>3699</v>
      </c>
      <c r="F1493" s="168">
        <v>117.45</v>
      </c>
    </row>
    <row r="1494" spans="1:6" x14ac:dyDescent="0.2">
      <c r="A1494" s="163" t="s">
        <v>3724</v>
      </c>
      <c r="B1494" s="164" t="s">
        <v>2510</v>
      </c>
      <c r="C1494" s="164">
        <v>14124157</v>
      </c>
      <c r="D1494" s="164" t="s">
        <v>1918</v>
      </c>
      <c r="E1494" s="164" t="s">
        <v>3699</v>
      </c>
      <c r="F1494" s="165">
        <v>117.45</v>
      </c>
    </row>
    <row r="1495" spans="1:6" x14ac:dyDescent="0.2">
      <c r="A1495" s="166" t="s">
        <v>3724</v>
      </c>
      <c r="B1495" s="167" t="s">
        <v>2510</v>
      </c>
      <c r="C1495" s="167">
        <v>14124144</v>
      </c>
      <c r="D1495" s="167" t="s">
        <v>2388</v>
      </c>
      <c r="E1495" s="167" t="s">
        <v>3699</v>
      </c>
      <c r="F1495" s="168">
        <v>117.45</v>
      </c>
    </row>
    <row r="1496" spans="1:6" x14ac:dyDescent="0.2">
      <c r="A1496" s="163" t="s">
        <v>3724</v>
      </c>
      <c r="B1496" s="164" t="s">
        <v>2510</v>
      </c>
      <c r="C1496" s="164">
        <v>14124131</v>
      </c>
      <c r="D1496" s="164" t="s">
        <v>1891</v>
      </c>
      <c r="E1496" s="164" t="s">
        <v>3699</v>
      </c>
      <c r="F1496" s="165">
        <v>117.45</v>
      </c>
    </row>
    <row r="1497" spans="1:6" x14ac:dyDescent="0.2">
      <c r="A1497" s="166" t="s">
        <v>3724</v>
      </c>
      <c r="B1497" s="167" t="s">
        <v>2510</v>
      </c>
      <c r="C1497" s="167">
        <v>14124114</v>
      </c>
      <c r="D1497" s="167" t="s">
        <v>1626</v>
      </c>
      <c r="E1497" s="167" t="s">
        <v>3699</v>
      </c>
      <c r="F1497" s="168">
        <v>117.45</v>
      </c>
    </row>
    <row r="1498" spans="1:6" x14ac:dyDescent="0.2">
      <c r="A1498" s="163" t="s">
        <v>3724</v>
      </c>
      <c r="B1498" s="164" t="s">
        <v>2510</v>
      </c>
      <c r="C1498" s="164">
        <v>14124113</v>
      </c>
      <c r="D1498" s="164" t="s">
        <v>1624</v>
      </c>
      <c r="E1498" s="164" t="s">
        <v>3699</v>
      </c>
      <c r="F1498" s="165">
        <v>117.45</v>
      </c>
    </row>
    <row r="1499" spans="1:6" x14ac:dyDescent="0.2">
      <c r="A1499" s="166" t="s">
        <v>3724</v>
      </c>
      <c r="B1499" s="167" t="s">
        <v>2510</v>
      </c>
      <c r="C1499" s="167">
        <v>14124106</v>
      </c>
      <c r="D1499" s="167" t="s">
        <v>1621</v>
      </c>
      <c r="E1499" s="167" t="s">
        <v>3699</v>
      </c>
      <c r="F1499" s="168">
        <v>117.45</v>
      </c>
    </row>
    <row r="1500" spans="1:6" x14ac:dyDescent="0.2">
      <c r="A1500" s="163" t="s">
        <v>3724</v>
      </c>
      <c r="B1500" s="164" t="s">
        <v>2510</v>
      </c>
      <c r="C1500" s="164">
        <v>14124105</v>
      </c>
      <c r="D1500" s="164" t="s">
        <v>1620</v>
      </c>
      <c r="E1500" s="164" t="s">
        <v>3699</v>
      </c>
      <c r="F1500" s="165">
        <v>117.45</v>
      </c>
    </row>
    <row r="1501" spans="1:6" x14ac:dyDescent="0.2">
      <c r="A1501" s="166" t="s">
        <v>3724</v>
      </c>
      <c r="B1501" s="167" t="s">
        <v>2510</v>
      </c>
      <c r="C1501" s="167">
        <v>14124091</v>
      </c>
      <c r="D1501" s="167" t="s">
        <v>1617</v>
      </c>
      <c r="E1501" s="167" t="s">
        <v>3699</v>
      </c>
      <c r="F1501" s="168">
        <v>117.45</v>
      </c>
    </row>
    <row r="1502" spans="1:6" x14ac:dyDescent="0.2">
      <c r="A1502" s="163" t="s">
        <v>3724</v>
      </c>
      <c r="B1502" s="164" t="s">
        <v>2510</v>
      </c>
      <c r="C1502" s="164">
        <v>14124062</v>
      </c>
      <c r="D1502" s="164" t="s">
        <v>1612</v>
      </c>
      <c r="E1502" s="164" t="s">
        <v>3699</v>
      </c>
      <c r="F1502" s="165">
        <v>117.45</v>
      </c>
    </row>
    <row r="1503" spans="1:6" x14ac:dyDescent="0.2">
      <c r="A1503" s="166" t="s">
        <v>3724</v>
      </c>
      <c r="B1503" s="167" t="s">
        <v>2510</v>
      </c>
      <c r="C1503" s="167">
        <v>14124061</v>
      </c>
      <c r="D1503" s="167" t="s">
        <v>1610</v>
      </c>
      <c r="E1503" s="167" t="s">
        <v>3699</v>
      </c>
      <c r="F1503" s="168">
        <v>117.45</v>
      </c>
    </row>
    <row r="1504" spans="1:6" x14ac:dyDescent="0.2">
      <c r="A1504" s="163" t="s">
        <v>3724</v>
      </c>
      <c r="B1504" s="164" t="s">
        <v>2510</v>
      </c>
      <c r="C1504" s="164">
        <v>14124020</v>
      </c>
      <c r="D1504" s="164" t="s">
        <v>1004</v>
      </c>
      <c r="E1504" s="164" t="s">
        <v>3699</v>
      </c>
      <c r="F1504" s="165">
        <v>117.45</v>
      </c>
    </row>
    <row r="1505" spans="1:6" x14ac:dyDescent="0.2">
      <c r="A1505" s="166" t="s">
        <v>3724</v>
      </c>
      <c r="B1505" s="167" t="s">
        <v>2510</v>
      </c>
      <c r="C1505" s="167">
        <v>14123985</v>
      </c>
      <c r="D1505" s="167" t="s">
        <v>999</v>
      </c>
      <c r="E1505" s="167" t="s">
        <v>3699</v>
      </c>
      <c r="F1505" s="168">
        <v>117.45</v>
      </c>
    </row>
    <row r="1506" spans="1:6" x14ac:dyDescent="0.2">
      <c r="A1506" s="163" t="s">
        <v>3724</v>
      </c>
      <c r="B1506" s="164" t="s">
        <v>2510</v>
      </c>
      <c r="C1506" s="164">
        <v>14123971</v>
      </c>
      <c r="D1506" s="164" t="s">
        <v>997</v>
      </c>
      <c r="E1506" s="164" t="s">
        <v>3699</v>
      </c>
      <c r="F1506" s="165">
        <v>117.45</v>
      </c>
    </row>
    <row r="1507" spans="1:6" x14ac:dyDescent="0.2">
      <c r="A1507" s="166" t="s">
        <v>3724</v>
      </c>
      <c r="B1507" s="167" t="s">
        <v>2510</v>
      </c>
      <c r="C1507" s="167">
        <v>14123950</v>
      </c>
      <c r="D1507" s="167" t="s">
        <v>995</v>
      </c>
      <c r="E1507" s="167" t="s">
        <v>3699</v>
      </c>
      <c r="F1507" s="168">
        <v>117.45</v>
      </c>
    </row>
    <row r="1508" spans="1:6" x14ac:dyDescent="0.2">
      <c r="A1508" s="163" t="s">
        <v>3724</v>
      </c>
      <c r="B1508" s="164" t="s">
        <v>2510</v>
      </c>
      <c r="C1508" s="164">
        <v>14123894</v>
      </c>
      <c r="D1508" s="164" t="s">
        <v>982</v>
      </c>
      <c r="E1508" s="164" t="s">
        <v>3699</v>
      </c>
      <c r="F1508" s="165">
        <v>117.45</v>
      </c>
    </row>
    <row r="1509" spans="1:6" x14ac:dyDescent="0.2">
      <c r="A1509" s="166" t="s">
        <v>3724</v>
      </c>
      <c r="B1509" s="167" t="s">
        <v>2510</v>
      </c>
      <c r="C1509" s="167">
        <v>14123893</v>
      </c>
      <c r="D1509" s="167" t="s">
        <v>980</v>
      </c>
      <c r="E1509" s="167" t="s">
        <v>3699</v>
      </c>
      <c r="F1509" s="168">
        <v>117.45</v>
      </c>
    </row>
    <row r="1510" spans="1:6" x14ac:dyDescent="0.2">
      <c r="A1510" s="163" t="s">
        <v>3724</v>
      </c>
      <c r="B1510" s="164" t="s">
        <v>2510</v>
      </c>
      <c r="C1510" s="164">
        <v>14123855</v>
      </c>
      <c r="D1510" s="164" t="s">
        <v>976</v>
      </c>
      <c r="E1510" s="164" t="s">
        <v>3699</v>
      </c>
      <c r="F1510" s="165">
        <v>117.45</v>
      </c>
    </row>
    <row r="1511" spans="1:6" x14ac:dyDescent="0.2">
      <c r="A1511" s="166" t="s">
        <v>3724</v>
      </c>
      <c r="B1511" s="167" t="s">
        <v>2510</v>
      </c>
      <c r="C1511" s="167">
        <v>14123846</v>
      </c>
      <c r="D1511" s="167" t="s">
        <v>975</v>
      </c>
      <c r="E1511" s="167" t="s">
        <v>3699</v>
      </c>
      <c r="F1511" s="168">
        <v>117.45</v>
      </c>
    </row>
    <row r="1512" spans="1:6" x14ac:dyDescent="0.2">
      <c r="A1512" s="163" t="s">
        <v>3724</v>
      </c>
      <c r="B1512" s="164" t="s">
        <v>2510</v>
      </c>
      <c r="C1512" s="164">
        <v>14123845</v>
      </c>
      <c r="D1512" s="164" t="s">
        <v>974</v>
      </c>
      <c r="E1512" s="164" t="s">
        <v>3699</v>
      </c>
      <c r="F1512" s="165">
        <v>117.45</v>
      </c>
    </row>
    <row r="1513" spans="1:6" x14ac:dyDescent="0.2">
      <c r="A1513" s="166" t="s">
        <v>3724</v>
      </c>
      <c r="B1513" s="167" t="s">
        <v>2510</v>
      </c>
      <c r="C1513" s="167">
        <v>14123843</v>
      </c>
      <c r="D1513" s="167" t="s">
        <v>971</v>
      </c>
      <c r="E1513" s="167" t="s">
        <v>3699</v>
      </c>
      <c r="F1513" s="168">
        <v>117.45</v>
      </c>
    </row>
    <row r="1514" spans="1:6" x14ac:dyDescent="0.2">
      <c r="A1514" s="163" t="s">
        <v>3724</v>
      </c>
      <c r="B1514" s="164" t="s">
        <v>2510</v>
      </c>
      <c r="C1514" s="164">
        <v>14123789</v>
      </c>
      <c r="D1514" s="164" t="s">
        <v>965</v>
      </c>
      <c r="E1514" s="164" t="s">
        <v>3699</v>
      </c>
      <c r="F1514" s="165">
        <v>117.45</v>
      </c>
    </row>
    <row r="1515" spans="1:6" x14ac:dyDescent="0.2">
      <c r="A1515" s="166" t="s">
        <v>3724</v>
      </c>
      <c r="B1515" s="167" t="s">
        <v>2510</v>
      </c>
      <c r="C1515" s="167">
        <v>14123771</v>
      </c>
      <c r="D1515" s="167" t="s">
        <v>962</v>
      </c>
      <c r="E1515" s="167" t="s">
        <v>3699</v>
      </c>
      <c r="F1515" s="168">
        <v>117.45</v>
      </c>
    </row>
    <row r="1516" spans="1:6" x14ac:dyDescent="0.2">
      <c r="A1516" s="163" t="s">
        <v>3724</v>
      </c>
      <c r="B1516" s="164" t="s">
        <v>2510</v>
      </c>
      <c r="C1516" s="164">
        <v>14123725</v>
      </c>
      <c r="D1516" s="164" t="s">
        <v>958</v>
      </c>
      <c r="E1516" s="164" t="s">
        <v>3699</v>
      </c>
      <c r="F1516" s="165">
        <v>117.45</v>
      </c>
    </row>
    <row r="1517" spans="1:6" x14ac:dyDescent="0.2">
      <c r="A1517" s="166" t="s">
        <v>3724</v>
      </c>
      <c r="B1517" s="167" t="s">
        <v>2510</v>
      </c>
      <c r="C1517" s="167">
        <v>14123720</v>
      </c>
      <c r="D1517" s="167" t="s">
        <v>957</v>
      </c>
      <c r="E1517" s="167" t="s">
        <v>3699</v>
      </c>
      <c r="F1517" s="168">
        <v>117.45</v>
      </c>
    </row>
    <row r="1518" spans="1:6" x14ac:dyDescent="0.2">
      <c r="A1518" s="163" t="s">
        <v>3724</v>
      </c>
      <c r="B1518" s="164" t="s">
        <v>2510</v>
      </c>
      <c r="C1518" s="164">
        <v>14123719</v>
      </c>
      <c r="D1518" s="164" t="s">
        <v>955</v>
      </c>
      <c r="E1518" s="164" t="s">
        <v>3699</v>
      </c>
      <c r="F1518" s="165">
        <v>117.45</v>
      </c>
    </row>
    <row r="1519" spans="1:6" x14ac:dyDescent="0.2">
      <c r="A1519" s="166" t="s">
        <v>3724</v>
      </c>
      <c r="B1519" s="167" t="s">
        <v>2510</v>
      </c>
      <c r="C1519" s="167">
        <v>14123708</v>
      </c>
      <c r="D1519" s="167" t="s">
        <v>949</v>
      </c>
      <c r="E1519" s="167" t="s">
        <v>3699</v>
      </c>
      <c r="F1519" s="168">
        <v>117.45</v>
      </c>
    </row>
    <row r="1520" spans="1:6" x14ac:dyDescent="0.2">
      <c r="A1520" s="163" t="s">
        <v>3724</v>
      </c>
      <c r="B1520" s="164" t="s">
        <v>2510</v>
      </c>
      <c r="C1520" s="164">
        <v>14123704</v>
      </c>
      <c r="D1520" s="164" t="s">
        <v>946</v>
      </c>
      <c r="E1520" s="164" t="s">
        <v>3699</v>
      </c>
      <c r="F1520" s="165">
        <v>117.45</v>
      </c>
    </row>
    <row r="1521" spans="1:6" x14ac:dyDescent="0.2">
      <c r="A1521" s="166" t="s">
        <v>3724</v>
      </c>
      <c r="B1521" s="167" t="s">
        <v>2510</v>
      </c>
      <c r="C1521" s="167">
        <v>14123702</v>
      </c>
      <c r="D1521" s="167" t="s">
        <v>944</v>
      </c>
      <c r="E1521" s="167" t="s">
        <v>3699</v>
      </c>
      <c r="F1521" s="168">
        <v>117.45</v>
      </c>
    </row>
    <row r="1522" spans="1:6" x14ac:dyDescent="0.2">
      <c r="A1522" s="163" t="s">
        <v>3724</v>
      </c>
      <c r="B1522" s="164" t="s">
        <v>2510</v>
      </c>
      <c r="C1522" s="164">
        <v>14123656</v>
      </c>
      <c r="D1522" s="164" t="s">
        <v>940</v>
      </c>
      <c r="E1522" s="164" t="s">
        <v>3699</v>
      </c>
      <c r="F1522" s="165">
        <v>117.45</v>
      </c>
    </row>
    <row r="1523" spans="1:6" x14ac:dyDescent="0.2">
      <c r="A1523" s="166" t="s">
        <v>3724</v>
      </c>
      <c r="B1523" s="167" t="s">
        <v>2510</v>
      </c>
      <c r="C1523" s="167">
        <v>14123654</v>
      </c>
      <c r="D1523" s="167" t="s">
        <v>938</v>
      </c>
      <c r="E1523" s="167" t="s">
        <v>3699</v>
      </c>
      <c r="F1523" s="168">
        <v>117.45</v>
      </c>
    </row>
    <row r="1524" spans="1:6" x14ac:dyDescent="0.2">
      <c r="A1524" s="163" t="s">
        <v>3724</v>
      </c>
      <c r="B1524" s="164" t="s">
        <v>2510</v>
      </c>
      <c r="C1524" s="164">
        <v>14123652</v>
      </c>
      <c r="D1524" s="164" t="s">
        <v>910</v>
      </c>
      <c r="E1524" s="164" t="s">
        <v>3699</v>
      </c>
      <c r="F1524" s="165">
        <v>117.45</v>
      </c>
    </row>
    <row r="1525" spans="1:6" x14ac:dyDescent="0.2">
      <c r="A1525" s="166" t="s">
        <v>3724</v>
      </c>
      <c r="B1525" s="167" t="s">
        <v>2510</v>
      </c>
      <c r="C1525" s="167">
        <v>14123651</v>
      </c>
      <c r="D1525" s="167" t="s">
        <v>909</v>
      </c>
      <c r="E1525" s="167" t="s">
        <v>3699</v>
      </c>
      <c r="F1525" s="168">
        <v>117.45</v>
      </c>
    </row>
    <row r="1526" spans="1:6" x14ac:dyDescent="0.2">
      <c r="A1526" s="163" t="s">
        <v>3724</v>
      </c>
      <c r="B1526" s="164" t="s">
        <v>2510</v>
      </c>
      <c r="C1526" s="164">
        <v>14123642</v>
      </c>
      <c r="D1526" s="164" t="s">
        <v>906</v>
      </c>
      <c r="E1526" s="164" t="s">
        <v>3699</v>
      </c>
      <c r="F1526" s="165">
        <v>117.45</v>
      </c>
    </row>
    <row r="1527" spans="1:6" x14ac:dyDescent="0.2">
      <c r="A1527" s="166" t="s">
        <v>3724</v>
      </c>
      <c r="B1527" s="167" t="s">
        <v>2510</v>
      </c>
      <c r="C1527" s="167">
        <v>14123640</v>
      </c>
      <c r="D1527" s="167" t="s">
        <v>905</v>
      </c>
      <c r="E1527" s="167" t="s">
        <v>3699</v>
      </c>
      <c r="F1527" s="168">
        <v>117.45</v>
      </c>
    </row>
    <row r="1528" spans="1:6" x14ac:dyDescent="0.2">
      <c r="A1528" s="163" t="s">
        <v>3724</v>
      </c>
      <c r="B1528" s="164" t="s">
        <v>2510</v>
      </c>
      <c r="C1528" s="164">
        <v>14123634</v>
      </c>
      <c r="D1528" s="164" t="s">
        <v>902</v>
      </c>
      <c r="E1528" s="164" t="s">
        <v>3699</v>
      </c>
      <c r="F1528" s="165">
        <v>117.45</v>
      </c>
    </row>
    <row r="1529" spans="1:6" x14ac:dyDescent="0.2">
      <c r="A1529" s="166" t="s">
        <v>3724</v>
      </c>
      <c r="B1529" s="167" t="s">
        <v>2510</v>
      </c>
      <c r="C1529" s="167">
        <v>14123599</v>
      </c>
      <c r="D1529" s="167" t="s">
        <v>555</v>
      </c>
      <c r="E1529" s="167" t="s">
        <v>3699</v>
      </c>
      <c r="F1529" s="168">
        <v>117.45</v>
      </c>
    </row>
    <row r="1530" spans="1:6" x14ac:dyDescent="0.2">
      <c r="A1530" s="163" t="s">
        <v>3724</v>
      </c>
      <c r="B1530" s="164" t="s">
        <v>2510</v>
      </c>
      <c r="C1530" s="164">
        <v>14123573</v>
      </c>
      <c r="D1530" s="164" t="s">
        <v>552</v>
      </c>
      <c r="E1530" s="164" t="s">
        <v>3699</v>
      </c>
      <c r="F1530" s="165">
        <v>117.45</v>
      </c>
    </row>
    <row r="1531" spans="1:6" x14ac:dyDescent="0.2">
      <c r="A1531" s="166" t="s">
        <v>3724</v>
      </c>
      <c r="B1531" s="167" t="s">
        <v>2510</v>
      </c>
      <c r="C1531" s="167">
        <v>14123572</v>
      </c>
      <c r="D1531" s="167" t="s">
        <v>551</v>
      </c>
      <c r="E1531" s="167" t="s">
        <v>3699</v>
      </c>
      <c r="F1531" s="168">
        <v>117.45</v>
      </c>
    </row>
    <row r="1532" spans="1:6" x14ac:dyDescent="0.2">
      <c r="A1532" s="163" t="s">
        <v>3724</v>
      </c>
      <c r="B1532" s="164" t="s">
        <v>2510</v>
      </c>
      <c r="C1532" s="164">
        <v>14123570</v>
      </c>
      <c r="D1532" s="164" t="s">
        <v>549</v>
      </c>
      <c r="E1532" s="164" t="s">
        <v>3699</v>
      </c>
      <c r="F1532" s="165">
        <v>117.45</v>
      </c>
    </row>
    <row r="1533" spans="1:6" x14ac:dyDescent="0.2">
      <c r="A1533" s="166" t="s">
        <v>3724</v>
      </c>
      <c r="B1533" s="167" t="s">
        <v>2510</v>
      </c>
      <c r="C1533" s="167">
        <v>14123568</v>
      </c>
      <c r="D1533" s="167" t="s">
        <v>547</v>
      </c>
      <c r="E1533" s="167" t="s">
        <v>3699</v>
      </c>
      <c r="F1533" s="168">
        <v>117.45</v>
      </c>
    </row>
    <row r="1534" spans="1:6" x14ac:dyDescent="0.2">
      <c r="A1534" s="163" t="s">
        <v>3724</v>
      </c>
      <c r="B1534" s="164" t="s">
        <v>2510</v>
      </c>
      <c r="C1534" s="164">
        <v>14123562</v>
      </c>
      <c r="D1534" s="164" t="s">
        <v>546</v>
      </c>
      <c r="E1534" s="164" t="s">
        <v>3699</v>
      </c>
      <c r="F1534" s="165">
        <v>117.45</v>
      </c>
    </row>
    <row r="1535" spans="1:6" x14ac:dyDescent="0.2">
      <c r="A1535" s="166" t="s">
        <v>3724</v>
      </c>
      <c r="B1535" s="167" t="s">
        <v>2510</v>
      </c>
      <c r="C1535" s="167">
        <v>14123528</v>
      </c>
      <c r="D1535" s="167" t="s">
        <v>540</v>
      </c>
      <c r="E1535" s="167" t="s">
        <v>3699</v>
      </c>
      <c r="F1535" s="168">
        <v>117.45</v>
      </c>
    </row>
    <row r="1536" spans="1:6" x14ac:dyDescent="0.2">
      <c r="A1536" s="163" t="s">
        <v>3724</v>
      </c>
      <c r="B1536" s="164" t="s">
        <v>2510</v>
      </c>
      <c r="C1536" s="164">
        <v>14123519</v>
      </c>
      <c r="D1536" s="164" t="s">
        <v>535</v>
      </c>
      <c r="E1536" s="164" t="s">
        <v>3699</v>
      </c>
      <c r="F1536" s="165">
        <v>117.45</v>
      </c>
    </row>
    <row r="1537" spans="1:6" x14ac:dyDescent="0.2">
      <c r="A1537" s="166" t="s">
        <v>3724</v>
      </c>
      <c r="B1537" s="167" t="s">
        <v>2510</v>
      </c>
      <c r="C1537" s="167">
        <v>14123514</v>
      </c>
      <c r="D1537" s="167" t="s">
        <v>533</v>
      </c>
      <c r="E1537" s="167" t="s">
        <v>3699</v>
      </c>
      <c r="F1537" s="168">
        <v>117.45</v>
      </c>
    </row>
    <row r="1538" spans="1:6" x14ac:dyDescent="0.2">
      <c r="A1538" s="163" t="s">
        <v>3724</v>
      </c>
      <c r="B1538" s="164" t="s">
        <v>2510</v>
      </c>
      <c r="C1538" s="164">
        <v>14123489</v>
      </c>
      <c r="D1538" s="164" t="s">
        <v>528</v>
      </c>
      <c r="E1538" s="164" t="s">
        <v>3699</v>
      </c>
      <c r="F1538" s="165">
        <v>117.45</v>
      </c>
    </row>
    <row r="1539" spans="1:6" x14ac:dyDescent="0.2">
      <c r="A1539" s="166" t="s">
        <v>3724</v>
      </c>
      <c r="B1539" s="167" t="s">
        <v>2510</v>
      </c>
      <c r="C1539" s="167">
        <v>14123461</v>
      </c>
      <c r="D1539" s="167" t="s">
        <v>523</v>
      </c>
      <c r="E1539" s="167" t="s">
        <v>3699</v>
      </c>
      <c r="F1539" s="168">
        <v>117.45</v>
      </c>
    </row>
    <row r="1540" spans="1:6" x14ac:dyDescent="0.2">
      <c r="A1540" s="163" t="s">
        <v>3724</v>
      </c>
      <c r="B1540" s="164" t="s">
        <v>2510</v>
      </c>
      <c r="C1540" s="164">
        <v>14123460</v>
      </c>
      <c r="D1540" s="164" t="s">
        <v>522</v>
      </c>
      <c r="E1540" s="164" t="s">
        <v>3699</v>
      </c>
      <c r="F1540" s="165">
        <v>117.45</v>
      </c>
    </row>
    <row r="1541" spans="1:6" x14ac:dyDescent="0.2">
      <c r="A1541" s="166" t="s">
        <v>3724</v>
      </c>
      <c r="B1541" s="167" t="s">
        <v>2510</v>
      </c>
      <c r="C1541" s="167">
        <v>14123447</v>
      </c>
      <c r="D1541" s="167" t="s">
        <v>520</v>
      </c>
      <c r="E1541" s="167" t="s">
        <v>3699</v>
      </c>
      <c r="F1541" s="168">
        <v>117.45</v>
      </c>
    </row>
    <row r="1542" spans="1:6" x14ac:dyDescent="0.2">
      <c r="A1542" s="163" t="s">
        <v>3724</v>
      </c>
      <c r="B1542" s="164" t="s">
        <v>2510</v>
      </c>
      <c r="C1542" s="164">
        <v>14123445</v>
      </c>
      <c r="D1542" s="164" t="s">
        <v>518</v>
      </c>
      <c r="E1542" s="164" t="s">
        <v>3699</v>
      </c>
      <c r="F1542" s="165">
        <v>117.45</v>
      </c>
    </row>
    <row r="1543" spans="1:6" x14ac:dyDescent="0.2">
      <c r="A1543" s="166" t="s">
        <v>3724</v>
      </c>
      <c r="B1543" s="167" t="s">
        <v>2510</v>
      </c>
      <c r="C1543" s="167">
        <v>14123377</v>
      </c>
      <c r="D1543" s="167" t="s">
        <v>516</v>
      </c>
      <c r="E1543" s="167" t="s">
        <v>3699</v>
      </c>
      <c r="F1543" s="168">
        <v>117.45</v>
      </c>
    </row>
    <row r="1544" spans="1:6" x14ac:dyDescent="0.2">
      <c r="A1544" s="163" t="s">
        <v>3724</v>
      </c>
      <c r="B1544" s="164" t="s">
        <v>2510</v>
      </c>
      <c r="C1544" s="164">
        <v>14123336</v>
      </c>
      <c r="D1544" s="164" t="s">
        <v>514</v>
      </c>
      <c r="E1544" s="164" t="s">
        <v>3699</v>
      </c>
      <c r="F1544" s="165">
        <v>117.45</v>
      </c>
    </row>
    <row r="1545" spans="1:6" x14ac:dyDescent="0.2">
      <c r="A1545" s="166" t="s">
        <v>3724</v>
      </c>
      <c r="B1545" s="167" t="s">
        <v>2510</v>
      </c>
      <c r="C1545" s="167">
        <v>14123332</v>
      </c>
      <c r="D1545" s="167" t="s">
        <v>512</v>
      </c>
      <c r="E1545" s="167" t="s">
        <v>3699</v>
      </c>
      <c r="F1545" s="168">
        <v>110.84</v>
      </c>
    </row>
    <row r="1546" spans="1:6" x14ac:dyDescent="0.2">
      <c r="A1546" s="163" t="s">
        <v>3724</v>
      </c>
      <c r="B1546" s="164" t="s">
        <v>2510</v>
      </c>
      <c r="C1546" s="164">
        <v>14123331</v>
      </c>
      <c r="D1546" s="164" t="s">
        <v>511</v>
      </c>
      <c r="E1546" s="164" t="s">
        <v>3699</v>
      </c>
      <c r="F1546" s="165">
        <v>117.45</v>
      </c>
    </row>
    <row r="1547" spans="1:6" x14ac:dyDescent="0.2">
      <c r="A1547" s="166" t="s">
        <v>3724</v>
      </c>
      <c r="B1547" s="167" t="s">
        <v>2510</v>
      </c>
      <c r="C1547" s="167">
        <v>14123277</v>
      </c>
      <c r="D1547" s="167" t="s">
        <v>505</v>
      </c>
      <c r="E1547" s="167" t="s">
        <v>3699</v>
      </c>
      <c r="F1547" s="168">
        <v>117.45</v>
      </c>
    </row>
    <row r="1548" spans="1:6" x14ac:dyDescent="0.2">
      <c r="A1548" s="163" t="s">
        <v>3724</v>
      </c>
      <c r="B1548" s="164" t="s">
        <v>2510</v>
      </c>
      <c r="C1548" s="164">
        <v>14123273</v>
      </c>
      <c r="D1548" s="164" t="s">
        <v>501</v>
      </c>
      <c r="E1548" s="164" t="s">
        <v>3699</v>
      </c>
      <c r="F1548" s="165">
        <v>117.45</v>
      </c>
    </row>
    <row r="1549" spans="1:6" x14ac:dyDescent="0.2">
      <c r="A1549" s="166" t="s">
        <v>3724</v>
      </c>
      <c r="B1549" s="167" t="s">
        <v>2510</v>
      </c>
      <c r="C1549" s="167">
        <v>14123254</v>
      </c>
      <c r="D1549" s="167" t="s">
        <v>499</v>
      </c>
      <c r="E1549" s="167" t="s">
        <v>3699</v>
      </c>
      <c r="F1549" s="168">
        <v>117.45</v>
      </c>
    </row>
    <row r="1550" spans="1:6" x14ac:dyDescent="0.2">
      <c r="A1550" s="163" t="s">
        <v>3724</v>
      </c>
      <c r="B1550" s="164" t="s">
        <v>2510</v>
      </c>
      <c r="C1550" s="164">
        <v>14123238</v>
      </c>
      <c r="D1550" s="164" t="s">
        <v>495</v>
      </c>
      <c r="E1550" s="164" t="s">
        <v>3699</v>
      </c>
      <c r="F1550" s="165">
        <v>117.45</v>
      </c>
    </row>
    <row r="1551" spans="1:6" x14ac:dyDescent="0.2">
      <c r="A1551" s="166" t="s">
        <v>3724</v>
      </c>
      <c r="B1551" s="167" t="s">
        <v>2510</v>
      </c>
      <c r="C1551" s="167">
        <v>14123193</v>
      </c>
      <c r="D1551" s="167" t="s">
        <v>492</v>
      </c>
      <c r="E1551" s="167" t="s">
        <v>3699</v>
      </c>
      <c r="F1551" s="168">
        <v>117.45</v>
      </c>
    </row>
    <row r="1552" spans="1:6" x14ac:dyDescent="0.2">
      <c r="A1552" s="163" t="s">
        <v>3724</v>
      </c>
      <c r="B1552" s="164" t="s">
        <v>2510</v>
      </c>
      <c r="C1552" s="164">
        <v>14123145</v>
      </c>
      <c r="D1552" s="164" t="s">
        <v>490</v>
      </c>
      <c r="E1552" s="164" t="s">
        <v>3699</v>
      </c>
      <c r="F1552" s="165">
        <v>110.84</v>
      </c>
    </row>
    <row r="1553" spans="1:6" x14ac:dyDescent="0.2">
      <c r="A1553" s="166" t="s">
        <v>3724</v>
      </c>
      <c r="B1553" s="167" t="s">
        <v>2510</v>
      </c>
      <c r="C1553" s="167">
        <v>14123107</v>
      </c>
      <c r="D1553" s="167" t="s">
        <v>487</v>
      </c>
      <c r="E1553" s="167" t="s">
        <v>3699</v>
      </c>
      <c r="F1553" s="168">
        <v>117.45</v>
      </c>
    </row>
    <row r="1554" spans="1:6" x14ac:dyDescent="0.2">
      <c r="A1554" s="163" t="s">
        <v>3724</v>
      </c>
      <c r="B1554" s="164" t="s">
        <v>2510</v>
      </c>
      <c r="C1554" s="164">
        <v>14123081</v>
      </c>
      <c r="D1554" s="164" t="s">
        <v>483</v>
      </c>
      <c r="E1554" s="164" t="s">
        <v>3699</v>
      </c>
      <c r="F1554" s="165">
        <v>117.45</v>
      </c>
    </row>
    <row r="1555" spans="1:6" x14ac:dyDescent="0.2">
      <c r="A1555" s="166" t="s">
        <v>3724</v>
      </c>
      <c r="B1555" s="167" t="s">
        <v>2510</v>
      </c>
      <c r="C1555" s="167">
        <v>14123080</v>
      </c>
      <c r="D1555" s="167" t="s">
        <v>482</v>
      </c>
      <c r="E1555" s="167" t="s">
        <v>3699</v>
      </c>
      <c r="F1555" s="168">
        <v>117.45</v>
      </c>
    </row>
    <row r="1556" spans="1:6" x14ac:dyDescent="0.2">
      <c r="A1556" s="163" t="s">
        <v>3724</v>
      </c>
      <c r="B1556" s="164" t="s">
        <v>2510</v>
      </c>
      <c r="C1556" s="164">
        <v>14123066</v>
      </c>
      <c r="D1556" s="164" t="s">
        <v>481</v>
      </c>
      <c r="E1556" s="164" t="s">
        <v>3699</v>
      </c>
      <c r="F1556" s="165">
        <v>117.45</v>
      </c>
    </row>
    <row r="1557" spans="1:6" x14ac:dyDescent="0.2">
      <c r="A1557" s="166" t="s">
        <v>3724</v>
      </c>
      <c r="B1557" s="167" t="s">
        <v>2510</v>
      </c>
      <c r="C1557" s="167">
        <v>14123063</v>
      </c>
      <c r="D1557" s="167" t="s">
        <v>479</v>
      </c>
      <c r="E1557" s="167" t="s">
        <v>3699</v>
      </c>
      <c r="F1557" s="168">
        <v>117.45</v>
      </c>
    </row>
    <row r="1558" spans="1:6" x14ac:dyDescent="0.2">
      <c r="A1558" s="163" t="s">
        <v>3724</v>
      </c>
      <c r="B1558" s="164" t="s">
        <v>2510</v>
      </c>
      <c r="C1558" s="164">
        <v>14123010</v>
      </c>
      <c r="D1558" s="164" t="s">
        <v>477</v>
      </c>
      <c r="E1558" s="164" t="s">
        <v>3699</v>
      </c>
      <c r="F1558" s="165">
        <v>117.45</v>
      </c>
    </row>
    <row r="1559" spans="1:6" x14ac:dyDescent="0.2">
      <c r="A1559" s="166" t="s">
        <v>3724</v>
      </c>
      <c r="B1559" s="167" t="s">
        <v>2510</v>
      </c>
      <c r="C1559" s="167">
        <v>14122928</v>
      </c>
      <c r="D1559" s="167" t="s">
        <v>469</v>
      </c>
      <c r="E1559" s="167" t="s">
        <v>3699</v>
      </c>
      <c r="F1559" s="168">
        <v>117.45</v>
      </c>
    </row>
    <row r="1560" spans="1:6" x14ac:dyDescent="0.2">
      <c r="A1560" s="163" t="s">
        <v>3724</v>
      </c>
      <c r="B1560" s="164" t="s">
        <v>2510</v>
      </c>
      <c r="C1560" s="164">
        <v>14122927</v>
      </c>
      <c r="D1560" s="164" t="s">
        <v>468</v>
      </c>
      <c r="E1560" s="164" t="s">
        <v>3699</v>
      </c>
      <c r="F1560" s="165">
        <v>117.45</v>
      </c>
    </row>
    <row r="1561" spans="1:6" x14ac:dyDescent="0.2">
      <c r="A1561" s="166" t="s">
        <v>3724</v>
      </c>
      <c r="B1561" s="167" t="s">
        <v>2510</v>
      </c>
      <c r="C1561" s="167">
        <v>14122925</v>
      </c>
      <c r="D1561" s="167" t="s">
        <v>467</v>
      </c>
      <c r="E1561" s="167" t="s">
        <v>3699</v>
      </c>
      <c r="F1561" s="168">
        <v>117.45</v>
      </c>
    </row>
    <row r="1562" spans="1:6" x14ac:dyDescent="0.2">
      <c r="A1562" s="163" t="s">
        <v>3724</v>
      </c>
      <c r="B1562" s="164" t="s">
        <v>2510</v>
      </c>
      <c r="C1562" s="164">
        <v>14122904</v>
      </c>
      <c r="D1562" s="164" t="s">
        <v>464</v>
      </c>
      <c r="E1562" s="164" t="s">
        <v>3699</v>
      </c>
      <c r="F1562" s="165">
        <v>117.45</v>
      </c>
    </row>
    <row r="1563" spans="1:6" x14ac:dyDescent="0.2">
      <c r="A1563" s="166" t="s">
        <v>3724</v>
      </c>
      <c r="B1563" s="167" t="s">
        <v>2510</v>
      </c>
      <c r="C1563" s="167">
        <v>14122871</v>
      </c>
      <c r="D1563" s="167" t="s">
        <v>459</v>
      </c>
      <c r="E1563" s="167" t="s">
        <v>3699</v>
      </c>
      <c r="F1563" s="168">
        <v>117.45</v>
      </c>
    </row>
    <row r="1564" spans="1:6" x14ac:dyDescent="0.2">
      <c r="A1564" s="163" t="s">
        <v>3724</v>
      </c>
      <c r="B1564" s="164" t="s">
        <v>2510</v>
      </c>
      <c r="C1564" s="164">
        <v>14122854</v>
      </c>
      <c r="D1564" s="164" t="s">
        <v>456</v>
      </c>
      <c r="E1564" s="164" t="s">
        <v>3699</v>
      </c>
      <c r="F1564" s="165">
        <v>117.45</v>
      </c>
    </row>
    <row r="1565" spans="1:6" x14ac:dyDescent="0.2">
      <c r="A1565" s="166" t="s">
        <v>3724</v>
      </c>
      <c r="B1565" s="167" t="s">
        <v>2510</v>
      </c>
      <c r="C1565" s="167">
        <v>14122831</v>
      </c>
      <c r="D1565" s="167" t="s">
        <v>452</v>
      </c>
      <c r="E1565" s="167" t="s">
        <v>3699</v>
      </c>
      <c r="F1565" s="168">
        <v>117.45</v>
      </c>
    </row>
    <row r="1566" spans="1:6" x14ac:dyDescent="0.2">
      <c r="A1566" s="163" t="s">
        <v>3724</v>
      </c>
      <c r="B1566" s="164" t="s">
        <v>2510</v>
      </c>
      <c r="C1566" s="164">
        <v>14122775</v>
      </c>
      <c r="D1566" s="164" t="s">
        <v>450</v>
      </c>
      <c r="E1566" s="164" t="s">
        <v>3699</v>
      </c>
      <c r="F1566" s="165">
        <v>117.45</v>
      </c>
    </row>
    <row r="1567" spans="1:6" x14ac:dyDescent="0.2">
      <c r="A1567" s="166" t="s">
        <v>3724</v>
      </c>
      <c r="B1567" s="167" t="s">
        <v>2510</v>
      </c>
      <c r="C1567" s="167">
        <v>14122772</v>
      </c>
      <c r="D1567" s="167" t="s">
        <v>448</v>
      </c>
      <c r="E1567" s="167" t="s">
        <v>3699</v>
      </c>
      <c r="F1567" s="168">
        <v>117.45</v>
      </c>
    </row>
    <row r="1568" spans="1:6" x14ac:dyDescent="0.2">
      <c r="A1568" s="163" t="s">
        <v>3724</v>
      </c>
      <c r="B1568" s="164" t="s">
        <v>2510</v>
      </c>
      <c r="C1568" s="164">
        <v>14122758</v>
      </c>
      <c r="D1568" s="164" t="s">
        <v>447</v>
      </c>
      <c r="E1568" s="164" t="s">
        <v>3699</v>
      </c>
      <c r="F1568" s="165">
        <v>117.45</v>
      </c>
    </row>
    <row r="1569" spans="1:6" x14ac:dyDescent="0.2">
      <c r="A1569" s="166" t="s">
        <v>3724</v>
      </c>
      <c r="B1569" s="167" t="s">
        <v>2510</v>
      </c>
      <c r="C1569" s="167">
        <v>14122687</v>
      </c>
      <c r="D1569" s="167" t="s">
        <v>443</v>
      </c>
      <c r="E1569" s="167" t="s">
        <v>3699</v>
      </c>
      <c r="F1569" s="168">
        <v>117.45</v>
      </c>
    </row>
    <row r="1570" spans="1:6" x14ac:dyDescent="0.2">
      <c r="A1570" s="163" t="s">
        <v>3724</v>
      </c>
      <c r="B1570" s="164" t="s">
        <v>2510</v>
      </c>
      <c r="C1570" s="164">
        <v>14122685</v>
      </c>
      <c r="D1570" s="164" t="s">
        <v>442</v>
      </c>
      <c r="E1570" s="164" t="s">
        <v>3699</v>
      </c>
      <c r="F1570" s="165">
        <v>117.45</v>
      </c>
    </row>
    <row r="1571" spans="1:6" x14ac:dyDescent="0.2">
      <c r="A1571" s="166" t="s">
        <v>3724</v>
      </c>
      <c r="B1571" s="167" t="s">
        <v>2510</v>
      </c>
      <c r="C1571" s="167">
        <v>14122683</v>
      </c>
      <c r="D1571" s="167" t="s">
        <v>441</v>
      </c>
      <c r="E1571" s="167" t="s">
        <v>3699</v>
      </c>
      <c r="F1571" s="168">
        <v>117.45</v>
      </c>
    </row>
    <row r="1572" spans="1:6" x14ac:dyDescent="0.2">
      <c r="A1572" s="163" t="s">
        <v>3724</v>
      </c>
      <c r="B1572" s="164" t="s">
        <v>2510</v>
      </c>
      <c r="C1572" s="164">
        <v>14122618</v>
      </c>
      <c r="D1572" s="164" t="s">
        <v>436</v>
      </c>
      <c r="E1572" s="164" t="s">
        <v>3699</v>
      </c>
      <c r="F1572" s="165">
        <v>117.45</v>
      </c>
    </row>
    <row r="1573" spans="1:6" x14ac:dyDescent="0.2">
      <c r="A1573" s="166" t="s">
        <v>3724</v>
      </c>
      <c r="B1573" s="167" t="s">
        <v>2510</v>
      </c>
      <c r="C1573" s="167">
        <v>14122617</v>
      </c>
      <c r="D1573" s="167" t="s">
        <v>435</v>
      </c>
      <c r="E1573" s="167" t="s">
        <v>3699</v>
      </c>
      <c r="F1573" s="168">
        <v>117.45</v>
      </c>
    </row>
    <row r="1574" spans="1:6" x14ac:dyDescent="0.2">
      <c r="A1574" s="163" t="s">
        <v>3724</v>
      </c>
      <c r="B1574" s="164" t="s">
        <v>2510</v>
      </c>
      <c r="C1574" s="164">
        <v>14122510</v>
      </c>
      <c r="D1574" s="164" t="s">
        <v>430</v>
      </c>
      <c r="E1574" s="164" t="s">
        <v>3699</v>
      </c>
      <c r="F1574" s="165">
        <v>117.45</v>
      </c>
    </row>
    <row r="1575" spans="1:6" x14ac:dyDescent="0.2">
      <c r="A1575" s="166" t="s">
        <v>3724</v>
      </c>
      <c r="B1575" s="167" t="s">
        <v>2510</v>
      </c>
      <c r="C1575" s="167">
        <v>14122481</v>
      </c>
      <c r="D1575" s="167" t="s">
        <v>426</v>
      </c>
      <c r="E1575" s="167" t="s">
        <v>3699</v>
      </c>
      <c r="F1575" s="168">
        <v>117.45</v>
      </c>
    </row>
    <row r="1576" spans="1:6" x14ac:dyDescent="0.2">
      <c r="A1576" s="163" t="s">
        <v>3724</v>
      </c>
      <c r="B1576" s="164" t="s">
        <v>2510</v>
      </c>
      <c r="C1576" s="164">
        <v>14122431</v>
      </c>
      <c r="D1576" s="164" t="s">
        <v>425</v>
      </c>
      <c r="E1576" s="164" t="s">
        <v>3699</v>
      </c>
      <c r="F1576" s="165">
        <v>120.75</v>
      </c>
    </row>
    <row r="1577" spans="1:6" x14ac:dyDescent="0.2">
      <c r="A1577" s="166" t="s">
        <v>3724</v>
      </c>
      <c r="B1577" s="167" t="s">
        <v>2510</v>
      </c>
      <c r="C1577" s="167">
        <v>14122429</v>
      </c>
      <c r="D1577" s="167" t="s">
        <v>424</v>
      </c>
      <c r="E1577" s="167" t="s">
        <v>3699</v>
      </c>
      <c r="F1577" s="168">
        <v>120.75</v>
      </c>
    </row>
    <row r="1578" spans="1:6" x14ac:dyDescent="0.2">
      <c r="A1578" s="163" t="s">
        <v>3724</v>
      </c>
      <c r="B1578" s="164" t="s">
        <v>2510</v>
      </c>
      <c r="C1578" s="164">
        <v>14122419</v>
      </c>
      <c r="D1578" s="164" t="s">
        <v>422</v>
      </c>
      <c r="E1578" s="164" t="s">
        <v>3699</v>
      </c>
      <c r="F1578" s="165">
        <v>120.75</v>
      </c>
    </row>
    <row r="1579" spans="1:6" x14ac:dyDescent="0.2">
      <c r="A1579" s="166" t="s">
        <v>3724</v>
      </c>
      <c r="B1579" s="167" t="s">
        <v>2510</v>
      </c>
      <c r="C1579" s="167">
        <v>14122416</v>
      </c>
      <c r="D1579" s="167" t="s">
        <v>420</v>
      </c>
      <c r="E1579" s="167" t="s">
        <v>3699</v>
      </c>
      <c r="F1579" s="168">
        <v>120.75</v>
      </c>
    </row>
    <row r="1580" spans="1:6" x14ac:dyDescent="0.2">
      <c r="A1580" s="163" t="s">
        <v>3724</v>
      </c>
      <c r="B1580" s="164" t="s">
        <v>2510</v>
      </c>
      <c r="C1580" s="164">
        <v>14122394</v>
      </c>
      <c r="D1580" s="164" t="s">
        <v>419</v>
      </c>
      <c r="E1580" s="164" t="s">
        <v>3699</v>
      </c>
      <c r="F1580" s="165">
        <v>120.75</v>
      </c>
    </row>
    <row r="1581" spans="1:6" x14ac:dyDescent="0.2">
      <c r="A1581" s="166" t="s">
        <v>3724</v>
      </c>
      <c r="B1581" s="167" t="s">
        <v>2510</v>
      </c>
      <c r="C1581" s="167">
        <v>14122355</v>
      </c>
      <c r="D1581" s="167" t="s">
        <v>417</v>
      </c>
      <c r="E1581" s="167" t="s">
        <v>3699</v>
      </c>
      <c r="F1581" s="168">
        <v>120.75</v>
      </c>
    </row>
    <row r="1582" spans="1:6" x14ac:dyDescent="0.2">
      <c r="A1582" s="163" t="s">
        <v>3724</v>
      </c>
      <c r="B1582" s="164" t="s">
        <v>2510</v>
      </c>
      <c r="C1582" s="164">
        <v>14122330</v>
      </c>
      <c r="D1582" s="164" t="s">
        <v>413</v>
      </c>
      <c r="E1582" s="164" t="s">
        <v>3699</v>
      </c>
      <c r="F1582" s="165">
        <v>120.75</v>
      </c>
    </row>
    <row r="1583" spans="1:6" x14ac:dyDescent="0.2">
      <c r="A1583" s="166" t="s">
        <v>3724</v>
      </c>
      <c r="B1583" s="167" t="s">
        <v>2510</v>
      </c>
      <c r="C1583" s="167">
        <v>14122320</v>
      </c>
      <c r="D1583" s="167" t="s">
        <v>411</v>
      </c>
      <c r="E1583" s="167" t="s">
        <v>3699</v>
      </c>
      <c r="F1583" s="168">
        <v>120.75</v>
      </c>
    </row>
    <row r="1584" spans="1:6" x14ac:dyDescent="0.2">
      <c r="A1584" s="163" t="s">
        <v>3724</v>
      </c>
      <c r="B1584" s="164" t="s">
        <v>2510</v>
      </c>
      <c r="C1584" s="164">
        <v>14122294</v>
      </c>
      <c r="D1584" s="164" t="s">
        <v>410</v>
      </c>
      <c r="E1584" s="164" t="s">
        <v>3699</v>
      </c>
      <c r="F1584" s="165">
        <v>120.75</v>
      </c>
    </row>
    <row r="1585" spans="1:6" x14ac:dyDescent="0.2">
      <c r="A1585" s="166" t="s">
        <v>3724</v>
      </c>
      <c r="B1585" s="167" t="s">
        <v>2510</v>
      </c>
      <c r="C1585" s="167">
        <v>14122263</v>
      </c>
      <c r="D1585" s="167" t="s">
        <v>407</v>
      </c>
      <c r="E1585" s="167" t="s">
        <v>3699</v>
      </c>
      <c r="F1585" s="168">
        <v>120.75</v>
      </c>
    </row>
    <row r="1586" spans="1:6" x14ac:dyDescent="0.2">
      <c r="A1586" s="163" t="s">
        <v>3724</v>
      </c>
      <c r="B1586" s="164" t="s">
        <v>2510</v>
      </c>
      <c r="C1586" s="164">
        <v>14122194</v>
      </c>
      <c r="D1586" s="164" t="s">
        <v>401</v>
      </c>
      <c r="E1586" s="164" t="s">
        <v>3699</v>
      </c>
      <c r="F1586" s="165">
        <v>120.75</v>
      </c>
    </row>
    <row r="1587" spans="1:6" x14ac:dyDescent="0.2">
      <c r="A1587" s="166" t="s">
        <v>3724</v>
      </c>
      <c r="B1587" s="167" t="s">
        <v>2510</v>
      </c>
      <c r="C1587" s="167">
        <v>14122158</v>
      </c>
      <c r="D1587" s="167" t="s">
        <v>396</v>
      </c>
      <c r="E1587" s="167" t="s">
        <v>3699</v>
      </c>
      <c r="F1587" s="168">
        <v>120.75</v>
      </c>
    </row>
    <row r="1588" spans="1:6" x14ac:dyDescent="0.2">
      <c r="A1588" s="163" t="s">
        <v>3724</v>
      </c>
      <c r="B1588" s="164" t="s">
        <v>2510</v>
      </c>
      <c r="C1588" s="164">
        <v>14122148</v>
      </c>
      <c r="D1588" s="164" t="s">
        <v>394</v>
      </c>
      <c r="E1588" s="164" t="s">
        <v>3699</v>
      </c>
      <c r="F1588" s="165">
        <v>120.75</v>
      </c>
    </row>
    <row r="1589" spans="1:6" x14ac:dyDescent="0.2">
      <c r="A1589" s="166" t="s">
        <v>3724</v>
      </c>
      <c r="B1589" s="167" t="s">
        <v>2510</v>
      </c>
      <c r="C1589" s="167">
        <v>14122137</v>
      </c>
      <c r="D1589" s="167" t="s">
        <v>393</v>
      </c>
      <c r="E1589" s="167" t="s">
        <v>3699</v>
      </c>
      <c r="F1589" s="168">
        <v>120.75</v>
      </c>
    </row>
    <row r="1590" spans="1:6" x14ac:dyDescent="0.2">
      <c r="A1590" s="163" t="s">
        <v>3724</v>
      </c>
      <c r="B1590" s="164" t="s">
        <v>2510</v>
      </c>
      <c r="C1590" s="164">
        <v>14122136</v>
      </c>
      <c r="D1590" s="164" t="s">
        <v>392</v>
      </c>
      <c r="E1590" s="164" t="s">
        <v>3699</v>
      </c>
      <c r="F1590" s="165">
        <v>120.75</v>
      </c>
    </row>
    <row r="1591" spans="1:6" x14ac:dyDescent="0.2">
      <c r="A1591" s="166" t="s">
        <v>3724</v>
      </c>
      <c r="B1591" s="167" t="s">
        <v>2510</v>
      </c>
      <c r="C1591" s="167">
        <v>14122113</v>
      </c>
      <c r="D1591" s="167" t="s">
        <v>390</v>
      </c>
      <c r="E1591" s="167" t="s">
        <v>3699</v>
      </c>
      <c r="F1591" s="168">
        <v>120.75</v>
      </c>
    </row>
    <row r="1592" spans="1:6" x14ac:dyDescent="0.2">
      <c r="A1592" s="163" t="s">
        <v>3724</v>
      </c>
      <c r="B1592" s="164" t="s">
        <v>2510</v>
      </c>
      <c r="C1592" s="164">
        <v>14122103</v>
      </c>
      <c r="D1592" s="164" t="s">
        <v>389</v>
      </c>
      <c r="E1592" s="164" t="s">
        <v>3699</v>
      </c>
      <c r="F1592" s="165">
        <v>120.75</v>
      </c>
    </row>
    <row r="1593" spans="1:6" x14ac:dyDescent="0.2">
      <c r="A1593" s="166" t="s">
        <v>3724</v>
      </c>
      <c r="B1593" s="167" t="s">
        <v>2510</v>
      </c>
      <c r="C1593" s="167">
        <v>14122094</v>
      </c>
      <c r="D1593" s="167" t="s">
        <v>386</v>
      </c>
      <c r="E1593" s="167" t="s">
        <v>3699</v>
      </c>
      <c r="F1593" s="168">
        <v>130.33000000000001</v>
      </c>
    </row>
    <row r="1594" spans="1:6" x14ac:dyDescent="0.2">
      <c r="A1594" s="163" t="s">
        <v>3724</v>
      </c>
      <c r="B1594" s="164" t="s">
        <v>2510</v>
      </c>
      <c r="C1594" s="164">
        <v>14122083</v>
      </c>
      <c r="D1594" s="164" t="s">
        <v>385</v>
      </c>
      <c r="E1594" s="164" t="s">
        <v>3699</v>
      </c>
      <c r="F1594" s="165">
        <v>130.33000000000001</v>
      </c>
    </row>
    <row r="1595" spans="1:6" x14ac:dyDescent="0.2">
      <c r="A1595" s="166" t="s">
        <v>3724</v>
      </c>
      <c r="B1595" s="167" t="s">
        <v>2510</v>
      </c>
      <c r="C1595" s="167">
        <v>14122067</v>
      </c>
      <c r="D1595" s="167" t="s">
        <v>381</v>
      </c>
      <c r="E1595" s="167" t="s">
        <v>3699</v>
      </c>
      <c r="F1595" s="168">
        <v>120.75</v>
      </c>
    </row>
    <row r="1596" spans="1:6" x14ac:dyDescent="0.2">
      <c r="A1596" s="163" t="s">
        <v>3724</v>
      </c>
      <c r="B1596" s="164" t="s">
        <v>2510</v>
      </c>
      <c r="C1596" s="164">
        <v>14122034</v>
      </c>
      <c r="D1596" s="164" t="s">
        <v>379</v>
      </c>
      <c r="E1596" s="164" t="s">
        <v>3699</v>
      </c>
      <c r="F1596" s="165">
        <v>130.33000000000001</v>
      </c>
    </row>
    <row r="1597" spans="1:6" x14ac:dyDescent="0.2">
      <c r="A1597" s="166" t="s">
        <v>3724</v>
      </c>
      <c r="B1597" s="167" t="s">
        <v>2510</v>
      </c>
      <c r="C1597" s="167">
        <v>14121985</v>
      </c>
      <c r="D1597" s="167" t="s">
        <v>376</v>
      </c>
      <c r="E1597" s="167" t="s">
        <v>3699</v>
      </c>
      <c r="F1597" s="168">
        <v>120.75</v>
      </c>
    </row>
    <row r="1598" spans="1:6" x14ac:dyDescent="0.2">
      <c r="A1598" s="163" t="s">
        <v>3724</v>
      </c>
      <c r="B1598" s="164" t="s">
        <v>2510</v>
      </c>
      <c r="C1598" s="164">
        <v>14121964</v>
      </c>
      <c r="D1598" s="164" t="s">
        <v>375</v>
      </c>
      <c r="E1598" s="164" t="s">
        <v>3699</v>
      </c>
      <c r="F1598" s="165">
        <v>120.75</v>
      </c>
    </row>
    <row r="1599" spans="1:6" x14ac:dyDescent="0.2">
      <c r="A1599" s="166" t="s">
        <v>3724</v>
      </c>
      <c r="B1599" s="167" t="s">
        <v>2510</v>
      </c>
      <c r="C1599" s="167">
        <v>14121917</v>
      </c>
      <c r="D1599" s="167" t="s">
        <v>370</v>
      </c>
      <c r="E1599" s="167" t="s">
        <v>3699</v>
      </c>
      <c r="F1599" s="168">
        <v>130.33000000000001</v>
      </c>
    </row>
    <row r="1600" spans="1:6" x14ac:dyDescent="0.2">
      <c r="A1600" s="163" t="s">
        <v>3724</v>
      </c>
      <c r="B1600" s="164" t="s">
        <v>2510</v>
      </c>
      <c r="C1600" s="164">
        <v>14121896</v>
      </c>
      <c r="D1600" s="164" t="s">
        <v>369</v>
      </c>
      <c r="E1600" s="164" t="s">
        <v>3699</v>
      </c>
      <c r="F1600" s="165">
        <v>130.33000000000001</v>
      </c>
    </row>
    <row r="1601" spans="1:6" x14ac:dyDescent="0.2">
      <c r="A1601" s="166" t="s">
        <v>3724</v>
      </c>
      <c r="B1601" s="167" t="s">
        <v>2510</v>
      </c>
      <c r="C1601" s="167">
        <v>14121860</v>
      </c>
      <c r="D1601" s="167" t="s">
        <v>367</v>
      </c>
      <c r="E1601" s="167" t="s">
        <v>3699</v>
      </c>
      <c r="F1601" s="168">
        <v>120.75</v>
      </c>
    </row>
    <row r="1602" spans="1:6" x14ac:dyDescent="0.2">
      <c r="A1602" s="163" t="s">
        <v>3724</v>
      </c>
      <c r="B1602" s="164" t="s">
        <v>2510</v>
      </c>
      <c r="C1602" s="164">
        <v>14121811</v>
      </c>
      <c r="D1602" s="164" t="s">
        <v>363</v>
      </c>
      <c r="E1602" s="164" t="s">
        <v>3699</v>
      </c>
      <c r="F1602" s="165">
        <v>120.75</v>
      </c>
    </row>
    <row r="1603" spans="1:6" x14ac:dyDescent="0.2">
      <c r="A1603" s="166" t="s">
        <v>3724</v>
      </c>
      <c r="B1603" s="167" t="s">
        <v>2510</v>
      </c>
      <c r="C1603" s="167">
        <v>14121809</v>
      </c>
      <c r="D1603" s="167" t="s">
        <v>362</v>
      </c>
      <c r="E1603" s="167" t="s">
        <v>3699</v>
      </c>
      <c r="F1603" s="168">
        <v>120.75</v>
      </c>
    </row>
    <row r="1604" spans="1:6" x14ac:dyDescent="0.2">
      <c r="A1604" s="163" t="s">
        <v>3724</v>
      </c>
      <c r="B1604" s="164" t="s">
        <v>2510</v>
      </c>
      <c r="C1604" s="164">
        <v>14121791</v>
      </c>
      <c r="D1604" s="164" t="s">
        <v>361</v>
      </c>
      <c r="E1604" s="164" t="s">
        <v>3699</v>
      </c>
      <c r="F1604" s="165">
        <v>120.75</v>
      </c>
    </row>
    <row r="1605" spans="1:6" x14ac:dyDescent="0.2">
      <c r="A1605" s="166" t="s">
        <v>3724</v>
      </c>
      <c r="B1605" s="167" t="s">
        <v>2510</v>
      </c>
      <c r="C1605" s="167">
        <v>14121785</v>
      </c>
      <c r="D1605" s="167" t="s">
        <v>360</v>
      </c>
      <c r="E1605" s="167" t="s">
        <v>3699</v>
      </c>
      <c r="F1605" s="168">
        <v>120.75</v>
      </c>
    </row>
    <row r="1606" spans="1:6" x14ac:dyDescent="0.2">
      <c r="A1606" s="163" t="s">
        <v>3724</v>
      </c>
      <c r="B1606" s="164" t="s">
        <v>2510</v>
      </c>
      <c r="C1606" s="164">
        <v>14121784</v>
      </c>
      <c r="D1606" s="164" t="s">
        <v>359</v>
      </c>
      <c r="E1606" s="164" t="s">
        <v>3699</v>
      </c>
      <c r="F1606" s="165">
        <v>120.75</v>
      </c>
    </row>
    <row r="1607" spans="1:6" x14ac:dyDescent="0.2">
      <c r="A1607" s="166" t="s">
        <v>3724</v>
      </c>
      <c r="B1607" s="167" t="s">
        <v>2510</v>
      </c>
      <c r="C1607" s="167">
        <v>14121766</v>
      </c>
      <c r="D1607" s="167" t="s">
        <v>358</v>
      </c>
      <c r="E1607" s="167" t="s">
        <v>3699</v>
      </c>
      <c r="F1607" s="168">
        <v>130.33000000000001</v>
      </c>
    </row>
    <row r="1608" spans="1:6" x14ac:dyDescent="0.2">
      <c r="A1608" s="163" t="s">
        <v>3724</v>
      </c>
      <c r="B1608" s="164" t="s">
        <v>2510</v>
      </c>
      <c r="C1608" s="164">
        <v>14121756</v>
      </c>
      <c r="D1608" s="164" t="s">
        <v>357</v>
      </c>
      <c r="E1608" s="164" t="s">
        <v>3699</v>
      </c>
      <c r="F1608" s="165">
        <v>120.75</v>
      </c>
    </row>
    <row r="1609" spans="1:6" x14ac:dyDescent="0.2">
      <c r="A1609" s="166" t="s">
        <v>3724</v>
      </c>
      <c r="B1609" s="167" t="s">
        <v>2510</v>
      </c>
      <c r="C1609" s="167">
        <v>14121733</v>
      </c>
      <c r="D1609" s="167" t="s">
        <v>353</v>
      </c>
      <c r="E1609" s="167" t="s">
        <v>3699</v>
      </c>
      <c r="F1609" s="168">
        <v>120.75</v>
      </c>
    </row>
    <row r="1610" spans="1:6" x14ac:dyDescent="0.2">
      <c r="A1610" s="163" t="s">
        <v>3724</v>
      </c>
      <c r="B1610" s="164" t="s">
        <v>2510</v>
      </c>
      <c r="C1610" s="164">
        <v>14121728</v>
      </c>
      <c r="D1610" s="164" t="s">
        <v>352</v>
      </c>
      <c r="E1610" s="164" t="s">
        <v>3699</v>
      </c>
      <c r="F1610" s="165">
        <v>120.75</v>
      </c>
    </row>
    <row r="1611" spans="1:6" x14ac:dyDescent="0.2">
      <c r="A1611" s="166" t="s">
        <v>3724</v>
      </c>
      <c r="B1611" s="167" t="s">
        <v>2510</v>
      </c>
      <c r="C1611" s="167">
        <v>14121672</v>
      </c>
      <c r="D1611" s="167" t="s">
        <v>349</v>
      </c>
      <c r="E1611" s="167" t="s">
        <v>3699</v>
      </c>
      <c r="F1611" s="168">
        <v>130.33000000000001</v>
      </c>
    </row>
    <row r="1612" spans="1:6" x14ac:dyDescent="0.2">
      <c r="A1612" s="163" t="s">
        <v>3724</v>
      </c>
      <c r="B1612" s="164" t="s">
        <v>2510</v>
      </c>
      <c r="C1612" s="164">
        <v>14121600</v>
      </c>
      <c r="D1612" s="164" t="s">
        <v>346</v>
      </c>
      <c r="E1612" s="164" t="s">
        <v>3699</v>
      </c>
      <c r="F1612" s="165">
        <v>120.75</v>
      </c>
    </row>
    <row r="1613" spans="1:6" x14ac:dyDescent="0.2">
      <c r="A1613" s="166" t="s">
        <v>3724</v>
      </c>
      <c r="B1613" s="167" t="s">
        <v>2510</v>
      </c>
      <c r="C1613" s="167">
        <v>14121598</v>
      </c>
      <c r="D1613" s="167" t="s">
        <v>345</v>
      </c>
      <c r="E1613" s="167" t="s">
        <v>3699</v>
      </c>
      <c r="F1613" s="168">
        <v>120.75</v>
      </c>
    </row>
    <row r="1614" spans="1:6" x14ac:dyDescent="0.2">
      <c r="A1614" s="163" t="s">
        <v>3724</v>
      </c>
      <c r="B1614" s="164" t="s">
        <v>2510</v>
      </c>
      <c r="C1614" s="164">
        <v>14121582</v>
      </c>
      <c r="D1614" s="164" t="s">
        <v>343</v>
      </c>
      <c r="E1614" s="164" t="s">
        <v>3699</v>
      </c>
      <c r="F1614" s="165">
        <v>130.33000000000001</v>
      </c>
    </row>
    <row r="1615" spans="1:6" x14ac:dyDescent="0.2">
      <c r="A1615" s="166" t="s">
        <v>3724</v>
      </c>
      <c r="B1615" s="167" t="s">
        <v>2510</v>
      </c>
      <c r="C1615" s="167">
        <v>14121571</v>
      </c>
      <c r="D1615" s="167" t="s">
        <v>342</v>
      </c>
      <c r="E1615" s="167" t="s">
        <v>3699</v>
      </c>
      <c r="F1615" s="168">
        <v>130.33000000000001</v>
      </c>
    </row>
    <row r="1616" spans="1:6" x14ac:dyDescent="0.2">
      <c r="A1616" s="163" t="s">
        <v>3724</v>
      </c>
      <c r="B1616" s="164" t="s">
        <v>2510</v>
      </c>
      <c r="C1616" s="164">
        <v>14121543</v>
      </c>
      <c r="D1616" s="164" t="s">
        <v>339</v>
      </c>
      <c r="E1616" s="164" t="s">
        <v>3699</v>
      </c>
      <c r="F1616" s="165">
        <v>120.75</v>
      </c>
    </row>
    <row r="1617" spans="1:6" x14ac:dyDescent="0.2">
      <c r="A1617" s="166" t="s">
        <v>3724</v>
      </c>
      <c r="B1617" s="167" t="s">
        <v>2510</v>
      </c>
      <c r="C1617" s="167">
        <v>14121523</v>
      </c>
      <c r="D1617" s="167" t="s">
        <v>338</v>
      </c>
      <c r="E1617" s="167" t="s">
        <v>3699</v>
      </c>
      <c r="F1617" s="168">
        <v>120.75</v>
      </c>
    </row>
    <row r="1618" spans="1:6" x14ac:dyDescent="0.2">
      <c r="A1618" s="163" t="s">
        <v>3724</v>
      </c>
      <c r="B1618" s="164" t="s">
        <v>2510</v>
      </c>
      <c r="C1618" s="164">
        <v>14121328</v>
      </c>
      <c r="D1618" s="164" t="s">
        <v>331</v>
      </c>
      <c r="E1618" s="164" t="s">
        <v>3699</v>
      </c>
      <c r="F1618" s="165">
        <v>120.75</v>
      </c>
    </row>
    <row r="1619" spans="1:6" x14ac:dyDescent="0.2">
      <c r="A1619" s="166" t="s">
        <v>3724</v>
      </c>
      <c r="B1619" s="167" t="s">
        <v>2510</v>
      </c>
      <c r="C1619" s="167">
        <v>14121266</v>
      </c>
      <c r="D1619" s="167" t="s">
        <v>329</v>
      </c>
      <c r="E1619" s="167" t="s">
        <v>3699</v>
      </c>
      <c r="F1619" s="168">
        <v>120.75</v>
      </c>
    </row>
    <row r="1620" spans="1:6" x14ac:dyDescent="0.2">
      <c r="A1620" s="163" t="s">
        <v>3724</v>
      </c>
      <c r="B1620" s="164" t="s">
        <v>2510</v>
      </c>
      <c r="C1620" s="164">
        <v>14121235</v>
      </c>
      <c r="D1620" s="164" t="s">
        <v>326</v>
      </c>
      <c r="E1620" s="164" t="s">
        <v>3699</v>
      </c>
      <c r="F1620" s="165">
        <v>120.75</v>
      </c>
    </row>
    <row r="1621" spans="1:6" x14ac:dyDescent="0.2">
      <c r="A1621" s="166" t="s">
        <v>3724</v>
      </c>
      <c r="B1621" s="167" t="s">
        <v>2510</v>
      </c>
      <c r="C1621" s="167">
        <v>14121159</v>
      </c>
      <c r="D1621" s="167" t="s">
        <v>323</v>
      </c>
      <c r="E1621" s="167" t="s">
        <v>3699</v>
      </c>
      <c r="F1621" s="168">
        <v>120.75</v>
      </c>
    </row>
    <row r="1622" spans="1:6" x14ac:dyDescent="0.2">
      <c r="A1622" s="163" t="s">
        <v>3724</v>
      </c>
      <c r="B1622" s="164" t="s">
        <v>2510</v>
      </c>
      <c r="C1622" s="164">
        <v>14121158</v>
      </c>
      <c r="D1622" s="164" t="s">
        <v>322</v>
      </c>
      <c r="E1622" s="164" t="s">
        <v>3699</v>
      </c>
      <c r="F1622" s="165">
        <v>120.75</v>
      </c>
    </row>
    <row r="1623" spans="1:6" x14ac:dyDescent="0.2">
      <c r="A1623" s="166" t="s">
        <v>3724</v>
      </c>
      <c r="B1623" s="167" t="s">
        <v>2510</v>
      </c>
      <c r="C1623" s="167">
        <v>14121153</v>
      </c>
      <c r="D1623" s="167" t="s">
        <v>321</v>
      </c>
      <c r="E1623" s="167" t="s">
        <v>3699</v>
      </c>
      <c r="F1623" s="168">
        <v>120.75</v>
      </c>
    </row>
    <row r="1624" spans="1:6" x14ac:dyDescent="0.2">
      <c r="A1624" s="163" t="s">
        <v>3724</v>
      </c>
      <c r="B1624" s="164" t="s">
        <v>2510</v>
      </c>
      <c r="C1624" s="164">
        <v>14121152</v>
      </c>
      <c r="D1624" s="164" t="s">
        <v>320</v>
      </c>
      <c r="E1624" s="164" t="s">
        <v>3699</v>
      </c>
      <c r="F1624" s="165">
        <v>120.75</v>
      </c>
    </row>
    <row r="1625" spans="1:6" x14ac:dyDescent="0.2">
      <c r="A1625" s="166" t="s">
        <v>3724</v>
      </c>
      <c r="B1625" s="167" t="s">
        <v>2510</v>
      </c>
      <c r="C1625" s="167">
        <v>14121104</v>
      </c>
      <c r="D1625" s="167" t="s">
        <v>313</v>
      </c>
      <c r="E1625" s="167" t="s">
        <v>3699</v>
      </c>
      <c r="F1625" s="168">
        <v>120.75</v>
      </c>
    </row>
    <row r="1626" spans="1:6" x14ac:dyDescent="0.2">
      <c r="A1626" s="163" t="s">
        <v>3724</v>
      </c>
      <c r="B1626" s="164" t="s">
        <v>2510</v>
      </c>
      <c r="C1626" s="164">
        <v>14121103</v>
      </c>
      <c r="D1626" s="164" t="s">
        <v>312</v>
      </c>
      <c r="E1626" s="164" t="s">
        <v>3699</v>
      </c>
      <c r="F1626" s="165">
        <v>120.75</v>
      </c>
    </row>
    <row r="1627" spans="1:6" x14ac:dyDescent="0.2">
      <c r="A1627" s="166" t="s">
        <v>3724</v>
      </c>
      <c r="B1627" s="167" t="s">
        <v>2510</v>
      </c>
      <c r="C1627" s="167">
        <v>14121013</v>
      </c>
      <c r="D1627" s="167" t="s">
        <v>310</v>
      </c>
      <c r="E1627" s="167" t="s">
        <v>3699</v>
      </c>
      <c r="F1627" s="168">
        <v>120.75</v>
      </c>
    </row>
    <row r="1628" spans="1:6" x14ac:dyDescent="0.2">
      <c r="A1628" s="163" t="s">
        <v>3724</v>
      </c>
      <c r="B1628" s="164" t="s">
        <v>2510</v>
      </c>
      <c r="C1628" s="164">
        <v>14120925</v>
      </c>
      <c r="D1628" s="164" t="s">
        <v>309</v>
      </c>
      <c r="E1628" s="164" t="s">
        <v>3699</v>
      </c>
      <c r="F1628" s="165">
        <v>120.75</v>
      </c>
    </row>
    <row r="1629" spans="1:6" x14ac:dyDescent="0.2">
      <c r="A1629" s="166" t="s">
        <v>3724</v>
      </c>
      <c r="B1629" s="167" t="s">
        <v>2510</v>
      </c>
      <c r="C1629" s="167">
        <v>14120885</v>
      </c>
      <c r="D1629" s="167" t="s">
        <v>307</v>
      </c>
      <c r="E1629" s="167" t="s">
        <v>3699</v>
      </c>
      <c r="F1629" s="168">
        <v>120.75</v>
      </c>
    </row>
    <row r="1630" spans="1:6" x14ac:dyDescent="0.2">
      <c r="A1630" s="163" t="s">
        <v>3724</v>
      </c>
      <c r="B1630" s="164" t="s">
        <v>2510</v>
      </c>
      <c r="C1630" s="164">
        <v>14120850</v>
      </c>
      <c r="D1630" s="164" t="s">
        <v>306</v>
      </c>
      <c r="E1630" s="164" t="s">
        <v>3699</v>
      </c>
      <c r="F1630" s="165">
        <v>120.75</v>
      </c>
    </row>
    <row r="1631" spans="1:6" x14ac:dyDescent="0.2">
      <c r="A1631" s="166" t="s">
        <v>3724</v>
      </c>
      <c r="B1631" s="167" t="s">
        <v>2510</v>
      </c>
      <c r="C1631" s="167">
        <v>14120806</v>
      </c>
      <c r="D1631" s="167" t="s">
        <v>303</v>
      </c>
      <c r="E1631" s="167" t="s">
        <v>3699</v>
      </c>
      <c r="F1631" s="168">
        <v>120.75</v>
      </c>
    </row>
    <row r="1632" spans="1:6" x14ac:dyDescent="0.2">
      <c r="A1632" s="163" t="s">
        <v>3724</v>
      </c>
      <c r="B1632" s="164" t="s">
        <v>2510</v>
      </c>
      <c r="C1632" s="164">
        <v>14120788</v>
      </c>
      <c r="D1632" s="164" t="s">
        <v>301</v>
      </c>
      <c r="E1632" s="164" t="s">
        <v>3699</v>
      </c>
      <c r="F1632" s="165">
        <v>125.16</v>
      </c>
    </row>
    <row r="1633" spans="1:6" x14ac:dyDescent="0.2">
      <c r="A1633" s="166" t="s">
        <v>3724</v>
      </c>
      <c r="B1633" s="167" t="s">
        <v>2510</v>
      </c>
      <c r="C1633" s="167">
        <v>14120668</v>
      </c>
      <c r="D1633" s="167" t="s">
        <v>297</v>
      </c>
      <c r="E1633" s="167" t="s">
        <v>3699</v>
      </c>
      <c r="F1633" s="168">
        <v>125.16</v>
      </c>
    </row>
    <row r="1634" spans="1:6" x14ac:dyDescent="0.2">
      <c r="A1634" s="163" t="s">
        <v>3724</v>
      </c>
      <c r="B1634" s="164" t="s">
        <v>2510</v>
      </c>
      <c r="C1634" s="164">
        <v>14120613</v>
      </c>
      <c r="D1634" s="164" t="s">
        <v>293</v>
      </c>
      <c r="E1634" s="164" t="s">
        <v>3699</v>
      </c>
      <c r="F1634" s="165">
        <v>125.16</v>
      </c>
    </row>
    <row r="1635" spans="1:6" x14ac:dyDescent="0.2">
      <c r="A1635" s="166" t="s">
        <v>3724</v>
      </c>
      <c r="B1635" s="167" t="s">
        <v>2510</v>
      </c>
      <c r="C1635" s="167">
        <v>14120455</v>
      </c>
      <c r="D1635" s="167" t="s">
        <v>290</v>
      </c>
      <c r="E1635" s="167" t="s">
        <v>3699</v>
      </c>
      <c r="F1635" s="168">
        <v>120.75</v>
      </c>
    </row>
    <row r="1636" spans="1:6" x14ac:dyDescent="0.2">
      <c r="A1636" s="163" t="s">
        <v>3724</v>
      </c>
      <c r="B1636" s="164" t="s">
        <v>2510</v>
      </c>
      <c r="C1636" s="164">
        <v>14120415</v>
      </c>
      <c r="D1636" s="164" t="s">
        <v>287</v>
      </c>
      <c r="E1636" s="164" t="s">
        <v>3699</v>
      </c>
      <c r="F1636" s="165">
        <v>125.16</v>
      </c>
    </row>
    <row r="1637" spans="1:6" x14ac:dyDescent="0.2">
      <c r="A1637" s="166" t="s">
        <v>3724</v>
      </c>
      <c r="B1637" s="167" t="s">
        <v>2510</v>
      </c>
      <c r="C1637" s="167">
        <v>14120349</v>
      </c>
      <c r="D1637" s="167" t="s">
        <v>285</v>
      </c>
      <c r="E1637" s="167" t="s">
        <v>3699</v>
      </c>
      <c r="F1637" s="168">
        <v>125.16</v>
      </c>
    </row>
    <row r="1638" spans="1:6" x14ac:dyDescent="0.2">
      <c r="A1638" s="163" t="s">
        <v>3724</v>
      </c>
      <c r="B1638" s="164" t="s">
        <v>2510</v>
      </c>
      <c r="C1638" s="164">
        <v>14120276</v>
      </c>
      <c r="D1638" s="164" t="s">
        <v>283</v>
      </c>
      <c r="E1638" s="164" t="s">
        <v>3699</v>
      </c>
      <c r="F1638" s="165">
        <v>125.16</v>
      </c>
    </row>
    <row r="1639" spans="1:6" x14ac:dyDescent="0.2">
      <c r="A1639" s="166" t="s">
        <v>3724</v>
      </c>
      <c r="B1639" s="167" t="s">
        <v>2510</v>
      </c>
      <c r="C1639" s="167">
        <v>14120270</v>
      </c>
      <c r="D1639" s="167" t="s">
        <v>282</v>
      </c>
      <c r="E1639" s="167" t="s">
        <v>3699</v>
      </c>
      <c r="F1639" s="168">
        <v>125.16</v>
      </c>
    </row>
    <row r="1640" spans="1:6" x14ac:dyDescent="0.2">
      <c r="A1640" s="163" t="s">
        <v>3724</v>
      </c>
      <c r="B1640" s="164" t="s">
        <v>2510</v>
      </c>
      <c r="C1640" s="164">
        <v>14120199</v>
      </c>
      <c r="D1640" s="164" t="s">
        <v>406</v>
      </c>
      <c r="E1640" s="164" t="s">
        <v>3699</v>
      </c>
      <c r="F1640" s="165">
        <v>120.75</v>
      </c>
    </row>
    <row r="1641" spans="1:6" x14ac:dyDescent="0.2">
      <c r="A1641" s="166" t="s">
        <v>3724</v>
      </c>
      <c r="B1641" s="167" t="s">
        <v>2510</v>
      </c>
      <c r="C1641" s="167">
        <v>14120121</v>
      </c>
      <c r="D1641" s="167" t="s">
        <v>279</v>
      </c>
      <c r="E1641" s="167" t="s">
        <v>3699</v>
      </c>
      <c r="F1641" s="168">
        <v>125.16</v>
      </c>
    </row>
    <row r="1642" spans="1:6" x14ac:dyDescent="0.2">
      <c r="A1642" s="163" t="s">
        <v>3724</v>
      </c>
      <c r="B1642" s="164" t="s">
        <v>2510</v>
      </c>
      <c r="C1642" s="164">
        <v>14120041</v>
      </c>
      <c r="D1642" s="164" t="s">
        <v>273</v>
      </c>
      <c r="E1642" s="164" t="s">
        <v>3699</v>
      </c>
      <c r="F1642" s="165">
        <v>125.16</v>
      </c>
    </row>
    <row r="1643" spans="1:6" x14ac:dyDescent="0.2">
      <c r="A1643" s="166" t="s">
        <v>3724</v>
      </c>
      <c r="B1643" s="167" t="s">
        <v>2510</v>
      </c>
      <c r="C1643" s="167">
        <v>14119956</v>
      </c>
      <c r="D1643" s="167" t="s">
        <v>270</v>
      </c>
      <c r="E1643" s="167" t="s">
        <v>3699</v>
      </c>
      <c r="F1643" s="168">
        <v>125.16</v>
      </c>
    </row>
    <row r="1644" spans="1:6" x14ac:dyDescent="0.2">
      <c r="A1644" s="163" t="s">
        <v>3724</v>
      </c>
      <c r="B1644" s="164" t="s">
        <v>2510</v>
      </c>
      <c r="C1644" s="164">
        <v>14119890</v>
      </c>
      <c r="D1644" s="164" t="s">
        <v>267</v>
      </c>
      <c r="E1644" s="164" t="s">
        <v>3699</v>
      </c>
      <c r="F1644" s="165">
        <v>125.16</v>
      </c>
    </row>
    <row r="1645" spans="1:6" x14ac:dyDescent="0.2">
      <c r="A1645" s="166" t="s">
        <v>3724</v>
      </c>
      <c r="B1645" s="167" t="s">
        <v>2510</v>
      </c>
      <c r="C1645" s="167">
        <v>14119839</v>
      </c>
      <c r="D1645" s="167" t="s">
        <v>266</v>
      </c>
      <c r="E1645" s="167" t="s">
        <v>3699</v>
      </c>
      <c r="F1645" s="168">
        <v>125.16</v>
      </c>
    </row>
    <row r="1646" spans="1:6" x14ac:dyDescent="0.2">
      <c r="A1646" s="163" t="s">
        <v>3724</v>
      </c>
      <c r="B1646" s="164" t="s">
        <v>2510</v>
      </c>
      <c r="C1646" s="164">
        <v>14119787</v>
      </c>
      <c r="D1646" s="164" t="s">
        <v>261</v>
      </c>
      <c r="E1646" s="164" t="s">
        <v>3699</v>
      </c>
      <c r="F1646" s="165">
        <v>125.16</v>
      </c>
    </row>
    <row r="1647" spans="1:6" x14ac:dyDescent="0.2">
      <c r="A1647" s="166" t="s">
        <v>3724</v>
      </c>
      <c r="B1647" s="167" t="s">
        <v>2510</v>
      </c>
      <c r="C1647" s="167">
        <v>14119785</v>
      </c>
      <c r="D1647" s="167" t="s">
        <v>259</v>
      </c>
      <c r="E1647" s="167" t="s">
        <v>3699</v>
      </c>
      <c r="F1647" s="168">
        <v>125.16</v>
      </c>
    </row>
    <row r="1648" spans="1:6" x14ac:dyDescent="0.2">
      <c r="A1648" s="163" t="s">
        <v>3724</v>
      </c>
      <c r="B1648" s="164" t="s">
        <v>2510</v>
      </c>
      <c r="C1648" s="164">
        <v>14119751</v>
      </c>
      <c r="D1648" s="164" t="s">
        <v>258</v>
      </c>
      <c r="E1648" s="164" t="s">
        <v>3699</v>
      </c>
      <c r="F1648" s="165">
        <v>125.16</v>
      </c>
    </row>
    <row r="1649" spans="1:6" x14ac:dyDescent="0.2">
      <c r="A1649" s="166" t="s">
        <v>3724</v>
      </c>
      <c r="B1649" s="167" t="s">
        <v>2510</v>
      </c>
      <c r="C1649" s="167">
        <v>14119598</v>
      </c>
      <c r="D1649" s="167" t="s">
        <v>255</v>
      </c>
      <c r="E1649" s="167" t="s">
        <v>3699</v>
      </c>
      <c r="F1649" s="168">
        <v>125.16</v>
      </c>
    </row>
    <row r="1650" spans="1:6" x14ac:dyDescent="0.2">
      <c r="A1650" s="163" t="s">
        <v>3724</v>
      </c>
      <c r="B1650" s="164" t="s">
        <v>2510</v>
      </c>
      <c r="C1650" s="164">
        <v>14119540</v>
      </c>
      <c r="D1650" s="164" t="s">
        <v>254</v>
      </c>
      <c r="E1650" s="164" t="s">
        <v>3699</v>
      </c>
      <c r="F1650" s="165">
        <v>125.16</v>
      </c>
    </row>
    <row r="1651" spans="1:6" x14ac:dyDescent="0.2">
      <c r="A1651" s="166" t="s">
        <v>3724</v>
      </c>
      <c r="B1651" s="167" t="s">
        <v>2510</v>
      </c>
      <c r="C1651" s="167">
        <v>14119517</v>
      </c>
      <c r="D1651" s="167" t="s">
        <v>252</v>
      </c>
      <c r="E1651" s="167" t="s">
        <v>3699</v>
      </c>
      <c r="F1651" s="168">
        <v>125.16</v>
      </c>
    </row>
    <row r="1652" spans="1:6" x14ac:dyDescent="0.2">
      <c r="A1652" s="163" t="s">
        <v>3724</v>
      </c>
      <c r="B1652" s="164" t="s">
        <v>2510</v>
      </c>
      <c r="C1652" s="164">
        <v>14119481</v>
      </c>
      <c r="D1652" s="164" t="s">
        <v>248</v>
      </c>
      <c r="E1652" s="164" t="s">
        <v>3699</v>
      </c>
      <c r="F1652" s="165">
        <v>125.16</v>
      </c>
    </row>
    <row r="1653" spans="1:6" x14ac:dyDescent="0.2">
      <c r="A1653" s="166" t="s">
        <v>3724</v>
      </c>
      <c r="B1653" s="167" t="s">
        <v>2510</v>
      </c>
      <c r="C1653" s="167">
        <v>14119357</v>
      </c>
      <c r="D1653" s="167" t="s">
        <v>245</v>
      </c>
      <c r="E1653" s="167" t="s">
        <v>3699</v>
      </c>
      <c r="F1653" s="168">
        <v>125.16</v>
      </c>
    </row>
    <row r="1654" spans="1:6" x14ac:dyDescent="0.2">
      <c r="A1654" s="163" t="s">
        <v>3724</v>
      </c>
      <c r="B1654" s="164" t="s">
        <v>2510</v>
      </c>
      <c r="C1654" s="164">
        <v>14119324</v>
      </c>
      <c r="D1654" s="164" t="s">
        <v>243</v>
      </c>
      <c r="E1654" s="164" t="s">
        <v>3699</v>
      </c>
      <c r="F1654" s="165">
        <v>125.16</v>
      </c>
    </row>
    <row r="1655" spans="1:6" x14ac:dyDescent="0.2">
      <c r="A1655" s="166" t="s">
        <v>3724</v>
      </c>
      <c r="B1655" s="167" t="s">
        <v>2510</v>
      </c>
      <c r="C1655" s="167">
        <v>14119323</v>
      </c>
      <c r="D1655" s="167" t="s">
        <v>242</v>
      </c>
      <c r="E1655" s="167" t="s">
        <v>3699</v>
      </c>
      <c r="F1655" s="168">
        <v>125.16</v>
      </c>
    </row>
    <row r="1656" spans="1:6" x14ac:dyDescent="0.2">
      <c r="A1656" s="163" t="s">
        <v>3724</v>
      </c>
      <c r="B1656" s="164" t="s">
        <v>2510</v>
      </c>
      <c r="C1656" s="164">
        <v>14119271</v>
      </c>
      <c r="D1656" s="164" t="s">
        <v>240</v>
      </c>
      <c r="E1656" s="164" t="s">
        <v>3699</v>
      </c>
      <c r="F1656" s="165">
        <v>125.16</v>
      </c>
    </row>
    <row r="1657" spans="1:6" x14ac:dyDescent="0.2">
      <c r="A1657" s="166" t="s">
        <v>3724</v>
      </c>
      <c r="B1657" s="167" t="s">
        <v>2510</v>
      </c>
      <c r="C1657" s="167">
        <v>14119175</v>
      </c>
      <c r="D1657" s="167" t="s">
        <v>238</v>
      </c>
      <c r="E1657" s="167" t="s">
        <v>3699</v>
      </c>
      <c r="F1657" s="168">
        <v>125.16</v>
      </c>
    </row>
    <row r="1658" spans="1:6" x14ac:dyDescent="0.2">
      <c r="A1658" s="163" t="s">
        <v>3724</v>
      </c>
      <c r="B1658" s="164" t="s">
        <v>2510</v>
      </c>
      <c r="C1658" s="164">
        <v>14119155</v>
      </c>
      <c r="D1658" s="164" t="s">
        <v>235</v>
      </c>
      <c r="E1658" s="164" t="s">
        <v>3699</v>
      </c>
      <c r="F1658" s="165">
        <v>125.16</v>
      </c>
    </row>
    <row r="1659" spans="1:6" x14ac:dyDescent="0.2">
      <c r="A1659" s="166" t="s">
        <v>3724</v>
      </c>
      <c r="B1659" s="167" t="s">
        <v>2510</v>
      </c>
      <c r="C1659" s="167">
        <v>14119154</v>
      </c>
      <c r="D1659" s="167" t="s">
        <v>234</v>
      </c>
      <c r="E1659" s="167" t="s">
        <v>3699</v>
      </c>
      <c r="F1659" s="168">
        <v>125.16</v>
      </c>
    </row>
    <row r="1660" spans="1:6" x14ac:dyDescent="0.2">
      <c r="A1660" s="163" t="s">
        <v>3724</v>
      </c>
      <c r="B1660" s="164" t="s">
        <v>2510</v>
      </c>
      <c r="C1660" s="164">
        <v>14119076</v>
      </c>
      <c r="D1660" s="164" t="s">
        <v>232</v>
      </c>
      <c r="E1660" s="164" t="s">
        <v>3699</v>
      </c>
      <c r="F1660" s="165">
        <v>125.16</v>
      </c>
    </row>
    <row r="1661" spans="1:6" x14ac:dyDescent="0.2">
      <c r="A1661" s="166" t="s">
        <v>3724</v>
      </c>
      <c r="B1661" s="167" t="s">
        <v>2510</v>
      </c>
      <c r="C1661" s="167">
        <v>14119057</v>
      </c>
      <c r="D1661" s="167" t="s">
        <v>231</v>
      </c>
      <c r="E1661" s="167" t="s">
        <v>3699</v>
      </c>
      <c r="F1661" s="168">
        <v>125.16</v>
      </c>
    </row>
    <row r="1662" spans="1:6" x14ac:dyDescent="0.2">
      <c r="A1662" s="163" t="s">
        <v>3724</v>
      </c>
      <c r="B1662" s="164" t="s">
        <v>2510</v>
      </c>
      <c r="C1662" s="164">
        <v>14119018</v>
      </c>
      <c r="D1662" s="164" t="s">
        <v>230</v>
      </c>
      <c r="E1662" s="164" t="s">
        <v>3699</v>
      </c>
      <c r="F1662" s="165">
        <v>125.16</v>
      </c>
    </row>
    <row r="1663" spans="1:6" x14ac:dyDescent="0.2">
      <c r="A1663" s="166" t="s">
        <v>3724</v>
      </c>
      <c r="B1663" s="167" t="s">
        <v>2510</v>
      </c>
      <c r="C1663" s="167">
        <v>14118809</v>
      </c>
      <c r="D1663" s="167" t="s">
        <v>216</v>
      </c>
      <c r="E1663" s="167" t="s">
        <v>3699</v>
      </c>
      <c r="F1663" s="168">
        <v>130.33000000000001</v>
      </c>
    </row>
    <row r="1664" spans="1:6" x14ac:dyDescent="0.2">
      <c r="A1664" s="163" t="s">
        <v>3724</v>
      </c>
      <c r="B1664" s="164" t="s">
        <v>2510</v>
      </c>
      <c r="C1664" s="164">
        <v>14118745</v>
      </c>
      <c r="D1664" s="164" t="s">
        <v>212</v>
      </c>
      <c r="E1664" s="164" t="s">
        <v>3699</v>
      </c>
      <c r="F1664" s="165">
        <v>130.33000000000001</v>
      </c>
    </row>
    <row r="1665" spans="1:6" x14ac:dyDescent="0.2">
      <c r="A1665" s="166" t="s">
        <v>3724</v>
      </c>
      <c r="B1665" s="167" t="s">
        <v>2510</v>
      </c>
      <c r="C1665" s="167">
        <v>14118663</v>
      </c>
      <c r="D1665" s="167" t="s">
        <v>211</v>
      </c>
      <c r="E1665" s="167" t="s">
        <v>3699</v>
      </c>
      <c r="F1665" s="168">
        <v>130.33000000000001</v>
      </c>
    </row>
    <row r="1666" spans="1:6" x14ac:dyDescent="0.2">
      <c r="A1666" s="163" t="s">
        <v>3724</v>
      </c>
      <c r="B1666" s="164" t="s">
        <v>2510</v>
      </c>
      <c r="C1666" s="164">
        <v>14118660</v>
      </c>
      <c r="D1666" s="164" t="s">
        <v>210</v>
      </c>
      <c r="E1666" s="164" t="s">
        <v>3699</v>
      </c>
      <c r="F1666" s="165">
        <v>130.33000000000001</v>
      </c>
    </row>
    <row r="1667" spans="1:6" x14ac:dyDescent="0.2">
      <c r="A1667" s="166" t="s">
        <v>3724</v>
      </c>
      <c r="B1667" s="167" t="s">
        <v>2510</v>
      </c>
      <c r="C1667" s="167">
        <v>14118640</v>
      </c>
      <c r="D1667" s="167" t="s">
        <v>209</v>
      </c>
      <c r="E1667" s="167" t="s">
        <v>3699</v>
      </c>
      <c r="F1667" s="168">
        <v>130.33000000000001</v>
      </c>
    </row>
    <row r="1668" spans="1:6" x14ac:dyDescent="0.2">
      <c r="A1668" s="163" t="s">
        <v>3724</v>
      </c>
      <c r="B1668" s="164" t="s">
        <v>2510</v>
      </c>
      <c r="C1668" s="164">
        <v>14118625</v>
      </c>
      <c r="D1668" s="164" t="s">
        <v>428</v>
      </c>
      <c r="E1668" s="164" t="s">
        <v>3699</v>
      </c>
      <c r="F1668" s="165">
        <v>110.84</v>
      </c>
    </row>
    <row r="1669" spans="1:6" x14ac:dyDescent="0.2">
      <c r="A1669" s="166" t="s">
        <v>3724</v>
      </c>
      <c r="B1669" s="167" t="s">
        <v>2510</v>
      </c>
      <c r="C1669" s="167">
        <v>14118621</v>
      </c>
      <c r="D1669" s="167" t="s">
        <v>206</v>
      </c>
      <c r="E1669" s="167" t="s">
        <v>3699</v>
      </c>
      <c r="F1669" s="168">
        <v>130.33000000000001</v>
      </c>
    </row>
    <row r="1670" spans="1:6" x14ac:dyDescent="0.2">
      <c r="A1670" s="163" t="s">
        <v>3724</v>
      </c>
      <c r="B1670" s="164" t="s">
        <v>2510</v>
      </c>
      <c r="C1670" s="164">
        <v>14118579</v>
      </c>
      <c r="D1670" s="164" t="s">
        <v>471</v>
      </c>
      <c r="E1670" s="164" t="s">
        <v>3699</v>
      </c>
      <c r="F1670" s="165">
        <v>117.45</v>
      </c>
    </row>
    <row r="1671" spans="1:6" x14ac:dyDescent="0.2">
      <c r="A1671" s="166" t="s">
        <v>3724</v>
      </c>
      <c r="B1671" s="167" t="s">
        <v>2510</v>
      </c>
      <c r="C1671" s="167">
        <v>14118505</v>
      </c>
      <c r="D1671" s="167" t="s">
        <v>356</v>
      </c>
      <c r="E1671" s="167" t="s">
        <v>3699</v>
      </c>
      <c r="F1671" s="168">
        <v>120.75</v>
      </c>
    </row>
    <row r="1672" spans="1:6" x14ac:dyDescent="0.2">
      <c r="A1672" s="163" t="s">
        <v>3724</v>
      </c>
      <c r="B1672" s="164" t="s">
        <v>2510</v>
      </c>
      <c r="C1672" s="164">
        <v>14118501</v>
      </c>
      <c r="D1672" s="164" t="s">
        <v>203</v>
      </c>
      <c r="E1672" s="164" t="s">
        <v>3699</v>
      </c>
      <c r="F1672" s="165">
        <v>120.75</v>
      </c>
    </row>
    <row r="1673" spans="1:6" x14ac:dyDescent="0.2">
      <c r="A1673" s="166" t="s">
        <v>3724</v>
      </c>
      <c r="B1673" s="167" t="s">
        <v>2510</v>
      </c>
      <c r="C1673" s="167">
        <v>14118499</v>
      </c>
      <c r="D1673" s="167" t="s">
        <v>202</v>
      </c>
      <c r="E1673" s="167" t="s">
        <v>3699</v>
      </c>
      <c r="F1673" s="168">
        <v>130.33000000000001</v>
      </c>
    </row>
    <row r="1674" spans="1:6" x14ac:dyDescent="0.2">
      <c r="A1674" s="163" t="s">
        <v>3724</v>
      </c>
      <c r="B1674" s="164" t="s">
        <v>2510</v>
      </c>
      <c r="C1674" s="164">
        <v>14118440</v>
      </c>
      <c r="D1674" s="164" t="s">
        <v>201</v>
      </c>
      <c r="E1674" s="164" t="s">
        <v>3699</v>
      </c>
      <c r="F1674" s="165">
        <v>130.33000000000001</v>
      </c>
    </row>
    <row r="1675" spans="1:6" x14ac:dyDescent="0.2">
      <c r="A1675" s="166" t="s">
        <v>3724</v>
      </c>
      <c r="B1675" s="167" t="s">
        <v>2510</v>
      </c>
      <c r="C1675" s="167">
        <v>14118397</v>
      </c>
      <c r="D1675" s="167" t="s">
        <v>200</v>
      </c>
      <c r="E1675" s="167" t="s">
        <v>3699</v>
      </c>
      <c r="F1675" s="168">
        <v>130.33000000000001</v>
      </c>
    </row>
    <row r="1676" spans="1:6" x14ac:dyDescent="0.2">
      <c r="A1676" s="163" t="s">
        <v>3724</v>
      </c>
      <c r="B1676" s="164" t="s">
        <v>2510</v>
      </c>
      <c r="C1676" s="164">
        <v>14118225</v>
      </c>
      <c r="D1676" s="164" t="s">
        <v>272</v>
      </c>
      <c r="E1676" s="164" t="s">
        <v>3699</v>
      </c>
      <c r="F1676" s="165">
        <v>125.16</v>
      </c>
    </row>
    <row r="1677" spans="1:6" x14ac:dyDescent="0.2">
      <c r="A1677" s="166" t="s">
        <v>3724</v>
      </c>
      <c r="B1677" s="167" t="s">
        <v>2510</v>
      </c>
      <c r="C1677" s="167">
        <v>14118210</v>
      </c>
      <c r="D1677" s="167" t="s">
        <v>194</v>
      </c>
      <c r="E1677" s="167" t="s">
        <v>3699</v>
      </c>
      <c r="F1677" s="168">
        <v>130.33000000000001</v>
      </c>
    </row>
    <row r="1678" spans="1:6" x14ac:dyDescent="0.2">
      <c r="A1678" s="163" t="s">
        <v>3724</v>
      </c>
      <c r="B1678" s="164" t="s">
        <v>2510</v>
      </c>
      <c r="C1678" s="164">
        <v>14118196</v>
      </c>
      <c r="D1678" s="164" t="s">
        <v>193</v>
      </c>
      <c r="E1678" s="164" t="s">
        <v>3699</v>
      </c>
      <c r="F1678" s="165">
        <v>130.33000000000001</v>
      </c>
    </row>
    <row r="1679" spans="1:6" x14ac:dyDescent="0.2">
      <c r="A1679" s="166" t="s">
        <v>3724</v>
      </c>
      <c r="B1679" s="167" t="s">
        <v>2510</v>
      </c>
      <c r="C1679" s="167">
        <v>14118186</v>
      </c>
      <c r="D1679" s="167" t="s">
        <v>192</v>
      </c>
      <c r="E1679" s="167" t="s">
        <v>3699</v>
      </c>
      <c r="F1679" s="168">
        <v>130.33000000000001</v>
      </c>
    </row>
    <row r="1680" spans="1:6" x14ac:dyDescent="0.2">
      <c r="A1680" s="163" t="s">
        <v>3724</v>
      </c>
      <c r="B1680" s="164" t="s">
        <v>2510</v>
      </c>
      <c r="C1680" s="164">
        <v>14118184</v>
      </c>
      <c r="D1680" s="164" t="s">
        <v>239</v>
      </c>
      <c r="E1680" s="164" t="s">
        <v>3699</v>
      </c>
      <c r="F1680" s="165">
        <v>125.16</v>
      </c>
    </row>
    <row r="1681" spans="1:6" x14ac:dyDescent="0.2">
      <c r="A1681" s="166" t="s">
        <v>3724</v>
      </c>
      <c r="B1681" s="167" t="s">
        <v>2510</v>
      </c>
      <c r="C1681" s="167">
        <v>14117986</v>
      </c>
      <c r="D1681" s="167" t="s">
        <v>188</v>
      </c>
      <c r="E1681" s="167" t="s">
        <v>3699</v>
      </c>
      <c r="F1681" s="168">
        <v>130.33000000000001</v>
      </c>
    </row>
    <row r="1682" spans="1:6" x14ac:dyDescent="0.2">
      <c r="A1682" s="163" t="s">
        <v>3724</v>
      </c>
      <c r="B1682" s="164" t="s">
        <v>2510</v>
      </c>
      <c r="C1682" s="164">
        <v>14117970</v>
      </c>
      <c r="D1682" s="164" t="s">
        <v>190</v>
      </c>
      <c r="E1682" s="164" t="s">
        <v>3699</v>
      </c>
      <c r="F1682" s="165">
        <v>152.32</v>
      </c>
    </row>
    <row r="1683" spans="1:6" x14ac:dyDescent="0.2">
      <c r="A1683" s="166" t="s">
        <v>3724</v>
      </c>
      <c r="B1683" s="167" t="s">
        <v>2510</v>
      </c>
      <c r="C1683" s="167">
        <v>14117969</v>
      </c>
      <c r="D1683" s="167" t="s">
        <v>405</v>
      </c>
      <c r="E1683" s="167" t="s">
        <v>3699</v>
      </c>
      <c r="F1683" s="168">
        <v>120.75</v>
      </c>
    </row>
    <row r="1684" spans="1:6" x14ac:dyDescent="0.2">
      <c r="A1684" s="163" t="s">
        <v>3724</v>
      </c>
      <c r="B1684" s="164" t="s">
        <v>2510</v>
      </c>
      <c r="C1684" s="164">
        <v>14117967</v>
      </c>
      <c r="D1684" s="164" t="s">
        <v>186</v>
      </c>
      <c r="E1684" s="164" t="s">
        <v>3699</v>
      </c>
      <c r="F1684" s="165">
        <v>130.33000000000001</v>
      </c>
    </row>
    <row r="1685" spans="1:6" x14ac:dyDescent="0.2">
      <c r="A1685" s="166" t="s">
        <v>3724</v>
      </c>
      <c r="B1685" s="167" t="s">
        <v>2510</v>
      </c>
      <c r="C1685" s="167">
        <v>14117542</v>
      </c>
      <c r="D1685" s="167" t="s">
        <v>180</v>
      </c>
      <c r="E1685" s="167" t="s">
        <v>3699</v>
      </c>
      <c r="F1685" s="168">
        <v>130.33000000000001</v>
      </c>
    </row>
    <row r="1686" spans="1:6" x14ac:dyDescent="0.2">
      <c r="A1686" s="163" t="s">
        <v>3724</v>
      </c>
      <c r="B1686" s="164" t="s">
        <v>2510</v>
      </c>
      <c r="C1686" s="164">
        <v>14117509</v>
      </c>
      <c r="D1686" s="164" t="s">
        <v>237</v>
      </c>
      <c r="E1686" s="164" t="s">
        <v>3699</v>
      </c>
      <c r="F1686" s="165">
        <v>125.16</v>
      </c>
    </row>
    <row r="1687" spans="1:6" x14ac:dyDescent="0.2">
      <c r="A1687" s="166" t="s">
        <v>3724</v>
      </c>
      <c r="B1687" s="167" t="s">
        <v>2510</v>
      </c>
      <c r="C1687" s="167">
        <v>14117508</v>
      </c>
      <c r="D1687" s="167" t="s">
        <v>318</v>
      </c>
      <c r="E1687" s="167" t="s">
        <v>3699</v>
      </c>
      <c r="F1687" s="168">
        <v>120.75</v>
      </c>
    </row>
    <row r="1688" spans="1:6" x14ac:dyDescent="0.2">
      <c r="A1688" s="163" t="s">
        <v>3724</v>
      </c>
      <c r="B1688" s="164" t="s">
        <v>2510</v>
      </c>
      <c r="C1688" s="164">
        <v>14117400</v>
      </c>
      <c r="D1688" s="164" t="s">
        <v>179</v>
      </c>
      <c r="E1688" s="164" t="s">
        <v>3699</v>
      </c>
      <c r="F1688" s="165">
        <v>130.33000000000001</v>
      </c>
    </row>
    <row r="1689" spans="1:6" x14ac:dyDescent="0.2">
      <c r="A1689" s="166" t="s">
        <v>3724</v>
      </c>
      <c r="B1689" s="167" t="s">
        <v>2510</v>
      </c>
      <c r="C1689" s="167">
        <v>14117160</v>
      </c>
      <c r="D1689" s="167" t="s">
        <v>177</v>
      </c>
      <c r="E1689" s="167" t="s">
        <v>3699</v>
      </c>
      <c r="F1689" s="168">
        <v>130.33000000000001</v>
      </c>
    </row>
    <row r="1690" spans="1:6" x14ac:dyDescent="0.2">
      <c r="A1690" s="163" t="s">
        <v>3724</v>
      </c>
      <c r="B1690" s="164" t="s">
        <v>2510</v>
      </c>
      <c r="C1690" s="164">
        <v>14117157</v>
      </c>
      <c r="D1690" s="164" t="s">
        <v>246</v>
      </c>
      <c r="E1690" s="164" t="s">
        <v>3699</v>
      </c>
      <c r="F1690" s="165">
        <v>125.16</v>
      </c>
    </row>
    <row r="1691" spans="1:6" x14ac:dyDescent="0.2">
      <c r="A1691" s="166" t="s">
        <v>3724</v>
      </c>
      <c r="B1691" s="167" t="s">
        <v>2510</v>
      </c>
      <c r="C1691" s="167">
        <v>14117156</v>
      </c>
      <c r="D1691" s="167" t="s">
        <v>241</v>
      </c>
      <c r="E1691" s="167" t="s">
        <v>3699</v>
      </c>
      <c r="F1691" s="168">
        <v>125.16</v>
      </c>
    </row>
    <row r="1692" spans="1:6" x14ac:dyDescent="0.2">
      <c r="A1692" s="163" t="s">
        <v>3724</v>
      </c>
      <c r="B1692" s="164" t="s">
        <v>2510</v>
      </c>
      <c r="C1692" s="164">
        <v>14116917</v>
      </c>
      <c r="D1692" s="164" t="s">
        <v>174</v>
      </c>
      <c r="E1692" s="164" t="s">
        <v>3699</v>
      </c>
      <c r="F1692" s="165">
        <v>130.33000000000001</v>
      </c>
    </row>
    <row r="1693" spans="1:6" x14ac:dyDescent="0.2">
      <c r="A1693" s="166" t="s">
        <v>3724</v>
      </c>
      <c r="B1693" s="167" t="s">
        <v>2510</v>
      </c>
      <c r="C1693" s="167">
        <v>14116860</v>
      </c>
      <c r="D1693" s="167" t="s">
        <v>172</v>
      </c>
      <c r="E1693" s="167" t="s">
        <v>3699</v>
      </c>
      <c r="F1693" s="168">
        <v>120.75</v>
      </c>
    </row>
    <row r="1694" spans="1:6" x14ac:dyDescent="0.2">
      <c r="A1694" s="163" t="s">
        <v>3724</v>
      </c>
      <c r="B1694" s="164" t="s">
        <v>2510</v>
      </c>
      <c r="C1694" s="164">
        <v>14116855</v>
      </c>
      <c r="D1694" s="164" t="s">
        <v>171</v>
      </c>
      <c r="E1694" s="164" t="s">
        <v>3699</v>
      </c>
      <c r="F1694" s="165">
        <v>130.33000000000001</v>
      </c>
    </row>
    <row r="1695" spans="1:6" x14ac:dyDescent="0.2">
      <c r="A1695" s="166" t="s">
        <v>3724</v>
      </c>
      <c r="B1695" s="167" t="s">
        <v>2510</v>
      </c>
      <c r="C1695" s="167">
        <v>14116643</v>
      </c>
      <c r="D1695" s="167" t="s">
        <v>295</v>
      </c>
      <c r="E1695" s="167" t="s">
        <v>3699</v>
      </c>
      <c r="F1695" s="168">
        <v>125.16</v>
      </c>
    </row>
    <row r="1696" spans="1:6" x14ac:dyDescent="0.2">
      <c r="A1696" s="163" t="s">
        <v>3724</v>
      </c>
      <c r="B1696" s="164" t="s">
        <v>2510</v>
      </c>
      <c r="C1696" s="164">
        <v>14116565</v>
      </c>
      <c r="D1696" s="164" t="s">
        <v>463</v>
      </c>
      <c r="E1696" s="164" t="s">
        <v>3699</v>
      </c>
      <c r="F1696" s="165">
        <v>117.45</v>
      </c>
    </row>
    <row r="1697" spans="1:6" x14ac:dyDescent="0.2">
      <c r="A1697" s="166" t="s">
        <v>3724</v>
      </c>
      <c r="B1697" s="167" t="s">
        <v>2510</v>
      </c>
      <c r="C1697" s="167">
        <v>14116504</v>
      </c>
      <c r="D1697" s="167" t="s">
        <v>165</v>
      </c>
      <c r="E1697" s="167" t="s">
        <v>3699</v>
      </c>
      <c r="F1697" s="168">
        <v>130.33000000000001</v>
      </c>
    </row>
    <row r="1698" spans="1:6" x14ac:dyDescent="0.2">
      <c r="A1698" s="163" t="s">
        <v>3724</v>
      </c>
      <c r="B1698" s="164" t="s">
        <v>2510</v>
      </c>
      <c r="C1698" s="164">
        <v>14116431</v>
      </c>
      <c r="D1698" s="164" t="s">
        <v>163</v>
      </c>
      <c r="E1698" s="164" t="s">
        <v>3699</v>
      </c>
      <c r="F1698" s="165">
        <v>130.33000000000001</v>
      </c>
    </row>
    <row r="1699" spans="1:6" x14ac:dyDescent="0.2">
      <c r="A1699" s="166" t="s">
        <v>3724</v>
      </c>
      <c r="B1699" s="167" t="s">
        <v>2510</v>
      </c>
      <c r="C1699" s="167">
        <v>14116295</v>
      </c>
      <c r="D1699" s="167" t="s">
        <v>159</v>
      </c>
      <c r="E1699" s="167" t="s">
        <v>3699</v>
      </c>
      <c r="F1699" s="168">
        <v>130.33000000000001</v>
      </c>
    </row>
    <row r="1700" spans="1:6" x14ac:dyDescent="0.2">
      <c r="A1700" s="163" t="s">
        <v>3724</v>
      </c>
      <c r="B1700" s="164" t="s">
        <v>2510</v>
      </c>
      <c r="C1700" s="164">
        <v>14116262</v>
      </c>
      <c r="D1700" s="164" t="s">
        <v>158</v>
      </c>
      <c r="E1700" s="164" t="s">
        <v>3699</v>
      </c>
      <c r="F1700" s="165">
        <v>130.33000000000001</v>
      </c>
    </row>
    <row r="1701" spans="1:6" x14ac:dyDescent="0.2">
      <c r="A1701" s="166" t="s">
        <v>3724</v>
      </c>
      <c r="B1701" s="167" t="s">
        <v>2510</v>
      </c>
      <c r="C1701" s="167">
        <v>14116250</v>
      </c>
      <c r="D1701" s="167" t="s">
        <v>431</v>
      </c>
      <c r="E1701" s="167" t="s">
        <v>3699</v>
      </c>
      <c r="F1701" s="168">
        <v>117.45</v>
      </c>
    </row>
    <row r="1702" spans="1:6" x14ac:dyDescent="0.2">
      <c r="A1702" s="163" t="s">
        <v>3724</v>
      </c>
      <c r="B1702" s="164" t="s">
        <v>2510</v>
      </c>
      <c r="C1702" s="164">
        <v>14116058</v>
      </c>
      <c r="D1702" s="164" t="s">
        <v>154</v>
      </c>
      <c r="E1702" s="164" t="s">
        <v>3699</v>
      </c>
      <c r="F1702" s="165">
        <v>130.33000000000001</v>
      </c>
    </row>
    <row r="1703" spans="1:6" x14ac:dyDescent="0.2">
      <c r="A1703" s="166" t="s">
        <v>3724</v>
      </c>
      <c r="B1703" s="167" t="s">
        <v>2510</v>
      </c>
      <c r="C1703" s="167">
        <v>14116000</v>
      </c>
      <c r="D1703" s="167" t="s">
        <v>152</v>
      </c>
      <c r="E1703" s="167" t="s">
        <v>3699</v>
      </c>
      <c r="F1703" s="168">
        <v>130.33000000000001</v>
      </c>
    </row>
    <row r="1704" spans="1:6" x14ac:dyDescent="0.2">
      <c r="A1704" s="163" t="s">
        <v>3724</v>
      </c>
      <c r="B1704" s="164" t="s">
        <v>2510</v>
      </c>
      <c r="C1704" s="164">
        <v>14115917</v>
      </c>
      <c r="D1704" s="164" t="s">
        <v>151</v>
      </c>
      <c r="E1704" s="164" t="s">
        <v>3699</v>
      </c>
      <c r="F1704" s="165">
        <v>130.33000000000001</v>
      </c>
    </row>
    <row r="1705" spans="1:6" x14ac:dyDescent="0.2">
      <c r="A1705" s="166" t="s">
        <v>3724</v>
      </c>
      <c r="B1705" s="167" t="s">
        <v>2510</v>
      </c>
      <c r="C1705" s="167">
        <v>14115909</v>
      </c>
      <c r="D1705" s="167" t="s">
        <v>341</v>
      </c>
      <c r="E1705" s="167" t="s">
        <v>3699</v>
      </c>
      <c r="F1705" s="168">
        <v>130.33000000000001</v>
      </c>
    </row>
    <row r="1706" spans="1:6" x14ac:dyDescent="0.2">
      <c r="A1706" s="163" t="s">
        <v>3724</v>
      </c>
      <c r="B1706" s="164" t="s">
        <v>2510</v>
      </c>
      <c r="C1706" s="164">
        <v>14115908</v>
      </c>
      <c r="D1706" s="164" t="s">
        <v>150</v>
      </c>
      <c r="E1706" s="164" t="s">
        <v>3699</v>
      </c>
      <c r="F1706" s="165">
        <v>130.33000000000001</v>
      </c>
    </row>
    <row r="1707" spans="1:6" x14ac:dyDescent="0.2">
      <c r="A1707" s="166" t="s">
        <v>3724</v>
      </c>
      <c r="B1707" s="167" t="s">
        <v>2510</v>
      </c>
      <c r="C1707" s="167">
        <v>14115830</v>
      </c>
      <c r="D1707" s="167" t="s">
        <v>149</v>
      </c>
      <c r="E1707" s="167" t="s">
        <v>3699</v>
      </c>
      <c r="F1707" s="168">
        <v>130.33000000000001</v>
      </c>
    </row>
    <row r="1708" spans="1:6" x14ac:dyDescent="0.2">
      <c r="A1708" s="163" t="s">
        <v>3724</v>
      </c>
      <c r="B1708" s="164" t="s">
        <v>2510</v>
      </c>
      <c r="C1708" s="164">
        <v>14115630</v>
      </c>
      <c r="D1708" s="164" t="s">
        <v>146</v>
      </c>
      <c r="E1708" s="164" t="s">
        <v>3699</v>
      </c>
      <c r="F1708" s="165">
        <v>130.33000000000001</v>
      </c>
    </row>
    <row r="1709" spans="1:6" x14ac:dyDescent="0.2">
      <c r="A1709" s="166" t="s">
        <v>3724</v>
      </c>
      <c r="B1709" s="167" t="s">
        <v>2510</v>
      </c>
      <c r="C1709" s="167">
        <v>14115536</v>
      </c>
      <c r="D1709" s="167" t="s">
        <v>144</v>
      </c>
      <c r="E1709" s="167" t="s">
        <v>3699</v>
      </c>
      <c r="F1709" s="168">
        <v>130.33000000000001</v>
      </c>
    </row>
    <row r="1710" spans="1:6" x14ac:dyDescent="0.2">
      <c r="A1710" s="163" t="s">
        <v>3724</v>
      </c>
      <c r="B1710" s="164" t="s">
        <v>2510</v>
      </c>
      <c r="C1710" s="164">
        <v>14114709</v>
      </c>
      <c r="D1710" s="164" t="s">
        <v>139</v>
      </c>
      <c r="E1710" s="164" t="s">
        <v>3699</v>
      </c>
      <c r="F1710" s="165">
        <v>130.33000000000001</v>
      </c>
    </row>
    <row r="1711" spans="1:6" x14ac:dyDescent="0.2">
      <c r="A1711" s="166" t="s">
        <v>3724</v>
      </c>
      <c r="B1711" s="167" t="s">
        <v>2510</v>
      </c>
      <c r="C1711" s="167">
        <v>14114667</v>
      </c>
      <c r="D1711" s="167" t="s">
        <v>138</v>
      </c>
      <c r="E1711" s="167" t="s">
        <v>3699</v>
      </c>
      <c r="F1711" s="168">
        <v>130.33000000000001</v>
      </c>
    </row>
    <row r="1712" spans="1:6" x14ac:dyDescent="0.2">
      <c r="A1712" s="163" t="s">
        <v>3724</v>
      </c>
      <c r="B1712" s="164" t="s">
        <v>2510</v>
      </c>
      <c r="C1712" s="164">
        <v>14114431</v>
      </c>
      <c r="D1712" s="164" t="s">
        <v>136</v>
      </c>
      <c r="E1712" s="164" t="s">
        <v>3699</v>
      </c>
      <c r="F1712" s="165">
        <v>130.33000000000001</v>
      </c>
    </row>
    <row r="1713" spans="1:6" x14ac:dyDescent="0.2">
      <c r="A1713" s="166" t="s">
        <v>3724</v>
      </c>
      <c r="B1713" s="167" t="s">
        <v>2510</v>
      </c>
      <c r="C1713" s="167">
        <v>14114062</v>
      </c>
      <c r="D1713" s="167" t="s">
        <v>134</v>
      </c>
      <c r="E1713" s="167" t="s">
        <v>3699</v>
      </c>
      <c r="F1713" s="168">
        <v>130.33000000000001</v>
      </c>
    </row>
    <row r="1714" spans="1:6" x14ac:dyDescent="0.2">
      <c r="A1714" s="163" t="s">
        <v>3724</v>
      </c>
      <c r="B1714" s="164" t="s">
        <v>2510</v>
      </c>
      <c r="C1714" s="164">
        <v>14114037</v>
      </c>
      <c r="D1714" s="164" t="s">
        <v>184</v>
      </c>
      <c r="E1714" s="164" t="s">
        <v>3699</v>
      </c>
      <c r="F1714" s="165">
        <v>130.33000000000001</v>
      </c>
    </row>
    <row r="1715" spans="1:6" x14ac:dyDescent="0.2">
      <c r="A1715" s="166" t="s">
        <v>3724</v>
      </c>
      <c r="B1715" s="167" t="s">
        <v>2510</v>
      </c>
      <c r="C1715" s="167">
        <v>14113837</v>
      </c>
      <c r="D1715" s="167" t="s">
        <v>132</v>
      </c>
      <c r="E1715" s="167" t="s">
        <v>3699</v>
      </c>
      <c r="F1715" s="168">
        <v>130.33000000000001</v>
      </c>
    </row>
    <row r="1716" spans="1:6" x14ac:dyDescent="0.2">
      <c r="A1716" s="163" t="s">
        <v>3724</v>
      </c>
      <c r="B1716" s="164" t="s">
        <v>2510</v>
      </c>
      <c r="C1716" s="164">
        <v>14113803</v>
      </c>
      <c r="D1716" s="164" t="s">
        <v>299</v>
      </c>
      <c r="E1716" s="164" t="s">
        <v>3699</v>
      </c>
      <c r="F1716" s="165">
        <v>125.16</v>
      </c>
    </row>
    <row r="1717" spans="1:6" x14ac:dyDescent="0.2">
      <c r="A1717" s="166" t="s">
        <v>3724</v>
      </c>
      <c r="B1717" s="167" t="s">
        <v>2510</v>
      </c>
      <c r="C1717" s="167">
        <v>14113619</v>
      </c>
      <c r="D1717" s="167" t="s">
        <v>131</v>
      </c>
      <c r="E1717" s="167" t="s">
        <v>3699</v>
      </c>
      <c r="F1717" s="168">
        <v>130.33000000000001</v>
      </c>
    </row>
    <row r="1718" spans="1:6" x14ac:dyDescent="0.2">
      <c r="A1718" s="163" t="s">
        <v>3724</v>
      </c>
      <c r="B1718" s="164" t="s">
        <v>2510</v>
      </c>
      <c r="C1718" s="164">
        <v>14113349</v>
      </c>
      <c r="D1718" s="164" t="s">
        <v>129</v>
      </c>
      <c r="E1718" s="164" t="s">
        <v>3699</v>
      </c>
      <c r="F1718" s="165">
        <v>130.33000000000001</v>
      </c>
    </row>
    <row r="1719" spans="1:6" x14ac:dyDescent="0.2">
      <c r="A1719" s="166" t="s">
        <v>3724</v>
      </c>
      <c r="B1719" s="167" t="s">
        <v>2510</v>
      </c>
      <c r="C1719" s="167">
        <v>14113320</v>
      </c>
      <c r="D1719" s="167" t="s">
        <v>128</v>
      </c>
      <c r="E1719" s="167" t="s">
        <v>3699</v>
      </c>
      <c r="F1719" s="168">
        <v>130.33000000000001</v>
      </c>
    </row>
    <row r="1720" spans="1:6" x14ac:dyDescent="0.2">
      <c r="A1720" s="163" t="s">
        <v>3724</v>
      </c>
      <c r="B1720" s="164" t="s">
        <v>2510</v>
      </c>
      <c r="C1720" s="164">
        <v>14113140</v>
      </c>
      <c r="D1720" s="164" t="s">
        <v>124</v>
      </c>
      <c r="E1720" s="164" t="s">
        <v>3699</v>
      </c>
      <c r="F1720" s="165">
        <v>130.33000000000001</v>
      </c>
    </row>
    <row r="1721" spans="1:6" x14ac:dyDescent="0.2">
      <c r="A1721" s="166" t="s">
        <v>3724</v>
      </c>
      <c r="B1721" s="167" t="s">
        <v>2510</v>
      </c>
      <c r="C1721" s="167">
        <v>14112757</v>
      </c>
      <c r="D1721" s="167" t="s">
        <v>355</v>
      </c>
      <c r="E1721" s="167" t="s">
        <v>3699</v>
      </c>
      <c r="F1721" s="168">
        <v>130.33000000000001</v>
      </c>
    </row>
    <row r="1722" spans="1:6" x14ac:dyDescent="0.2">
      <c r="A1722" s="163" t="s">
        <v>3724</v>
      </c>
      <c r="B1722" s="164" t="s">
        <v>2510</v>
      </c>
      <c r="C1722" s="164">
        <v>14112730</v>
      </c>
      <c r="D1722" s="164" t="s">
        <v>281</v>
      </c>
      <c r="E1722" s="164" t="s">
        <v>3699</v>
      </c>
      <c r="F1722" s="165">
        <v>125.16</v>
      </c>
    </row>
    <row r="1723" spans="1:6" x14ac:dyDescent="0.2">
      <c r="A1723" s="166" t="s">
        <v>3724</v>
      </c>
      <c r="B1723" s="167" t="s">
        <v>2510</v>
      </c>
      <c r="C1723" s="167">
        <v>14112635</v>
      </c>
      <c r="D1723" s="167" t="s">
        <v>985</v>
      </c>
      <c r="E1723" s="167" t="s">
        <v>3699</v>
      </c>
      <c r="F1723" s="168">
        <v>117.45</v>
      </c>
    </row>
    <row r="1724" spans="1:6" x14ac:dyDescent="0.2">
      <c r="A1724" s="163" t="s">
        <v>3724</v>
      </c>
      <c r="B1724" s="164" t="s">
        <v>2510</v>
      </c>
      <c r="C1724" s="164">
        <v>14112605</v>
      </c>
      <c r="D1724" s="164" t="s">
        <v>121</v>
      </c>
      <c r="E1724" s="164" t="s">
        <v>3699</v>
      </c>
      <c r="F1724" s="165">
        <v>130.33000000000001</v>
      </c>
    </row>
    <row r="1725" spans="1:6" x14ac:dyDescent="0.2">
      <c r="A1725" s="166" t="s">
        <v>3724</v>
      </c>
      <c r="B1725" s="167" t="s">
        <v>2510</v>
      </c>
      <c r="C1725" s="167">
        <v>14112603</v>
      </c>
      <c r="D1725" s="167" t="s">
        <v>120</v>
      </c>
      <c r="E1725" s="167" t="s">
        <v>3699</v>
      </c>
      <c r="F1725" s="168">
        <v>130.33000000000001</v>
      </c>
    </row>
    <row r="1726" spans="1:6" x14ac:dyDescent="0.2">
      <c r="A1726" s="163" t="s">
        <v>3724</v>
      </c>
      <c r="B1726" s="164" t="s">
        <v>2510</v>
      </c>
      <c r="C1726" s="164">
        <v>14112602</v>
      </c>
      <c r="D1726" s="164" t="s">
        <v>119</v>
      </c>
      <c r="E1726" s="164" t="s">
        <v>3699</v>
      </c>
      <c r="F1726" s="165">
        <v>130.33000000000001</v>
      </c>
    </row>
    <row r="1727" spans="1:6" x14ac:dyDescent="0.2">
      <c r="A1727" s="166" t="s">
        <v>3724</v>
      </c>
      <c r="B1727" s="167" t="s">
        <v>2510</v>
      </c>
      <c r="C1727" s="167">
        <v>14112595</v>
      </c>
      <c r="D1727" s="167" t="s">
        <v>372</v>
      </c>
      <c r="E1727" s="167" t="s">
        <v>3699</v>
      </c>
      <c r="F1727" s="168">
        <v>130.33000000000001</v>
      </c>
    </row>
    <row r="1728" spans="1:6" x14ac:dyDescent="0.2">
      <c r="A1728" s="163" t="s">
        <v>3724</v>
      </c>
      <c r="B1728" s="164" t="s">
        <v>2510</v>
      </c>
      <c r="C1728" s="164">
        <v>14112588</v>
      </c>
      <c r="D1728" s="164" t="s">
        <v>935</v>
      </c>
      <c r="E1728" s="164" t="s">
        <v>3699</v>
      </c>
      <c r="F1728" s="165">
        <v>117.45</v>
      </c>
    </row>
    <row r="1729" spans="1:6" x14ac:dyDescent="0.2">
      <c r="A1729" s="166" t="s">
        <v>3724</v>
      </c>
      <c r="B1729" s="167" t="s">
        <v>2510</v>
      </c>
      <c r="C1729" s="167">
        <v>14112292</v>
      </c>
      <c r="D1729" s="167" t="s">
        <v>195</v>
      </c>
      <c r="E1729" s="167" t="s">
        <v>3699</v>
      </c>
      <c r="F1729" s="168">
        <v>130.33000000000001</v>
      </c>
    </row>
    <row r="1730" spans="1:6" x14ac:dyDescent="0.2">
      <c r="A1730" s="163" t="s">
        <v>3724</v>
      </c>
      <c r="B1730" s="164" t="s">
        <v>2510</v>
      </c>
      <c r="C1730" s="164">
        <v>14112197</v>
      </c>
      <c r="D1730" s="164" t="s">
        <v>244</v>
      </c>
      <c r="E1730" s="164" t="s">
        <v>3699</v>
      </c>
      <c r="F1730" s="165">
        <v>125.16</v>
      </c>
    </row>
    <row r="1731" spans="1:6" x14ac:dyDescent="0.2">
      <c r="A1731" s="166" t="s">
        <v>3724</v>
      </c>
      <c r="B1731" s="167" t="s">
        <v>2510</v>
      </c>
      <c r="C1731" s="167">
        <v>14112124</v>
      </c>
      <c r="D1731" s="167" t="s">
        <v>251</v>
      </c>
      <c r="E1731" s="167" t="s">
        <v>3699</v>
      </c>
      <c r="F1731" s="168">
        <v>125.16</v>
      </c>
    </row>
    <row r="1732" spans="1:6" x14ac:dyDescent="0.2">
      <c r="A1732" s="163" t="s">
        <v>3724</v>
      </c>
      <c r="B1732" s="164" t="s">
        <v>2510</v>
      </c>
      <c r="C1732" s="164">
        <v>14111754</v>
      </c>
      <c r="D1732" s="164" t="s">
        <v>316</v>
      </c>
      <c r="E1732" s="164" t="s">
        <v>3699</v>
      </c>
      <c r="F1732" s="165">
        <v>130.33000000000001</v>
      </c>
    </row>
    <row r="1733" spans="1:6" x14ac:dyDescent="0.2">
      <c r="A1733" s="166" t="s">
        <v>3724</v>
      </c>
      <c r="B1733" s="167" t="s">
        <v>2510</v>
      </c>
      <c r="C1733" s="167">
        <v>14111675</v>
      </c>
      <c r="D1733" s="167" t="s">
        <v>113</v>
      </c>
      <c r="E1733" s="167" t="s">
        <v>3699</v>
      </c>
      <c r="F1733" s="168">
        <v>120.75</v>
      </c>
    </row>
    <row r="1734" spans="1:6" x14ac:dyDescent="0.2">
      <c r="A1734" s="163" t="s">
        <v>3724</v>
      </c>
      <c r="B1734" s="164" t="s">
        <v>2510</v>
      </c>
      <c r="C1734" s="164">
        <v>14111557</v>
      </c>
      <c r="D1734" s="164" t="s">
        <v>112</v>
      </c>
      <c r="E1734" s="164" t="s">
        <v>3699</v>
      </c>
      <c r="F1734" s="165">
        <v>130.33000000000001</v>
      </c>
    </row>
    <row r="1735" spans="1:6" x14ac:dyDescent="0.2">
      <c r="A1735" s="166" t="s">
        <v>3724</v>
      </c>
      <c r="B1735" s="167" t="s">
        <v>2510</v>
      </c>
      <c r="C1735" s="167">
        <v>14111143</v>
      </c>
      <c r="D1735" s="167" t="s">
        <v>110</v>
      </c>
      <c r="E1735" s="167" t="s">
        <v>3699</v>
      </c>
      <c r="F1735" s="168">
        <v>130.33000000000001</v>
      </c>
    </row>
    <row r="1736" spans="1:6" x14ac:dyDescent="0.2">
      <c r="A1736" s="163" t="s">
        <v>3724</v>
      </c>
      <c r="B1736" s="164" t="s">
        <v>2510</v>
      </c>
      <c r="C1736" s="164">
        <v>14110973</v>
      </c>
      <c r="D1736" s="164" t="s">
        <v>107</v>
      </c>
      <c r="E1736" s="164" t="s">
        <v>3699</v>
      </c>
      <c r="F1736" s="165">
        <v>130.33000000000001</v>
      </c>
    </row>
    <row r="1737" spans="1:6" x14ac:dyDescent="0.2">
      <c r="A1737" s="166" t="s">
        <v>3724</v>
      </c>
      <c r="B1737" s="167" t="s">
        <v>2510</v>
      </c>
      <c r="C1737" s="167">
        <v>14110929</v>
      </c>
      <c r="D1737" s="167" t="s">
        <v>183</v>
      </c>
      <c r="E1737" s="167" t="s">
        <v>3699</v>
      </c>
      <c r="F1737" s="168">
        <v>130.33000000000001</v>
      </c>
    </row>
    <row r="1738" spans="1:6" x14ac:dyDescent="0.2">
      <c r="A1738" s="163" t="s">
        <v>3724</v>
      </c>
      <c r="B1738" s="164" t="s">
        <v>2510</v>
      </c>
      <c r="C1738" s="164">
        <v>14110707</v>
      </c>
      <c r="D1738" s="164" t="s">
        <v>268</v>
      </c>
      <c r="E1738" s="164" t="s">
        <v>3699</v>
      </c>
      <c r="F1738" s="165">
        <v>120.75</v>
      </c>
    </row>
    <row r="1739" spans="1:6" x14ac:dyDescent="0.2">
      <c r="A1739" s="166" t="s">
        <v>3724</v>
      </c>
      <c r="B1739" s="167" t="s">
        <v>2510</v>
      </c>
      <c r="C1739" s="167">
        <v>14110512</v>
      </c>
      <c r="D1739" s="167" t="s">
        <v>187</v>
      </c>
      <c r="E1739" s="167" t="s">
        <v>3699</v>
      </c>
      <c r="F1739" s="168">
        <v>130.33000000000001</v>
      </c>
    </row>
    <row r="1740" spans="1:6" x14ac:dyDescent="0.2">
      <c r="A1740" s="163" t="s">
        <v>3724</v>
      </c>
      <c r="B1740" s="164" t="s">
        <v>2510</v>
      </c>
      <c r="C1740" s="164">
        <v>14110506</v>
      </c>
      <c r="D1740" s="164" t="s">
        <v>427</v>
      </c>
      <c r="E1740" s="164" t="s">
        <v>3699</v>
      </c>
      <c r="F1740" s="165">
        <v>117.45</v>
      </c>
    </row>
    <row r="1741" spans="1:6" x14ac:dyDescent="0.2">
      <c r="A1741" s="166" t="s">
        <v>3724</v>
      </c>
      <c r="B1741" s="167" t="s">
        <v>2510</v>
      </c>
      <c r="C1741" s="167">
        <v>14110339</v>
      </c>
      <c r="D1741" s="167" t="s">
        <v>102</v>
      </c>
      <c r="E1741" s="167" t="s">
        <v>3699</v>
      </c>
      <c r="F1741" s="168">
        <v>130.33000000000001</v>
      </c>
    </row>
    <row r="1742" spans="1:6" x14ac:dyDescent="0.2">
      <c r="A1742" s="163" t="s">
        <v>3724</v>
      </c>
      <c r="B1742" s="164" t="s">
        <v>2510</v>
      </c>
      <c r="C1742" s="164">
        <v>14110336</v>
      </c>
      <c r="D1742" s="164" t="s">
        <v>983</v>
      </c>
      <c r="E1742" s="164" t="s">
        <v>3699</v>
      </c>
      <c r="F1742" s="165">
        <v>117.45</v>
      </c>
    </row>
    <row r="1743" spans="1:6" x14ac:dyDescent="0.2">
      <c r="A1743" s="166" t="s">
        <v>3724</v>
      </c>
      <c r="B1743" s="167" t="s">
        <v>2510</v>
      </c>
      <c r="C1743" s="167">
        <v>14110292</v>
      </c>
      <c r="D1743" s="167" t="s">
        <v>101</v>
      </c>
      <c r="E1743" s="167" t="s">
        <v>3699</v>
      </c>
      <c r="F1743" s="168">
        <v>130.33000000000001</v>
      </c>
    </row>
    <row r="1744" spans="1:6" x14ac:dyDescent="0.2">
      <c r="A1744" s="163" t="s">
        <v>3724</v>
      </c>
      <c r="B1744" s="164" t="s">
        <v>2510</v>
      </c>
      <c r="C1744" s="164">
        <v>14110044</v>
      </c>
      <c r="D1744" s="164" t="s">
        <v>145</v>
      </c>
      <c r="E1744" s="164" t="s">
        <v>3699</v>
      </c>
      <c r="F1744" s="165">
        <v>130.33000000000001</v>
      </c>
    </row>
    <row r="1745" spans="1:6" x14ac:dyDescent="0.2">
      <c r="A1745" s="166" t="s">
        <v>3724</v>
      </c>
      <c r="B1745" s="167" t="s">
        <v>2510</v>
      </c>
      <c r="C1745" s="167">
        <v>14109802</v>
      </c>
      <c r="D1745" s="167" t="s">
        <v>96</v>
      </c>
      <c r="E1745" s="167" t="s">
        <v>3699</v>
      </c>
      <c r="F1745" s="168">
        <v>120.75</v>
      </c>
    </row>
    <row r="1746" spans="1:6" x14ac:dyDescent="0.2">
      <c r="A1746" s="163" t="s">
        <v>3724</v>
      </c>
      <c r="B1746" s="164" t="s">
        <v>2510</v>
      </c>
      <c r="C1746" s="164">
        <v>14109648</v>
      </c>
      <c r="D1746" s="164" t="s">
        <v>214</v>
      </c>
      <c r="E1746" s="164" t="s">
        <v>3699</v>
      </c>
      <c r="F1746" s="165">
        <v>130.33000000000001</v>
      </c>
    </row>
    <row r="1747" spans="1:6" x14ac:dyDescent="0.2">
      <c r="A1747" s="166" t="s">
        <v>3724</v>
      </c>
      <c r="B1747" s="167" t="s">
        <v>2510</v>
      </c>
      <c r="C1747" s="167">
        <v>14109436</v>
      </c>
      <c r="D1747" s="167" t="s">
        <v>371</v>
      </c>
      <c r="E1747" s="167" t="s">
        <v>3699</v>
      </c>
      <c r="F1747" s="168">
        <v>130.33000000000001</v>
      </c>
    </row>
    <row r="1748" spans="1:6" x14ac:dyDescent="0.2">
      <c r="A1748" s="163" t="s">
        <v>3724</v>
      </c>
      <c r="B1748" s="164" t="s">
        <v>2510</v>
      </c>
      <c r="C1748" s="164">
        <v>14109408</v>
      </c>
      <c r="D1748" s="164" t="s">
        <v>87</v>
      </c>
      <c r="E1748" s="164" t="s">
        <v>3699</v>
      </c>
      <c r="F1748" s="165">
        <v>130.33000000000001</v>
      </c>
    </row>
    <row r="1749" spans="1:6" x14ac:dyDescent="0.2">
      <c r="A1749" s="166" t="s">
        <v>3724</v>
      </c>
      <c r="B1749" s="167" t="s">
        <v>2510</v>
      </c>
      <c r="C1749" s="167">
        <v>14109134</v>
      </c>
      <c r="D1749" s="167" t="s">
        <v>85</v>
      </c>
      <c r="E1749" s="167" t="s">
        <v>3699</v>
      </c>
      <c r="F1749" s="168">
        <v>130.33000000000001</v>
      </c>
    </row>
    <row r="1750" spans="1:6" x14ac:dyDescent="0.2">
      <c r="A1750" s="163" t="s">
        <v>3724</v>
      </c>
      <c r="B1750" s="164" t="s">
        <v>2510</v>
      </c>
      <c r="C1750" s="164">
        <v>14109131</v>
      </c>
      <c r="D1750" s="164" t="s">
        <v>83</v>
      </c>
      <c r="E1750" s="164" t="s">
        <v>3699</v>
      </c>
      <c r="F1750" s="165">
        <v>130.33000000000001</v>
      </c>
    </row>
    <row r="1751" spans="1:6" x14ac:dyDescent="0.2">
      <c r="A1751" s="166" t="s">
        <v>3724</v>
      </c>
      <c r="B1751" s="167" t="s">
        <v>2510</v>
      </c>
      <c r="C1751" s="167">
        <v>14109097</v>
      </c>
      <c r="D1751" s="167" t="s">
        <v>82</v>
      </c>
      <c r="E1751" s="167" t="s">
        <v>3699</v>
      </c>
      <c r="F1751" s="168">
        <v>130.33000000000001</v>
      </c>
    </row>
    <row r="1752" spans="1:6" x14ac:dyDescent="0.2">
      <c r="A1752" s="163" t="s">
        <v>3724</v>
      </c>
      <c r="B1752" s="164" t="s">
        <v>2510</v>
      </c>
      <c r="C1752" s="164">
        <v>14109032</v>
      </c>
      <c r="D1752" s="164" t="s">
        <v>81</v>
      </c>
      <c r="E1752" s="164" t="s">
        <v>3699</v>
      </c>
      <c r="F1752" s="165">
        <v>130.33000000000001</v>
      </c>
    </row>
    <row r="1753" spans="1:6" x14ac:dyDescent="0.2">
      <c r="A1753" s="166" t="s">
        <v>3724</v>
      </c>
      <c r="B1753" s="167" t="s">
        <v>2510</v>
      </c>
      <c r="C1753" s="167">
        <v>14108916</v>
      </c>
      <c r="D1753" s="167" t="s">
        <v>80</v>
      </c>
      <c r="E1753" s="167" t="s">
        <v>3699</v>
      </c>
      <c r="F1753" s="168">
        <v>130.33000000000001</v>
      </c>
    </row>
    <row r="1754" spans="1:6" x14ac:dyDescent="0.2">
      <c r="A1754" s="163" t="s">
        <v>3724</v>
      </c>
      <c r="B1754" s="164" t="s">
        <v>2510</v>
      </c>
      <c r="C1754" s="164">
        <v>14108828</v>
      </c>
      <c r="D1754" s="164" t="s">
        <v>227</v>
      </c>
      <c r="E1754" s="164" t="s">
        <v>3699</v>
      </c>
      <c r="F1754" s="165">
        <v>125.16</v>
      </c>
    </row>
    <row r="1755" spans="1:6" x14ac:dyDescent="0.2">
      <c r="A1755" s="166" t="s">
        <v>3724</v>
      </c>
      <c r="B1755" s="167" t="s">
        <v>2510</v>
      </c>
      <c r="C1755" s="167">
        <v>14108552</v>
      </c>
      <c r="D1755" s="167" t="s">
        <v>314</v>
      </c>
      <c r="E1755" s="167" t="s">
        <v>3699</v>
      </c>
      <c r="F1755" s="168">
        <v>130.33000000000001</v>
      </c>
    </row>
    <row r="1756" spans="1:6" x14ac:dyDescent="0.2">
      <c r="A1756" s="163" t="s">
        <v>3724</v>
      </c>
      <c r="B1756" s="164" t="s">
        <v>2510</v>
      </c>
      <c r="C1756" s="164">
        <v>14108271</v>
      </c>
      <c r="D1756" s="164" t="s">
        <v>74</v>
      </c>
      <c r="E1756" s="164" t="s">
        <v>3699</v>
      </c>
      <c r="F1756" s="165">
        <v>130.33000000000001</v>
      </c>
    </row>
    <row r="1757" spans="1:6" x14ac:dyDescent="0.2">
      <c r="A1757" s="166" t="s">
        <v>3724</v>
      </c>
      <c r="B1757" s="167" t="s">
        <v>2510</v>
      </c>
      <c r="C1757" s="167">
        <v>14108267</v>
      </c>
      <c r="D1757" s="167" t="s">
        <v>73</v>
      </c>
      <c r="E1757" s="167" t="s">
        <v>3699</v>
      </c>
      <c r="F1757" s="168">
        <v>130.33000000000001</v>
      </c>
    </row>
    <row r="1758" spans="1:6" x14ac:dyDescent="0.2">
      <c r="A1758" s="163" t="s">
        <v>3724</v>
      </c>
      <c r="B1758" s="164" t="s">
        <v>2510</v>
      </c>
      <c r="C1758" s="164">
        <v>14108150</v>
      </c>
      <c r="D1758" s="164" t="s">
        <v>71</v>
      </c>
      <c r="E1758" s="164" t="s">
        <v>3699</v>
      </c>
      <c r="F1758" s="165">
        <v>130.33000000000001</v>
      </c>
    </row>
    <row r="1759" spans="1:6" x14ac:dyDescent="0.2">
      <c r="A1759" s="166" t="s">
        <v>3724</v>
      </c>
      <c r="B1759" s="167" t="s">
        <v>2510</v>
      </c>
      <c r="C1759" s="167">
        <v>14107967</v>
      </c>
      <c r="D1759" s="167" t="s">
        <v>68</v>
      </c>
      <c r="E1759" s="167" t="s">
        <v>3699</v>
      </c>
      <c r="F1759" s="168">
        <v>130.33000000000001</v>
      </c>
    </row>
    <row r="1760" spans="1:6" x14ac:dyDescent="0.2">
      <c r="A1760" s="163" t="s">
        <v>3724</v>
      </c>
      <c r="B1760" s="164" t="s">
        <v>2510</v>
      </c>
      <c r="C1760" s="164">
        <v>14107840</v>
      </c>
      <c r="D1760" s="164" t="s">
        <v>67</v>
      </c>
      <c r="E1760" s="164" t="s">
        <v>3699</v>
      </c>
      <c r="F1760" s="165">
        <v>130.33000000000001</v>
      </c>
    </row>
    <row r="1761" spans="1:6" x14ac:dyDescent="0.2">
      <c r="A1761" s="166" t="s">
        <v>3724</v>
      </c>
      <c r="B1761" s="167" t="s">
        <v>2510</v>
      </c>
      <c r="C1761" s="167">
        <v>14107735</v>
      </c>
      <c r="D1761" s="167" t="s">
        <v>65</v>
      </c>
      <c r="E1761" s="167" t="s">
        <v>3699</v>
      </c>
      <c r="F1761" s="168">
        <v>130.33000000000001</v>
      </c>
    </row>
    <row r="1762" spans="1:6" x14ac:dyDescent="0.2">
      <c r="A1762" s="163" t="s">
        <v>3724</v>
      </c>
      <c r="B1762" s="164" t="s">
        <v>2510</v>
      </c>
      <c r="C1762" s="164">
        <v>14107484</v>
      </c>
      <c r="D1762" s="164" t="s">
        <v>63</v>
      </c>
      <c r="E1762" s="164" t="s">
        <v>3699</v>
      </c>
      <c r="F1762" s="165">
        <v>130.33000000000001</v>
      </c>
    </row>
    <row r="1763" spans="1:6" x14ac:dyDescent="0.2">
      <c r="A1763" s="166" t="s">
        <v>3724</v>
      </c>
      <c r="B1763" s="167" t="s">
        <v>2510</v>
      </c>
      <c r="C1763" s="167">
        <v>14107393</v>
      </c>
      <c r="D1763" s="167" t="s">
        <v>62</v>
      </c>
      <c r="E1763" s="167" t="s">
        <v>3699</v>
      </c>
      <c r="F1763" s="168">
        <v>130.33000000000001</v>
      </c>
    </row>
    <row r="1764" spans="1:6" x14ac:dyDescent="0.2">
      <c r="A1764" s="163" t="s">
        <v>3724</v>
      </c>
      <c r="B1764" s="164" t="s">
        <v>2510</v>
      </c>
      <c r="C1764" s="164">
        <v>14107202</v>
      </c>
      <c r="D1764" s="164" t="s">
        <v>58</v>
      </c>
      <c r="E1764" s="164" t="s">
        <v>3699</v>
      </c>
      <c r="F1764" s="165">
        <v>130.33000000000001</v>
      </c>
    </row>
    <row r="1765" spans="1:6" x14ac:dyDescent="0.2">
      <c r="A1765" s="166" t="s">
        <v>3724</v>
      </c>
      <c r="B1765" s="167" t="s">
        <v>2510</v>
      </c>
      <c r="C1765" s="167">
        <v>14107167</v>
      </c>
      <c r="D1765" s="167" t="s">
        <v>57</v>
      </c>
      <c r="E1765" s="167" t="s">
        <v>3699</v>
      </c>
      <c r="F1765" s="168">
        <v>130.33000000000001</v>
      </c>
    </row>
    <row r="1766" spans="1:6" x14ac:dyDescent="0.2">
      <c r="A1766" s="163" t="s">
        <v>3724</v>
      </c>
      <c r="B1766" s="164" t="s">
        <v>2510</v>
      </c>
      <c r="C1766" s="164">
        <v>14106980</v>
      </c>
      <c r="D1766" s="164" t="s">
        <v>55</v>
      </c>
      <c r="E1766" s="164" t="s">
        <v>3699</v>
      </c>
      <c r="F1766" s="165">
        <v>130.33000000000001</v>
      </c>
    </row>
    <row r="1767" spans="1:6" x14ac:dyDescent="0.2">
      <c r="A1767" s="166" t="s">
        <v>3724</v>
      </c>
      <c r="B1767" s="167" t="s">
        <v>2510</v>
      </c>
      <c r="C1767" s="167">
        <v>14106949</v>
      </c>
      <c r="D1767" s="167" t="s">
        <v>54</v>
      </c>
      <c r="E1767" s="167" t="s">
        <v>3699</v>
      </c>
      <c r="F1767" s="168">
        <v>130.33000000000001</v>
      </c>
    </row>
    <row r="1768" spans="1:6" x14ac:dyDescent="0.2">
      <c r="A1768" s="163" t="s">
        <v>3724</v>
      </c>
      <c r="B1768" s="164" t="s">
        <v>2510</v>
      </c>
      <c r="C1768" s="164">
        <v>14106778</v>
      </c>
      <c r="D1768" s="164" t="s">
        <v>53</v>
      </c>
      <c r="E1768" s="164" t="s">
        <v>3699</v>
      </c>
      <c r="F1768" s="165">
        <v>130.33000000000001</v>
      </c>
    </row>
    <row r="1769" spans="1:6" x14ac:dyDescent="0.2">
      <c r="A1769" s="166" t="s">
        <v>3724</v>
      </c>
      <c r="B1769" s="167" t="s">
        <v>2510</v>
      </c>
      <c r="C1769" s="167">
        <v>14106438</v>
      </c>
      <c r="D1769" s="167" t="s">
        <v>52</v>
      </c>
      <c r="E1769" s="167" t="s">
        <v>3699</v>
      </c>
      <c r="F1769" s="168">
        <v>130.33000000000001</v>
      </c>
    </row>
    <row r="1770" spans="1:6" x14ac:dyDescent="0.2">
      <c r="A1770" s="163" t="s">
        <v>3724</v>
      </c>
      <c r="B1770" s="164" t="s">
        <v>2510</v>
      </c>
      <c r="C1770" s="164">
        <v>14106368</v>
      </c>
      <c r="D1770" s="164" t="s">
        <v>51</v>
      </c>
      <c r="E1770" s="164" t="s">
        <v>3699</v>
      </c>
      <c r="F1770" s="165">
        <v>130.33000000000001</v>
      </c>
    </row>
    <row r="1771" spans="1:6" x14ac:dyDescent="0.2">
      <c r="A1771" s="166" t="s">
        <v>3724</v>
      </c>
      <c r="B1771" s="167" t="s">
        <v>2510</v>
      </c>
      <c r="C1771" s="167">
        <v>14106033</v>
      </c>
      <c r="D1771" s="167" t="s">
        <v>48</v>
      </c>
      <c r="E1771" s="167" t="s">
        <v>3699</v>
      </c>
      <c r="F1771" s="168">
        <v>130.33000000000001</v>
      </c>
    </row>
    <row r="1772" spans="1:6" x14ac:dyDescent="0.2">
      <c r="A1772" s="163" t="s">
        <v>3724</v>
      </c>
      <c r="B1772" s="164" t="s">
        <v>2510</v>
      </c>
      <c r="C1772" s="164">
        <v>14105645</v>
      </c>
      <c r="D1772" s="164" t="s">
        <v>161</v>
      </c>
      <c r="E1772" s="164" t="s">
        <v>3699</v>
      </c>
      <c r="F1772" s="165">
        <v>130.33000000000001</v>
      </c>
    </row>
    <row r="1773" spans="1:6" x14ac:dyDescent="0.2">
      <c r="A1773" s="166" t="s">
        <v>3724</v>
      </c>
      <c r="B1773" s="167" t="s">
        <v>2510</v>
      </c>
      <c r="C1773" s="167">
        <v>14105586</v>
      </c>
      <c r="D1773" s="167" t="s">
        <v>47</v>
      </c>
      <c r="E1773" s="167" t="s">
        <v>3699</v>
      </c>
      <c r="F1773" s="168">
        <v>130.33000000000001</v>
      </c>
    </row>
    <row r="1774" spans="1:6" x14ac:dyDescent="0.2">
      <c r="A1774" s="163" t="s">
        <v>3724</v>
      </c>
      <c r="B1774" s="164" t="s">
        <v>2510</v>
      </c>
      <c r="C1774" s="164">
        <v>14105531</v>
      </c>
      <c r="D1774" s="164" t="s">
        <v>46</v>
      </c>
      <c r="E1774" s="164" t="s">
        <v>3699</v>
      </c>
      <c r="F1774" s="165">
        <v>130.33000000000001</v>
      </c>
    </row>
    <row r="1775" spans="1:6" x14ac:dyDescent="0.2">
      <c r="A1775" s="166" t="s">
        <v>3724</v>
      </c>
      <c r="B1775" s="167" t="s">
        <v>2510</v>
      </c>
      <c r="C1775" s="167">
        <v>14104839</v>
      </c>
      <c r="D1775" s="167" t="s">
        <v>226</v>
      </c>
      <c r="E1775" s="167" t="s">
        <v>3699</v>
      </c>
      <c r="F1775" s="168">
        <v>125.16</v>
      </c>
    </row>
    <row r="1776" spans="1:6" x14ac:dyDescent="0.2">
      <c r="A1776" s="163" t="s">
        <v>3724</v>
      </c>
      <c r="B1776" s="164" t="s">
        <v>2510</v>
      </c>
      <c r="C1776" s="164">
        <v>14104822</v>
      </c>
      <c r="D1776" s="164" t="s">
        <v>42</v>
      </c>
      <c r="E1776" s="164" t="s">
        <v>3699</v>
      </c>
      <c r="F1776" s="165">
        <v>130.33000000000001</v>
      </c>
    </row>
    <row r="1777" spans="1:6" x14ac:dyDescent="0.2">
      <c r="A1777" s="166" t="s">
        <v>3724</v>
      </c>
      <c r="B1777" s="167" t="s">
        <v>2510</v>
      </c>
      <c r="C1777" s="167">
        <v>14104599</v>
      </c>
      <c r="D1777" s="167" t="s">
        <v>41</v>
      </c>
      <c r="E1777" s="167" t="s">
        <v>3699</v>
      </c>
      <c r="F1777" s="168">
        <v>130.33000000000001</v>
      </c>
    </row>
    <row r="1778" spans="1:6" x14ac:dyDescent="0.2">
      <c r="A1778" s="163" t="s">
        <v>3724</v>
      </c>
      <c r="B1778" s="164" t="s">
        <v>2510</v>
      </c>
      <c r="C1778" s="164">
        <v>14104316</v>
      </c>
      <c r="D1778" s="164" t="s">
        <v>40</v>
      </c>
      <c r="E1778" s="164" t="s">
        <v>3699</v>
      </c>
      <c r="F1778" s="165">
        <v>130.33000000000001</v>
      </c>
    </row>
    <row r="1779" spans="1:6" x14ac:dyDescent="0.2">
      <c r="A1779" s="166" t="s">
        <v>3724</v>
      </c>
      <c r="B1779" s="167" t="s">
        <v>2510</v>
      </c>
      <c r="C1779" s="167">
        <v>14104315</v>
      </c>
      <c r="D1779" s="167" t="s">
        <v>334</v>
      </c>
      <c r="E1779" s="167" t="s">
        <v>3699</v>
      </c>
      <c r="F1779" s="168">
        <v>130.33000000000001</v>
      </c>
    </row>
    <row r="1780" spans="1:6" x14ac:dyDescent="0.2">
      <c r="A1780" s="163" t="s">
        <v>3724</v>
      </c>
      <c r="B1780" s="164" t="s">
        <v>2510</v>
      </c>
      <c r="C1780" s="164">
        <v>14103936</v>
      </c>
      <c r="D1780" s="164" t="s">
        <v>294</v>
      </c>
      <c r="E1780" s="164" t="s">
        <v>3699</v>
      </c>
      <c r="F1780" s="165">
        <v>125.16</v>
      </c>
    </row>
    <row r="1781" spans="1:6" x14ac:dyDescent="0.2">
      <c r="A1781" s="166" t="s">
        <v>3724</v>
      </c>
      <c r="B1781" s="167" t="s">
        <v>2510</v>
      </c>
      <c r="C1781" s="167">
        <v>14103335</v>
      </c>
      <c r="D1781" s="167" t="s">
        <v>37</v>
      </c>
      <c r="E1781" s="167" t="s">
        <v>3699</v>
      </c>
      <c r="F1781" s="168">
        <v>130.33000000000001</v>
      </c>
    </row>
    <row r="1782" spans="1:6" x14ac:dyDescent="0.2">
      <c r="A1782" s="163" t="s">
        <v>3724</v>
      </c>
      <c r="B1782" s="164" t="s">
        <v>2510</v>
      </c>
      <c r="C1782" s="164">
        <v>14103106</v>
      </c>
      <c r="D1782" s="164" t="s">
        <v>35</v>
      </c>
      <c r="E1782" s="164" t="s">
        <v>3699</v>
      </c>
      <c r="F1782" s="165">
        <v>130.33000000000001</v>
      </c>
    </row>
    <row r="1783" spans="1:6" x14ac:dyDescent="0.2">
      <c r="A1783" s="166" t="s">
        <v>3724</v>
      </c>
      <c r="B1783" s="167" t="s">
        <v>2510</v>
      </c>
      <c r="C1783" s="167">
        <v>14103061</v>
      </c>
      <c r="D1783" s="167" t="s">
        <v>398</v>
      </c>
      <c r="E1783" s="167" t="s">
        <v>3699</v>
      </c>
      <c r="F1783" s="168">
        <v>130.33000000000001</v>
      </c>
    </row>
    <row r="1784" spans="1:6" x14ac:dyDescent="0.2">
      <c r="A1784" s="163" t="s">
        <v>3724</v>
      </c>
      <c r="B1784" s="164" t="s">
        <v>2510</v>
      </c>
      <c r="C1784" s="164">
        <v>14102875</v>
      </c>
      <c r="D1784" s="164" t="s">
        <v>33</v>
      </c>
      <c r="E1784" s="164" t="s">
        <v>3699</v>
      </c>
      <c r="F1784" s="165">
        <v>130.33000000000001</v>
      </c>
    </row>
    <row r="1785" spans="1:6" x14ac:dyDescent="0.2">
      <c r="A1785" s="166" t="s">
        <v>3724</v>
      </c>
      <c r="B1785" s="167" t="s">
        <v>2510</v>
      </c>
      <c r="C1785" s="167">
        <v>14102701</v>
      </c>
      <c r="D1785" s="167" t="s">
        <v>31</v>
      </c>
      <c r="E1785" s="167" t="s">
        <v>3699</v>
      </c>
      <c r="F1785" s="168">
        <v>130.33000000000001</v>
      </c>
    </row>
    <row r="1786" spans="1:6" x14ac:dyDescent="0.2">
      <c r="A1786" s="163" t="s">
        <v>3724</v>
      </c>
      <c r="B1786" s="164" t="s">
        <v>2510</v>
      </c>
      <c r="C1786" s="164">
        <v>14102288</v>
      </c>
      <c r="D1786" s="164" t="s">
        <v>30</v>
      </c>
      <c r="E1786" s="164" t="s">
        <v>3699</v>
      </c>
      <c r="F1786" s="165">
        <v>130.33000000000001</v>
      </c>
    </row>
    <row r="1787" spans="1:6" x14ac:dyDescent="0.2">
      <c r="A1787" s="166" t="s">
        <v>3724</v>
      </c>
      <c r="B1787" s="167" t="s">
        <v>2510</v>
      </c>
      <c r="C1787" s="167">
        <v>14102081</v>
      </c>
      <c r="D1787" s="167" t="s">
        <v>29</v>
      </c>
      <c r="E1787" s="167" t="s">
        <v>3699</v>
      </c>
      <c r="F1787" s="168">
        <v>120.75</v>
      </c>
    </row>
    <row r="1788" spans="1:6" x14ac:dyDescent="0.2">
      <c r="A1788" s="163" t="s">
        <v>3724</v>
      </c>
      <c r="B1788" s="164" t="s">
        <v>2510</v>
      </c>
      <c r="C1788" s="164">
        <v>14101984</v>
      </c>
      <c r="D1788" s="164" t="s">
        <v>28</v>
      </c>
      <c r="E1788" s="164" t="s">
        <v>3699</v>
      </c>
      <c r="F1788" s="165">
        <v>130.33000000000001</v>
      </c>
    </row>
    <row r="1789" spans="1:6" x14ac:dyDescent="0.2">
      <c r="A1789" s="166" t="s">
        <v>3724</v>
      </c>
      <c r="B1789" s="167" t="s">
        <v>2510</v>
      </c>
      <c r="C1789" s="167">
        <v>14101881</v>
      </c>
      <c r="D1789" s="167" t="s">
        <v>27</v>
      </c>
      <c r="E1789" s="167" t="s">
        <v>3699</v>
      </c>
      <c r="F1789" s="168">
        <v>130.33000000000001</v>
      </c>
    </row>
    <row r="1790" spans="1:6" x14ac:dyDescent="0.2">
      <c r="A1790" s="163" t="s">
        <v>3724</v>
      </c>
      <c r="B1790" s="164" t="s">
        <v>2510</v>
      </c>
      <c r="C1790" s="164">
        <v>14100863</v>
      </c>
      <c r="D1790" s="164" t="s">
        <v>26</v>
      </c>
      <c r="E1790" s="164" t="s">
        <v>3699</v>
      </c>
      <c r="F1790" s="165">
        <v>130.33000000000001</v>
      </c>
    </row>
    <row r="1791" spans="1:6" x14ac:dyDescent="0.2">
      <c r="A1791" s="166" t="s">
        <v>3724</v>
      </c>
      <c r="B1791" s="167" t="s">
        <v>2510</v>
      </c>
      <c r="C1791" s="167">
        <v>14100842</v>
      </c>
      <c r="D1791" s="167" t="s">
        <v>25</v>
      </c>
      <c r="E1791" s="167" t="s">
        <v>3699</v>
      </c>
      <c r="F1791" s="168">
        <v>130.33000000000001</v>
      </c>
    </row>
    <row r="1792" spans="1:6" x14ac:dyDescent="0.2">
      <c r="A1792" s="163" t="s">
        <v>3724</v>
      </c>
      <c r="B1792" s="164" t="s">
        <v>2510</v>
      </c>
      <c r="C1792" s="164">
        <v>14100807</v>
      </c>
      <c r="D1792" s="164" t="s">
        <v>24</v>
      </c>
      <c r="E1792" s="164" t="s">
        <v>3699</v>
      </c>
      <c r="F1792" s="165">
        <v>130.33000000000001</v>
      </c>
    </row>
    <row r="1793" spans="1:6" x14ac:dyDescent="0.2">
      <c r="A1793" s="166" t="s">
        <v>3724</v>
      </c>
      <c r="B1793" s="167" t="s">
        <v>2510</v>
      </c>
      <c r="C1793" s="167">
        <v>14100798</v>
      </c>
      <c r="D1793" s="167" t="s">
        <v>23</v>
      </c>
      <c r="E1793" s="167" t="s">
        <v>3699</v>
      </c>
      <c r="F1793" s="168">
        <v>130.33000000000001</v>
      </c>
    </row>
    <row r="1794" spans="1:6" x14ac:dyDescent="0.2">
      <c r="A1794" s="163" t="s">
        <v>3724</v>
      </c>
      <c r="B1794" s="164" t="s">
        <v>2510</v>
      </c>
      <c r="C1794" s="164">
        <v>14100787</v>
      </c>
      <c r="D1794" s="164" t="s">
        <v>21</v>
      </c>
      <c r="E1794" s="164" t="s">
        <v>3699</v>
      </c>
      <c r="F1794" s="165">
        <v>130.33000000000001</v>
      </c>
    </row>
    <row r="1795" spans="1:6" x14ac:dyDescent="0.2">
      <c r="A1795" s="166" t="s">
        <v>3724</v>
      </c>
      <c r="B1795" s="167" t="s">
        <v>2510</v>
      </c>
      <c r="C1795" s="167">
        <v>14100751</v>
      </c>
      <c r="D1795" s="167" t="s">
        <v>325</v>
      </c>
      <c r="E1795" s="167" t="s">
        <v>3699</v>
      </c>
      <c r="F1795" s="168">
        <v>120.75</v>
      </c>
    </row>
    <row r="1796" spans="1:6" x14ac:dyDescent="0.2">
      <c r="A1796" s="163" t="s">
        <v>3724</v>
      </c>
      <c r="B1796" s="164" t="s">
        <v>2510</v>
      </c>
      <c r="C1796" s="164">
        <v>14100740</v>
      </c>
      <c r="D1796" s="164" t="s">
        <v>19</v>
      </c>
      <c r="E1796" s="164" t="s">
        <v>3699</v>
      </c>
      <c r="F1796" s="165">
        <v>130.33000000000001</v>
      </c>
    </row>
    <row r="1797" spans="1:6" x14ac:dyDescent="0.2">
      <c r="A1797" s="166" t="s">
        <v>3724</v>
      </c>
      <c r="B1797" s="167" t="s">
        <v>2510</v>
      </c>
      <c r="C1797" s="167">
        <v>14100732</v>
      </c>
      <c r="D1797" s="167" t="s">
        <v>17</v>
      </c>
      <c r="E1797" s="167" t="s">
        <v>3699</v>
      </c>
      <c r="F1797" s="168">
        <v>130.33000000000001</v>
      </c>
    </row>
    <row r="1798" spans="1:6" x14ac:dyDescent="0.2">
      <c r="A1798" s="163" t="s">
        <v>3724</v>
      </c>
      <c r="B1798" s="164" t="s">
        <v>2510</v>
      </c>
      <c r="C1798" s="164">
        <v>14100718</v>
      </c>
      <c r="D1798" s="164" t="s">
        <v>9</v>
      </c>
      <c r="E1798" s="164" t="s">
        <v>3699</v>
      </c>
      <c r="F1798" s="165">
        <v>130.33000000000001</v>
      </c>
    </row>
    <row r="1799" spans="1:6" x14ac:dyDescent="0.2">
      <c r="A1799" s="166" t="s">
        <v>3724</v>
      </c>
      <c r="B1799" s="167" t="s">
        <v>2510</v>
      </c>
      <c r="C1799" s="167">
        <v>14100713</v>
      </c>
      <c r="D1799" s="167" t="s">
        <v>6</v>
      </c>
      <c r="E1799" s="167" t="s">
        <v>3699</v>
      </c>
      <c r="F1799" s="168">
        <v>160.09</v>
      </c>
    </row>
    <row r="1800" spans="1:6" x14ac:dyDescent="0.2">
      <c r="A1800" s="163" t="s">
        <v>3724</v>
      </c>
      <c r="B1800" s="164" t="s">
        <v>2510</v>
      </c>
      <c r="C1800" s="164">
        <v>14224259</v>
      </c>
      <c r="D1800" s="164" t="s">
        <v>2385</v>
      </c>
      <c r="E1800" s="164" t="s">
        <v>3699</v>
      </c>
      <c r="F1800" s="165">
        <v>109.03</v>
      </c>
    </row>
    <row r="1801" spans="1:6" x14ac:dyDescent="0.2">
      <c r="A1801" s="166" t="s">
        <v>3724</v>
      </c>
      <c r="B1801" s="167" t="s">
        <v>2510</v>
      </c>
      <c r="C1801" s="167">
        <v>14223826</v>
      </c>
      <c r="D1801" s="167" t="s">
        <v>2383</v>
      </c>
      <c r="E1801" s="167" t="s">
        <v>3699</v>
      </c>
      <c r="F1801" s="168">
        <v>109.03</v>
      </c>
    </row>
    <row r="1802" spans="1:6" x14ac:dyDescent="0.2">
      <c r="A1802" s="163" t="s">
        <v>3724</v>
      </c>
      <c r="B1802" s="164" t="s">
        <v>2510</v>
      </c>
      <c r="C1802" s="164">
        <v>14223659</v>
      </c>
      <c r="D1802" s="164" t="s">
        <v>2380</v>
      </c>
      <c r="E1802" s="164" t="s">
        <v>3699</v>
      </c>
      <c r="F1802" s="165">
        <v>109.03</v>
      </c>
    </row>
    <row r="1803" spans="1:6" x14ac:dyDescent="0.2">
      <c r="A1803" s="166" t="s">
        <v>3724</v>
      </c>
      <c r="B1803" s="167" t="s">
        <v>2510</v>
      </c>
      <c r="C1803" s="167">
        <v>14223379</v>
      </c>
      <c r="D1803" s="167" t="s">
        <v>2378</v>
      </c>
      <c r="E1803" s="167" t="s">
        <v>3699</v>
      </c>
      <c r="F1803" s="168">
        <v>109.03</v>
      </c>
    </row>
    <row r="1804" spans="1:6" x14ac:dyDescent="0.2">
      <c r="A1804" s="163" t="s">
        <v>3724</v>
      </c>
      <c r="B1804" s="164" t="s">
        <v>2510</v>
      </c>
      <c r="C1804" s="164">
        <v>14222997</v>
      </c>
      <c r="D1804" s="164" t="s">
        <v>2376</v>
      </c>
      <c r="E1804" s="164" t="s">
        <v>3699</v>
      </c>
      <c r="F1804" s="165">
        <v>109.03</v>
      </c>
    </row>
    <row r="1805" spans="1:6" x14ac:dyDescent="0.2">
      <c r="A1805" s="166" t="s">
        <v>3724</v>
      </c>
      <c r="B1805" s="167" t="s">
        <v>2510</v>
      </c>
      <c r="C1805" s="167">
        <v>14221824</v>
      </c>
      <c r="D1805" s="167" t="s">
        <v>2371</v>
      </c>
      <c r="E1805" s="167" t="s">
        <v>3699</v>
      </c>
      <c r="F1805" s="168">
        <v>211.37</v>
      </c>
    </row>
    <row r="1806" spans="1:6" x14ac:dyDescent="0.2">
      <c r="A1806" s="163" t="s">
        <v>3724</v>
      </c>
      <c r="B1806" s="164" t="s">
        <v>2510</v>
      </c>
      <c r="C1806" s="164">
        <v>14221054</v>
      </c>
      <c r="D1806" s="164" t="s">
        <v>2369</v>
      </c>
      <c r="E1806" s="164" t="s">
        <v>3699</v>
      </c>
      <c r="F1806" s="165">
        <v>109.03</v>
      </c>
    </row>
    <row r="1807" spans="1:6" x14ac:dyDescent="0.2">
      <c r="A1807" s="166" t="s">
        <v>3724</v>
      </c>
      <c r="B1807" s="167" t="s">
        <v>2510</v>
      </c>
      <c r="C1807" s="167">
        <v>14220597</v>
      </c>
      <c r="D1807" s="167" t="s">
        <v>2368</v>
      </c>
      <c r="E1807" s="167" t="s">
        <v>3699</v>
      </c>
      <c r="F1807" s="168">
        <v>109.03</v>
      </c>
    </row>
    <row r="1808" spans="1:6" x14ac:dyDescent="0.2">
      <c r="A1808" s="163" t="s">
        <v>3724</v>
      </c>
      <c r="B1808" s="164" t="s">
        <v>2510</v>
      </c>
      <c r="C1808" s="164">
        <v>14217446</v>
      </c>
      <c r="D1808" s="164" t="s">
        <v>2365</v>
      </c>
      <c r="E1808" s="164" t="s">
        <v>3699</v>
      </c>
      <c r="F1808" s="165">
        <v>109.03</v>
      </c>
    </row>
    <row r="1809" spans="1:6" x14ac:dyDescent="0.2">
      <c r="A1809" s="166" t="s">
        <v>3724</v>
      </c>
      <c r="B1809" s="167" t="s">
        <v>2510</v>
      </c>
      <c r="C1809" s="167">
        <v>14217374</v>
      </c>
      <c r="D1809" s="167" t="s">
        <v>2364</v>
      </c>
      <c r="E1809" s="167" t="s">
        <v>3699</v>
      </c>
      <c r="F1809" s="168">
        <v>109.03</v>
      </c>
    </row>
    <row r="1810" spans="1:6" x14ac:dyDescent="0.2">
      <c r="A1810" s="163" t="s">
        <v>3724</v>
      </c>
      <c r="B1810" s="164" t="s">
        <v>2510</v>
      </c>
      <c r="C1810" s="164">
        <v>14216357</v>
      </c>
      <c r="D1810" s="164" t="s">
        <v>2363</v>
      </c>
      <c r="E1810" s="164" t="s">
        <v>3699</v>
      </c>
      <c r="F1810" s="165">
        <v>109.03</v>
      </c>
    </row>
    <row r="1811" spans="1:6" x14ac:dyDescent="0.2">
      <c r="A1811" s="166" t="s">
        <v>3724</v>
      </c>
      <c r="B1811" s="167" t="s">
        <v>2510</v>
      </c>
      <c r="C1811" s="167">
        <v>14213768</v>
      </c>
      <c r="D1811" s="167" t="s">
        <v>2361</v>
      </c>
      <c r="E1811" s="167" t="s">
        <v>3699</v>
      </c>
      <c r="F1811" s="168">
        <v>172.92</v>
      </c>
    </row>
    <row r="1812" spans="1:6" x14ac:dyDescent="0.2">
      <c r="A1812" s="163" t="s">
        <v>3724</v>
      </c>
      <c r="B1812" s="164" t="s">
        <v>2510</v>
      </c>
      <c r="C1812" s="164">
        <v>14213524</v>
      </c>
      <c r="D1812" s="164" t="s">
        <v>2360</v>
      </c>
      <c r="E1812" s="164" t="s">
        <v>3699</v>
      </c>
      <c r="F1812" s="165">
        <v>109.03</v>
      </c>
    </row>
    <row r="1813" spans="1:6" x14ac:dyDescent="0.2">
      <c r="A1813" s="166" t="s">
        <v>3724</v>
      </c>
      <c r="B1813" s="167" t="s">
        <v>2510</v>
      </c>
      <c r="C1813" s="167">
        <v>14111652</v>
      </c>
      <c r="D1813" s="167" t="s">
        <v>2357</v>
      </c>
      <c r="E1813" s="167" t="s">
        <v>3699</v>
      </c>
      <c r="F1813" s="168">
        <v>109.03</v>
      </c>
    </row>
    <row r="1814" spans="1:6" x14ac:dyDescent="0.2">
      <c r="A1814" s="163" t="s">
        <v>3724</v>
      </c>
      <c r="B1814" s="164" t="s">
        <v>2510</v>
      </c>
      <c r="C1814" s="164">
        <v>14111447</v>
      </c>
      <c r="D1814" s="164" t="s">
        <v>2355</v>
      </c>
      <c r="E1814" s="164" t="s">
        <v>3699</v>
      </c>
      <c r="F1814" s="165">
        <v>109.03</v>
      </c>
    </row>
    <row r="1815" spans="1:6" x14ac:dyDescent="0.2">
      <c r="A1815" s="166" t="s">
        <v>3724</v>
      </c>
      <c r="B1815" s="167" t="s">
        <v>2510</v>
      </c>
      <c r="C1815" s="167">
        <v>14103046</v>
      </c>
      <c r="D1815" s="167" t="s">
        <v>2349</v>
      </c>
      <c r="E1815" s="167" t="s">
        <v>3699</v>
      </c>
      <c r="F1815" s="168">
        <v>109.03</v>
      </c>
    </row>
    <row r="1816" spans="1:6" x14ac:dyDescent="0.2">
      <c r="A1816" s="163" t="s">
        <v>3724</v>
      </c>
      <c r="B1816" s="164" t="s">
        <v>2510</v>
      </c>
      <c r="C1816" s="164">
        <v>14102638</v>
      </c>
      <c r="D1816" s="164" t="s">
        <v>2348</v>
      </c>
      <c r="E1816" s="164" t="s">
        <v>3699</v>
      </c>
      <c r="F1816" s="165">
        <v>109.03</v>
      </c>
    </row>
    <row r="1817" spans="1:6" x14ac:dyDescent="0.2">
      <c r="A1817" s="166" t="s">
        <v>3724</v>
      </c>
      <c r="B1817" s="167" t="s">
        <v>2510</v>
      </c>
      <c r="C1817" s="167">
        <v>14102637</v>
      </c>
      <c r="D1817" s="167" t="s">
        <v>2347</v>
      </c>
      <c r="E1817" s="167" t="s">
        <v>3699</v>
      </c>
      <c r="F1817" s="168">
        <v>109.03</v>
      </c>
    </row>
    <row r="1818" spans="1:6" x14ac:dyDescent="0.2">
      <c r="A1818" s="163" t="s">
        <v>3724</v>
      </c>
      <c r="B1818" s="164" t="s">
        <v>2510</v>
      </c>
      <c r="C1818" s="164">
        <v>14100913</v>
      </c>
      <c r="D1818" s="164" t="s">
        <v>2346</v>
      </c>
      <c r="E1818" s="164" t="s">
        <v>3699</v>
      </c>
      <c r="F1818" s="165">
        <v>109.03</v>
      </c>
    </row>
    <row r="1819" spans="1:6" x14ac:dyDescent="0.2">
      <c r="A1819" s="166" t="s">
        <v>3724</v>
      </c>
      <c r="B1819" s="167" t="s">
        <v>2509</v>
      </c>
      <c r="C1819" s="167">
        <v>16124369</v>
      </c>
      <c r="D1819" s="167" t="s">
        <v>3704</v>
      </c>
      <c r="E1819" s="167" t="s">
        <v>3699</v>
      </c>
      <c r="F1819" s="168">
        <v>29.84</v>
      </c>
    </row>
    <row r="1820" spans="1:6" x14ac:dyDescent="0.2">
      <c r="A1820" s="163" t="s">
        <v>3724</v>
      </c>
      <c r="B1820" s="164" t="s">
        <v>2509</v>
      </c>
      <c r="C1820" s="164">
        <v>16124368</v>
      </c>
      <c r="D1820" s="164" t="s">
        <v>3705</v>
      </c>
      <c r="E1820" s="164" t="s">
        <v>3699</v>
      </c>
      <c r="F1820" s="165">
        <v>29.84</v>
      </c>
    </row>
    <row r="1821" spans="1:6" x14ac:dyDescent="0.2">
      <c r="A1821" s="166" t="s">
        <v>3724</v>
      </c>
      <c r="B1821" s="167" t="s">
        <v>2509</v>
      </c>
      <c r="C1821" s="167">
        <v>16124306</v>
      </c>
      <c r="D1821" s="167" t="s">
        <v>2503</v>
      </c>
      <c r="E1821" s="167" t="s">
        <v>3699</v>
      </c>
      <c r="F1821" s="168">
        <v>29.84</v>
      </c>
    </row>
    <row r="1822" spans="1:6" x14ac:dyDescent="0.2">
      <c r="A1822" s="163" t="s">
        <v>3724</v>
      </c>
      <c r="B1822" s="164" t="s">
        <v>2509</v>
      </c>
      <c r="C1822" s="164">
        <v>16124305</v>
      </c>
      <c r="D1822" s="164" t="s">
        <v>2502</v>
      </c>
      <c r="E1822" s="164" t="s">
        <v>3699</v>
      </c>
      <c r="F1822" s="165">
        <v>29.84</v>
      </c>
    </row>
    <row r="1823" spans="1:6" x14ac:dyDescent="0.2">
      <c r="A1823" s="166" t="s">
        <v>3724</v>
      </c>
      <c r="B1823" s="167" t="s">
        <v>2509</v>
      </c>
      <c r="C1823" s="167">
        <v>16124304</v>
      </c>
      <c r="D1823" s="167" t="s">
        <v>2501</v>
      </c>
      <c r="E1823" s="167" t="s">
        <v>3699</v>
      </c>
      <c r="F1823" s="168">
        <v>29.84</v>
      </c>
    </row>
    <row r="1824" spans="1:6" x14ac:dyDescent="0.2">
      <c r="A1824" s="163" t="s">
        <v>3724</v>
      </c>
      <c r="B1824" s="164" t="s">
        <v>2509</v>
      </c>
      <c r="C1824" s="164">
        <v>16124225</v>
      </c>
      <c r="D1824" s="164" t="s">
        <v>2500</v>
      </c>
      <c r="E1824" s="164" t="s">
        <v>3699</v>
      </c>
      <c r="F1824" s="165">
        <v>29.84</v>
      </c>
    </row>
    <row r="1825" spans="1:6" x14ac:dyDescent="0.2">
      <c r="A1825" s="166" t="s">
        <v>3724</v>
      </c>
      <c r="B1825" s="167" t="s">
        <v>2509</v>
      </c>
      <c r="C1825" s="167">
        <v>16124205</v>
      </c>
      <c r="D1825" s="167" t="s">
        <v>2499</v>
      </c>
      <c r="E1825" s="167" t="s">
        <v>3699</v>
      </c>
      <c r="F1825" s="168">
        <v>29.84</v>
      </c>
    </row>
    <row r="1826" spans="1:6" x14ac:dyDescent="0.2">
      <c r="A1826" s="163" t="s">
        <v>3724</v>
      </c>
      <c r="B1826" s="164" t="s">
        <v>2509</v>
      </c>
      <c r="C1826" s="164">
        <v>16124203</v>
      </c>
      <c r="D1826" s="164" t="s">
        <v>2498</v>
      </c>
      <c r="E1826" s="164" t="s">
        <v>3699</v>
      </c>
      <c r="F1826" s="165">
        <v>29.84</v>
      </c>
    </row>
    <row r="1827" spans="1:6" x14ac:dyDescent="0.2">
      <c r="A1827" s="166" t="s">
        <v>3724</v>
      </c>
      <c r="B1827" s="167" t="s">
        <v>2509</v>
      </c>
      <c r="C1827" s="167">
        <v>16124047</v>
      </c>
      <c r="D1827" s="167" t="s">
        <v>2497</v>
      </c>
      <c r="E1827" s="167" t="s">
        <v>3699</v>
      </c>
      <c r="F1827" s="168">
        <v>29.84</v>
      </c>
    </row>
    <row r="1828" spans="1:6" x14ac:dyDescent="0.2">
      <c r="A1828" s="163" t="s">
        <v>3724</v>
      </c>
      <c r="B1828" s="164" t="s">
        <v>2509</v>
      </c>
      <c r="C1828" s="164">
        <v>16124018</v>
      </c>
      <c r="D1828" s="164" t="s">
        <v>2496</v>
      </c>
      <c r="E1828" s="164" t="s">
        <v>3699</v>
      </c>
      <c r="F1828" s="165">
        <v>29.84</v>
      </c>
    </row>
    <row r="1829" spans="1:6" x14ac:dyDescent="0.2">
      <c r="A1829" s="166" t="s">
        <v>3724</v>
      </c>
      <c r="B1829" s="167" t="s">
        <v>2509</v>
      </c>
      <c r="C1829" s="167">
        <v>16124001</v>
      </c>
      <c r="D1829" s="167" t="s">
        <v>2495</v>
      </c>
      <c r="E1829" s="167" t="s">
        <v>3699</v>
      </c>
      <c r="F1829" s="168">
        <v>29.84</v>
      </c>
    </row>
    <row r="1830" spans="1:6" x14ac:dyDescent="0.2">
      <c r="A1830" s="163" t="s">
        <v>3724</v>
      </c>
      <c r="B1830" s="164" t="s">
        <v>2509</v>
      </c>
      <c r="C1830" s="164">
        <v>16123938</v>
      </c>
      <c r="D1830" s="164" t="s">
        <v>2494</v>
      </c>
      <c r="E1830" s="164" t="s">
        <v>3699</v>
      </c>
      <c r="F1830" s="165">
        <v>19.89</v>
      </c>
    </row>
    <row r="1831" spans="1:6" x14ac:dyDescent="0.2">
      <c r="A1831" s="166" t="s">
        <v>3724</v>
      </c>
      <c r="B1831" s="167" t="s">
        <v>2509</v>
      </c>
      <c r="C1831" s="167">
        <v>16123937</v>
      </c>
      <c r="D1831" s="167" t="s">
        <v>2493</v>
      </c>
      <c r="E1831" s="167" t="s">
        <v>3699</v>
      </c>
      <c r="F1831" s="168">
        <v>29.84</v>
      </c>
    </row>
    <row r="1832" spans="1:6" x14ac:dyDescent="0.2">
      <c r="A1832" s="163" t="s">
        <v>3724</v>
      </c>
      <c r="B1832" s="164" t="s">
        <v>2509</v>
      </c>
      <c r="C1832" s="164">
        <v>16123910</v>
      </c>
      <c r="D1832" s="164" t="s">
        <v>2492</v>
      </c>
      <c r="E1832" s="164" t="s">
        <v>3699</v>
      </c>
      <c r="F1832" s="165">
        <v>29.84</v>
      </c>
    </row>
    <row r="1833" spans="1:6" x14ac:dyDescent="0.2">
      <c r="A1833" s="166" t="s">
        <v>3724</v>
      </c>
      <c r="B1833" s="167" t="s">
        <v>2509</v>
      </c>
      <c r="C1833" s="167">
        <v>16123909</v>
      </c>
      <c r="D1833" s="167" t="s">
        <v>2491</v>
      </c>
      <c r="E1833" s="167" t="s">
        <v>3699</v>
      </c>
      <c r="F1833" s="168">
        <v>29.84</v>
      </c>
    </row>
    <row r="1834" spans="1:6" x14ac:dyDescent="0.2">
      <c r="A1834" s="163" t="s">
        <v>3724</v>
      </c>
      <c r="B1834" s="164" t="s">
        <v>2509</v>
      </c>
      <c r="C1834" s="164">
        <v>16123887</v>
      </c>
      <c r="D1834" s="164" t="s">
        <v>2490</v>
      </c>
      <c r="E1834" s="164" t="s">
        <v>3699</v>
      </c>
      <c r="F1834" s="165">
        <v>29.84</v>
      </c>
    </row>
    <row r="1835" spans="1:6" x14ac:dyDescent="0.2">
      <c r="A1835" s="166" t="s">
        <v>3724</v>
      </c>
      <c r="B1835" s="167" t="s">
        <v>2509</v>
      </c>
      <c r="C1835" s="167">
        <v>16123866</v>
      </c>
      <c r="D1835" s="167" t="s">
        <v>2489</v>
      </c>
      <c r="E1835" s="167" t="s">
        <v>3699</v>
      </c>
      <c r="F1835" s="168">
        <v>29.84</v>
      </c>
    </row>
    <row r="1836" spans="1:6" x14ac:dyDescent="0.2">
      <c r="A1836" s="163" t="s">
        <v>3724</v>
      </c>
      <c r="B1836" s="164" t="s">
        <v>2509</v>
      </c>
      <c r="C1836" s="164">
        <v>16123865</v>
      </c>
      <c r="D1836" s="164" t="s">
        <v>2488</v>
      </c>
      <c r="E1836" s="164" t="s">
        <v>3699</v>
      </c>
      <c r="F1836" s="165">
        <v>29.84</v>
      </c>
    </row>
    <row r="1837" spans="1:6" x14ac:dyDescent="0.2">
      <c r="A1837" s="166" t="s">
        <v>3724</v>
      </c>
      <c r="B1837" s="167" t="s">
        <v>2509</v>
      </c>
      <c r="C1837" s="167">
        <v>16123864</v>
      </c>
      <c r="D1837" s="167" t="s">
        <v>2487</v>
      </c>
      <c r="E1837" s="167" t="s">
        <v>3699</v>
      </c>
      <c r="F1837" s="168">
        <v>29.84</v>
      </c>
    </row>
    <row r="1838" spans="1:6" x14ac:dyDescent="0.2">
      <c r="A1838" s="163" t="s">
        <v>3724</v>
      </c>
      <c r="B1838" s="164" t="s">
        <v>2509</v>
      </c>
      <c r="C1838" s="164">
        <v>16123790</v>
      </c>
      <c r="D1838" s="164" t="s">
        <v>2486</v>
      </c>
      <c r="E1838" s="164" t="s">
        <v>3699</v>
      </c>
      <c r="F1838" s="165">
        <v>29.84</v>
      </c>
    </row>
    <row r="1839" spans="1:6" x14ac:dyDescent="0.2">
      <c r="A1839" s="166" t="s">
        <v>3724</v>
      </c>
      <c r="B1839" s="167" t="s">
        <v>2509</v>
      </c>
      <c r="C1839" s="167">
        <v>16123764</v>
      </c>
      <c r="D1839" s="167" t="s">
        <v>2485</v>
      </c>
      <c r="E1839" s="167" t="s">
        <v>3699</v>
      </c>
      <c r="F1839" s="168">
        <v>29.84</v>
      </c>
    </row>
    <row r="1840" spans="1:6" x14ac:dyDescent="0.2">
      <c r="A1840" s="163" t="s">
        <v>3724</v>
      </c>
      <c r="B1840" s="164" t="s">
        <v>2509</v>
      </c>
      <c r="C1840" s="164">
        <v>16123745</v>
      </c>
      <c r="D1840" s="164" t="s">
        <v>2484</v>
      </c>
      <c r="E1840" s="164" t="s">
        <v>3699</v>
      </c>
      <c r="F1840" s="165">
        <v>29.84</v>
      </c>
    </row>
    <row r="1841" spans="1:6" x14ac:dyDescent="0.2">
      <c r="A1841" s="166" t="s">
        <v>3724</v>
      </c>
      <c r="B1841" s="167" t="s">
        <v>2509</v>
      </c>
      <c r="C1841" s="167">
        <v>16123499</v>
      </c>
      <c r="D1841" s="167" t="s">
        <v>2483</v>
      </c>
      <c r="E1841" s="167" t="s">
        <v>3699</v>
      </c>
      <c r="F1841" s="168">
        <v>29.84</v>
      </c>
    </row>
    <row r="1842" spans="1:6" x14ac:dyDescent="0.2">
      <c r="A1842" s="163" t="s">
        <v>3724</v>
      </c>
      <c r="B1842" s="164" t="s">
        <v>2509</v>
      </c>
      <c r="C1842" s="164">
        <v>16123358</v>
      </c>
      <c r="D1842" s="164" t="s">
        <v>2482</v>
      </c>
      <c r="E1842" s="164" t="s">
        <v>3699</v>
      </c>
      <c r="F1842" s="165">
        <v>29.84</v>
      </c>
    </row>
    <row r="1843" spans="1:6" x14ac:dyDescent="0.2">
      <c r="A1843" s="166" t="s">
        <v>3724</v>
      </c>
      <c r="B1843" s="167" t="s">
        <v>2509</v>
      </c>
      <c r="C1843" s="167">
        <v>16122568</v>
      </c>
      <c r="D1843" s="167" t="s">
        <v>2481</v>
      </c>
      <c r="E1843" s="167" t="s">
        <v>3699</v>
      </c>
      <c r="F1843" s="168">
        <v>29.84</v>
      </c>
    </row>
    <row r="1844" spans="1:6" x14ac:dyDescent="0.2">
      <c r="A1844" s="163" t="s">
        <v>3724</v>
      </c>
      <c r="B1844" s="164" t="s">
        <v>2509</v>
      </c>
      <c r="C1844" s="164">
        <v>16122503</v>
      </c>
      <c r="D1844" s="164" t="s">
        <v>2480</v>
      </c>
      <c r="E1844" s="164" t="s">
        <v>3699</v>
      </c>
      <c r="F1844" s="165">
        <v>29.84</v>
      </c>
    </row>
    <row r="1845" spans="1:6" x14ac:dyDescent="0.2">
      <c r="A1845" s="166" t="s">
        <v>3724</v>
      </c>
      <c r="B1845" s="167" t="s">
        <v>2509</v>
      </c>
      <c r="C1845" s="167">
        <v>16122376</v>
      </c>
      <c r="D1845" s="167" t="s">
        <v>2479</v>
      </c>
      <c r="E1845" s="167" t="s">
        <v>3699</v>
      </c>
      <c r="F1845" s="168">
        <v>29.84</v>
      </c>
    </row>
    <row r="1846" spans="1:6" x14ac:dyDescent="0.2">
      <c r="A1846" s="163" t="s">
        <v>3724</v>
      </c>
      <c r="B1846" s="164" t="s">
        <v>2509</v>
      </c>
      <c r="C1846" s="164">
        <v>16122324</v>
      </c>
      <c r="D1846" s="164" t="s">
        <v>2478</v>
      </c>
      <c r="E1846" s="164" t="s">
        <v>3699</v>
      </c>
      <c r="F1846" s="165">
        <v>29.84</v>
      </c>
    </row>
    <row r="1847" spans="1:6" x14ac:dyDescent="0.2">
      <c r="A1847" s="166" t="s">
        <v>3724</v>
      </c>
      <c r="B1847" s="167" t="s">
        <v>2509</v>
      </c>
      <c r="C1847" s="167">
        <v>16122298</v>
      </c>
      <c r="D1847" s="167" t="s">
        <v>2477</v>
      </c>
      <c r="E1847" s="167" t="s">
        <v>3699</v>
      </c>
      <c r="F1847" s="168">
        <v>29.84</v>
      </c>
    </row>
    <row r="1848" spans="1:6" x14ac:dyDescent="0.2">
      <c r="A1848" s="163" t="s">
        <v>3724</v>
      </c>
      <c r="B1848" s="164" t="s">
        <v>2509</v>
      </c>
      <c r="C1848" s="164">
        <v>16122277</v>
      </c>
      <c r="D1848" s="164" t="s">
        <v>2476</v>
      </c>
      <c r="E1848" s="164" t="s">
        <v>3699</v>
      </c>
      <c r="F1848" s="165">
        <v>29.84</v>
      </c>
    </row>
    <row r="1849" spans="1:6" x14ac:dyDescent="0.2">
      <c r="A1849" s="166" t="s">
        <v>3724</v>
      </c>
      <c r="B1849" s="167" t="s">
        <v>2509</v>
      </c>
      <c r="C1849" s="167">
        <v>16122204</v>
      </c>
      <c r="D1849" s="167" t="s">
        <v>2475</v>
      </c>
      <c r="E1849" s="167" t="s">
        <v>3699</v>
      </c>
      <c r="F1849" s="168">
        <v>29.84</v>
      </c>
    </row>
    <row r="1850" spans="1:6" x14ac:dyDescent="0.2">
      <c r="A1850" s="163" t="s">
        <v>3724</v>
      </c>
      <c r="B1850" s="164" t="s">
        <v>2509</v>
      </c>
      <c r="C1850" s="164">
        <v>16122078</v>
      </c>
      <c r="D1850" s="164" t="s">
        <v>2474</v>
      </c>
      <c r="E1850" s="164" t="s">
        <v>3699</v>
      </c>
      <c r="F1850" s="165">
        <v>29.84</v>
      </c>
    </row>
    <row r="1851" spans="1:6" x14ac:dyDescent="0.2">
      <c r="A1851" s="166" t="s">
        <v>3724</v>
      </c>
      <c r="B1851" s="167" t="s">
        <v>2509</v>
      </c>
      <c r="C1851" s="167">
        <v>16121937</v>
      </c>
      <c r="D1851" s="167" t="s">
        <v>2473</v>
      </c>
      <c r="E1851" s="167" t="s">
        <v>3699</v>
      </c>
      <c r="F1851" s="168">
        <v>29.84</v>
      </c>
    </row>
    <row r="1852" spans="1:6" x14ac:dyDescent="0.2">
      <c r="A1852" s="163" t="s">
        <v>3724</v>
      </c>
      <c r="B1852" s="164" t="s">
        <v>2509</v>
      </c>
      <c r="C1852" s="164">
        <v>16121844</v>
      </c>
      <c r="D1852" s="164" t="s">
        <v>2472</v>
      </c>
      <c r="E1852" s="164" t="s">
        <v>3699</v>
      </c>
      <c r="F1852" s="165">
        <v>29.84</v>
      </c>
    </row>
    <row r="1853" spans="1:6" x14ac:dyDescent="0.2">
      <c r="A1853" s="166" t="s">
        <v>3724</v>
      </c>
      <c r="B1853" s="167" t="s">
        <v>2509</v>
      </c>
      <c r="C1853" s="167">
        <v>16121712</v>
      </c>
      <c r="D1853" s="167" t="s">
        <v>2471</v>
      </c>
      <c r="E1853" s="167" t="s">
        <v>3699</v>
      </c>
      <c r="F1853" s="168">
        <v>29.84</v>
      </c>
    </row>
    <row r="1854" spans="1:6" x14ac:dyDescent="0.2">
      <c r="A1854" s="163" t="s">
        <v>3724</v>
      </c>
      <c r="B1854" s="164" t="s">
        <v>2509</v>
      </c>
      <c r="C1854" s="164">
        <v>16121373</v>
      </c>
      <c r="D1854" s="164" t="s">
        <v>2470</v>
      </c>
      <c r="E1854" s="164" t="s">
        <v>3699</v>
      </c>
      <c r="F1854" s="165">
        <v>29.84</v>
      </c>
    </row>
    <row r="1855" spans="1:6" x14ac:dyDescent="0.2">
      <c r="A1855" s="166" t="s">
        <v>3724</v>
      </c>
      <c r="B1855" s="167" t="s">
        <v>2509</v>
      </c>
      <c r="C1855" s="167">
        <v>16120702</v>
      </c>
      <c r="D1855" s="167" t="s">
        <v>2469</v>
      </c>
      <c r="E1855" s="167" t="s">
        <v>3699</v>
      </c>
      <c r="F1855" s="168">
        <v>29.84</v>
      </c>
    </row>
    <row r="1856" spans="1:6" x14ac:dyDescent="0.2">
      <c r="A1856" s="163" t="s">
        <v>3724</v>
      </c>
      <c r="B1856" s="164" t="s">
        <v>2509</v>
      </c>
      <c r="C1856" s="164">
        <v>16120465</v>
      </c>
      <c r="D1856" s="164" t="s">
        <v>2468</v>
      </c>
      <c r="E1856" s="164" t="s">
        <v>3699</v>
      </c>
      <c r="F1856" s="165">
        <v>29.84</v>
      </c>
    </row>
    <row r="1857" spans="1:6" x14ac:dyDescent="0.2">
      <c r="A1857" s="166" t="s">
        <v>3724</v>
      </c>
      <c r="B1857" s="167" t="s">
        <v>2509</v>
      </c>
      <c r="C1857" s="167">
        <v>16120346</v>
      </c>
      <c r="D1857" s="167" t="s">
        <v>2467</v>
      </c>
      <c r="E1857" s="167" t="s">
        <v>3699</v>
      </c>
      <c r="F1857" s="168">
        <v>29.84</v>
      </c>
    </row>
    <row r="1858" spans="1:6" x14ac:dyDescent="0.2">
      <c r="A1858" s="163" t="s">
        <v>3724</v>
      </c>
      <c r="B1858" s="164" t="s">
        <v>2509</v>
      </c>
      <c r="C1858" s="164">
        <v>16120137</v>
      </c>
      <c r="D1858" s="164" t="s">
        <v>2466</v>
      </c>
      <c r="E1858" s="164" t="s">
        <v>3699</v>
      </c>
      <c r="F1858" s="165">
        <v>29.84</v>
      </c>
    </row>
    <row r="1859" spans="1:6" x14ac:dyDescent="0.2">
      <c r="A1859" s="166" t="s">
        <v>3724</v>
      </c>
      <c r="B1859" s="167" t="s">
        <v>2509</v>
      </c>
      <c r="C1859" s="167">
        <v>16119689</v>
      </c>
      <c r="D1859" s="167" t="s">
        <v>2465</v>
      </c>
      <c r="E1859" s="167" t="s">
        <v>3699</v>
      </c>
      <c r="F1859" s="168">
        <v>29.84</v>
      </c>
    </row>
    <row r="1860" spans="1:6" x14ac:dyDescent="0.2">
      <c r="A1860" s="163" t="s">
        <v>3724</v>
      </c>
      <c r="B1860" s="164" t="s">
        <v>2509</v>
      </c>
      <c r="C1860" s="164">
        <v>16119563</v>
      </c>
      <c r="D1860" s="164" t="s">
        <v>2464</v>
      </c>
      <c r="E1860" s="164" t="s">
        <v>3699</v>
      </c>
      <c r="F1860" s="165">
        <v>29.84</v>
      </c>
    </row>
    <row r="1861" spans="1:6" x14ac:dyDescent="0.2">
      <c r="A1861" s="166" t="s">
        <v>3724</v>
      </c>
      <c r="B1861" s="167" t="s">
        <v>2509</v>
      </c>
      <c r="C1861" s="167">
        <v>16119562</v>
      </c>
      <c r="D1861" s="167" t="s">
        <v>2463</v>
      </c>
      <c r="E1861" s="167" t="s">
        <v>3699</v>
      </c>
      <c r="F1861" s="168">
        <v>29.84</v>
      </c>
    </row>
    <row r="1862" spans="1:6" x14ac:dyDescent="0.2">
      <c r="A1862" s="163" t="s">
        <v>3724</v>
      </c>
      <c r="B1862" s="164" t="s">
        <v>2509</v>
      </c>
      <c r="C1862" s="164">
        <v>16119354</v>
      </c>
      <c r="D1862" s="164" t="s">
        <v>2462</v>
      </c>
      <c r="E1862" s="164" t="s">
        <v>3699</v>
      </c>
      <c r="F1862" s="165">
        <v>24.86</v>
      </c>
    </row>
    <row r="1863" spans="1:6" x14ac:dyDescent="0.2">
      <c r="A1863" s="166" t="s">
        <v>3724</v>
      </c>
      <c r="B1863" s="167" t="s">
        <v>2509</v>
      </c>
      <c r="C1863" s="167">
        <v>16119278</v>
      </c>
      <c r="D1863" s="167" t="s">
        <v>2507</v>
      </c>
      <c r="E1863" s="167" t="s">
        <v>3699</v>
      </c>
      <c r="F1863" s="168">
        <v>29.84</v>
      </c>
    </row>
    <row r="1864" spans="1:6" x14ac:dyDescent="0.2">
      <c r="A1864" s="163" t="s">
        <v>3724</v>
      </c>
      <c r="B1864" s="164" t="s">
        <v>2509</v>
      </c>
      <c r="C1864" s="164">
        <v>16119048</v>
      </c>
      <c r="D1864" s="164" t="s">
        <v>2461</v>
      </c>
      <c r="E1864" s="164" t="s">
        <v>3699</v>
      </c>
      <c r="F1864" s="165">
        <v>29.84</v>
      </c>
    </row>
    <row r="1865" spans="1:6" x14ac:dyDescent="0.2">
      <c r="A1865" s="166" t="s">
        <v>3724</v>
      </c>
      <c r="B1865" s="167" t="s">
        <v>2509</v>
      </c>
      <c r="C1865" s="167">
        <v>16118965</v>
      </c>
      <c r="D1865" s="167" t="s">
        <v>2460</v>
      </c>
      <c r="E1865" s="167" t="s">
        <v>3699</v>
      </c>
      <c r="F1865" s="168">
        <v>38.15</v>
      </c>
    </row>
    <row r="1866" spans="1:6" x14ac:dyDescent="0.2">
      <c r="A1866" s="163" t="s">
        <v>3724</v>
      </c>
      <c r="B1866" s="164" t="s">
        <v>2509</v>
      </c>
      <c r="C1866" s="164">
        <v>16118963</v>
      </c>
      <c r="D1866" s="164" t="s">
        <v>2459</v>
      </c>
      <c r="E1866" s="164" t="s">
        <v>3699</v>
      </c>
      <c r="F1866" s="165">
        <v>29.84</v>
      </c>
    </row>
    <row r="1867" spans="1:6" x14ac:dyDescent="0.2">
      <c r="A1867" s="166" t="s">
        <v>3724</v>
      </c>
      <c r="B1867" s="167" t="s">
        <v>2509</v>
      </c>
      <c r="C1867" s="167">
        <v>16118874</v>
      </c>
      <c r="D1867" s="167" t="s">
        <v>2458</v>
      </c>
      <c r="E1867" s="167" t="s">
        <v>3699</v>
      </c>
      <c r="F1867" s="168">
        <v>29.84</v>
      </c>
    </row>
    <row r="1868" spans="1:6" x14ac:dyDescent="0.2">
      <c r="A1868" s="163" t="s">
        <v>3724</v>
      </c>
      <c r="B1868" s="164" t="s">
        <v>2509</v>
      </c>
      <c r="C1868" s="164">
        <v>16118723</v>
      </c>
      <c r="D1868" s="164" t="s">
        <v>2457</v>
      </c>
      <c r="E1868" s="164" t="s">
        <v>3699</v>
      </c>
      <c r="F1868" s="165">
        <v>29.84</v>
      </c>
    </row>
    <row r="1869" spans="1:6" x14ac:dyDescent="0.2">
      <c r="A1869" s="166" t="s">
        <v>3724</v>
      </c>
      <c r="B1869" s="167" t="s">
        <v>2509</v>
      </c>
      <c r="C1869" s="167">
        <v>16118701</v>
      </c>
      <c r="D1869" s="167" t="s">
        <v>2456</v>
      </c>
      <c r="E1869" s="167" t="s">
        <v>3699</v>
      </c>
      <c r="F1869" s="168">
        <v>29.84</v>
      </c>
    </row>
    <row r="1870" spans="1:6" x14ac:dyDescent="0.2">
      <c r="A1870" s="163" t="s">
        <v>3724</v>
      </c>
      <c r="B1870" s="164" t="s">
        <v>2509</v>
      </c>
      <c r="C1870" s="164">
        <v>16118558</v>
      </c>
      <c r="D1870" s="164" t="s">
        <v>2455</v>
      </c>
      <c r="E1870" s="164" t="s">
        <v>3699</v>
      </c>
      <c r="F1870" s="165">
        <v>29.84</v>
      </c>
    </row>
    <row r="1871" spans="1:6" x14ac:dyDescent="0.2">
      <c r="A1871" s="166" t="s">
        <v>3724</v>
      </c>
      <c r="B1871" s="167" t="s">
        <v>2509</v>
      </c>
      <c r="C1871" s="167">
        <v>16118485</v>
      </c>
      <c r="D1871" s="167" t="s">
        <v>2454</v>
      </c>
      <c r="E1871" s="167" t="s">
        <v>3699</v>
      </c>
      <c r="F1871" s="168">
        <v>29.84</v>
      </c>
    </row>
    <row r="1872" spans="1:6" x14ac:dyDescent="0.2">
      <c r="A1872" s="163" t="s">
        <v>3724</v>
      </c>
      <c r="B1872" s="164" t="s">
        <v>2509</v>
      </c>
      <c r="C1872" s="164">
        <v>16118421</v>
      </c>
      <c r="D1872" s="164" t="s">
        <v>2453</v>
      </c>
      <c r="E1872" s="164" t="s">
        <v>3699</v>
      </c>
      <c r="F1872" s="165">
        <v>29.84</v>
      </c>
    </row>
    <row r="1873" spans="1:6" x14ac:dyDescent="0.2">
      <c r="A1873" s="166" t="s">
        <v>3724</v>
      </c>
      <c r="B1873" s="167" t="s">
        <v>2509</v>
      </c>
      <c r="C1873" s="167">
        <v>16117764</v>
      </c>
      <c r="D1873" s="167" t="s">
        <v>2452</v>
      </c>
      <c r="E1873" s="167" t="s">
        <v>3699</v>
      </c>
      <c r="F1873" s="168">
        <v>29.84</v>
      </c>
    </row>
    <row r="1874" spans="1:6" x14ac:dyDescent="0.2">
      <c r="A1874" s="163" t="s">
        <v>3724</v>
      </c>
      <c r="B1874" s="164" t="s">
        <v>2509</v>
      </c>
      <c r="C1874" s="164">
        <v>16117582</v>
      </c>
      <c r="D1874" s="164" t="s">
        <v>2451</v>
      </c>
      <c r="E1874" s="164" t="s">
        <v>3699</v>
      </c>
      <c r="F1874" s="165">
        <v>29.84</v>
      </c>
    </row>
    <row r="1875" spans="1:6" x14ac:dyDescent="0.2">
      <c r="A1875" s="166" t="s">
        <v>3724</v>
      </c>
      <c r="B1875" s="167" t="s">
        <v>2509</v>
      </c>
      <c r="C1875" s="167">
        <v>16116733</v>
      </c>
      <c r="D1875" s="167" t="s">
        <v>2450</v>
      </c>
      <c r="E1875" s="167" t="s">
        <v>3699</v>
      </c>
      <c r="F1875" s="168">
        <v>29.84</v>
      </c>
    </row>
    <row r="1876" spans="1:6" x14ac:dyDescent="0.2">
      <c r="A1876" s="163" t="s">
        <v>3724</v>
      </c>
      <c r="B1876" s="164" t="s">
        <v>2509</v>
      </c>
      <c r="C1876" s="164">
        <v>16116477</v>
      </c>
      <c r="D1876" s="164" t="s">
        <v>2449</v>
      </c>
      <c r="E1876" s="164" t="s">
        <v>3699</v>
      </c>
      <c r="F1876" s="165">
        <v>29.84</v>
      </c>
    </row>
    <row r="1877" spans="1:6" x14ac:dyDescent="0.2">
      <c r="A1877" s="166" t="s">
        <v>3724</v>
      </c>
      <c r="B1877" s="167" t="s">
        <v>2509</v>
      </c>
      <c r="C1877" s="167">
        <v>16116290</v>
      </c>
      <c r="D1877" s="167" t="s">
        <v>2448</v>
      </c>
      <c r="E1877" s="167" t="s">
        <v>3699</v>
      </c>
      <c r="F1877" s="168">
        <v>29.84</v>
      </c>
    </row>
    <row r="1878" spans="1:6" x14ac:dyDescent="0.2">
      <c r="A1878" s="163" t="s">
        <v>3724</v>
      </c>
      <c r="B1878" s="164" t="s">
        <v>2509</v>
      </c>
      <c r="C1878" s="164">
        <v>16116202</v>
      </c>
      <c r="D1878" s="164" t="s">
        <v>2447</v>
      </c>
      <c r="E1878" s="164" t="s">
        <v>3699</v>
      </c>
      <c r="F1878" s="165">
        <v>29.84</v>
      </c>
    </row>
    <row r="1879" spans="1:6" x14ac:dyDescent="0.2">
      <c r="A1879" s="166" t="s">
        <v>3724</v>
      </c>
      <c r="B1879" s="167" t="s">
        <v>2509</v>
      </c>
      <c r="C1879" s="167">
        <v>16116077</v>
      </c>
      <c r="D1879" s="167" t="s">
        <v>2446</v>
      </c>
      <c r="E1879" s="167" t="s">
        <v>3699</v>
      </c>
      <c r="F1879" s="168">
        <v>29.84</v>
      </c>
    </row>
    <row r="1880" spans="1:6" x14ac:dyDescent="0.2">
      <c r="A1880" s="163" t="s">
        <v>3724</v>
      </c>
      <c r="B1880" s="164" t="s">
        <v>2509</v>
      </c>
      <c r="C1880" s="164">
        <v>16115783</v>
      </c>
      <c r="D1880" s="164" t="s">
        <v>2445</v>
      </c>
      <c r="E1880" s="164" t="s">
        <v>3699</v>
      </c>
      <c r="F1880" s="165">
        <v>29.84</v>
      </c>
    </row>
    <row r="1881" spans="1:6" x14ac:dyDescent="0.2">
      <c r="A1881" s="166" t="s">
        <v>3724</v>
      </c>
      <c r="B1881" s="167" t="s">
        <v>2509</v>
      </c>
      <c r="C1881" s="167">
        <v>16115756</v>
      </c>
      <c r="D1881" s="167" t="s">
        <v>2444</v>
      </c>
      <c r="E1881" s="167" t="s">
        <v>3699</v>
      </c>
      <c r="F1881" s="168">
        <v>29.84</v>
      </c>
    </row>
    <row r="1882" spans="1:6" x14ac:dyDescent="0.2">
      <c r="A1882" s="163" t="s">
        <v>3724</v>
      </c>
      <c r="B1882" s="164" t="s">
        <v>2509</v>
      </c>
      <c r="C1882" s="164">
        <v>16115586</v>
      </c>
      <c r="D1882" s="164" t="s">
        <v>2443</v>
      </c>
      <c r="E1882" s="164" t="s">
        <v>3699</v>
      </c>
      <c r="F1882" s="165">
        <v>29.84</v>
      </c>
    </row>
    <row r="1883" spans="1:6" x14ac:dyDescent="0.2">
      <c r="A1883" s="166" t="s">
        <v>3724</v>
      </c>
      <c r="B1883" s="167" t="s">
        <v>2509</v>
      </c>
      <c r="C1883" s="167">
        <v>16115150</v>
      </c>
      <c r="D1883" s="167" t="s">
        <v>2442</v>
      </c>
      <c r="E1883" s="167" t="s">
        <v>3699</v>
      </c>
      <c r="F1883" s="168">
        <v>29.84</v>
      </c>
    </row>
    <row r="1884" spans="1:6" x14ac:dyDescent="0.2">
      <c r="A1884" s="163" t="s">
        <v>3724</v>
      </c>
      <c r="B1884" s="164" t="s">
        <v>2509</v>
      </c>
      <c r="C1884" s="164">
        <v>16115026</v>
      </c>
      <c r="D1884" s="164" t="s">
        <v>2441</v>
      </c>
      <c r="E1884" s="164" t="s">
        <v>3699</v>
      </c>
      <c r="F1884" s="165">
        <v>19.89</v>
      </c>
    </row>
    <row r="1885" spans="1:6" x14ac:dyDescent="0.2">
      <c r="A1885" s="166" t="s">
        <v>3724</v>
      </c>
      <c r="B1885" s="167" t="s">
        <v>2509</v>
      </c>
      <c r="C1885" s="167">
        <v>16114991</v>
      </c>
      <c r="D1885" s="167" t="s">
        <v>2440</v>
      </c>
      <c r="E1885" s="167" t="s">
        <v>3699</v>
      </c>
      <c r="F1885" s="168">
        <v>29.84</v>
      </c>
    </row>
    <row r="1886" spans="1:6" x14ac:dyDescent="0.2">
      <c r="A1886" s="163" t="s">
        <v>3724</v>
      </c>
      <c r="B1886" s="164" t="s">
        <v>2509</v>
      </c>
      <c r="C1886" s="164">
        <v>16114529</v>
      </c>
      <c r="D1886" s="164" t="s">
        <v>2439</v>
      </c>
      <c r="E1886" s="164" t="s">
        <v>3699</v>
      </c>
      <c r="F1886" s="165">
        <v>29.84</v>
      </c>
    </row>
    <row r="1887" spans="1:6" x14ac:dyDescent="0.2">
      <c r="A1887" s="166" t="s">
        <v>3724</v>
      </c>
      <c r="B1887" s="167" t="s">
        <v>2509</v>
      </c>
      <c r="C1887" s="167">
        <v>16114091</v>
      </c>
      <c r="D1887" s="167" t="s">
        <v>2438</v>
      </c>
      <c r="E1887" s="167" t="s">
        <v>3699</v>
      </c>
      <c r="F1887" s="168">
        <v>52.3</v>
      </c>
    </row>
    <row r="1888" spans="1:6" x14ac:dyDescent="0.2">
      <c r="A1888" s="163" t="s">
        <v>3724</v>
      </c>
      <c r="B1888" s="164" t="s">
        <v>2509</v>
      </c>
      <c r="C1888" s="164">
        <v>16114063</v>
      </c>
      <c r="D1888" s="164" t="s">
        <v>2437</v>
      </c>
      <c r="E1888" s="164" t="s">
        <v>3699</v>
      </c>
      <c r="F1888" s="165">
        <v>29.84</v>
      </c>
    </row>
    <row r="1889" spans="1:6" x14ac:dyDescent="0.2">
      <c r="A1889" s="166" t="s">
        <v>3724</v>
      </c>
      <c r="B1889" s="167" t="s">
        <v>2509</v>
      </c>
      <c r="C1889" s="167">
        <v>16113686</v>
      </c>
      <c r="D1889" s="167" t="s">
        <v>2436</v>
      </c>
      <c r="E1889" s="167" t="s">
        <v>3699</v>
      </c>
      <c r="F1889" s="168">
        <v>50.64</v>
      </c>
    </row>
    <row r="1890" spans="1:6" x14ac:dyDescent="0.2">
      <c r="A1890" s="163" t="s">
        <v>3724</v>
      </c>
      <c r="B1890" s="164" t="s">
        <v>2509</v>
      </c>
      <c r="C1890" s="164">
        <v>16113003</v>
      </c>
      <c r="D1890" s="164" t="s">
        <v>2435</v>
      </c>
      <c r="E1890" s="164" t="s">
        <v>3699</v>
      </c>
      <c r="F1890" s="165">
        <v>29.84</v>
      </c>
    </row>
    <row r="1891" spans="1:6" x14ac:dyDescent="0.2">
      <c r="A1891" s="166" t="s">
        <v>3724</v>
      </c>
      <c r="B1891" s="167" t="s">
        <v>2509</v>
      </c>
      <c r="C1891" s="167">
        <v>16112922</v>
      </c>
      <c r="D1891" s="167" t="s">
        <v>2434</v>
      </c>
      <c r="E1891" s="167" t="s">
        <v>3699</v>
      </c>
      <c r="F1891" s="168">
        <v>38.15</v>
      </c>
    </row>
    <row r="1892" spans="1:6" x14ac:dyDescent="0.2">
      <c r="A1892" s="163" t="s">
        <v>3724</v>
      </c>
      <c r="B1892" s="164" t="s">
        <v>2509</v>
      </c>
      <c r="C1892" s="164">
        <v>16112578</v>
      </c>
      <c r="D1892" s="164" t="s">
        <v>2433</v>
      </c>
      <c r="E1892" s="164" t="s">
        <v>3699</v>
      </c>
      <c r="F1892" s="165">
        <v>29.84</v>
      </c>
    </row>
    <row r="1893" spans="1:6" x14ac:dyDescent="0.2">
      <c r="A1893" s="166" t="s">
        <v>3724</v>
      </c>
      <c r="B1893" s="167" t="s">
        <v>2509</v>
      </c>
      <c r="C1893" s="167">
        <v>16112068</v>
      </c>
      <c r="D1893" s="167" t="s">
        <v>2432</v>
      </c>
      <c r="E1893" s="167" t="s">
        <v>3699</v>
      </c>
      <c r="F1893" s="168">
        <v>29.84</v>
      </c>
    </row>
    <row r="1894" spans="1:6" x14ac:dyDescent="0.2">
      <c r="A1894" s="163" t="s">
        <v>3724</v>
      </c>
      <c r="B1894" s="164" t="s">
        <v>2509</v>
      </c>
      <c r="C1894" s="164">
        <v>16111844</v>
      </c>
      <c r="D1894" s="164" t="s">
        <v>2431</v>
      </c>
      <c r="E1894" s="164" t="s">
        <v>3699</v>
      </c>
      <c r="F1894" s="165">
        <v>29.84</v>
      </c>
    </row>
    <row r="1895" spans="1:6" x14ac:dyDescent="0.2">
      <c r="A1895" s="166" t="s">
        <v>3724</v>
      </c>
      <c r="B1895" s="167" t="s">
        <v>2509</v>
      </c>
      <c r="C1895" s="167">
        <v>16111231</v>
      </c>
      <c r="D1895" s="167" t="s">
        <v>2430</v>
      </c>
      <c r="E1895" s="167" t="s">
        <v>3699</v>
      </c>
      <c r="F1895" s="168">
        <v>29.84</v>
      </c>
    </row>
    <row r="1896" spans="1:6" x14ac:dyDescent="0.2">
      <c r="A1896" s="163" t="s">
        <v>3724</v>
      </c>
      <c r="B1896" s="164" t="s">
        <v>2509</v>
      </c>
      <c r="C1896" s="164">
        <v>16110744</v>
      </c>
      <c r="D1896" s="164" t="s">
        <v>2506</v>
      </c>
      <c r="E1896" s="164" t="s">
        <v>3699</v>
      </c>
      <c r="F1896" s="165">
        <v>29.84</v>
      </c>
    </row>
    <row r="1897" spans="1:6" x14ac:dyDescent="0.2">
      <c r="A1897" s="166" t="s">
        <v>3724</v>
      </c>
      <c r="B1897" s="167" t="s">
        <v>2509</v>
      </c>
      <c r="C1897" s="167">
        <v>16110177</v>
      </c>
      <c r="D1897" s="167" t="s">
        <v>2429</v>
      </c>
      <c r="E1897" s="167" t="s">
        <v>3699</v>
      </c>
      <c r="F1897" s="168">
        <v>29.84</v>
      </c>
    </row>
    <row r="1898" spans="1:6" x14ac:dyDescent="0.2">
      <c r="A1898" s="163" t="s">
        <v>3724</v>
      </c>
      <c r="B1898" s="164" t="s">
        <v>2509</v>
      </c>
      <c r="C1898" s="164">
        <v>16107905</v>
      </c>
      <c r="D1898" s="164" t="s">
        <v>2428</v>
      </c>
      <c r="E1898" s="164" t="s">
        <v>3699</v>
      </c>
      <c r="F1898" s="165">
        <v>29.84</v>
      </c>
    </row>
    <row r="1899" spans="1:6" x14ac:dyDescent="0.2">
      <c r="A1899" s="166" t="s">
        <v>3724</v>
      </c>
      <c r="B1899" s="167" t="s">
        <v>2509</v>
      </c>
      <c r="C1899" s="167">
        <v>16107845</v>
      </c>
      <c r="D1899" s="167" t="s">
        <v>2427</v>
      </c>
      <c r="E1899" s="167" t="s">
        <v>3699</v>
      </c>
      <c r="F1899" s="168">
        <v>29.84</v>
      </c>
    </row>
    <row r="1900" spans="1:6" x14ac:dyDescent="0.2">
      <c r="A1900" s="163" t="s">
        <v>3724</v>
      </c>
      <c r="B1900" s="164" t="s">
        <v>2509</v>
      </c>
      <c r="C1900" s="164">
        <v>16107705</v>
      </c>
      <c r="D1900" s="164" t="s">
        <v>2426</v>
      </c>
      <c r="E1900" s="164" t="s">
        <v>3699</v>
      </c>
      <c r="F1900" s="165">
        <v>29.84</v>
      </c>
    </row>
    <row r="1901" spans="1:6" x14ac:dyDescent="0.2">
      <c r="A1901" s="166" t="s">
        <v>3724</v>
      </c>
      <c r="B1901" s="167" t="s">
        <v>2509</v>
      </c>
      <c r="C1901" s="167">
        <v>16107598</v>
      </c>
      <c r="D1901" s="167" t="s">
        <v>2505</v>
      </c>
      <c r="E1901" s="167" t="s">
        <v>3699</v>
      </c>
      <c r="F1901" s="168">
        <v>29.84</v>
      </c>
    </row>
    <row r="1902" spans="1:6" x14ac:dyDescent="0.2">
      <c r="A1902" s="163" t="s">
        <v>3724</v>
      </c>
      <c r="B1902" s="164" t="s">
        <v>2509</v>
      </c>
      <c r="C1902" s="164">
        <v>16107341</v>
      </c>
      <c r="D1902" s="164" t="s">
        <v>2425</v>
      </c>
      <c r="E1902" s="164" t="s">
        <v>3699</v>
      </c>
      <c r="F1902" s="165">
        <v>24.5</v>
      </c>
    </row>
    <row r="1903" spans="1:6" x14ac:dyDescent="0.2">
      <c r="A1903" s="166" t="s">
        <v>3724</v>
      </c>
      <c r="B1903" s="167" t="s">
        <v>2509</v>
      </c>
      <c r="C1903" s="167">
        <v>16107227</v>
      </c>
      <c r="D1903" s="167" t="s">
        <v>2424</v>
      </c>
      <c r="E1903" s="167" t="s">
        <v>3699</v>
      </c>
      <c r="F1903" s="168">
        <v>29.84</v>
      </c>
    </row>
    <row r="1904" spans="1:6" x14ac:dyDescent="0.2">
      <c r="A1904" s="163" t="s">
        <v>3724</v>
      </c>
      <c r="B1904" s="164" t="s">
        <v>2509</v>
      </c>
      <c r="C1904" s="164">
        <v>16106566</v>
      </c>
      <c r="D1904" s="164" t="s">
        <v>2423</v>
      </c>
      <c r="E1904" s="164" t="s">
        <v>3699</v>
      </c>
      <c r="F1904" s="165">
        <v>29.84</v>
      </c>
    </row>
    <row r="1905" spans="1:6" x14ac:dyDescent="0.2">
      <c r="A1905" s="166" t="s">
        <v>3724</v>
      </c>
      <c r="B1905" s="167" t="s">
        <v>2509</v>
      </c>
      <c r="C1905" s="167">
        <v>16105115</v>
      </c>
      <c r="D1905" s="167" t="s">
        <v>2422</v>
      </c>
      <c r="E1905" s="167" t="s">
        <v>3699</v>
      </c>
      <c r="F1905" s="168">
        <v>29.84</v>
      </c>
    </row>
    <row r="1906" spans="1:6" x14ac:dyDescent="0.2">
      <c r="A1906" s="163" t="s">
        <v>3724</v>
      </c>
      <c r="B1906" s="164" t="s">
        <v>2509</v>
      </c>
      <c r="C1906" s="164">
        <v>16104653</v>
      </c>
      <c r="D1906" s="164" t="s">
        <v>2421</v>
      </c>
      <c r="E1906" s="164" t="s">
        <v>3699</v>
      </c>
      <c r="F1906" s="165">
        <v>29.84</v>
      </c>
    </row>
    <row r="1907" spans="1:6" x14ac:dyDescent="0.2">
      <c r="A1907" s="166" t="s">
        <v>3724</v>
      </c>
      <c r="B1907" s="167" t="s">
        <v>2509</v>
      </c>
      <c r="C1907" s="167">
        <v>16104436</v>
      </c>
      <c r="D1907" s="167" t="s">
        <v>2420</v>
      </c>
      <c r="E1907" s="167" t="s">
        <v>3699</v>
      </c>
      <c r="F1907" s="168">
        <v>29.84</v>
      </c>
    </row>
    <row r="1908" spans="1:6" x14ac:dyDescent="0.2">
      <c r="A1908" s="163" t="s">
        <v>3724</v>
      </c>
      <c r="B1908" s="164" t="s">
        <v>2509</v>
      </c>
      <c r="C1908" s="164">
        <v>16103733</v>
      </c>
      <c r="D1908" s="164" t="s">
        <v>2504</v>
      </c>
      <c r="E1908" s="164" t="s">
        <v>3699</v>
      </c>
      <c r="F1908" s="165">
        <v>29.84</v>
      </c>
    </row>
    <row r="1909" spans="1:6" x14ac:dyDescent="0.2">
      <c r="A1909" s="166" t="s">
        <v>3724</v>
      </c>
      <c r="B1909" s="167" t="s">
        <v>2509</v>
      </c>
      <c r="C1909" s="167">
        <v>16102762</v>
      </c>
      <c r="D1909" s="167" t="s">
        <v>2419</v>
      </c>
      <c r="E1909" s="167" t="s">
        <v>3699</v>
      </c>
      <c r="F1909" s="168">
        <v>29.84</v>
      </c>
    </row>
    <row r="1910" spans="1:6" x14ac:dyDescent="0.2">
      <c r="A1910" s="163" t="s">
        <v>3724</v>
      </c>
      <c r="B1910" s="164" t="s">
        <v>2509</v>
      </c>
      <c r="C1910" s="164">
        <v>16102665</v>
      </c>
      <c r="D1910" s="164" t="s">
        <v>2418</v>
      </c>
      <c r="E1910" s="164" t="s">
        <v>3699</v>
      </c>
      <c r="F1910" s="165">
        <v>29.84</v>
      </c>
    </row>
    <row r="1911" spans="1:6" x14ac:dyDescent="0.2">
      <c r="A1911" s="166" t="s">
        <v>3724</v>
      </c>
      <c r="B1911" s="167" t="s">
        <v>2509</v>
      </c>
      <c r="C1911" s="167">
        <v>16102525</v>
      </c>
      <c r="D1911" s="167" t="s">
        <v>2417</v>
      </c>
      <c r="E1911" s="167" t="s">
        <v>3699</v>
      </c>
      <c r="F1911" s="168">
        <v>29.84</v>
      </c>
    </row>
    <row r="1912" spans="1:6" x14ac:dyDescent="0.2">
      <c r="A1912" s="163" t="s">
        <v>3724</v>
      </c>
      <c r="B1912" s="164" t="s">
        <v>2509</v>
      </c>
      <c r="C1912" s="164">
        <v>16102265</v>
      </c>
      <c r="D1912" s="164" t="s">
        <v>2416</v>
      </c>
      <c r="E1912" s="164" t="s">
        <v>3699</v>
      </c>
      <c r="F1912" s="165">
        <v>29.84</v>
      </c>
    </row>
    <row r="1913" spans="1:6" x14ac:dyDescent="0.2">
      <c r="A1913" s="166" t="s">
        <v>3724</v>
      </c>
      <c r="B1913" s="167" t="s">
        <v>2509</v>
      </c>
      <c r="C1913" s="167">
        <v>16102211</v>
      </c>
      <c r="D1913" s="167" t="s">
        <v>2415</v>
      </c>
      <c r="E1913" s="167" t="s">
        <v>3699</v>
      </c>
      <c r="F1913" s="168">
        <v>36.56</v>
      </c>
    </row>
    <row r="1914" spans="1:6" x14ac:dyDescent="0.2">
      <c r="A1914" s="163" t="s">
        <v>3724</v>
      </c>
      <c r="B1914" s="164" t="s">
        <v>2509</v>
      </c>
      <c r="C1914" s="164">
        <v>16102200</v>
      </c>
      <c r="D1914" s="164" t="s">
        <v>2414</v>
      </c>
      <c r="E1914" s="164" t="s">
        <v>3699</v>
      </c>
      <c r="F1914" s="165">
        <v>29.84</v>
      </c>
    </row>
    <row r="1915" spans="1:6" x14ac:dyDescent="0.2">
      <c r="A1915" s="166" t="s">
        <v>3724</v>
      </c>
      <c r="B1915" s="167" t="s">
        <v>2509</v>
      </c>
      <c r="C1915" s="167">
        <v>16101387</v>
      </c>
      <c r="D1915" s="167" t="s">
        <v>2413</v>
      </c>
      <c r="E1915" s="167" t="s">
        <v>3699</v>
      </c>
      <c r="F1915" s="168">
        <v>29.84</v>
      </c>
    </row>
    <row r="1916" spans="1:6" x14ac:dyDescent="0.2">
      <c r="A1916" s="163" t="s">
        <v>3724</v>
      </c>
      <c r="B1916" s="164" t="s">
        <v>2509</v>
      </c>
      <c r="C1916" s="164">
        <v>16101382</v>
      </c>
      <c r="D1916" s="164" t="s">
        <v>2412</v>
      </c>
      <c r="E1916" s="164" t="s">
        <v>3699</v>
      </c>
      <c r="F1916" s="165">
        <v>29.84</v>
      </c>
    </row>
    <row r="1917" spans="1:6" x14ac:dyDescent="0.2">
      <c r="A1917" s="166" t="s">
        <v>3724</v>
      </c>
      <c r="B1917" s="167" t="s">
        <v>2509</v>
      </c>
      <c r="C1917" s="167">
        <v>16101370</v>
      </c>
      <c r="D1917" s="167" t="s">
        <v>2411</v>
      </c>
      <c r="E1917" s="167" t="s">
        <v>3699</v>
      </c>
      <c r="F1917" s="168">
        <v>29.84</v>
      </c>
    </row>
    <row r="1918" spans="1:6" x14ac:dyDescent="0.2">
      <c r="A1918" s="163" t="s">
        <v>3724</v>
      </c>
      <c r="B1918" s="164" t="s">
        <v>2509</v>
      </c>
      <c r="C1918" s="164">
        <v>16101347</v>
      </c>
      <c r="D1918" s="164" t="s">
        <v>2410</v>
      </c>
      <c r="E1918" s="164" t="s">
        <v>3699</v>
      </c>
      <c r="F1918" s="165">
        <v>29.84</v>
      </c>
    </row>
    <row r="1919" spans="1:6" x14ac:dyDescent="0.2">
      <c r="A1919" s="166" t="s">
        <v>3724</v>
      </c>
      <c r="B1919" s="167" t="s">
        <v>2509</v>
      </c>
      <c r="C1919" s="167">
        <v>16101324</v>
      </c>
      <c r="D1919" s="167" t="s">
        <v>2409</v>
      </c>
      <c r="E1919" s="167" t="s">
        <v>3699</v>
      </c>
      <c r="F1919" s="168">
        <v>29.84</v>
      </c>
    </row>
    <row r="1920" spans="1:6" x14ac:dyDescent="0.2">
      <c r="A1920" s="163" t="s">
        <v>3724</v>
      </c>
      <c r="B1920" s="164" t="s">
        <v>2509</v>
      </c>
      <c r="C1920" s="164">
        <v>16101321</v>
      </c>
      <c r="D1920" s="164" t="s">
        <v>2408</v>
      </c>
      <c r="E1920" s="164" t="s">
        <v>3699</v>
      </c>
      <c r="F1920" s="165">
        <v>29.84</v>
      </c>
    </row>
    <row r="1921" spans="1:6" x14ac:dyDescent="0.2">
      <c r="A1921" s="166" t="s">
        <v>3724</v>
      </c>
      <c r="B1921" s="167" t="s">
        <v>2509</v>
      </c>
      <c r="C1921" s="167">
        <v>16101311</v>
      </c>
      <c r="D1921" s="167" t="s">
        <v>2407</v>
      </c>
      <c r="E1921" s="167" t="s">
        <v>3699</v>
      </c>
      <c r="F1921" s="168">
        <v>41.4</v>
      </c>
    </row>
    <row r="1922" spans="1:6" x14ac:dyDescent="0.2">
      <c r="A1922" s="163" t="s">
        <v>3724</v>
      </c>
      <c r="B1922" s="164" t="s">
        <v>2509</v>
      </c>
      <c r="C1922" s="164">
        <v>16101303</v>
      </c>
      <c r="D1922" s="164" t="s">
        <v>2406</v>
      </c>
      <c r="E1922" s="164" t="s">
        <v>3699</v>
      </c>
      <c r="F1922" s="165">
        <v>29.84</v>
      </c>
    </row>
    <row r="1923" spans="1:6" x14ac:dyDescent="0.2">
      <c r="A1923" s="166" t="s">
        <v>3724</v>
      </c>
      <c r="B1923" s="167" t="s">
        <v>2509</v>
      </c>
      <c r="C1923" s="167">
        <v>16101291</v>
      </c>
      <c r="D1923" s="167" t="s">
        <v>2405</v>
      </c>
      <c r="E1923" s="167" t="s">
        <v>3699</v>
      </c>
      <c r="F1923" s="168">
        <v>29.84</v>
      </c>
    </row>
    <row r="1924" spans="1:6" x14ac:dyDescent="0.2">
      <c r="A1924" s="163" t="s">
        <v>3724</v>
      </c>
      <c r="B1924" s="164" t="s">
        <v>2509</v>
      </c>
      <c r="C1924" s="164">
        <v>14124456</v>
      </c>
      <c r="D1924" s="164" t="s">
        <v>3706</v>
      </c>
      <c r="E1924" s="164" t="s">
        <v>3699</v>
      </c>
      <c r="F1924" s="165">
        <v>32.880000000000003</v>
      </c>
    </row>
    <row r="1925" spans="1:6" x14ac:dyDescent="0.2">
      <c r="A1925" s="166" t="s">
        <v>3724</v>
      </c>
      <c r="B1925" s="167" t="s">
        <v>2509</v>
      </c>
      <c r="C1925" s="167">
        <v>14124431</v>
      </c>
      <c r="D1925" s="167" t="s">
        <v>3701</v>
      </c>
      <c r="E1925" s="167" t="s">
        <v>3699</v>
      </c>
      <c r="F1925" s="168">
        <v>32.880000000000003</v>
      </c>
    </row>
    <row r="1926" spans="1:6" x14ac:dyDescent="0.2">
      <c r="A1926" s="163" t="s">
        <v>3724</v>
      </c>
      <c r="B1926" s="164" t="s">
        <v>2509</v>
      </c>
      <c r="C1926" s="164">
        <v>14124430</v>
      </c>
      <c r="D1926" s="164" t="s">
        <v>3703</v>
      </c>
      <c r="E1926" s="164" t="s">
        <v>3699</v>
      </c>
      <c r="F1926" s="165">
        <v>32.880000000000003</v>
      </c>
    </row>
    <row r="1927" spans="1:6" x14ac:dyDescent="0.2">
      <c r="A1927" s="166" t="s">
        <v>3724</v>
      </c>
      <c r="B1927" s="167" t="s">
        <v>2509</v>
      </c>
      <c r="C1927" s="167">
        <v>14124429</v>
      </c>
      <c r="D1927" s="167" t="s">
        <v>3702</v>
      </c>
      <c r="E1927" s="167" t="s">
        <v>3699</v>
      </c>
      <c r="F1927" s="168">
        <v>32.880000000000003</v>
      </c>
    </row>
    <row r="1928" spans="1:6" x14ac:dyDescent="0.2">
      <c r="A1928" s="163" t="s">
        <v>3724</v>
      </c>
      <c r="B1928" s="164" t="s">
        <v>2509</v>
      </c>
      <c r="C1928" s="164">
        <v>14124428</v>
      </c>
      <c r="D1928" s="164" t="s">
        <v>3707</v>
      </c>
      <c r="E1928" s="164" t="s">
        <v>3699</v>
      </c>
      <c r="F1928" s="165">
        <v>32.880000000000003</v>
      </c>
    </row>
    <row r="1929" spans="1:6" x14ac:dyDescent="0.2">
      <c r="A1929" s="166" t="s">
        <v>3724</v>
      </c>
      <c r="B1929" s="167" t="s">
        <v>2509</v>
      </c>
      <c r="C1929" s="167">
        <v>14124413</v>
      </c>
      <c r="D1929" s="167" t="s">
        <v>2599</v>
      </c>
      <c r="E1929" s="167" t="s">
        <v>3699</v>
      </c>
      <c r="F1929" s="168">
        <v>32.880000000000003</v>
      </c>
    </row>
    <row r="1930" spans="1:6" x14ac:dyDescent="0.2">
      <c r="A1930" s="163" t="s">
        <v>3724</v>
      </c>
      <c r="B1930" s="164" t="s">
        <v>2509</v>
      </c>
      <c r="C1930" s="164">
        <v>14124412</v>
      </c>
      <c r="D1930" s="164" t="s">
        <v>2598</v>
      </c>
      <c r="E1930" s="164" t="s">
        <v>3699</v>
      </c>
      <c r="F1930" s="165">
        <v>32.880000000000003</v>
      </c>
    </row>
    <row r="1931" spans="1:6" x14ac:dyDescent="0.2">
      <c r="A1931" s="166" t="s">
        <v>3724</v>
      </c>
      <c r="B1931" s="167" t="s">
        <v>2509</v>
      </c>
      <c r="C1931" s="167">
        <v>14124411</v>
      </c>
      <c r="D1931" s="167" t="s">
        <v>2597</v>
      </c>
      <c r="E1931" s="167" t="s">
        <v>3699</v>
      </c>
      <c r="F1931" s="168">
        <v>32.880000000000003</v>
      </c>
    </row>
    <row r="1932" spans="1:6" x14ac:dyDescent="0.2">
      <c r="A1932" s="163" t="s">
        <v>3724</v>
      </c>
      <c r="B1932" s="164" t="s">
        <v>2509</v>
      </c>
      <c r="C1932" s="164">
        <v>14124410</v>
      </c>
      <c r="D1932" s="164" t="s">
        <v>2596</v>
      </c>
      <c r="E1932" s="164" t="s">
        <v>3699</v>
      </c>
      <c r="F1932" s="165">
        <v>32.880000000000003</v>
      </c>
    </row>
    <row r="1933" spans="1:6" x14ac:dyDescent="0.2">
      <c r="A1933" s="166" t="s">
        <v>3724</v>
      </c>
      <c r="B1933" s="167" t="s">
        <v>2509</v>
      </c>
      <c r="C1933" s="167">
        <v>14124409</v>
      </c>
      <c r="D1933" s="167" t="s">
        <v>2595</v>
      </c>
      <c r="E1933" s="167" t="s">
        <v>3699</v>
      </c>
      <c r="F1933" s="168">
        <v>21.92</v>
      </c>
    </row>
    <row r="1934" spans="1:6" x14ac:dyDescent="0.2">
      <c r="A1934" s="163" t="s">
        <v>3724</v>
      </c>
      <c r="B1934" s="164" t="s">
        <v>2509</v>
      </c>
      <c r="C1934" s="164">
        <v>14124408</v>
      </c>
      <c r="D1934" s="164" t="s">
        <v>2593</v>
      </c>
      <c r="E1934" s="164" t="s">
        <v>3699</v>
      </c>
      <c r="F1934" s="165">
        <v>32.880000000000003</v>
      </c>
    </row>
    <row r="1935" spans="1:6" x14ac:dyDescent="0.2">
      <c r="A1935" s="166" t="s">
        <v>3724</v>
      </c>
      <c r="B1935" s="167" t="s">
        <v>2509</v>
      </c>
      <c r="C1935" s="167">
        <v>14124406</v>
      </c>
      <c r="D1935" s="167" t="s">
        <v>2591</v>
      </c>
      <c r="E1935" s="167" t="s">
        <v>3699</v>
      </c>
      <c r="F1935" s="168">
        <v>32.880000000000003</v>
      </c>
    </row>
    <row r="1936" spans="1:6" x14ac:dyDescent="0.2">
      <c r="A1936" s="163" t="s">
        <v>3724</v>
      </c>
      <c r="B1936" s="164" t="s">
        <v>2509</v>
      </c>
      <c r="C1936" s="164">
        <v>14124394</v>
      </c>
      <c r="D1936" s="164" t="s">
        <v>2590</v>
      </c>
      <c r="E1936" s="164" t="s">
        <v>3699</v>
      </c>
      <c r="F1936" s="165">
        <v>32.880000000000003</v>
      </c>
    </row>
    <row r="1937" spans="1:6" x14ac:dyDescent="0.2">
      <c r="A1937" s="166" t="s">
        <v>3724</v>
      </c>
      <c r="B1937" s="167" t="s">
        <v>2509</v>
      </c>
      <c r="C1937" s="167">
        <v>14124389</v>
      </c>
      <c r="D1937" s="167" t="s">
        <v>2570</v>
      </c>
      <c r="E1937" s="167" t="s">
        <v>3699</v>
      </c>
      <c r="F1937" s="168">
        <v>32.880000000000003</v>
      </c>
    </row>
    <row r="1938" spans="1:6" x14ac:dyDescent="0.2">
      <c r="A1938" s="163" t="s">
        <v>3724</v>
      </c>
      <c r="B1938" s="164" t="s">
        <v>2509</v>
      </c>
      <c r="C1938" s="164">
        <v>14124388</v>
      </c>
      <c r="D1938" s="164" t="s">
        <v>2588</v>
      </c>
      <c r="E1938" s="164" t="s">
        <v>3699</v>
      </c>
      <c r="F1938" s="165">
        <v>32.880000000000003</v>
      </c>
    </row>
    <row r="1939" spans="1:6" x14ac:dyDescent="0.2">
      <c r="A1939" s="166" t="s">
        <v>3724</v>
      </c>
      <c r="B1939" s="167" t="s">
        <v>2509</v>
      </c>
      <c r="C1939" s="167">
        <v>14124384</v>
      </c>
      <c r="D1939" s="167" t="s">
        <v>2551</v>
      </c>
      <c r="E1939" s="167" t="s">
        <v>3699</v>
      </c>
      <c r="F1939" s="168">
        <v>32.880000000000003</v>
      </c>
    </row>
    <row r="1940" spans="1:6" x14ac:dyDescent="0.2">
      <c r="A1940" s="163" t="s">
        <v>3724</v>
      </c>
      <c r="B1940" s="164" t="s">
        <v>2509</v>
      </c>
      <c r="C1940" s="164">
        <v>14124377</v>
      </c>
      <c r="D1940" s="164" t="s">
        <v>3708</v>
      </c>
      <c r="E1940" s="164" t="s">
        <v>3699</v>
      </c>
      <c r="F1940" s="165">
        <v>39.82</v>
      </c>
    </row>
    <row r="1941" spans="1:6" x14ac:dyDescent="0.2">
      <c r="A1941" s="166" t="s">
        <v>3724</v>
      </c>
      <c r="B1941" s="167" t="s">
        <v>2509</v>
      </c>
      <c r="C1941" s="167">
        <v>14124376</v>
      </c>
      <c r="D1941" s="167" t="s">
        <v>2559</v>
      </c>
      <c r="E1941" s="167" t="s">
        <v>3699</v>
      </c>
      <c r="F1941" s="168">
        <v>32.880000000000003</v>
      </c>
    </row>
    <row r="1942" spans="1:6" x14ac:dyDescent="0.2">
      <c r="A1942" s="163" t="s">
        <v>3724</v>
      </c>
      <c r="B1942" s="164" t="s">
        <v>2509</v>
      </c>
      <c r="C1942" s="164">
        <v>14124352</v>
      </c>
      <c r="D1942" s="164" t="s">
        <v>2555</v>
      </c>
      <c r="E1942" s="164" t="s">
        <v>3699</v>
      </c>
      <c r="F1942" s="165">
        <v>32.880000000000003</v>
      </c>
    </row>
    <row r="1943" spans="1:6" x14ac:dyDescent="0.2">
      <c r="A1943" s="166" t="s">
        <v>3724</v>
      </c>
      <c r="B1943" s="167" t="s">
        <v>2509</v>
      </c>
      <c r="C1943" s="167">
        <v>14124350</v>
      </c>
      <c r="D1943" s="167" t="s">
        <v>2566</v>
      </c>
      <c r="E1943" s="167" t="s">
        <v>3699</v>
      </c>
      <c r="F1943" s="168">
        <v>32.880000000000003</v>
      </c>
    </row>
    <row r="1944" spans="1:6" x14ac:dyDescent="0.2">
      <c r="A1944" s="163" t="s">
        <v>3724</v>
      </c>
      <c r="B1944" s="164" t="s">
        <v>2509</v>
      </c>
      <c r="C1944" s="164">
        <v>14124349</v>
      </c>
      <c r="D1944" s="164" t="s">
        <v>2561</v>
      </c>
      <c r="E1944" s="164" t="s">
        <v>3699</v>
      </c>
      <c r="F1944" s="165">
        <v>32.880000000000003</v>
      </c>
    </row>
    <row r="1945" spans="1:6" x14ac:dyDescent="0.2">
      <c r="A1945" s="166" t="s">
        <v>3724</v>
      </c>
      <c r="B1945" s="167" t="s">
        <v>2509</v>
      </c>
      <c r="C1945" s="167">
        <v>14124348</v>
      </c>
      <c r="D1945" s="167" t="s">
        <v>2554</v>
      </c>
      <c r="E1945" s="167" t="s">
        <v>3699</v>
      </c>
      <c r="F1945" s="168">
        <v>32.880000000000003</v>
      </c>
    </row>
    <row r="1946" spans="1:6" x14ac:dyDescent="0.2">
      <c r="A1946" s="163" t="s">
        <v>3724</v>
      </c>
      <c r="B1946" s="164" t="s">
        <v>2509</v>
      </c>
      <c r="C1946" s="164">
        <v>14124347</v>
      </c>
      <c r="D1946" s="164" t="s">
        <v>2553</v>
      </c>
      <c r="E1946" s="164" t="s">
        <v>3699</v>
      </c>
      <c r="F1946" s="165">
        <v>32.880000000000003</v>
      </c>
    </row>
    <row r="1947" spans="1:6" x14ac:dyDescent="0.2">
      <c r="A1947" s="166" t="s">
        <v>3724</v>
      </c>
      <c r="B1947" s="167" t="s">
        <v>2509</v>
      </c>
      <c r="C1947" s="167">
        <v>14124346</v>
      </c>
      <c r="D1947" s="167" t="s">
        <v>2552</v>
      </c>
      <c r="E1947" s="167" t="s">
        <v>3699</v>
      </c>
      <c r="F1947" s="168">
        <v>32.880000000000003</v>
      </c>
    </row>
    <row r="1948" spans="1:6" x14ac:dyDescent="0.2">
      <c r="A1948" s="163" t="s">
        <v>3724</v>
      </c>
      <c r="B1948" s="164" t="s">
        <v>2509</v>
      </c>
      <c r="C1948" s="164">
        <v>14124345</v>
      </c>
      <c r="D1948" s="164" t="s">
        <v>2556</v>
      </c>
      <c r="E1948" s="164" t="s">
        <v>3699</v>
      </c>
      <c r="F1948" s="165">
        <v>32.880000000000003</v>
      </c>
    </row>
    <row r="1949" spans="1:6" x14ac:dyDescent="0.2">
      <c r="A1949" s="166" t="s">
        <v>3724</v>
      </c>
      <c r="B1949" s="167" t="s">
        <v>2509</v>
      </c>
      <c r="C1949" s="167">
        <v>14124344</v>
      </c>
      <c r="D1949" s="167" t="s">
        <v>2567</v>
      </c>
      <c r="E1949" s="167" t="s">
        <v>3699</v>
      </c>
      <c r="F1949" s="168">
        <v>32.880000000000003</v>
      </c>
    </row>
    <row r="1950" spans="1:6" x14ac:dyDescent="0.2">
      <c r="A1950" s="163" t="s">
        <v>3724</v>
      </c>
      <c r="B1950" s="164" t="s">
        <v>2509</v>
      </c>
      <c r="C1950" s="164">
        <v>14124343</v>
      </c>
      <c r="D1950" s="164" t="s">
        <v>2562</v>
      </c>
      <c r="E1950" s="164" t="s">
        <v>3699</v>
      </c>
      <c r="F1950" s="165">
        <v>32.880000000000003</v>
      </c>
    </row>
    <row r="1951" spans="1:6" x14ac:dyDescent="0.2">
      <c r="A1951" s="166" t="s">
        <v>3724</v>
      </c>
      <c r="B1951" s="167" t="s">
        <v>2509</v>
      </c>
      <c r="C1951" s="167">
        <v>14124334</v>
      </c>
      <c r="D1951" s="167" t="s">
        <v>2538</v>
      </c>
      <c r="E1951" s="167" t="s">
        <v>3699</v>
      </c>
      <c r="F1951" s="168">
        <v>32.880000000000003</v>
      </c>
    </row>
    <row r="1952" spans="1:6" x14ac:dyDescent="0.2">
      <c r="A1952" s="163" t="s">
        <v>3724</v>
      </c>
      <c r="B1952" s="164" t="s">
        <v>2509</v>
      </c>
      <c r="C1952" s="164">
        <v>14124331</v>
      </c>
      <c r="D1952" s="164" t="s">
        <v>2583</v>
      </c>
      <c r="E1952" s="164" t="s">
        <v>3699</v>
      </c>
      <c r="F1952" s="165">
        <v>32.880000000000003</v>
      </c>
    </row>
    <row r="1953" spans="1:6" x14ac:dyDescent="0.2">
      <c r="A1953" s="166" t="s">
        <v>3724</v>
      </c>
      <c r="B1953" s="167" t="s">
        <v>2509</v>
      </c>
      <c r="C1953" s="167">
        <v>14124320</v>
      </c>
      <c r="D1953" s="167" t="s">
        <v>2404</v>
      </c>
      <c r="E1953" s="167" t="s">
        <v>3699</v>
      </c>
      <c r="F1953" s="168">
        <v>32.880000000000003</v>
      </c>
    </row>
    <row r="1954" spans="1:6" x14ac:dyDescent="0.2">
      <c r="A1954" s="163" t="s">
        <v>3724</v>
      </c>
      <c r="B1954" s="164" t="s">
        <v>2509</v>
      </c>
      <c r="C1954" s="164">
        <v>14124303</v>
      </c>
      <c r="D1954" s="164" t="s">
        <v>2403</v>
      </c>
      <c r="E1954" s="164" t="s">
        <v>3699</v>
      </c>
      <c r="F1954" s="165">
        <v>32.880000000000003</v>
      </c>
    </row>
    <row r="1955" spans="1:6" x14ac:dyDescent="0.2">
      <c r="A1955" s="166" t="s">
        <v>3724</v>
      </c>
      <c r="B1955" s="167" t="s">
        <v>2509</v>
      </c>
      <c r="C1955" s="167">
        <v>14124287</v>
      </c>
      <c r="D1955" s="167" t="s">
        <v>2402</v>
      </c>
      <c r="E1955" s="167" t="s">
        <v>3699</v>
      </c>
      <c r="F1955" s="168">
        <v>16.440000000000001</v>
      </c>
    </row>
    <row r="1956" spans="1:6" x14ac:dyDescent="0.2">
      <c r="A1956" s="163" t="s">
        <v>3724</v>
      </c>
      <c r="B1956" s="164" t="s">
        <v>2509</v>
      </c>
      <c r="C1956" s="164">
        <v>14124286</v>
      </c>
      <c r="D1956" s="164" t="s">
        <v>2401</v>
      </c>
      <c r="E1956" s="164" t="s">
        <v>3699</v>
      </c>
      <c r="F1956" s="165">
        <v>32.880000000000003</v>
      </c>
    </row>
    <row r="1957" spans="1:6" x14ac:dyDescent="0.2">
      <c r="A1957" s="166" t="s">
        <v>3724</v>
      </c>
      <c r="B1957" s="167" t="s">
        <v>2509</v>
      </c>
      <c r="C1957" s="167">
        <v>14124263</v>
      </c>
      <c r="D1957" s="167" t="s">
        <v>2400</v>
      </c>
      <c r="E1957" s="167" t="s">
        <v>3699</v>
      </c>
      <c r="F1957" s="168">
        <v>32.880000000000003</v>
      </c>
    </row>
    <row r="1958" spans="1:6" x14ac:dyDescent="0.2">
      <c r="A1958" s="163" t="s">
        <v>3724</v>
      </c>
      <c r="B1958" s="164" t="s">
        <v>2509</v>
      </c>
      <c r="C1958" s="164">
        <v>14124261</v>
      </c>
      <c r="D1958" s="164" t="s">
        <v>2398</v>
      </c>
      <c r="E1958" s="164" t="s">
        <v>3699</v>
      </c>
      <c r="F1958" s="165">
        <v>32.880000000000003</v>
      </c>
    </row>
    <row r="1959" spans="1:6" x14ac:dyDescent="0.2">
      <c r="A1959" s="166" t="s">
        <v>3724</v>
      </c>
      <c r="B1959" s="167" t="s">
        <v>2509</v>
      </c>
      <c r="C1959" s="167">
        <v>14124260</v>
      </c>
      <c r="D1959" s="167" t="s">
        <v>2397</v>
      </c>
      <c r="E1959" s="167" t="s">
        <v>3699</v>
      </c>
      <c r="F1959" s="168">
        <v>32.880000000000003</v>
      </c>
    </row>
    <row r="1960" spans="1:6" x14ac:dyDescent="0.2">
      <c r="A1960" s="163" t="s">
        <v>3724</v>
      </c>
      <c r="B1960" s="164" t="s">
        <v>2509</v>
      </c>
      <c r="C1960" s="164">
        <v>14124254</v>
      </c>
      <c r="D1960" s="164" t="s">
        <v>2396</v>
      </c>
      <c r="E1960" s="164" t="s">
        <v>3699</v>
      </c>
      <c r="F1960" s="165">
        <v>32.880000000000003</v>
      </c>
    </row>
    <row r="1961" spans="1:6" x14ac:dyDescent="0.2">
      <c r="A1961" s="166" t="s">
        <v>3724</v>
      </c>
      <c r="B1961" s="167" t="s">
        <v>2509</v>
      </c>
      <c r="C1961" s="167">
        <v>14124244</v>
      </c>
      <c r="D1961" s="167" t="s">
        <v>2393</v>
      </c>
      <c r="E1961" s="167" t="s">
        <v>3699</v>
      </c>
      <c r="F1961" s="168">
        <v>32.880000000000003</v>
      </c>
    </row>
    <row r="1962" spans="1:6" x14ac:dyDescent="0.2">
      <c r="A1962" s="163" t="s">
        <v>3724</v>
      </c>
      <c r="B1962" s="164" t="s">
        <v>2509</v>
      </c>
      <c r="C1962" s="164">
        <v>14124243</v>
      </c>
      <c r="D1962" s="164" t="s">
        <v>2392</v>
      </c>
      <c r="E1962" s="164" t="s">
        <v>3699</v>
      </c>
      <c r="F1962" s="165">
        <v>32.880000000000003</v>
      </c>
    </row>
    <row r="1963" spans="1:6" x14ac:dyDescent="0.2">
      <c r="A1963" s="166" t="s">
        <v>3724</v>
      </c>
      <c r="B1963" s="167" t="s">
        <v>2509</v>
      </c>
      <c r="C1963" s="167">
        <v>14124240</v>
      </c>
      <c r="D1963" s="167" t="s">
        <v>3700</v>
      </c>
      <c r="E1963" s="167" t="s">
        <v>3699</v>
      </c>
      <c r="F1963" s="168">
        <v>32.880000000000003</v>
      </c>
    </row>
    <row r="1964" spans="1:6" x14ac:dyDescent="0.2">
      <c r="A1964" s="163" t="s">
        <v>3724</v>
      </c>
      <c r="B1964" s="164" t="s">
        <v>2509</v>
      </c>
      <c r="C1964" s="164">
        <v>14124206</v>
      </c>
      <c r="D1964" s="164" t="s">
        <v>2391</v>
      </c>
      <c r="E1964" s="164" t="s">
        <v>3699</v>
      </c>
      <c r="F1964" s="165">
        <v>32.880000000000003</v>
      </c>
    </row>
    <row r="1965" spans="1:6" x14ac:dyDescent="0.2">
      <c r="A1965" s="166" t="s">
        <v>3724</v>
      </c>
      <c r="B1965" s="167" t="s">
        <v>2509</v>
      </c>
      <c r="C1965" s="167">
        <v>14124190</v>
      </c>
      <c r="D1965" s="167" t="s">
        <v>2027</v>
      </c>
      <c r="E1965" s="167" t="s">
        <v>3699</v>
      </c>
      <c r="F1965" s="168">
        <v>32.880000000000003</v>
      </c>
    </row>
    <row r="1966" spans="1:6" x14ac:dyDescent="0.2">
      <c r="A1966" s="163" t="s">
        <v>3724</v>
      </c>
      <c r="B1966" s="164" t="s">
        <v>2509</v>
      </c>
      <c r="C1966" s="164">
        <v>14124189</v>
      </c>
      <c r="D1966" s="164" t="s">
        <v>2390</v>
      </c>
      <c r="E1966" s="164" t="s">
        <v>3699</v>
      </c>
      <c r="F1966" s="165">
        <v>32.880000000000003</v>
      </c>
    </row>
    <row r="1967" spans="1:6" x14ac:dyDescent="0.2">
      <c r="A1967" s="166" t="s">
        <v>3724</v>
      </c>
      <c r="B1967" s="167" t="s">
        <v>2509</v>
      </c>
      <c r="C1967" s="167">
        <v>14124188</v>
      </c>
      <c r="D1967" s="167" t="s">
        <v>2016</v>
      </c>
      <c r="E1967" s="167" t="s">
        <v>3699</v>
      </c>
      <c r="F1967" s="168">
        <v>32.880000000000003</v>
      </c>
    </row>
    <row r="1968" spans="1:6" x14ac:dyDescent="0.2">
      <c r="A1968" s="163" t="s">
        <v>3724</v>
      </c>
      <c r="B1968" s="164" t="s">
        <v>2509</v>
      </c>
      <c r="C1968" s="164">
        <v>14124187</v>
      </c>
      <c r="D1968" s="164" t="s">
        <v>2022</v>
      </c>
      <c r="E1968" s="164" t="s">
        <v>3699</v>
      </c>
      <c r="F1968" s="165">
        <v>32.880000000000003</v>
      </c>
    </row>
    <row r="1969" spans="1:6" x14ac:dyDescent="0.2">
      <c r="A1969" s="166" t="s">
        <v>3724</v>
      </c>
      <c r="B1969" s="167" t="s">
        <v>2509</v>
      </c>
      <c r="C1969" s="167">
        <v>14124186</v>
      </c>
      <c r="D1969" s="167" t="s">
        <v>2021</v>
      </c>
      <c r="E1969" s="167" t="s">
        <v>3699</v>
      </c>
      <c r="F1969" s="168">
        <v>32.880000000000003</v>
      </c>
    </row>
    <row r="1970" spans="1:6" x14ac:dyDescent="0.2">
      <c r="A1970" s="163" t="s">
        <v>3724</v>
      </c>
      <c r="B1970" s="164" t="s">
        <v>2509</v>
      </c>
      <c r="C1970" s="164">
        <v>14124185</v>
      </c>
      <c r="D1970" s="164" t="s">
        <v>2018</v>
      </c>
      <c r="E1970" s="164" t="s">
        <v>3699</v>
      </c>
      <c r="F1970" s="165">
        <v>32.880000000000003</v>
      </c>
    </row>
    <row r="1971" spans="1:6" x14ac:dyDescent="0.2">
      <c r="A1971" s="166" t="s">
        <v>3724</v>
      </c>
      <c r="B1971" s="167" t="s">
        <v>2509</v>
      </c>
      <c r="C1971" s="167">
        <v>14124166</v>
      </c>
      <c r="D1971" s="167" t="s">
        <v>1963</v>
      </c>
      <c r="E1971" s="167" t="s">
        <v>3699</v>
      </c>
      <c r="F1971" s="168">
        <v>32.880000000000003</v>
      </c>
    </row>
    <row r="1972" spans="1:6" x14ac:dyDescent="0.2">
      <c r="A1972" s="163" t="s">
        <v>3724</v>
      </c>
      <c r="B1972" s="164" t="s">
        <v>2509</v>
      </c>
      <c r="C1972" s="164">
        <v>14124165</v>
      </c>
      <c r="D1972" s="164" t="s">
        <v>1923</v>
      </c>
      <c r="E1972" s="164" t="s">
        <v>3699</v>
      </c>
      <c r="F1972" s="165">
        <v>32.880000000000003</v>
      </c>
    </row>
    <row r="1973" spans="1:6" x14ac:dyDescent="0.2">
      <c r="A1973" s="166" t="s">
        <v>3724</v>
      </c>
      <c r="B1973" s="167" t="s">
        <v>2509</v>
      </c>
      <c r="C1973" s="167">
        <v>14124164</v>
      </c>
      <c r="D1973" s="167" t="s">
        <v>1966</v>
      </c>
      <c r="E1973" s="167" t="s">
        <v>3699</v>
      </c>
      <c r="F1973" s="168">
        <v>32.880000000000003</v>
      </c>
    </row>
    <row r="1974" spans="1:6" x14ac:dyDescent="0.2">
      <c r="A1974" s="163" t="s">
        <v>3724</v>
      </c>
      <c r="B1974" s="164" t="s">
        <v>2509</v>
      </c>
      <c r="C1974" s="164">
        <v>14124162</v>
      </c>
      <c r="D1974" s="164" t="s">
        <v>1998</v>
      </c>
      <c r="E1974" s="164" t="s">
        <v>3699</v>
      </c>
      <c r="F1974" s="165">
        <v>32.880000000000003</v>
      </c>
    </row>
    <row r="1975" spans="1:6" x14ac:dyDescent="0.2">
      <c r="A1975" s="166" t="s">
        <v>3724</v>
      </c>
      <c r="B1975" s="167" t="s">
        <v>2509</v>
      </c>
      <c r="C1975" s="167">
        <v>14124161</v>
      </c>
      <c r="D1975" s="167" t="s">
        <v>2031</v>
      </c>
      <c r="E1975" s="167" t="s">
        <v>3699</v>
      </c>
      <c r="F1975" s="168">
        <v>32.880000000000003</v>
      </c>
    </row>
    <row r="1976" spans="1:6" x14ac:dyDescent="0.2">
      <c r="A1976" s="163" t="s">
        <v>3724</v>
      </c>
      <c r="B1976" s="164" t="s">
        <v>2509</v>
      </c>
      <c r="C1976" s="164">
        <v>14124160</v>
      </c>
      <c r="D1976" s="164" t="s">
        <v>1972</v>
      </c>
      <c r="E1976" s="164" t="s">
        <v>3699</v>
      </c>
      <c r="F1976" s="165">
        <v>32.880000000000003</v>
      </c>
    </row>
    <row r="1977" spans="1:6" x14ac:dyDescent="0.2">
      <c r="A1977" s="166" t="s">
        <v>3724</v>
      </c>
      <c r="B1977" s="167" t="s">
        <v>2509</v>
      </c>
      <c r="C1977" s="167">
        <v>14124159</v>
      </c>
      <c r="D1977" s="167" t="s">
        <v>2389</v>
      </c>
      <c r="E1977" s="167" t="s">
        <v>3699</v>
      </c>
      <c r="F1977" s="168">
        <v>32.880000000000003</v>
      </c>
    </row>
    <row r="1978" spans="1:6" x14ac:dyDescent="0.2">
      <c r="A1978" s="163" t="s">
        <v>3724</v>
      </c>
      <c r="B1978" s="164" t="s">
        <v>2509</v>
      </c>
      <c r="C1978" s="164">
        <v>14124158</v>
      </c>
      <c r="D1978" s="164" t="s">
        <v>1983</v>
      </c>
      <c r="E1978" s="164" t="s">
        <v>3699</v>
      </c>
      <c r="F1978" s="165">
        <v>32.880000000000003</v>
      </c>
    </row>
    <row r="1979" spans="1:6" x14ac:dyDescent="0.2">
      <c r="A1979" s="166" t="s">
        <v>3724</v>
      </c>
      <c r="B1979" s="167" t="s">
        <v>2509</v>
      </c>
      <c r="C1979" s="167">
        <v>14124157</v>
      </c>
      <c r="D1979" s="167" t="s">
        <v>1918</v>
      </c>
      <c r="E1979" s="167" t="s">
        <v>3699</v>
      </c>
      <c r="F1979" s="168">
        <v>32.880000000000003</v>
      </c>
    </row>
    <row r="1980" spans="1:6" x14ac:dyDescent="0.2">
      <c r="A1980" s="163" t="s">
        <v>3724</v>
      </c>
      <c r="B1980" s="164" t="s">
        <v>2509</v>
      </c>
      <c r="C1980" s="164">
        <v>14124146</v>
      </c>
      <c r="D1980" s="164" t="s">
        <v>2003</v>
      </c>
      <c r="E1980" s="164" t="s">
        <v>3699</v>
      </c>
      <c r="F1980" s="165">
        <v>32.880000000000003</v>
      </c>
    </row>
    <row r="1981" spans="1:6" x14ac:dyDescent="0.2">
      <c r="A1981" s="166" t="s">
        <v>3724</v>
      </c>
      <c r="B1981" s="167" t="s">
        <v>2509</v>
      </c>
      <c r="C1981" s="167">
        <v>14124144</v>
      </c>
      <c r="D1981" s="167" t="s">
        <v>2388</v>
      </c>
      <c r="E1981" s="167" t="s">
        <v>3699</v>
      </c>
      <c r="F1981" s="168">
        <v>32.880000000000003</v>
      </c>
    </row>
    <row r="1982" spans="1:6" x14ac:dyDescent="0.2">
      <c r="A1982" s="163" t="s">
        <v>3724</v>
      </c>
      <c r="B1982" s="164" t="s">
        <v>2509</v>
      </c>
      <c r="C1982" s="164">
        <v>14124131</v>
      </c>
      <c r="D1982" s="164" t="s">
        <v>1891</v>
      </c>
      <c r="E1982" s="164" t="s">
        <v>3699</v>
      </c>
      <c r="F1982" s="165">
        <v>32.880000000000003</v>
      </c>
    </row>
    <row r="1983" spans="1:6" x14ac:dyDescent="0.2">
      <c r="A1983" s="166" t="s">
        <v>3724</v>
      </c>
      <c r="B1983" s="167" t="s">
        <v>2509</v>
      </c>
      <c r="C1983" s="167">
        <v>14124114</v>
      </c>
      <c r="D1983" s="167" t="s">
        <v>1626</v>
      </c>
      <c r="E1983" s="167" t="s">
        <v>3699</v>
      </c>
      <c r="F1983" s="168">
        <v>32.880000000000003</v>
      </c>
    </row>
    <row r="1984" spans="1:6" x14ac:dyDescent="0.2">
      <c r="A1984" s="163" t="s">
        <v>3724</v>
      </c>
      <c r="B1984" s="164" t="s">
        <v>2509</v>
      </c>
      <c r="C1984" s="164">
        <v>14124113</v>
      </c>
      <c r="D1984" s="164" t="s">
        <v>1624</v>
      </c>
      <c r="E1984" s="164" t="s">
        <v>3699</v>
      </c>
      <c r="F1984" s="165">
        <v>32.880000000000003</v>
      </c>
    </row>
    <row r="1985" spans="1:6" x14ac:dyDescent="0.2">
      <c r="A1985" s="166" t="s">
        <v>3724</v>
      </c>
      <c r="B1985" s="167" t="s">
        <v>2509</v>
      </c>
      <c r="C1985" s="167">
        <v>14124111</v>
      </c>
      <c r="D1985" s="167" t="s">
        <v>1622</v>
      </c>
      <c r="E1985" s="167" t="s">
        <v>3699</v>
      </c>
      <c r="F1985" s="168">
        <v>32.880000000000003</v>
      </c>
    </row>
    <row r="1986" spans="1:6" x14ac:dyDescent="0.2">
      <c r="A1986" s="163" t="s">
        <v>3724</v>
      </c>
      <c r="B1986" s="164" t="s">
        <v>2509</v>
      </c>
      <c r="C1986" s="164">
        <v>14124106</v>
      </c>
      <c r="D1986" s="164" t="s">
        <v>1621</v>
      </c>
      <c r="E1986" s="164" t="s">
        <v>3699</v>
      </c>
      <c r="F1986" s="165">
        <v>32.880000000000003</v>
      </c>
    </row>
    <row r="1987" spans="1:6" x14ac:dyDescent="0.2">
      <c r="A1987" s="166" t="s">
        <v>3724</v>
      </c>
      <c r="B1987" s="167" t="s">
        <v>2509</v>
      </c>
      <c r="C1987" s="167">
        <v>14124105</v>
      </c>
      <c r="D1987" s="167" t="s">
        <v>1620</v>
      </c>
      <c r="E1987" s="167" t="s">
        <v>3699</v>
      </c>
      <c r="F1987" s="168">
        <v>32.880000000000003</v>
      </c>
    </row>
    <row r="1988" spans="1:6" x14ac:dyDescent="0.2">
      <c r="A1988" s="163" t="s">
        <v>3724</v>
      </c>
      <c r="B1988" s="164" t="s">
        <v>2509</v>
      </c>
      <c r="C1988" s="164">
        <v>14124104</v>
      </c>
      <c r="D1988" s="164" t="s">
        <v>1618</v>
      </c>
      <c r="E1988" s="164" t="s">
        <v>3699</v>
      </c>
      <c r="F1988" s="165">
        <v>32.880000000000003</v>
      </c>
    </row>
    <row r="1989" spans="1:6" x14ac:dyDescent="0.2">
      <c r="A1989" s="166" t="s">
        <v>3724</v>
      </c>
      <c r="B1989" s="167" t="s">
        <v>2509</v>
      </c>
      <c r="C1989" s="167">
        <v>14124091</v>
      </c>
      <c r="D1989" s="167" t="s">
        <v>1617</v>
      </c>
      <c r="E1989" s="167" t="s">
        <v>3699</v>
      </c>
      <c r="F1989" s="168">
        <v>32.880000000000003</v>
      </c>
    </row>
    <row r="1990" spans="1:6" x14ac:dyDescent="0.2">
      <c r="A1990" s="163" t="s">
        <v>3724</v>
      </c>
      <c r="B1990" s="164" t="s">
        <v>2509</v>
      </c>
      <c r="C1990" s="164">
        <v>14124090</v>
      </c>
      <c r="D1990" s="164" t="s">
        <v>1615</v>
      </c>
      <c r="E1990" s="164" t="s">
        <v>3699</v>
      </c>
      <c r="F1990" s="165">
        <v>32.880000000000003</v>
      </c>
    </row>
    <row r="1991" spans="1:6" x14ac:dyDescent="0.2">
      <c r="A1991" s="166" t="s">
        <v>3724</v>
      </c>
      <c r="B1991" s="167" t="s">
        <v>2509</v>
      </c>
      <c r="C1991" s="167">
        <v>14124076</v>
      </c>
      <c r="D1991" s="167" t="s">
        <v>1613</v>
      </c>
      <c r="E1991" s="167" t="s">
        <v>3699</v>
      </c>
      <c r="F1991" s="168">
        <v>32.880000000000003</v>
      </c>
    </row>
    <row r="1992" spans="1:6" x14ac:dyDescent="0.2">
      <c r="A1992" s="163" t="s">
        <v>3724</v>
      </c>
      <c r="B1992" s="164" t="s">
        <v>2509</v>
      </c>
      <c r="C1992" s="164">
        <v>14124062</v>
      </c>
      <c r="D1992" s="164" t="s">
        <v>1612</v>
      </c>
      <c r="E1992" s="164" t="s">
        <v>3699</v>
      </c>
      <c r="F1992" s="165">
        <v>32.880000000000003</v>
      </c>
    </row>
    <row r="1993" spans="1:6" x14ac:dyDescent="0.2">
      <c r="A1993" s="166" t="s">
        <v>3724</v>
      </c>
      <c r="B1993" s="167" t="s">
        <v>2509</v>
      </c>
      <c r="C1993" s="167">
        <v>14124061</v>
      </c>
      <c r="D1993" s="167" t="s">
        <v>1610</v>
      </c>
      <c r="E1993" s="167" t="s">
        <v>3699</v>
      </c>
      <c r="F1993" s="168">
        <v>32.880000000000003</v>
      </c>
    </row>
    <row r="1994" spans="1:6" x14ac:dyDescent="0.2">
      <c r="A1994" s="163" t="s">
        <v>3724</v>
      </c>
      <c r="B1994" s="164" t="s">
        <v>2509</v>
      </c>
      <c r="C1994" s="164">
        <v>14124041</v>
      </c>
      <c r="D1994" s="164" t="s">
        <v>1009</v>
      </c>
      <c r="E1994" s="164" t="s">
        <v>3699</v>
      </c>
      <c r="F1994" s="165">
        <v>32.880000000000003</v>
      </c>
    </row>
    <row r="1995" spans="1:6" x14ac:dyDescent="0.2">
      <c r="A1995" s="166" t="s">
        <v>3724</v>
      </c>
      <c r="B1995" s="167" t="s">
        <v>2509</v>
      </c>
      <c r="C1995" s="167">
        <v>14124031</v>
      </c>
      <c r="D1995" s="167" t="s">
        <v>1008</v>
      </c>
      <c r="E1995" s="167" t="s">
        <v>3699</v>
      </c>
      <c r="F1995" s="168">
        <v>32.880000000000003</v>
      </c>
    </row>
    <row r="1996" spans="1:6" x14ac:dyDescent="0.2">
      <c r="A1996" s="163" t="s">
        <v>3724</v>
      </c>
      <c r="B1996" s="164" t="s">
        <v>2509</v>
      </c>
      <c r="C1996" s="164">
        <v>14124028</v>
      </c>
      <c r="D1996" s="164" t="s">
        <v>1006</v>
      </c>
      <c r="E1996" s="164" t="s">
        <v>3699</v>
      </c>
      <c r="F1996" s="165">
        <v>32.880000000000003</v>
      </c>
    </row>
    <row r="1997" spans="1:6" x14ac:dyDescent="0.2">
      <c r="A1997" s="166" t="s">
        <v>3724</v>
      </c>
      <c r="B1997" s="167" t="s">
        <v>2509</v>
      </c>
      <c r="C1997" s="167">
        <v>14124020</v>
      </c>
      <c r="D1997" s="167" t="s">
        <v>1004</v>
      </c>
      <c r="E1997" s="167" t="s">
        <v>3699</v>
      </c>
      <c r="F1997" s="168">
        <v>32.880000000000003</v>
      </c>
    </row>
    <row r="1998" spans="1:6" x14ac:dyDescent="0.2">
      <c r="A1998" s="163" t="s">
        <v>3724</v>
      </c>
      <c r="B1998" s="164" t="s">
        <v>2509</v>
      </c>
      <c r="C1998" s="164">
        <v>14124002</v>
      </c>
      <c r="D1998" s="164" t="s">
        <v>1003</v>
      </c>
      <c r="E1998" s="164" t="s">
        <v>3699</v>
      </c>
      <c r="F1998" s="165">
        <v>32.880000000000003</v>
      </c>
    </row>
    <row r="1999" spans="1:6" x14ac:dyDescent="0.2">
      <c r="A1999" s="166" t="s">
        <v>3724</v>
      </c>
      <c r="B1999" s="167" t="s">
        <v>2509</v>
      </c>
      <c r="C1999" s="167">
        <v>14123988</v>
      </c>
      <c r="D1999" s="167" t="s">
        <v>1002</v>
      </c>
      <c r="E1999" s="167" t="s">
        <v>3699</v>
      </c>
      <c r="F1999" s="168">
        <v>32.880000000000003</v>
      </c>
    </row>
    <row r="2000" spans="1:6" x14ac:dyDescent="0.2">
      <c r="A2000" s="163" t="s">
        <v>3724</v>
      </c>
      <c r="B2000" s="164" t="s">
        <v>2509</v>
      </c>
      <c r="C2000" s="164">
        <v>14123987</v>
      </c>
      <c r="D2000" s="164" t="s">
        <v>1001</v>
      </c>
      <c r="E2000" s="164" t="s">
        <v>3699</v>
      </c>
      <c r="F2000" s="165">
        <v>32.880000000000003</v>
      </c>
    </row>
    <row r="2001" spans="1:6" x14ac:dyDescent="0.2">
      <c r="A2001" s="166" t="s">
        <v>3724</v>
      </c>
      <c r="B2001" s="167" t="s">
        <v>2509</v>
      </c>
      <c r="C2001" s="167">
        <v>14123985</v>
      </c>
      <c r="D2001" s="167" t="s">
        <v>999</v>
      </c>
      <c r="E2001" s="167" t="s">
        <v>3699</v>
      </c>
      <c r="F2001" s="168">
        <v>32.880000000000003</v>
      </c>
    </row>
    <row r="2002" spans="1:6" x14ac:dyDescent="0.2">
      <c r="A2002" s="163" t="s">
        <v>3724</v>
      </c>
      <c r="B2002" s="164" t="s">
        <v>2509</v>
      </c>
      <c r="C2002" s="164">
        <v>14123971</v>
      </c>
      <c r="D2002" s="164" t="s">
        <v>997</v>
      </c>
      <c r="E2002" s="164" t="s">
        <v>3699</v>
      </c>
      <c r="F2002" s="165">
        <v>32.880000000000003</v>
      </c>
    </row>
    <row r="2003" spans="1:6" x14ac:dyDescent="0.2">
      <c r="A2003" s="166" t="s">
        <v>3724</v>
      </c>
      <c r="B2003" s="167" t="s">
        <v>2509</v>
      </c>
      <c r="C2003" s="167">
        <v>14123963</v>
      </c>
      <c r="D2003" s="167" t="s">
        <v>2387</v>
      </c>
      <c r="E2003" s="167" t="s">
        <v>3699</v>
      </c>
      <c r="F2003" s="168">
        <v>33.18</v>
      </c>
    </row>
    <row r="2004" spans="1:6" x14ac:dyDescent="0.2">
      <c r="A2004" s="163" t="s">
        <v>3724</v>
      </c>
      <c r="B2004" s="164" t="s">
        <v>2509</v>
      </c>
      <c r="C2004" s="164">
        <v>14123951</v>
      </c>
      <c r="D2004" s="164" t="s">
        <v>996</v>
      </c>
      <c r="E2004" s="164" t="s">
        <v>3699</v>
      </c>
      <c r="F2004" s="165">
        <v>16.440000000000001</v>
      </c>
    </row>
    <row r="2005" spans="1:6" x14ac:dyDescent="0.2">
      <c r="A2005" s="166" t="s">
        <v>3724</v>
      </c>
      <c r="B2005" s="167" t="s">
        <v>2509</v>
      </c>
      <c r="C2005" s="167">
        <v>14123950</v>
      </c>
      <c r="D2005" s="167" t="s">
        <v>995</v>
      </c>
      <c r="E2005" s="167" t="s">
        <v>3699</v>
      </c>
      <c r="F2005" s="168">
        <v>32.880000000000003</v>
      </c>
    </row>
    <row r="2006" spans="1:6" x14ac:dyDescent="0.2">
      <c r="A2006" s="163" t="s">
        <v>3724</v>
      </c>
      <c r="B2006" s="164" t="s">
        <v>2509</v>
      </c>
      <c r="C2006" s="164">
        <v>14123925</v>
      </c>
      <c r="D2006" s="164" t="s">
        <v>992</v>
      </c>
      <c r="E2006" s="164" t="s">
        <v>3699</v>
      </c>
      <c r="F2006" s="165">
        <v>32.880000000000003</v>
      </c>
    </row>
    <row r="2007" spans="1:6" x14ac:dyDescent="0.2">
      <c r="A2007" s="166" t="s">
        <v>3724</v>
      </c>
      <c r="B2007" s="167" t="s">
        <v>2509</v>
      </c>
      <c r="C2007" s="167">
        <v>14123919</v>
      </c>
      <c r="D2007" s="167" t="s">
        <v>990</v>
      </c>
      <c r="E2007" s="167" t="s">
        <v>3699</v>
      </c>
      <c r="F2007" s="168">
        <v>32.880000000000003</v>
      </c>
    </row>
    <row r="2008" spans="1:6" x14ac:dyDescent="0.2">
      <c r="A2008" s="163" t="s">
        <v>3724</v>
      </c>
      <c r="B2008" s="164" t="s">
        <v>2509</v>
      </c>
      <c r="C2008" s="164">
        <v>14123894</v>
      </c>
      <c r="D2008" s="164" t="s">
        <v>982</v>
      </c>
      <c r="E2008" s="164" t="s">
        <v>3699</v>
      </c>
      <c r="F2008" s="165">
        <v>32.880000000000003</v>
      </c>
    </row>
    <row r="2009" spans="1:6" x14ac:dyDescent="0.2">
      <c r="A2009" s="166" t="s">
        <v>3724</v>
      </c>
      <c r="B2009" s="167" t="s">
        <v>2509</v>
      </c>
      <c r="C2009" s="167">
        <v>14123893</v>
      </c>
      <c r="D2009" s="167" t="s">
        <v>980</v>
      </c>
      <c r="E2009" s="167" t="s">
        <v>3699</v>
      </c>
      <c r="F2009" s="168">
        <v>32.880000000000003</v>
      </c>
    </row>
    <row r="2010" spans="1:6" x14ac:dyDescent="0.2">
      <c r="A2010" s="163" t="s">
        <v>3724</v>
      </c>
      <c r="B2010" s="164" t="s">
        <v>2509</v>
      </c>
      <c r="C2010" s="164">
        <v>14123885</v>
      </c>
      <c r="D2010" s="164" t="s">
        <v>979</v>
      </c>
      <c r="E2010" s="164" t="s">
        <v>3699</v>
      </c>
      <c r="F2010" s="165">
        <v>32.880000000000003</v>
      </c>
    </row>
    <row r="2011" spans="1:6" x14ac:dyDescent="0.2">
      <c r="A2011" s="166" t="s">
        <v>3724</v>
      </c>
      <c r="B2011" s="167" t="s">
        <v>2509</v>
      </c>
      <c r="C2011" s="167">
        <v>14123884</v>
      </c>
      <c r="D2011" s="167" t="s">
        <v>977</v>
      </c>
      <c r="E2011" s="167" t="s">
        <v>3699</v>
      </c>
      <c r="F2011" s="168">
        <v>32.880000000000003</v>
      </c>
    </row>
    <row r="2012" spans="1:6" x14ac:dyDescent="0.2">
      <c r="A2012" s="163" t="s">
        <v>3724</v>
      </c>
      <c r="B2012" s="164" t="s">
        <v>2509</v>
      </c>
      <c r="C2012" s="164">
        <v>14123868</v>
      </c>
      <c r="D2012" s="164" t="s">
        <v>2386</v>
      </c>
      <c r="E2012" s="164" t="s">
        <v>3699</v>
      </c>
      <c r="F2012" s="165">
        <v>39.82</v>
      </c>
    </row>
    <row r="2013" spans="1:6" x14ac:dyDescent="0.2">
      <c r="A2013" s="166" t="s">
        <v>3724</v>
      </c>
      <c r="B2013" s="167" t="s">
        <v>2509</v>
      </c>
      <c r="C2013" s="167">
        <v>14123855</v>
      </c>
      <c r="D2013" s="167" t="s">
        <v>976</v>
      </c>
      <c r="E2013" s="167" t="s">
        <v>3699</v>
      </c>
      <c r="F2013" s="168">
        <v>32.880000000000003</v>
      </c>
    </row>
    <row r="2014" spans="1:6" x14ac:dyDescent="0.2">
      <c r="A2014" s="163" t="s">
        <v>3724</v>
      </c>
      <c r="B2014" s="164" t="s">
        <v>2509</v>
      </c>
      <c r="C2014" s="164">
        <v>14123846</v>
      </c>
      <c r="D2014" s="164" t="s">
        <v>975</v>
      </c>
      <c r="E2014" s="164" t="s">
        <v>3699</v>
      </c>
      <c r="F2014" s="165">
        <v>32.880000000000003</v>
      </c>
    </row>
    <row r="2015" spans="1:6" x14ac:dyDescent="0.2">
      <c r="A2015" s="166" t="s">
        <v>3724</v>
      </c>
      <c r="B2015" s="167" t="s">
        <v>2509</v>
      </c>
      <c r="C2015" s="167">
        <v>14123845</v>
      </c>
      <c r="D2015" s="167" t="s">
        <v>974</v>
      </c>
      <c r="E2015" s="167" t="s">
        <v>3699</v>
      </c>
      <c r="F2015" s="168">
        <v>32.880000000000003</v>
      </c>
    </row>
    <row r="2016" spans="1:6" x14ac:dyDescent="0.2">
      <c r="A2016" s="163" t="s">
        <v>3724</v>
      </c>
      <c r="B2016" s="164" t="s">
        <v>2509</v>
      </c>
      <c r="C2016" s="164">
        <v>14123843</v>
      </c>
      <c r="D2016" s="164" t="s">
        <v>971</v>
      </c>
      <c r="E2016" s="164" t="s">
        <v>3699</v>
      </c>
      <c r="F2016" s="165">
        <v>32.880000000000003</v>
      </c>
    </row>
    <row r="2017" spans="1:6" x14ac:dyDescent="0.2">
      <c r="A2017" s="166" t="s">
        <v>3724</v>
      </c>
      <c r="B2017" s="167" t="s">
        <v>2509</v>
      </c>
      <c r="C2017" s="167">
        <v>14123819</v>
      </c>
      <c r="D2017" s="167" t="s">
        <v>968</v>
      </c>
      <c r="E2017" s="167" t="s">
        <v>3699</v>
      </c>
      <c r="F2017" s="168">
        <v>32.880000000000003</v>
      </c>
    </row>
    <row r="2018" spans="1:6" x14ac:dyDescent="0.2">
      <c r="A2018" s="163" t="s">
        <v>3724</v>
      </c>
      <c r="B2018" s="164" t="s">
        <v>2509</v>
      </c>
      <c r="C2018" s="164">
        <v>14123808</v>
      </c>
      <c r="D2018" s="164" t="s">
        <v>966</v>
      </c>
      <c r="E2018" s="164" t="s">
        <v>3699</v>
      </c>
      <c r="F2018" s="165">
        <v>32.880000000000003</v>
      </c>
    </row>
    <row r="2019" spans="1:6" x14ac:dyDescent="0.2">
      <c r="A2019" s="166" t="s">
        <v>3724</v>
      </c>
      <c r="B2019" s="167" t="s">
        <v>2509</v>
      </c>
      <c r="C2019" s="167">
        <v>14123789</v>
      </c>
      <c r="D2019" s="167" t="s">
        <v>965</v>
      </c>
      <c r="E2019" s="167" t="s">
        <v>3699</v>
      </c>
      <c r="F2019" s="168">
        <v>32.880000000000003</v>
      </c>
    </row>
    <row r="2020" spans="1:6" x14ac:dyDescent="0.2">
      <c r="A2020" s="163" t="s">
        <v>3724</v>
      </c>
      <c r="B2020" s="164" t="s">
        <v>2509</v>
      </c>
      <c r="C2020" s="164">
        <v>14123771</v>
      </c>
      <c r="D2020" s="164" t="s">
        <v>962</v>
      </c>
      <c r="E2020" s="164" t="s">
        <v>3699</v>
      </c>
      <c r="F2020" s="165">
        <v>32.880000000000003</v>
      </c>
    </row>
    <row r="2021" spans="1:6" x14ac:dyDescent="0.2">
      <c r="A2021" s="166" t="s">
        <v>3724</v>
      </c>
      <c r="B2021" s="167" t="s">
        <v>2509</v>
      </c>
      <c r="C2021" s="167">
        <v>14123770</v>
      </c>
      <c r="D2021" s="167" t="s">
        <v>961</v>
      </c>
      <c r="E2021" s="167" t="s">
        <v>3699</v>
      </c>
      <c r="F2021" s="168">
        <v>32.880000000000003</v>
      </c>
    </row>
    <row r="2022" spans="1:6" x14ac:dyDescent="0.2">
      <c r="A2022" s="163" t="s">
        <v>3724</v>
      </c>
      <c r="B2022" s="164" t="s">
        <v>2509</v>
      </c>
      <c r="C2022" s="164">
        <v>14123725</v>
      </c>
      <c r="D2022" s="164" t="s">
        <v>958</v>
      </c>
      <c r="E2022" s="164" t="s">
        <v>3699</v>
      </c>
      <c r="F2022" s="165">
        <v>32.880000000000003</v>
      </c>
    </row>
    <row r="2023" spans="1:6" x14ac:dyDescent="0.2">
      <c r="A2023" s="166" t="s">
        <v>3724</v>
      </c>
      <c r="B2023" s="167" t="s">
        <v>2509</v>
      </c>
      <c r="C2023" s="167">
        <v>14123720</v>
      </c>
      <c r="D2023" s="167" t="s">
        <v>957</v>
      </c>
      <c r="E2023" s="167" t="s">
        <v>3699</v>
      </c>
      <c r="F2023" s="168">
        <v>32.880000000000003</v>
      </c>
    </row>
    <row r="2024" spans="1:6" x14ac:dyDescent="0.2">
      <c r="A2024" s="163" t="s">
        <v>3724</v>
      </c>
      <c r="B2024" s="164" t="s">
        <v>2509</v>
      </c>
      <c r="C2024" s="164">
        <v>14123719</v>
      </c>
      <c r="D2024" s="164" t="s">
        <v>955</v>
      </c>
      <c r="E2024" s="164" t="s">
        <v>3699</v>
      </c>
      <c r="F2024" s="165">
        <v>32.880000000000003</v>
      </c>
    </row>
    <row r="2025" spans="1:6" x14ac:dyDescent="0.2">
      <c r="A2025" s="166" t="s">
        <v>3724</v>
      </c>
      <c r="B2025" s="167" t="s">
        <v>2509</v>
      </c>
      <c r="C2025" s="167">
        <v>14123708</v>
      </c>
      <c r="D2025" s="167" t="s">
        <v>949</v>
      </c>
      <c r="E2025" s="167" t="s">
        <v>3699</v>
      </c>
      <c r="F2025" s="168">
        <v>32.880000000000003</v>
      </c>
    </row>
    <row r="2026" spans="1:6" x14ac:dyDescent="0.2">
      <c r="A2026" s="163" t="s">
        <v>3724</v>
      </c>
      <c r="B2026" s="164" t="s">
        <v>2509</v>
      </c>
      <c r="C2026" s="164">
        <v>14123704</v>
      </c>
      <c r="D2026" s="164" t="s">
        <v>946</v>
      </c>
      <c r="E2026" s="164" t="s">
        <v>3699</v>
      </c>
      <c r="F2026" s="165">
        <v>32.880000000000003</v>
      </c>
    </row>
    <row r="2027" spans="1:6" x14ac:dyDescent="0.2">
      <c r="A2027" s="166" t="s">
        <v>3724</v>
      </c>
      <c r="B2027" s="167" t="s">
        <v>2509</v>
      </c>
      <c r="C2027" s="167">
        <v>14123702</v>
      </c>
      <c r="D2027" s="167" t="s">
        <v>944</v>
      </c>
      <c r="E2027" s="167" t="s">
        <v>3699</v>
      </c>
      <c r="F2027" s="168">
        <v>32.880000000000003</v>
      </c>
    </row>
    <row r="2028" spans="1:6" x14ac:dyDescent="0.2">
      <c r="A2028" s="163" t="s">
        <v>3724</v>
      </c>
      <c r="B2028" s="164" t="s">
        <v>2509</v>
      </c>
      <c r="C2028" s="164">
        <v>14123657</v>
      </c>
      <c r="D2028" s="164" t="s">
        <v>941</v>
      </c>
      <c r="E2028" s="164" t="s">
        <v>3699</v>
      </c>
      <c r="F2028" s="165">
        <v>32.880000000000003</v>
      </c>
    </row>
    <row r="2029" spans="1:6" x14ac:dyDescent="0.2">
      <c r="A2029" s="166" t="s">
        <v>3724</v>
      </c>
      <c r="B2029" s="167" t="s">
        <v>2509</v>
      </c>
      <c r="C2029" s="167">
        <v>14123656</v>
      </c>
      <c r="D2029" s="167" t="s">
        <v>940</v>
      </c>
      <c r="E2029" s="167" t="s">
        <v>3699</v>
      </c>
      <c r="F2029" s="168">
        <v>32.880000000000003</v>
      </c>
    </row>
    <row r="2030" spans="1:6" x14ac:dyDescent="0.2">
      <c r="A2030" s="163" t="s">
        <v>3724</v>
      </c>
      <c r="B2030" s="164" t="s">
        <v>2509</v>
      </c>
      <c r="C2030" s="164">
        <v>14123654</v>
      </c>
      <c r="D2030" s="164" t="s">
        <v>938</v>
      </c>
      <c r="E2030" s="164" t="s">
        <v>3699</v>
      </c>
      <c r="F2030" s="165">
        <v>32.880000000000003</v>
      </c>
    </row>
    <row r="2031" spans="1:6" x14ac:dyDescent="0.2">
      <c r="A2031" s="166" t="s">
        <v>3724</v>
      </c>
      <c r="B2031" s="167" t="s">
        <v>2509</v>
      </c>
      <c r="C2031" s="167">
        <v>14123652</v>
      </c>
      <c r="D2031" s="167" t="s">
        <v>910</v>
      </c>
      <c r="E2031" s="167" t="s">
        <v>3699</v>
      </c>
      <c r="F2031" s="168">
        <v>32.880000000000003</v>
      </c>
    </row>
    <row r="2032" spans="1:6" x14ac:dyDescent="0.2">
      <c r="A2032" s="163" t="s">
        <v>3724</v>
      </c>
      <c r="B2032" s="164" t="s">
        <v>2509</v>
      </c>
      <c r="C2032" s="164">
        <v>14123651</v>
      </c>
      <c r="D2032" s="164" t="s">
        <v>909</v>
      </c>
      <c r="E2032" s="164" t="s">
        <v>3699</v>
      </c>
      <c r="F2032" s="165">
        <v>32.880000000000003</v>
      </c>
    </row>
    <row r="2033" spans="1:6" x14ac:dyDescent="0.2">
      <c r="A2033" s="166" t="s">
        <v>3724</v>
      </c>
      <c r="B2033" s="167" t="s">
        <v>2509</v>
      </c>
      <c r="C2033" s="167">
        <v>14123649</v>
      </c>
      <c r="D2033" s="167" t="s">
        <v>907</v>
      </c>
      <c r="E2033" s="167" t="s">
        <v>3699</v>
      </c>
      <c r="F2033" s="168">
        <v>32.880000000000003</v>
      </c>
    </row>
    <row r="2034" spans="1:6" x14ac:dyDescent="0.2">
      <c r="A2034" s="163" t="s">
        <v>3724</v>
      </c>
      <c r="B2034" s="164" t="s">
        <v>2509</v>
      </c>
      <c r="C2034" s="164">
        <v>14123642</v>
      </c>
      <c r="D2034" s="164" t="s">
        <v>906</v>
      </c>
      <c r="E2034" s="164" t="s">
        <v>3699</v>
      </c>
      <c r="F2034" s="165">
        <v>32.880000000000003</v>
      </c>
    </row>
    <row r="2035" spans="1:6" x14ac:dyDescent="0.2">
      <c r="A2035" s="166" t="s">
        <v>3724</v>
      </c>
      <c r="B2035" s="167" t="s">
        <v>2509</v>
      </c>
      <c r="C2035" s="167">
        <v>14123640</v>
      </c>
      <c r="D2035" s="167" t="s">
        <v>905</v>
      </c>
      <c r="E2035" s="167" t="s">
        <v>3699</v>
      </c>
      <c r="F2035" s="168">
        <v>32.880000000000003</v>
      </c>
    </row>
    <row r="2036" spans="1:6" x14ac:dyDescent="0.2">
      <c r="A2036" s="163" t="s">
        <v>3724</v>
      </c>
      <c r="B2036" s="164" t="s">
        <v>2509</v>
      </c>
      <c r="C2036" s="164">
        <v>14123635</v>
      </c>
      <c r="D2036" s="164" t="s">
        <v>904</v>
      </c>
      <c r="E2036" s="164" t="s">
        <v>3699</v>
      </c>
      <c r="F2036" s="165">
        <v>32.880000000000003</v>
      </c>
    </row>
    <row r="2037" spans="1:6" x14ac:dyDescent="0.2">
      <c r="A2037" s="166" t="s">
        <v>3724</v>
      </c>
      <c r="B2037" s="167" t="s">
        <v>2509</v>
      </c>
      <c r="C2037" s="167">
        <v>14123634</v>
      </c>
      <c r="D2037" s="167" t="s">
        <v>902</v>
      </c>
      <c r="E2037" s="167" t="s">
        <v>3699</v>
      </c>
      <c r="F2037" s="168">
        <v>32.880000000000003</v>
      </c>
    </row>
    <row r="2038" spans="1:6" x14ac:dyDescent="0.2">
      <c r="A2038" s="163" t="s">
        <v>3724</v>
      </c>
      <c r="B2038" s="164" t="s">
        <v>2509</v>
      </c>
      <c r="C2038" s="164">
        <v>14123599</v>
      </c>
      <c r="D2038" s="164" t="s">
        <v>555</v>
      </c>
      <c r="E2038" s="164" t="s">
        <v>3699</v>
      </c>
      <c r="F2038" s="165">
        <v>32.880000000000003</v>
      </c>
    </row>
    <row r="2039" spans="1:6" x14ac:dyDescent="0.2">
      <c r="A2039" s="166" t="s">
        <v>3724</v>
      </c>
      <c r="B2039" s="167" t="s">
        <v>2509</v>
      </c>
      <c r="C2039" s="167">
        <v>14123591</v>
      </c>
      <c r="D2039" s="167" t="s">
        <v>554</v>
      </c>
      <c r="E2039" s="167" t="s">
        <v>3699</v>
      </c>
      <c r="F2039" s="168">
        <v>27.4</v>
      </c>
    </row>
    <row r="2040" spans="1:6" x14ac:dyDescent="0.2">
      <c r="A2040" s="163" t="s">
        <v>3724</v>
      </c>
      <c r="B2040" s="164" t="s">
        <v>2509</v>
      </c>
      <c r="C2040" s="164">
        <v>14123573</v>
      </c>
      <c r="D2040" s="164" t="s">
        <v>552</v>
      </c>
      <c r="E2040" s="164" t="s">
        <v>3699</v>
      </c>
      <c r="F2040" s="165">
        <v>32.880000000000003</v>
      </c>
    </row>
    <row r="2041" spans="1:6" x14ac:dyDescent="0.2">
      <c r="A2041" s="166" t="s">
        <v>3724</v>
      </c>
      <c r="B2041" s="167" t="s">
        <v>2509</v>
      </c>
      <c r="C2041" s="167">
        <v>14123572</v>
      </c>
      <c r="D2041" s="167" t="s">
        <v>551</v>
      </c>
      <c r="E2041" s="167" t="s">
        <v>3699</v>
      </c>
      <c r="F2041" s="168">
        <v>32.880000000000003</v>
      </c>
    </row>
    <row r="2042" spans="1:6" x14ac:dyDescent="0.2">
      <c r="A2042" s="163" t="s">
        <v>3724</v>
      </c>
      <c r="B2042" s="164" t="s">
        <v>2509</v>
      </c>
      <c r="C2042" s="164">
        <v>14123570</v>
      </c>
      <c r="D2042" s="164" t="s">
        <v>549</v>
      </c>
      <c r="E2042" s="164" t="s">
        <v>3699</v>
      </c>
      <c r="F2042" s="165">
        <v>32.880000000000003</v>
      </c>
    </row>
    <row r="2043" spans="1:6" x14ac:dyDescent="0.2">
      <c r="A2043" s="166" t="s">
        <v>3724</v>
      </c>
      <c r="B2043" s="167" t="s">
        <v>2509</v>
      </c>
      <c r="C2043" s="167">
        <v>14123569</v>
      </c>
      <c r="D2043" s="167" t="s">
        <v>548</v>
      </c>
      <c r="E2043" s="167" t="s">
        <v>3699</v>
      </c>
      <c r="F2043" s="168">
        <v>32.880000000000003</v>
      </c>
    </row>
    <row r="2044" spans="1:6" x14ac:dyDescent="0.2">
      <c r="A2044" s="163" t="s">
        <v>3724</v>
      </c>
      <c r="B2044" s="164" t="s">
        <v>2509</v>
      </c>
      <c r="C2044" s="164">
        <v>14123568</v>
      </c>
      <c r="D2044" s="164" t="s">
        <v>547</v>
      </c>
      <c r="E2044" s="164" t="s">
        <v>3699</v>
      </c>
      <c r="F2044" s="165">
        <v>32.880000000000003</v>
      </c>
    </row>
    <row r="2045" spans="1:6" x14ac:dyDescent="0.2">
      <c r="A2045" s="166" t="s">
        <v>3724</v>
      </c>
      <c r="B2045" s="167" t="s">
        <v>2509</v>
      </c>
      <c r="C2045" s="167">
        <v>14123562</v>
      </c>
      <c r="D2045" s="167" t="s">
        <v>546</v>
      </c>
      <c r="E2045" s="167" t="s">
        <v>3699</v>
      </c>
      <c r="F2045" s="168">
        <v>32.880000000000003</v>
      </c>
    </row>
    <row r="2046" spans="1:6" x14ac:dyDescent="0.2">
      <c r="A2046" s="163" t="s">
        <v>3724</v>
      </c>
      <c r="B2046" s="164" t="s">
        <v>2509</v>
      </c>
      <c r="C2046" s="164">
        <v>14123559</v>
      </c>
      <c r="D2046" s="164" t="s">
        <v>545</v>
      </c>
      <c r="E2046" s="164" t="s">
        <v>3699</v>
      </c>
      <c r="F2046" s="165">
        <v>32.880000000000003</v>
      </c>
    </row>
    <row r="2047" spans="1:6" x14ac:dyDescent="0.2">
      <c r="A2047" s="166" t="s">
        <v>3724</v>
      </c>
      <c r="B2047" s="167" t="s">
        <v>2509</v>
      </c>
      <c r="C2047" s="167">
        <v>14123541</v>
      </c>
      <c r="D2047" s="167" t="s">
        <v>543</v>
      </c>
      <c r="E2047" s="167" t="s">
        <v>3699</v>
      </c>
      <c r="F2047" s="168">
        <v>32.880000000000003</v>
      </c>
    </row>
    <row r="2048" spans="1:6" x14ac:dyDescent="0.2">
      <c r="A2048" s="163" t="s">
        <v>3724</v>
      </c>
      <c r="B2048" s="164" t="s">
        <v>2509</v>
      </c>
      <c r="C2048" s="164">
        <v>14123536</v>
      </c>
      <c r="D2048" s="164" t="s">
        <v>542</v>
      </c>
      <c r="E2048" s="164" t="s">
        <v>3699</v>
      </c>
      <c r="F2048" s="165">
        <v>32.880000000000003</v>
      </c>
    </row>
    <row r="2049" spans="1:6" x14ac:dyDescent="0.2">
      <c r="A2049" s="166" t="s">
        <v>3724</v>
      </c>
      <c r="B2049" s="167" t="s">
        <v>2509</v>
      </c>
      <c r="C2049" s="167">
        <v>14123530</v>
      </c>
      <c r="D2049" s="167" t="s">
        <v>541</v>
      </c>
      <c r="E2049" s="167" t="s">
        <v>3699</v>
      </c>
      <c r="F2049" s="168">
        <v>32.880000000000003</v>
      </c>
    </row>
    <row r="2050" spans="1:6" x14ac:dyDescent="0.2">
      <c r="A2050" s="163" t="s">
        <v>3724</v>
      </c>
      <c r="B2050" s="164" t="s">
        <v>2509</v>
      </c>
      <c r="C2050" s="164">
        <v>14123528</v>
      </c>
      <c r="D2050" s="164" t="s">
        <v>540</v>
      </c>
      <c r="E2050" s="164" t="s">
        <v>3699</v>
      </c>
      <c r="F2050" s="165">
        <v>32.880000000000003</v>
      </c>
    </row>
    <row r="2051" spans="1:6" x14ac:dyDescent="0.2">
      <c r="A2051" s="166" t="s">
        <v>3724</v>
      </c>
      <c r="B2051" s="167" t="s">
        <v>2509</v>
      </c>
      <c r="C2051" s="167">
        <v>14123527</v>
      </c>
      <c r="D2051" s="167" t="s">
        <v>539</v>
      </c>
      <c r="E2051" s="167" t="s">
        <v>3699</v>
      </c>
      <c r="F2051" s="168">
        <v>32.880000000000003</v>
      </c>
    </row>
    <row r="2052" spans="1:6" x14ac:dyDescent="0.2">
      <c r="A2052" s="163" t="s">
        <v>3724</v>
      </c>
      <c r="B2052" s="164" t="s">
        <v>2509</v>
      </c>
      <c r="C2052" s="164">
        <v>14123526</v>
      </c>
      <c r="D2052" s="164" t="s">
        <v>538</v>
      </c>
      <c r="E2052" s="164" t="s">
        <v>3699</v>
      </c>
      <c r="F2052" s="165">
        <v>32.880000000000003</v>
      </c>
    </row>
    <row r="2053" spans="1:6" x14ac:dyDescent="0.2">
      <c r="A2053" s="166" t="s">
        <v>3724</v>
      </c>
      <c r="B2053" s="167" t="s">
        <v>2509</v>
      </c>
      <c r="C2053" s="167">
        <v>14123523</v>
      </c>
      <c r="D2053" s="167" t="s">
        <v>537</v>
      </c>
      <c r="E2053" s="167" t="s">
        <v>3699</v>
      </c>
      <c r="F2053" s="168">
        <v>32.880000000000003</v>
      </c>
    </row>
    <row r="2054" spans="1:6" x14ac:dyDescent="0.2">
      <c r="A2054" s="163" t="s">
        <v>3724</v>
      </c>
      <c r="B2054" s="164" t="s">
        <v>2509</v>
      </c>
      <c r="C2054" s="164">
        <v>14123522</v>
      </c>
      <c r="D2054" s="164" t="s">
        <v>536</v>
      </c>
      <c r="E2054" s="164" t="s">
        <v>3699</v>
      </c>
      <c r="F2054" s="165">
        <v>18.79</v>
      </c>
    </row>
    <row r="2055" spans="1:6" x14ac:dyDescent="0.2">
      <c r="A2055" s="166" t="s">
        <v>3724</v>
      </c>
      <c r="B2055" s="167" t="s">
        <v>2509</v>
      </c>
      <c r="C2055" s="167">
        <v>14123519</v>
      </c>
      <c r="D2055" s="167" t="s">
        <v>535</v>
      </c>
      <c r="E2055" s="167" t="s">
        <v>3699</v>
      </c>
      <c r="F2055" s="168">
        <v>32.880000000000003</v>
      </c>
    </row>
    <row r="2056" spans="1:6" x14ac:dyDescent="0.2">
      <c r="A2056" s="163" t="s">
        <v>3724</v>
      </c>
      <c r="B2056" s="164" t="s">
        <v>2509</v>
      </c>
      <c r="C2056" s="164">
        <v>14123516</v>
      </c>
      <c r="D2056" s="164" t="s">
        <v>534</v>
      </c>
      <c r="E2056" s="164" t="s">
        <v>3699</v>
      </c>
      <c r="F2056" s="165">
        <v>32.880000000000003</v>
      </c>
    </row>
    <row r="2057" spans="1:6" x14ac:dyDescent="0.2">
      <c r="A2057" s="166" t="s">
        <v>3724</v>
      </c>
      <c r="B2057" s="167" t="s">
        <v>2509</v>
      </c>
      <c r="C2057" s="167">
        <v>14123514</v>
      </c>
      <c r="D2057" s="167" t="s">
        <v>533</v>
      </c>
      <c r="E2057" s="167" t="s">
        <v>3699</v>
      </c>
      <c r="F2057" s="168">
        <v>32.880000000000003</v>
      </c>
    </row>
    <row r="2058" spans="1:6" x14ac:dyDescent="0.2">
      <c r="A2058" s="163" t="s">
        <v>3724</v>
      </c>
      <c r="B2058" s="164" t="s">
        <v>2509</v>
      </c>
      <c r="C2058" s="164">
        <v>14123489</v>
      </c>
      <c r="D2058" s="164" t="s">
        <v>528</v>
      </c>
      <c r="E2058" s="164" t="s">
        <v>3699</v>
      </c>
      <c r="F2058" s="165">
        <v>32.880000000000003</v>
      </c>
    </row>
    <row r="2059" spans="1:6" x14ac:dyDescent="0.2">
      <c r="A2059" s="166" t="s">
        <v>3724</v>
      </c>
      <c r="B2059" s="167" t="s">
        <v>2509</v>
      </c>
      <c r="C2059" s="167">
        <v>14123488</v>
      </c>
      <c r="D2059" s="167" t="s">
        <v>527</v>
      </c>
      <c r="E2059" s="167" t="s">
        <v>3699</v>
      </c>
      <c r="F2059" s="168">
        <v>32.880000000000003</v>
      </c>
    </row>
    <row r="2060" spans="1:6" x14ac:dyDescent="0.2">
      <c r="A2060" s="163" t="s">
        <v>3724</v>
      </c>
      <c r="B2060" s="164" t="s">
        <v>2509</v>
      </c>
      <c r="C2060" s="164">
        <v>14123473</v>
      </c>
      <c r="D2060" s="164" t="s">
        <v>526</v>
      </c>
      <c r="E2060" s="164" t="s">
        <v>3699</v>
      </c>
      <c r="F2060" s="165">
        <v>32.880000000000003</v>
      </c>
    </row>
    <row r="2061" spans="1:6" x14ac:dyDescent="0.2">
      <c r="A2061" s="166" t="s">
        <v>3724</v>
      </c>
      <c r="B2061" s="167" t="s">
        <v>2509</v>
      </c>
      <c r="C2061" s="167">
        <v>14123471</v>
      </c>
      <c r="D2061" s="167" t="s">
        <v>525</v>
      </c>
      <c r="E2061" s="167" t="s">
        <v>3699</v>
      </c>
      <c r="F2061" s="168">
        <v>32.880000000000003</v>
      </c>
    </row>
    <row r="2062" spans="1:6" x14ac:dyDescent="0.2">
      <c r="A2062" s="163" t="s">
        <v>3724</v>
      </c>
      <c r="B2062" s="164" t="s">
        <v>2509</v>
      </c>
      <c r="C2062" s="164">
        <v>14123461</v>
      </c>
      <c r="D2062" s="164" t="s">
        <v>523</v>
      </c>
      <c r="E2062" s="164" t="s">
        <v>3699</v>
      </c>
      <c r="F2062" s="165">
        <v>32.880000000000003</v>
      </c>
    </row>
    <row r="2063" spans="1:6" x14ac:dyDescent="0.2">
      <c r="A2063" s="166" t="s">
        <v>3724</v>
      </c>
      <c r="B2063" s="167" t="s">
        <v>2509</v>
      </c>
      <c r="C2063" s="167">
        <v>14123460</v>
      </c>
      <c r="D2063" s="167" t="s">
        <v>522</v>
      </c>
      <c r="E2063" s="167" t="s">
        <v>3699</v>
      </c>
      <c r="F2063" s="168">
        <v>32.880000000000003</v>
      </c>
    </row>
    <row r="2064" spans="1:6" x14ac:dyDescent="0.2">
      <c r="A2064" s="163" t="s">
        <v>3724</v>
      </c>
      <c r="B2064" s="164" t="s">
        <v>2509</v>
      </c>
      <c r="C2064" s="164">
        <v>14123447</v>
      </c>
      <c r="D2064" s="164" t="s">
        <v>520</v>
      </c>
      <c r="E2064" s="164" t="s">
        <v>3699</v>
      </c>
      <c r="F2064" s="165">
        <v>32.880000000000003</v>
      </c>
    </row>
    <row r="2065" spans="1:6" x14ac:dyDescent="0.2">
      <c r="A2065" s="166" t="s">
        <v>3724</v>
      </c>
      <c r="B2065" s="167" t="s">
        <v>2509</v>
      </c>
      <c r="C2065" s="167">
        <v>14123445</v>
      </c>
      <c r="D2065" s="167" t="s">
        <v>518</v>
      </c>
      <c r="E2065" s="167" t="s">
        <v>3699</v>
      </c>
      <c r="F2065" s="168">
        <v>32.880000000000003</v>
      </c>
    </row>
    <row r="2066" spans="1:6" x14ac:dyDescent="0.2">
      <c r="A2066" s="163" t="s">
        <v>3724</v>
      </c>
      <c r="B2066" s="164" t="s">
        <v>2509</v>
      </c>
      <c r="C2066" s="164">
        <v>14123377</v>
      </c>
      <c r="D2066" s="164" t="s">
        <v>516</v>
      </c>
      <c r="E2066" s="164" t="s">
        <v>3699</v>
      </c>
      <c r="F2066" s="165">
        <v>32.880000000000003</v>
      </c>
    </row>
    <row r="2067" spans="1:6" x14ac:dyDescent="0.2">
      <c r="A2067" s="166" t="s">
        <v>3724</v>
      </c>
      <c r="B2067" s="167" t="s">
        <v>2509</v>
      </c>
      <c r="C2067" s="167">
        <v>14123375</v>
      </c>
      <c r="D2067" s="167" t="s">
        <v>515</v>
      </c>
      <c r="E2067" s="167" t="s">
        <v>3699</v>
      </c>
      <c r="F2067" s="168">
        <v>32.880000000000003</v>
      </c>
    </row>
    <row r="2068" spans="1:6" x14ac:dyDescent="0.2">
      <c r="A2068" s="163" t="s">
        <v>3724</v>
      </c>
      <c r="B2068" s="164" t="s">
        <v>2509</v>
      </c>
      <c r="C2068" s="164">
        <v>14123336</v>
      </c>
      <c r="D2068" s="164" t="s">
        <v>514</v>
      </c>
      <c r="E2068" s="164" t="s">
        <v>3699</v>
      </c>
      <c r="F2068" s="165">
        <v>32.880000000000003</v>
      </c>
    </row>
    <row r="2069" spans="1:6" x14ac:dyDescent="0.2">
      <c r="A2069" s="166" t="s">
        <v>3724</v>
      </c>
      <c r="B2069" s="167" t="s">
        <v>2509</v>
      </c>
      <c r="C2069" s="167">
        <v>14123334</v>
      </c>
      <c r="D2069" s="167" t="s">
        <v>513</v>
      </c>
      <c r="E2069" s="167" t="s">
        <v>3699</v>
      </c>
      <c r="F2069" s="168">
        <v>32.880000000000003</v>
      </c>
    </row>
    <row r="2070" spans="1:6" x14ac:dyDescent="0.2">
      <c r="A2070" s="163" t="s">
        <v>3724</v>
      </c>
      <c r="B2070" s="164" t="s">
        <v>2509</v>
      </c>
      <c r="C2070" s="164">
        <v>14123332</v>
      </c>
      <c r="D2070" s="164" t="s">
        <v>512</v>
      </c>
      <c r="E2070" s="164" t="s">
        <v>3699</v>
      </c>
      <c r="F2070" s="165">
        <v>31.04</v>
      </c>
    </row>
    <row r="2071" spans="1:6" x14ac:dyDescent="0.2">
      <c r="A2071" s="166" t="s">
        <v>3724</v>
      </c>
      <c r="B2071" s="167" t="s">
        <v>2509</v>
      </c>
      <c r="C2071" s="167">
        <v>14123331</v>
      </c>
      <c r="D2071" s="167" t="s">
        <v>511</v>
      </c>
      <c r="E2071" s="167" t="s">
        <v>3699</v>
      </c>
      <c r="F2071" s="168">
        <v>32.880000000000003</v>
      </c>
    </row>
    <row r="2072" spans="1:6" x14ac:dyDescent="0.2">
      <c r="A2072" s="163" t="s">
        <v>3724</v>
      </c>
      <c r="B2072" s="164" t="s">
        <v>2509</v>
      </c>
      <c r="C2072" s="164">
        <v>14123312</v>
      </c>
      <c r="D2072" s="164" t="s">
        <v>507</v>
      </c>
      <c r="E2072" s="164" t="s">
        <v>3699</v>
      </c>
      <c r="F2072" s="165">
        <v>32.880000000000003</v>
      </c>
    </row>
    <row r="2073" spans="1:6" x14ac:dyDescent="0.2">
      <c r="A2073" s="166" t="s">
        <v>3724</v>
      </c>
      <c r="B2073" s="167" t="s">
        <v>2509</v>
      </c>
      <c r="C2073" s="167">
        <v>14123306</v>
      </c>
      <c r="D2073" s="167" t="s">
        <v>506</v>
      </c>
      <c r="E2073" s="167" t="s">
        <v>3699</v>
      </c>
      <c r="F2073" s="168">
        <v>39.82</v>
      </c>
    </row>
    <row r="2074" spans="1:6" x14ac:dyDescent="0.2">
      <c r="A2074" s="163" t="s">
        <v>3724</v>
      </c>
      <c r="B2074" s="164" t="s">
        <v>2509</v>
      </c>
      <c r="C2074" s="164">
        <v>14123277</v>
      </c>
      <c r="D2074" s="164" t="s">
        <v>505</v>
      </c>
      <c r="E2074" s="164" t="s">
        <v>3699</v>
      </c>
      <c r="F2074" s="165">
        <v>32.880000000000003</v>
      </c>
    </row>
    <row r="2075" spans="1:6" x14ac:dyDescent="0.2">
      <c r="A2075" s="166" t="s">
        <v>3724</v>
      </c>
      <c r="B2075" s="167" t="s">
        <v>2509</v>
      </c>
      <c r="C2075" s="167">
        <v>14123275</v>
      </c>
      <c r="D2075" s="167" t="s">
        <v>503</v>
      </c>
      <c r="E2075" s="167" t="s">
        <v>3699</v>
      </c>
      <c r="F2075" s="168">
        <v>32.880000000000003</v>
      </c>
    </row>
    <row r="2076" spans="1:6" x14ac:dyDescent="0.2">
      <c r="A2076" s="163" t="s">
        <v>3724</v>
      </c>
      <c r="B2076" s="164" t="s">
        <v>2509</v>
      </c>
      <c r="C2076" s="164">
        <v>14123273</v>
      </c>
      <c r="D2076" s="164" t="s">
        <v>501</v>
      </c>
      <c r="E2076" s="164" t="s">
        <v>3699</v>
      </c>
      <c r="F2076" s="165">
        <v>32.880000000000003</v>
      </c>
    </row>
    <row r="2077" spans="1:6" x14ac:dyDescent="0.2">
      <c r="A2077" s="166" t="s">
        <v>3724</v>
      </c>
      <c r="B2077" s="167" t="s">
        <v>2509</v>
      </c>
      <c r="C2077" s="167">
        <v>14123271</v>
      </c>
      <c r="D2077" s="167" t="s">
        <v>500</v>
      </c>
      <c r="E2077" s="167" t="s">
        <v>3699</v>
      </c>
      <c r="F2077" s="168">
        <v>43.51</v>
      </c>
    </row>
    <row r="2078" spans="1:6" x14ac:dyDescent="0.2">
      <c r="A2078" s="163" t="s">
        <v>3724</v>
      </c>
      <c r="B2078" s="164" t="s">
        <v>2509</v>
      </c>
      <c r="C2078" s="164">
        <v>14123254</v>
      </c>
      <c r="D2078" s="164" t="s">
        <v>499</v>
      </c>
      <c r="E2078" s="164" t="s">
        <v>3699</v>
      </c>
      <c r="F2078" s="165">
        <v>32.880000000000003</v>
      </c>
    </row>
    <row r="2079" spans="1:6" x14ac:dyDescent="0.2">
      <c r="A2079" s="166" t="s">
        <v>3724</v>
      </c>
      <c r="B2079" s="167" t="s">
        <v>2509</v>
      </c>
      <c r="C2079" s="167">
        <v>14123246</v>
      </c>
      <c r="D2079" s="167" t="s">
        <v>497</v>
      </c>
      <c r="E2079" s="167" t="s">
        <v>3699</v>
      </c>
      <c r="F2079" s="168">
        <v>32.880000000000003</v>
      </c>
    </row>
    <row r="2080" spans="1:6" x14ac:dyDescent="0.2">
      <c r="A2080" s="163" t="s">
        <v>3724</v>
      </c>
      <c r="B2080" s="164" t="s">
        <v>2509</v>
      </c>
      <c r="C2080" s="164">
        <v>14123238</v>
      </c>
      <c r="D2080" s="164" t="s">
        <v>495</v>
      </c>
      <c r="E2080" s="164" t="s">
        <v>3699</v>
      </c>
      <c r="F2080" s="165">
        <v>32.880000000000003</v>
      </c>
    </row>
    <row r="2081" spans="1:6" x14ac:dyDescent="0.2">
      <c r="A2081" s="166" t="s">
        <v>3724</v>
      </c>
      <c r="B2081" s="167" t="s">
        <v>2509</v>
      </c>
      <c r="C2081" s="167">
        <v>14123228</v>
      </c>
      <c r="D2081" s="167" t="s">
        <v>494</v>
      </c>
      <c r="E2081" s="167" t="s">
        <v>3699</v>
      </c>
      <c r="F2081" s="168">
        <v>32.880000000000003</v>
      </c>
    </row>
    <row r="2082" spans="1:6" x14ac:dyDescent="0.2">
      <c r="A2082" s="163" t="s">
        <v>3724</v>
      </c>
      <c r="B2082" s="164" t="s">
        <v>2509</v>
      </c>
      <c r="C2082" s="164">
        <v>14123193</v>
      </c>
      <c r="D2082" s="164" t="s">
        <v>492</v>
      </c>
      <c r="E2082" s="164" t="s">
        <v>3699</v>
      </c>
      <c r="F2082" s="165">
        <v>32.880000000000003</v>
      </c>
    </row>
    <row r="2083" spans="1:6" x14ac:dyDescent="0.2">
      <c r="A2083" s="166" t="s">
        <v>3724</v>
      </c>
      <c r="B2083" s="167" t="s">
        <v>2509</v>
      </c>
      <c r="C2083" s="167">
        <v>14123145</v>
      </c>
      <c r="D2083" s="167" t="s">
        <v>490</v>
      </c>
      <c r="E2083" s="167" t="s">
        <v>3699</v>
      </c>
      <c r="F2083" s="168">
        <v>31.04</v>
      </c>
    </row>
    <row r="2084" spans="1:6" x14ac:dyDescent="0.2">
      <c r="A2084" s="163" t="s">
        <v>3724</v>
      </c>
      <c r="B2084" s="164" t="s">
        <v>2509</v>
      </c>
      <c r="C2084" s="164">
        <v>14123107</v>
      </c>
      <c r="D2084" s="164" t="s">
        <v>487</v>
      </c>
      <c r="E2084" s="164" t="s">
        <v>3699</v>
      </c>
      <c r="F2084" s="165">
        <v>32.880000000000003</v>
      </c>
    </row>
    <row r="2085" spans="1:6" x14ac:dyDescent="0.2">
      <c r="A2085" s="166" t="s">
        <v>3724</v>
      </c>
      <c r="B2085" s="167" t="s">
        <v>2509</v>
      </c>
      <c r="C2085" s="167">
        <v>14123082</v>
      </c>
      <c r="D2085" s="167" t="s">
        <v>484</v>
      </c>
      <c r="E2085" s="167" t="s">
        <v>3699</v>
      </c>
      <c r="F2085" s="168">
        <v>31.04</v>
      </c>
    </row>
    <row r="2086" spans="1:6" x14ac:dyDescent="0.2">
      <c r="A2086" s="163" t="s">
        <v>3724</v>
      </c>
      <c r="B2086" s="164" t="s">
        <v>2509</v>
      </c>
      <c r="C2086" s="164">
        <v>14123081</v>
      </c>
      <c r="D2086" s="164" t="s">
        <v>483</v>
      </c>
      <c r="E2086" s="164" t="s">
        <v>3699</v>
      </c>
      <c r="F2086" s="165">
        <v>32.880000000000003</v>
      </c>
    </row>
    <row r="2087" spans="1:6" x14ac:dyDescent="0.2">
      <c r="A2087" s="166" t="s">
        <v>3724</v>
      </c>
      <c r="B2087" s="167" t="s">
        <v>2509</v>
      </c>
      <c r="C2087" s="167">
        <v>14123080</v>
      </c>
      <c r="D2087" s="167" t="s">
        <v>482</v>
      </c>
      <c r="E2087" s="167" t="s">
        <v>3699</v>
      </c>
      <c r="F2087" s="168">
        <v>32.880000000000003</v>
      </c>
    </row>
    <row r="2088" spans="1:6" x14ac:dyDescent="0.2">
      <c r="A2088" s="163" t="s">
        <v>3724</v>
      </c>
      <c r="B2088" s="164" t="s">
        <v>2509</v>
      </c>
      <c r="C2088" s="164">
        <v>14123066</v>
      </c>
      <c r="D2088" s="164" t="s">
        <v>481</v>
      </c>
      <c r="E2088" s="164" t="s">
        <v>3699</v>
      </c>
      <c r="F2088" s="165">
        <v>32.880000000000003</v>
      </c>
    </row>
    <row r="2089" spans="1:6" x14ac:dyDescent="0.2">
      <c r="A2089" s="166" t="s">
        <v>3724</v>
      </c>
      <c r="B2089" s="167" t="s">
        <v>2509</v>
      </c>
      <c r="C2089" s="167">
        <v>14123063</v>
      </c>
      <c r="D2089" s="167" t="s">
        <v>479</v>
      </c>
      <c r="E2089" s="167" t="s">
        <v>3699</v>
      </c>
      <c r="F2089" s="168">
        <v>32.880000000000003</v>
      </c>
    </row>
    <row r="2090" spans="1:6" x14ac:dyDescent="0.2">
      <c r="A2090" s="163" t="s">
        <v>3724</v>
      </c>
      <c r="B2090" s="164" t="s">
        <v>2509</v>
      </c>
      <c r="C2090" s="164">
        <v>14123010</v>
      </c>
      <c r="D2090" s="164" t="s">
        <v>477</v>
      </c>
      <c r="E2090" s="164" t="s">
        <v>3699</v>
      </c>
      <c r="F2090" s="165">
        <v>32.880000000000003</v>
      </c>
    </row>
    <row r="2091" spans="1:6" x14ac:dyDescent="0.2">
      <c r="A2091" s="166" t="s">
        <v>3724</v>
      </c>
      <c r="B2091" s="167" t="s">
        <v>2509</v>
      </c>
      <c r="C2091" s="167">
        <v>14123008</v>
      </c>
      <c r="D2091" s="167" t="s">
        <v>476</v>
      </c>
      <c r="E2091" s="167" t="s">
        <v>3699</v>
      </c>
      <c r="F2091" s="168">
        <v>32.880000000000003</v>
      </c>
    </row>
    <row r="2092" spans="1:6" x14ac:dyDescent="0.2">
      <c r="A2092" s="163" t="s">
        <v>3724</v>
      </c>
      <c r="B2092" s="164" t="s">
        <v>2509</v>
      </c>
      <c r="C2092" s="164">
        <v>14122994</v>
      </c>
      <c r="D2092" s="164" t="s">
        <v>474</v>
      </c>
      <c r="E2092" s="164" t="s">
        <v>3699</v>
      </c>
      <c r="F2092" s="165">
        <v>31.04</v>
      </c>
    </row>
    <row r="2093" spans="1:6" x14ac:dyDescent="0.2">
      <c r="A2093" s="166" t="s">
        <v>3724</v>
      </c>
      <c r="B2093" s="167" t="s">
        <v>2509</v>
      </c>
      <c r="C2093" s="167">
        <v>14122993</v>
      </c>
      <c r="D2093" s="167" t="s">
        <v>473</v>
      </c>
      <c r="E2093" s="167" t="s">
        <v>3699</v>
      </c>
      <c r="F2093" s="168">
        <v>32.880000000000003</v>
      </c>
    </row>
    <row r="2094" spans="1:6" x14ac:dyDescent="0.2">
      <c r="A2094" s="163" t="s">
        <v>3724</v>
      </c>
      <c r="B2094" s="164" t="s">
        <v>2509</v>
      </c>
      <c r="C2094" s="164">
        <v>14122992</v>
      </c>
      <c r="D2094" s="164" t="s">
        <v>472</v>
      </c>
      <c r="E2094" s="164" t="s">
        <v>3699</v>
      </c>
      <c r="F2094" s="165">
        <v>32.880000000000003</v>
      </c>
    </row>
    <row r="2095" spans="1:6" x14ac:dyDescent="0.2">
      <c r="A2095" s="166" t="s">
        <v>3724</v>
      </c>
      <c r="B2095" s="167" t="s">
        <v>2509</v>
      </c>
      <c r="C2095" s="167">
        <v>14122929</v>
      </c>
      <c r="D2095" s="167" t="s">
        <v>470</v>
      </c>
      <c r="E2095" s="167" t="s">
        <v>3699</v>
      </c>
      <c r="F2095" s="168">
        <v>32.880000000000003</v>
      </c>
    </row>
    <row r="2096" spans="1:6" x14ac:dyDescent="0.2">
      <c r="A2096" s="163" t="s">
        <v>3724</v>
      </c>
      <c r="B2096" s="164" t="s">
        <v>2509</v>
      </c>
      <c r="C2096" s="164">
        <v>14122928</v>
      </c>
      <c r="D2096" s="164" t="s">
        <v>469</v>
      </c>
      <c r="E2096" s="164" t="s">
        <v>3699</v>
      </c>
      <c r="F2096" s="165">
        <v>32.880000000000003</v>
      </c>
    </row>
    <row r="2097" spans="1:6" x14ac:dyDescent="0.2">
      <c r="A2097" s="166" t="s">
        <v>3724</v>
      </c>
      <c r="B2097" s="167" t="s">
        <v>2509</v>
      </c>
      <c r="C2097" s="167">
        <v>14122927</v>
      </c>
      <c r="D2097" s="167" t="s">
        <v>468</v>
      </c>
      <c r="E2097" s="167" t="s">
        <v>3699</v>
      </c>
      <c r="F2097" s="168">
        <v>32.880000000000003</v>
      </c>
    </row>
    <row r="2098" spans="1:6" x14ac:dyDescent="0.2">
      <c r="A2098" s="163" t="s">
        <v>3724</v>
      </c>
      <c r="B2098" s="164" t="s">
        <v>2509</v>
      </c>
      <c r="C2098" s="164">
        <v>14122925</v>
      </c>
      <c r="D2098" s="164" t="s">
        <v>467</v>
      </c>
      <c r="E2098" s="164" t="s">
        <v>3699</v>
      </c>
      <c r="F2098" s="165">
        <v>32.880000000000003</v>
      </c>
    </row>
    <row r="2099" spans="1:6" x14ac:dyDescent="0.2">
      <c r="A2099" s="166" t="s">
        <v>3724</v>
      </c>
      <c r="B2099" s="167" t="s">
        <v>2509</v>
      </c>
      <c r="C2099" s="167">
        <v>14122923</v>
      </c>
      <c r="D2099" s="167" t="s">
        <v>466</v>
      </c>
      <c r="E2099" s="167" t="s">
        <v>3699</v>
      </c>
      <c r="F2099" s="168">
        <v>32.880000000000003</v>
      </c>
    </row>
    <row r="2100" spans="1:6" x14ac:dyDescent="0.2">
      <c r="A2100" s="163" t="s">
        <v>3724</v>
      </c>
      <c r="B2100" s="164" t="s">
        <v>2509</v>
      </c>
      <c r="C2100" s="164">
        <v>14122922</v>
      </c>
      <c r="D2100" s="164" t="s">
        <v>465</v>
      </c>
      <c r="E2100" s="164" t="s">
        <v>3699</v>
      </c>
      <c r="F2100" s="165">
        <v>16.440000000000001</v>
      </c>
    </row>
    <row r="2101" spans="1:6" x14ac:dyDescent="0.2">
      <c r="A2101" s="166" t="s">
        <v>3724</v>
      </c>
      <c r="B2101" s="167" t="s">
        <v>2509</v>
      </c>
      <c r="C2101" s="167">
        <v>14122904</v>
      </c>
      <c r="D2101" s="167" t="s">
        <v>464</v>
      </c>
      <c r="E2101" s="167" t="s">
        <v>3699</v>
      </c>
      <c r="F2101" s="168">
        <v>32.880000000000003</v>
      </c>
    </row>
    <row r="2102" spans="1:6" x14ac:dyDescent="0.2">
      <c r="A2102" s="163" t="s">
        <v>3724</v>
      </c>
      <c r="B2102" s="164" t="s">
        <v>2509</v>
      </c>
      <c r="C2102" s="164">
        <v>14122873</v>
      </c>
      <c r="D2102" s="164" t="s">
        <v>460</v>
      </c>
      <c r="E2102" s="164" t="s">
        <v>3699</v>
      </c>
      <c r="F2102" s="165">
        <v>32.880000000000003</v>
      </c>
    </row>
    <row r="2103" spans="1:6" x14ac:dyDescent="0.2">
      <c r="A2103" s="166" t="s">
        <v>3724</v>
      </c>
      <c r="B2103" s="167" t="s">
        <v>2509</v>
      </c>
      <c r="C2103" s="167">
        <v>14122871</v>
      </c>
      <c r="D2103" s="167" t="s">
        <v>459</v>
      </c>
      <c r="E2103" s="167" t="s">
        <v>3699</v>
      </c>
      <c r="F2103" s="168">
        <v>32.880000000000003</v>
      </c>
    </row>
    <row r="2104" spans="1:6" x14ac:dyDescent="0.2">
      <c r="A2104" s="163" t="s">
        <v>3724</v>
      </c>
      <c r="B2104" s="164" t="s">
        <v>2509</v>
      </c>
      <c r="C2104" s="164">
        <v>14122856</v>
      </c>
      <c r="D2104" s="164" t="s">
        <v>458</v>
      </c>
      <c r="E2104" s="164" t="s">
        <v>3699</v>
      </c>
      <c r="F2104" s="165">
        <v>32.880000000000003</v>
      </c>
    </row>
    <row r="2105" spans="1:6" x14ac:dyDescent="0.2">
      <c r="A2105" s="166" t="s">
        <v>3724</v>
      </c>
      <c r="B2105" s="167" t="s">
        <v>2509</v>
      </c>
      <c r="C2105" s="167">
        <v>14122855</v>
      </c>
      <c r="D2105" s="167" t="s">
        <v>457</v>
      </c>
      <c r="E2105" s="167" t="s">
        <v>3699</v>
      </c>
      <c r="F2105" s="168">
        <v>32.880000000000003</v>
      </c>
    </row>
    <row r="2106" spans="1:6" x14ac:dyDescent="0.2">
      <c r="A2106" s="163" t="s">
        <v>3724</v>
      </c>
      <c r="B2106" s="164" t="s">
        <v>2509</v>
      </c>
      <c r="C2106" s="164">
        <v>14122854</v>
      </c>
      <c r="D2106" s="164" t="s">
        <v>456</v>
      </c>
      <c r="E2106" s="164" t="s">
        <v>3699</v>
      </c>
      <c r="F2106" s="165">
        <v>32.880000000000003</v>
      </c>
    </row>
    <row r="2107" spans="1:6" x14ac:dyDescent="0.2">
      <c r="A2107" s="166" t="s">
        <v>3724</v>
      </c>
      <c r="B2107" s="167" t="s">
        <v>2509</v>
      </c>
      <c r="C2107" s="167">
        <v>14122852</v>
      </c>
      <c r="D2107" s="167" t="s">
        <v>455</v>
      </c>
      <c r="E2107" s="167" t="s">
        <v>3699</v>
      </c>
      <c r="F2107" s="168">
        <v>32.880000000000003</v>
      </c>
    </row>
    <row r="2108" spans="1:6" x14ac:dyDescent="0.2">
      <c r="A2108" s="163" t="s">
        <v>3724</v>
      </c>
      <c r="B2108" s="164" t="s">
        <v>2509</v>
      </c>
      <c r="C2108" s="164">
        <v>14122833</v>
      </c>
      <c r="D2108" s="164" t="s">
        <v>454</v>
      </c>
      <c r="E2108" s="164" t="s">
        <v>3699</v>
      </c>
      <c r="F2108" s="165">
        <v>39.82</v>
      </c>
    </row>
    <row r="2109" spans="1:6" x14ac:dyDescent="0.2">
      <c r="A2109" s="166" t="s">
        <v>3724</v>
      </c>
      <c r="B2109" s="167" t="s">
        <v>2509</v>
      </c>
      <c r="C2109" s="167">
        <v>14122832</v>
      </c>
      <c r="D2109" s="167" t="s">
        <v>453</v>
      </c>
      <c r="E2109" s="167" t="s">
        <v>3699</v>
      </c>
      <c r="F2109" s="168">
        <v>32.880000000000003</v>
      </c>
    </row>
    <row r="2110" spans="1:6" x14ac:dyDescent="0.2">
      <c r="A2110" s="163" t="s">
        <v>3724</v>
      </c>
      <c r="B2110" s="164" t="s">
        <v>2509</v>
      </c>
      <c r="C2110" s="164">
        <v>14122831</v>
      </c>
      <c r="D2110" s="164" t="s">
        <v>452</v>
      </c>
      <c r="E2110" s="164" t="s">
        <v>3699</v>
      </c>
      <c r="F2110" s="165">
        <v>32.880000000000003</v>
      </c>
    </row>
    <row r="2111" spans="1:6" x14ac:dyDescent="0.2">
      <c r="A2111" s="166" t="s">
        <v>3724</v>
      </c>
      <c r="B2111" s="167" t="s">
        <v>2509</v>
      </c>
      <c r="C2111" s="167">
        <v>14122809</v>
      </c>
      <c r="D2111" s="167" t="s">
        <v>451</v>
      </c>
      <c r="E2111" s="167" t="s">
        <v>3699</v>
      </c>
      <c r="F2111" s="168">
        <v>32.880000000000003</v>
      </c>
    </row>
    <row r="2112" spans="1:6" x14ac:dyDescent="0.2">
      <c r="A2112" s="163" t="s">
        <v>3724</v>
      </c>
      <c r="B2112" s="164" t="s">
        <v>2509</v>
      </c>
      <c r="C2112" s="164">
        <v>14122775</v>
      </c>
      <c r="D2112" s="164" t="s">
        <v>450</v>
      </c>
      <c r="E2112" s="164" t="s">
        <v>3699</v>
      </c>
      <c r="F2112" s="165">
        <v>32.880000000000003</v>
      </c>
    </row>
    <row r="2113" spans="1:6" x14ac:dyDescent="0.2">
      <c r="A2113" s="166" t="s">
        <v>3724</v>
      </c>
      <c r="B2113" s="167" t="s">
        <v>2509</v>
      </c>
      <c r="C2113" s="167">
        <v>14122773</v>
      </c>
      <c r="D2113" s="167" t="s">
        <v>449</v>
      </c>
      <c r="E2113" s="167" t="s">
        <v>3699</v>
      </c>
      <c r="F2113" s="168">
        <v>32.880000000000003</v>
      </c>
    </row>
    <row r="2114" spans="1:6" x14ac:dyDescent="0.2">
      <c r="A2114" s="163" t="s">
        <v>3724</v>
      </c>
      <c r="B2114" s="164" t="s">
        <v>2509</v>
      </c>
      <c r="C2114" s="164">
        <v>14122772</v>
      </c>
      <c r="D2114" s="164" t="s">
        <v>448</v>
      </c>
      <c r="E2114" s="164" t="s">
        <v>3699</v>
      </c>
      <c r="F2114" s="165">
        <v>32.880000000000003</v>
      </c>
    </row>
    <row r="2115" spans="1:6" x14ac:dyDescent="0.2">
      <c r="A2115" s="166" t="s">
        <v>3724</v>
      </c>
      <c r="B2115" s="167" t="s">
        <v>2509</v>
      </c>
      <c r="C2115" s="167">
        <v>14122758</v>
      </c>
      <c r="D2115" s="167" t="s">
        <v>447</v>
      </c>
      <c r="E2115" s="167" t="s">
        <v>3699</v>
      </c>
      <c r="F2115" s="168">
        <v>32.880000000000003</v>
      </c>
    </row>
    <row r="2116" spans="1:6" x14ac:dyDescent="0.2">
      <c r="A2116" s="163" t="s">
        <v>3724</v>
      </c>
      <c r="B2116" s="164" t="s">
        <v>2509</v>
      </c>
      <c r="C2116" s="164">
        <v>14122709</v>
      </c>
      <c r="D2116" s="164" t="s">
        <v>446</v>
      </c>
      <c r="E2116" s="164" t="s">
        <v>3699</v>
      </c>
      <c r="F2116" s="165">
        <v>32.880000000000003</v>
      </c>
    </row>
    <row r="2117" spans="1:6" x14ac:dyDescent="0.2">
      <c r="A2117" s="166" t="s">
        <v>3724</v>
      </c>
      <c r="B2117" s="167" t="s">
        <v>2509</v>
      </c>
      <c r="C2117" s="167">
        <v>14122708</v>
      </c>
      <c r="D2117" s="167" t="s">
        <v>445</v>
      </c>
      <c r="E2117" s="167" t="s">
        <v>3699</v>
      </c>
      <c r="F2117" s="168">
        <v>31.04</v>
      </c>
    </row>
    <row r="2118" spans="1:6" x14ac:dyDescent="0.2">
      <c r="A2118" s="163" t="s">
        <v>3724</v>
      </c>
      <c r="B2118" s="164" t="s">
        <v>2509</v>
      </c>
      <c r="C2118" s="164">
        <v>14122706</v>
      </c>
      <c r="D2118" s="164" t="s">
        <v>444</v>
      </c>
      <c r="E2118" s="164" t="s">
        <v>3699</v>
      </c>
      <c r="F2118" s="165">
        <v>31.04</v>
      </c>
    </row>
    <row r="2119" spans="1:6" x14ac:dyDescent="0.2">
      <c r="A2119" s="166" t="s">
        <v>3724</v>
      </c>
      <c r="B2119" s="167" t="s">
        <v>2509</v>
      </c>
      <c r="C2119" s="167">
        <v>14122687</v>
      </c>
      <c r="D2119" s="167" t="s">
        <v>443</v>
      </c>
      <c r="E2119" s="167" t="s">
        <v>3699</v>
      </c>
      <c r="F2119" s="168">
        <v>32.880000000000003</v>
      </c>
    </row>
    <row r="2120" spans="1:6" x14ac:dyDescent="0.2">
      <c r="A2120" s="163" t="s">
        <v>3724</v>
      </c>
      <c r="B2120" s="164" t="s">
        <v>2509</v>
      </c>
      <c r="C2120" s="164">
        <v>14122685</v>
      </c>
      <c r="D2120" s="164" t="s">
        <v>442</v>
      </c>
      <c r="E2120" s="164" t="s">
        <v>3699</v>
      </c>
      <c r="F2120" s="165">
        <v>32.880000000000003</v>
      </c>
    </row>
    <row r="2121" spans="1:6" x14ac:dyDescent="0.2">
      <c r="A2121" s="166" t="s">
        <v>3724</v>
      </c>
      <c r="B2121" s="167" t="s">
        <v>2509</v>
      </c>
      <c r="C2121" s="167">
        <v>14122683</v>
      </c>
      <c r="D2121" s="167" t="s">
        <v>441</v>
      </c>
      <c r="E2121" s="167" t="s">
        <v>3699</v>
      </c>
      <c r="F2121" s="168">
        <v>32.880000000000003</v>
      </c>
    </row>
    <row r="2122" spans="1:6" x14ac:dyDescent="0.2">
      <c r="A2122" s="163" t="s">
        <v>3724</v>
      </c>
      <c r="B2122" s="164" t="s">
        <v>2509</v>
      </c>
      <c r="C2122" s="164">
        <v>14122681</v>
      </c>
      <c r="D2122" s="164" t="s">
        <v>439</v>
      </c>
      <c r="E2122" s="164" t="s">
        <v>3699</v>
      </c>
      <c r="F2122" s="165">
        <v>31.04</v>
      </c>
    </row>
    <row r="2123" spans="1:6" x14ac:dyDescent="0.2">
      <c r="A2123" s="166" t="s">
        <v>3724</v>
      </c>
      <c r="B2123" s="167" t="s">
        <v>2509</v>
      </c>
      <c r="C2123" s="167">
        <v>14122672</v>
      </c>
      <c r="D2123" s="167" t="s">
        <v>3709</v>
      </c>
      <c r="E2123" s="167" t="s">
        <v>3699</v>
      </c>
      <c r="F2123" s="168">
        <v>33.18</v>
      </c>
    </row>
    <row r="2124" spans="1:6" x14ac:dyDescent="0.2">
      <c r="A2124" s="163" t="s">
        <v>3724</v>
      </c>
      <c r="B2124" s="164" t="s">
        <v>2509</v>
      </c>
      <c r="C2124" s="164">
        <v>14122618</v>
      </c>
      <c r="D2124" s="164" t="s">
        <v>436</v>
      </c>
      <c r="E2124" s="164" t="s">
        <v>3699</v>
      </c>
      <c r="F2124" s="165">
        <v>32.880000000000003</v>
      </c>
    </row>
    <row r="2125" spans="1:6" x14ac:dyDescent="0.2">
      <c r="A2125" s="166" t="s">
        <v>3724</v>
      </c>
      <c r="B2125" s="167" t="s">
        <v>2509</v>
      </c>
      <c r="C2125" s="167">
        <v>14122617</v>
      </c>
      <c r="D2125" s="167" t="s">
        <v>435</v>
      </c>
      <c r="E2125" s="167" t="s">
        <v>3699</v>
      </c>
      <c r="F2125" s="168">
        <v>32.880000000000003</v>
      </c>
    </row>
    <row r="2126" spans="1:6" x14ac:dyDescent="0.2">
      <c r="A2126" s="163" t="s">
        <v>3724</v>
      </c>
      <c r="B2126" s="164" t="s">
        <v>2509</v>
      </c>
      <c r="C2126" s="164">
        <v>14122543</v>
      </c>
      <c r="D2126" s="164" t="s">
        <v>433</v>
      </c>
      <c r="E2126" s="164" t="s">
        <v>3699</v>
      </c>
      <c r="F2126" s="165">
        <v>32.880000000000003</v>
      </c>
    </row>
    <row r="2127" spans="1:6" x14ac:dyDescent="0.2">
      <c r="A2127" s="166" t="s">
        <v>3724</v>
      </c>
      <c r="B2127" s="167" t="s">
        <v>2509</v>
      </c>
      <c r="C2127" s="167">
        <v>14122510</v>
      </c>
      <c r="D2127" s="167" t="s">
        <v>430</v>
      </c>
      <c r="E2127" s="167" t="s">
        <v>3699</v>
      </c>
      <c r="F2127" s="168">
        <v>32.880000000000003</v>
      </c>
    </row>
    <row r="2128" spans="1:6" x14ac:dyDescent="0.2">
      <c r="A2128" s="163" t="s">
        <v>3724</v>
      </c>
      <c r="B2128" s="164" t="s">
        <v>2509</v>
      </c>
      <c r="C2128" s="164">
        <v>14122481</v>
      </c>
      <c r="D2128" s="164" t="s">
        <v>426</v>
      </c>
      <c r="E2128" s="164" t="s">
        <v>3699</v>
      </c>
      <c r="F2128" s="165">
        <v>32.880000000000003</v>
      </c>
    </row>
    <row r="2129" spans="1:6" x14ac:dyDescent="0.2">
      <c r="A2129" s="166" t="s">
        <v>3724</v>
      </c>
      <c r="B2129" s="167" t="s">
        <v>2509</v>
      </c>
      <c r="C2129" s="167">
        <v>14122431</v>
      </c>
      <c r="D2129" s="167" t="s">
        <v>425</v>
      </c>
      <c r="E2129" s="167" t="s">
        <v>3699</v>
      </c>
      <c r="F2129" s="168">
        <v>33.81</v>
      </c>
    </row>
    <row r="2130" spans="1:6" x14ac:dyDescent="0.2">
      <c r="A2130" s="163" t="s">
        <v>3724</v>
      </c>
      <c r="B2130" s="164" t="s">
        <v>2509</v>
      </c>
      <c r="C2130" s="164">
        <v>14122429</v>
      </c>
      <c r="D2130" s="164" t="s">
        <v>424</v>
      </c>
      <c r="E2130" s="164" t="s">
        <v>3699</v>
      </c>
      <c r="F2130" s="165">
        <v>33.81</v>
      </c>
    </row>
    <row r="2131" spans="1:6" x14ac:dyDescent="0.2">
      <c r="A2131" s="166" t="s">
        <v>3724</v>
      </c>
      <c r="B2131" s="167" t="s">
        <v>2509</v>
      </c>
      <c r="C2131" s="167">
        <v>14122419</v>
      </c>
      <c r="D2131" s="167" t="s">
        <v>422</v>
      </c>
      <c r="E2131" s="167" t="s">
        <v>3699</v>
      </c>
      <c r="F2131" s="168">
        <v>33.81</v>
      </c>
    </row>
    <row r="2132" spans="1:6" x14ac:dyDescent="0.2">
      <c r="A2132" s="163" t="s">
        <v>3724</v>
      </c>
      <c r="B2132" s="164" t="s">
        <v>2509</v>
      </c>
      <c r="C2132" s="164">
        <v>14122417</v>
      </c>
      <c r="D2132" s="164" t="s">
        <v>421</v>
      </c>
      <c r="E2132" s="164" t="s">
        <v>3699</v>
      </c>
      <c r="F2132" s="165">
        <v>33.81</v>
      </c>
    </row>
    <row r="2133" spans="1:6" x14ac:dyDescent="0.2">
      <c r="A2133" s="166" t="s">
        <v>3724</v>
      </c>
      <c r="B2133" s="167" t="s">
        <v>2509</v>
      </c>
      <c r="C2133" s="167">
        <v>14122416</v>
      </c>
      <c r="D2133" s="167" t="s">
        <v>420</v>
      </c>
      <c r="E2133" s="167" t="s">
        <v>3699</v>
      </c>
      <c r="F2133" s="168">
        <v>33.81</v>
      </c>
    </row>
    <row r="2134" spans="1:6" x14ac:dyDescent="0.2">
      <c r="A2134" s="163" t="s">
        <v>3724</v>
      </c>
      <c r="B2134" s="164" t="s">
        <v>2509</v>
      </c>
      <c r="C2134" s="164">
        <v>14122394</v>
      </c>
      <c r="D2134" s="164" t="s">
        <v>419</v>
      </c>
      <c r="E2134" s="164" t="s">
        <v>3699</v>
      </c>
      <c r="F2134" s="165">
        <v>33.81</v>
      </c>
    </row>
    <row r="2135" spans="1:6" x14ac:dyDescent="0.2">
      <c r="A2135" s="166" t="s">
        <v>3724</v>
      </c>
      <c r="B2135" s="167" t="s">
        <v>2509</v>
      </c>
      <c r="C2135" s="167">
        <v>14122377</v>
      </c>
      <c r="D2135" s="167" t="s">
        <v>418</v>
      </c>
      <c r="E2135" s="167" t="s">
        <v>3699</v>
      </c>
      <c r="F2135" s="168">
        <v>33.81</v>
      </c>
    </row>
    <row r="2136" spans="1:6" x14ac:dyDescent="0.2">
      <c r="A2136" s="163" t="s">
        <v>3724</v>
      </c>
      <c r="B2136" s="164" t="s">
        <v>2509</v>
      </c>
      <c r="C2136" s="164">
        <v>14122355</v>
      </c>
      <c r="D2136" s="164" t="s">
        <v>417</v>
      </c>
      <c r="E2136" s="164" t="s">
        <v>3699</v>
      </c>
      <c r="F2136" s="165">
        <v>33.81</v>
      </c>
    </row>
    <row r="2137" spans="1:6" x14ac:dyDescent="0.2">
      <c r="A2137" s="166" t="s">
        <v>3724</v>
      </c>
      <c r="B2137" s="167" t="s">
        <v>2509</v>
      </c>
      <c r="C2137" s="167">
        <v>14122353</v>
      </c>
      <c r="D2137" s="167" t="s">
        <v>415</v>
      </c>
      <c r="E2137" s="167" t="s">
        <v>3699</v>
      </c>
      <c r="F2137" s="168">
        <v>33.81</v>
      </c>
    </row>
    <row r="2138" spans="1:6" x14ac:dyDescent="0.2">
      <c r="A2138" s="163" t="s">
        <v>3724</v>
      </c>
      <c r="B2138" s="164" t="s">
        <v>2509</v>
      </c>
      <c r="C2138" s="164">
        <v>14122331</v>
      </c>
      <c r="D2138" s="164" t="s">
        <v>414</v>
      </c>
      <c r="E2138" s="164" t="s">
        <v>3699</v>
      </c>
      <c r="F2138" s="165">
        <v>33.81</v>
      </c>
    </row>
    <row r="2139" spans="1:6" x14ac:dyDescent="0.2">
      <c r="A2139" s="166" t="s">
        <v>3724</v>
      </c>
      <c r="B2139" s="167" t="s">
        <v>2509</v>
      </c>
      <c r="C2139" s="167">
        <v>14122330</v>
      </c>
      <c r="D2139" s="167" t="s">
        <v>413</v>
      </c>
      <c r="E2139" s="167" t="s">
        <v>3699</v>
      </c>
      <c r="F2139" s="168">
        <v>33.81</v>
      </c>
    </row>
    <row r="2140" spans="1:6" x14ac:dyDescent="0.2">
      <c r="A2140" s="163" t="s">
        <v>3724</v>
      </c>
      <c r="B2140" s="164" t="s">
        <v>2509</v>
      </c>
      <c r="C2140" s="164">
        <v>14122320</v>
      </c>
      <c r="D2140" s="164" t="s">
        <v>411</v>
      </c>
      <c r="E2140" s="164" t="s">
        <v>3699</v>
      </c>
      <c r="F2140" s="165">
        <v>33.81</v>
      </c>
    </row>
    <row r="2141" spans="1:6" x14ac:dyDescent="0.2">
      <c r="A2141" s="166" t="s">
        <v>3724</v>
      </c>
      <c r="B2141" s="167" t="s">
        <v>2509</v>
      </c>
      <c r="C2141" s="167">
        <v>14122294</v>
      </c>
      <c r="D2141" s="167" t="s">
        <v>410</v>
      </c>
      <c r="E2141" s="167" t="s">
        <v>3699</v>
      </c>
      <c r="F2141" s="168">
        <v>33.81</v>
      </c>
    </row>
    <row r="2142" spans="1:6" x14ac:dyDescent="0.2">
      <c r="A2142" s="163" t="s">
        <v>3724</v>
      </c>
      <c r="B2142" s="164" t="s">
        <v>2509</v>
      </c>
      <c r="C2142" s="164">
        <v>14122293</v>
      </c>
      <c r="D2142" s="164" t="s">
        <v>409</v>
      </c>
      <c r="E2142" s="164" t="s">
        <v>3699</v>
      </c>
      <c r="F2142" s="165">
        <v>33.81</v>
      </c>
    </row>
    <row r="2143" spans="1:6" x14ac:dyDescent="0.2">
      <c r="A2143" s="166" t="s">
        <v>3724</v>
      </c>
      <c r="B2143" s="167" t="s">
        <v>2509</v>
      </c>
      <c r="C2143" s="167">
        <v>14122291</v>
      </c>
      <c r="D2143" s="167" t="s">
        <v>408</v>
      </c>
      <c r="E2143" s="167" t="s">
        <v>3699</v>
      </c>
      <c r="F2143" s="168">
        <v>33.81</v>
      </c>
    </row>
    <row r="2144" spans="1:6" x14ac:dyDescent="0.2">
      <c r="A2144" s="163" t="s">
        <v>3724</v>
      </c>
      <c r="B2144" s="164" t="s">
        <v>2509</v>
      </c>
      <c r="C2144" s="164">
        <v>14122263</v>
      </c>
      <c r="D2144" s="164" t="s">
        <v>407</v>
      </c>
      <c r="E2144" s="164" t="s">
        <v>3699</v>
      </c>
      <c r="F2144" s="165">
        <v>33.81</v>
      </c>
    </row>
    <row r="2145" spans="1:6" x14ac:dyDescent="0.2">
      <c r="A2145" s="166" t="s">
        <v>3724</v>
      </c>
      <c r="B2145" s="167" t="s">
        <v>2509</v>
      </c>
      <c r="C2145" s="167">
        <v>14122230</v>
      </c>
      <c r="D2145" s="167" t="s">
        <v>403</v>
      </c>
      <c r="E2145" s="167" t="s">
        <v>3699</v>
      </c>
      <c r="F2145" s="168">
        <v>33.81</v>
      </c>
    </row>
    <row r="2146" spans="1:6" x14ac:dyDescent="0.2">
      <c r="A2146" s="163" t="s">
        <v>3724</v>
      </c>
      <c r="B2146" s="164" t="s">
        <v>2509</v>
      </c>
      <c r="C2146" s="164">
        <v>14122221</v>
      </c>
      <c r="D2146" s="164" t="s">
        <v>402</v>
      </c>
      <c r="E2146" s="164" t="s">
        <v>3699</v>
      </c>
      <c r="F2146" s="165">
        <v>33.81</v>
      </c>
    </row>
    <row r="2147" spans="1:6" x14ac:dyDescent="0.2">
      <c r="A2147" s="166" t="s">
        <v>3724</v>
      </c>
      <c r="B2147" s="167" t="s">
        <v>2509</v>
      </c>
      <c r="C2147" s="167">
        <v>14122194</v>
      </c>
      <c r="D2147" s="167" t="s">
        <v>401</v>
      </c>
      <c r="E2147" s="167" t="s">
        <v>3699</v>
      </c>
      <c r="F2147" s="168">
        <v>33.81</v>
      </c>
    </row>
    <row r="2148" spans="1:6" x14ac:dyDescent="0.2">
      <c r="A2148" s="163" t="s">
        <v>3724</v>
      </c>
      <c r="B2148" s="164" t="s">
        <v>2509</v>
      </c>
      <c r="C2148" s="164">
        <v>14122191</v>
      </c>
      <c r="D2148" s="164" t="s">
        <v>400</v>
      </c>
      <c r="E2148" s="164" t="s">
        <v>3699</v>
      </c>
      <c r="F2148" s="165">
        <v>33.81</v>
      </c>
    </row>
    <row r="2149" spans="1:6" x14ac:dyDescent="0.2">
      <c r="A2149" s="166" t="s">
        <v>3724</v>
      </c>
      <c r="B2149" s="167" t="s">
        <v>2509</v>
      </c>
      <c r="C2149" s="167">
        <v>14122158</v>
      </c>
      <c r="D2149" s="167" t="s">
        <v>396</v>
      </c>
      <c r="E2149" s="167" t="s">
        <v>3699</v>
      </c>
      <c r="F2149" s="168">
        <v>33.81</v>
      </c>
    </row>
    <row r="2150" spans="1:6" x14ac:dyDescent="0.2">
      <c r="A2150" s="163" t="s">
        <v>3724</v>
      </c>
      <c r="B2150" s="164" t="s">
        <v>2509</v>
      </c>
      <c r="C2150" s="164">
        <v>14122149</v>
      </c>
      <c r="D2150" s="164" t="s">
        <v>395</v>
      </c>
      <c r="E2150" s="164" t="s">
        <v>3699</v>
      </c>
      <c r="F2150" s="165">
        <v>33.81</v>
      </c>
    </row>
    <row r="2151" spans="1:6" x14ac:dyDescent="0.2">
      <c r="A2151" s="166" t="s">
        <v>3724</v>
      </c>
      <c r="B2151" s="167" t="s">
        <v>2509</v>
      </c>
      <c r="C2151" s="167">
        <v>14122148</v>
      </c>
      <c r="D2151" s="167" t="s">
        <v>394</v>
      </c>
      <c r="E2151" s="167" t="s">
        <v>3699</v>
      </c>
      <c r="F2151" s="168">
        <v>33.81</v>
      </c>
    </row>
    <row r="2152" spans="1:6" x14ac:dyDescent="0.2">
      <c r="A2152" s="163" t="s">
        <v>3724</v>
      </c>
      <c r="B2152" s="164" t="s">
        <v>2509</v>
      </c>
      <c r="C2152" s="164">
        <v>14122137</v>
      </c>
      <c r="D2152" s="164" t="s">
        <v>393</v>
      </c>
      <c r="E2152" s="164" t="s">
        <v>3699</v>
      </c>
      <c r="F2152" s="165">
        <v>33.81</v>
      </c>
    </row>
    <row r="2153" spans="1:6" x14ac:dyDescent="0.2">
      <c r="A2153" s="166" t="s">
        <v>3724</v>
      </c>
      <c r="B2153" s="167" t="s">
        <v>2509</v>
      </c>
      <c r="C2153" s="167">
        <v>14122136</v>
      </c>
      <c r="D2153" s="167" t="s">
        <v>392</v>
      </c>
      <c r="E2153" s="167" t="s">
        <v>3699</v>
      </c>
      <c r="F2153" s="168">
        <v>33.81</v>
      </c>
    </row>
    <row r="2154" spans="1:6" x14ac:dyDescent="0.2">
      <c r="A2154" s="163" t="s">
        <v>3724</v>
      </c>
      <c r="B2154" s="164" t="s">
        <v>2509</v>
      </c>
      <c r="C2154" s="164">
        <v>14122133</v>
      </c>
      <c r="D2154" s="164" t="s">
        <v>391</v>
      </c>
      <c r="E2154" s="164" t="s">
        <v>3699</v>
      </c>
      <c r="F2154" s="165">
        <v>33.81</v>
      </c>
    </row>
    <row r="2155" spans="1:6" x14ac:dyDescent="0.2">
      <c r="A2155" s="166" t="s">
        <v>3724</v>
      </c>
      <c r="B2155" s="167" t="s">
        <v>2509</v>
      </c>
      <c r="C2155" s="167">
        <v>14122113</v>
      </c>
      <c r="D2155" s="167" t="s">
        <v>390</v>
      </c>
      <c r="E2155" s="167" t="s">
        <v>3699</v>
      </c>
      <c r="F2155" s="168">
        <v>33.81</v>
      </c>
    </row>
    <row r="2156" spans="1:6" x14ac:dyDescent="0.2">
      <c r="A2156" s="163" t="s">
        <v>3724</v>
      </c>
      <c r="B2156" s="164" t="s">
        <v>2509</v>
      </c>
      <c r="C2156" s="164">
        <v>14122103</v>
      </c>
      <c r="D2156" s="164" t="s">
        <v>389</v>
      </c>
      <c r="E2156" s="164" t="s">
        <v>3699</v>
      </c>
      <c r="F2156" s="165">
        <v>33.81</v>
      </c>
    </row>
    <row r="2157" spans="1:6" x14ac:dyDescent="0.2">
      <c r="A2157" s="166" t="s">
        <v>3724</v>
      </c>
      <c r="B2157" s="167" t="s">
        <v>2509</v>
      </c>
      <c r="C2157" s="167">
        <v>14122096</v>
      </c>
      <c r="D2157" s="167" t="s">
        <v>388</v>
      </c>
      <c r="E2157" s="167" t="s">
        <v>3699</v>
      </c>
      <c r="F2157" s="168">
        <v>33.81</v>
      </c>
    </row>
    <row r="2158" spans="1:6" x14ac:dyDescent="0.2">
      <c r="A2158" s="163" t="s">
        <v>3724</v>
      </c>
      <c r="B2158" s="164" t="s">
        <v>2509</v>
      </c>
      <c r="C2158" s="164">
        <v>14122095</v>
      </c>
      <c r="D2158" s="164" t="s">
        <v>387</v>
      </c>
      <c r="E2158" s="164" t="s">
        <v>3699</v>
      </c>
      <c r="F2158" s="165">
        <v>33.81</v>
      </c>
    </row>
    <row r="2159" spans="1:6" x14ac:dyDescent="0.2">
      <c r="A2159" s="166" t="s">
        <v>3724</v>
      </c>
      <c r="B2159" s="167" t="s">
        <v>2509</v>
      </c>
      <c r="C2159" s="167">
        <v>14122094</v>
      </c>
      <c r="D2159" s="167" t="s">
        <v>386</v>
      </c>
      <c r="E2159" s="167" t="s">
        <v>3699</v>
      </c>
      <c r="F2159" s="168">
        <v>36.49</v>
      </c>
    </row>
    <row r="2160" spans="1:6" x14ac:dyDescent="0.2">
      <c r="A2160" s="163" t="s">
        <v>3724</v>
      </c>
      <c r="B2160" s="164" t="s">
        <v>2509</v>
      </c>
      <c r="C2160" s="164">
        <v>14122083</v>
      </c>
      <c r="D2160" s="164" t="s">
        <v>385</v>
      </c>
      <c r="E2160" s="164" t="s">
        <v>3699</v>
      </c>
      <c r="F2160" s="165">
        <v>36.49</v>
      </c>
    </row>
    <row r="2161" spans="1:6" x14ac:dyDescent="0.2">
      <c r="A2161" s="166" t="s">
        <v>3724</v>
      </c>
      <c r="B2161" s="167" t="s">
        <v>2509</v>
      </c>
      <c r="C2161" s="167">
        <v>14122073</v>
      </c>
      <c r="D2161" s="167" t="s">
        <v>383</v>
      </c>
      <c r="E2161" s="167" t="s">
        <v>3699</v>
      </c>
      <c r="F2161" s="168">
        <v>33.81</v>
      </c>
    </row>
    <row r="2162" spans="1:6" x14ac:dyDescent="0.2">
      <c r="A2162" s="163" t="s">
        <v>3724</v>
      </c>
      <c r="B2162" s="164" t="s">
        <v>2509</v>
      </c>
      <c r="C2162" s="164">
        <v>14122072</v>
      </c>
      <c r="D2162" s="164" t="s">
        <v>382</v>
      </c>
      <c r="E2162" s="164" t="s">
        <v>3699</v>
      </c>
      <c r="F2162" s="165">
        <v>33.81</v>
      </c>
    </row>
    <row r="2163" spans="1:6" x14ac:dyDescent="0.2">
      <c r="A2163" s="166" t="s">
        <v>3724</v>
      </c>
      <c r="B2163" s="167" t="s">
        <v>2509</v>
      </c>
      <c r="C2163" s="167">
        <v>14122067</v>
      </c>
      <c r="D2163" s="167" t="s">
        <v>381</v>
      </c>
      <c r="E2163" s="167" t="s">
        <v>3699</v>
      </c>
      <c r="F2163" s="168">
        <v>33.81</v>
      </c>
    </row>
    <row r="2164" spans="1:6" x14ac:dyDescent="0.2">
      <c r="A2164" s="163" t="s">
        <v>3724</v>
      </c>
      <c r="B2164" s="164" t="s">
        <v>2509</v>
      </c>
      <c r="C2164" s="164">
        <v>14122035</v>
      </c>
      <c r="D2164" s="164" t="s">
        <v>380</v>
      </c>
      <c r="E2164" s="164" t="s">
        <v>3699</v>
      </c>
      <c r="F2164" s="165">
        <v>33.81</v>
      </c>
    </row>
    <row r="2165" spans="1:6" x14ac:dyDescent="0.2">
      <c r="A2165" s="166" t="s">
        <v>3724</v>
      </c>
      <c r="B2165" s="167" t="s">
        <v>2509</v>
      </c>
      <c r="C2165" s="167">
        <v>14122034</v>
      </c>
      <c r="D2165" s="167" t="s">
        <v>379</v>
      </c>
      <c r="E2165" s="167" t="s">
        <v>3699</v>
      </c>
      <c r="F2165" s="168">
        <v>36.49</v>
      </c>
    </row>
    <row r="2166" spans="1:6" x14ac:dyDescent="0.2">
      <c r="A2166" s="163" t="s">
        <v>3724</v>
      </c>
      <c r="B2166" s="164" t="s">
        <v>2509</v>
      </c>
      <c r="C2166" s="164">
        <v>14122033</v>
      </c>
      <c r="D2166" s="164" t="s">
        <v>378</v>
      </c>
      <c r="E2166" s="164" t="s">
        <v>3699</v>
      </c>
      <c r="F2166" s="165">
        <v>33.81</v>
      </c>
    </row>
    <row r="2167" spans="1:6" x14ac:dyDescent="0.2">
      <c r="A2167" s="166" t="s">
        <v>3724</v>
      </c>
      <c r="B2167" s="167" t="s">
        <v>2509</v>
      </c>
      <c r="C2167" s="167">
        <v>14121985</v>
      </c>
      <c r="D2167" s="167" t="s">
        <v>376</v>
      </c>
      <c r="E2167" s="167" t="s">
        <v>3699</v>
      </c>
      <c r="F2167" s="168">
        <v>33.81</v>
      </c>
    </row>
    <row r="2168" spans="1:6" x14ac:dyDescent="0.2">
      <c r="A2168" s="163" t="s">
        <v>3724</v>
      </c>
      <c r="B2168" s="164" t="s">
        <v>2509</v>
      </c>
      <c r="C2168" s="164">
        <v>14121964</v>
      </c>
      <c r="D2168" s="164" t="s">
        <v>375</v>
      </c>
      <c r="E2168" s="164" t="s">
        <v>3699</v>
      </c>
      <c r="F2168" s="165">
        <v>33.81</v>
      </c>
    </row>
    <row r="2169" spans="1:6" x14ac:dyDescent="0.2">
      <c r="A2169" s="166" t="s">
        <v>3724</v>
      </c>
      <c r="B2169" s="167" t="s">
        <v>2509</v>
      </c>
      <c r="C2169" s="167">
        <v>14121917</v>
      </c>
      <c r="D2169" s="167" t="s">
        <v>370</v>
      </c>
      <c r="E2169" s="167" t="s">
        <v>3699</v>
      </c>
      <c r="F2169" s="168">
        <v>36.49</v>
      </c>
    </row>
    <row r="2170" spans="1:6" x14ac:dyDescent="0.2">
      <c r="A2170" s="163" t="s">
        <v>3724</v>
      </c>
      <c r="B2170" s="164" t="s">
        <v>2509</v>
      </c>
      <c r="C2170" s="164">
        <v>14121896</v>
      </c>
      <c r="D2170" s="164" t="s">
        <v>369</v>
      </c>
      <c r="E2170" s="164" t="s">
        <v>3699</v>
      </c>
      <c r="F2170" s="165">
        <v>36.49</v>
      </c>
    </row>
    <row r="2171" spans="1:6" x14ac:dyDescent="0.2">
      <c r="A2171" s="166" t="s">
        <v>3724</v>
      </c>
      <c r="B2171" s="167" t="s">
        <v>2509</v>
      </c>
      <c r="C2171" s="167">
        <v>14121860</v>
      </c>
      <c r="D2171" s="167" t="s">
        <v>367</v>
      </c>
      <c r="E2171" s="167" t="s">
        <v>3699</v>
      </c>
      <c r="F2171" s="168">
        <v>33.81</v>
      </c>
    </row>
    <row r="2172" spans="1:6" x14ac:dyDescent="0.2">
      <c r="A2172" s="163" t="s">
        <v>3724</v>
      </c>
      <c r="B2172" s="164" t="s">
        <v>2509</v>
      </c>
      <c r="C2172" s="164">
        <v>14121859</v>
      </c>
      <c r="D2172" s="164" t="s">
        <v>366</v>
      </c>
      <c r="E2172" s="164" t="s">
        <v>3699</v>
      </c>
      <c r="F2172" s="165">
        <v>33.81</v>
      </c>
    </row>
    <row r="2173" spans="1:6" x14ac:dyDescent="0.2">
      <c r="A2173" s="166" t="s">
        <v>3724</v>
      </c>
      <c r="B2173" s="167" t="s">
        <v>2509</v>
      </c>
      <c r="C2173" s="167">
        <v>14121856</v>
      </c>
      <c r="D2173" s="167" t="s">
        <v>365</v>
      </c>
      <c r="E2173" s="167" t="s">
        <v>3699</v>
      </c>
      <c r="F2173" s="168">
        <v>33.81</v>
      </c>
    </row>
    <row r="2174" spans="1:6" x14ac:dyDescent="0.2">
      <c r="A2174" s="163" t="s">
        <v>3724</v>
      </c>
      <c r="B2174" s="164" t="s">
        <v>2509</v>
      </c>
      <c r="C2174" s="164">
        <v>14121821</v>
      </c>
      <c r="D2174" s="164" t="s">
        <v>364</v>
      </c>
      <c r="E2174" s="164" t="s">
        <v>3699</v>
      </c>
      <c r="F2174" s="165">
        <v>33.81</v>
      </c>
    </row>
    <row r="2175" spans="1:6" x14ac:dyDescent="0.2">
      <c r="A2175" s="166" t="s">
        <v>3724</v>
      </c>
      <c r="B2175" s="167" t="s">
        <v>2509</v>
      </c>
      <c r="C2175" s="167">
        <v>14121811</v>
      </c>
      <c r="D2175" s="167" t="s">
        <v>363</v>
      </c>
      <c r="E2175" s="167" t="s">
        <v>3699</v>
      </c>
      <c r="F2175" s="168">
        <v>33.81</v>
      </c>
    </row>
    <row r="2176" spans="1:6" x14ac:dyDescent="0.2">
      <c r="A2176" s="163" t="s">
        <v>3724</v>
      </c>
      <c r="B2176" s="164" t="s">
        <v>2509</v>
      </c>
      <c r="C2176" s="164">
        <v>14121809</v>
      </c>
      <c r="D2176" s="164" t="s">
        <v>362</v>
      </c>
      <c r="E2176" s="164" t="s">
        <v>3699</v>
      </c>
      <c r="F2176" s="165">
        <v>33.81</v>
      </c>
    </row>
    <row r="2177" spans="1:6" x14ac:dyDescent="0.2">
      <c r="A2177" s="166" t="s">
        <v>3724</v>
      </c>
      <c r="B2177" s="167" t="s">
        <v>2509</v>
      </c>
      <c r="C2177" s="167">
        <v>14121791</v>
      </c>
      <c r="D2177" s="167" t="s">
        <v>361</v>
      </c>
      <c r="E2177" s="167" t="s">
        <v>3699</v>
      </c>
      <c r="F2177" s="168">
        <v>33.81</v>
      </c>
    </row>
    <row r="2178" spans="1:6" x14ac:dyDescent="0.2">
      <c r="A2178" s="163" t="s">
        <v>3724</v>
      </c>
      <c r="B2178" s="164" t="s">
        <v>2509</v>
      </c>
      <c r="C2178" s="164">
        <v>14121785</v>
      </c>
      <c r="D2178" s="164" t="s">
        <v>360</v>
      </c>
      <c r="E2178" s="164" t="s">
        <v>3699</v>
      </c>
      <c r="F2178" s="165">
        <v>33.81</v>
      </c>
    </row>
    <row r="2179" spans="1:6" x14ac:dyDescent="0.2">
      <c r="A2179" s="166" t="s">
        <v>3724</v>
      </c>
      <c r="B2179" s="167" t="s">
        <v>2509</v>
      </c>
      <c r="C2179" s="167">
        <v>14121784</v>
      </c>
      <c r="D2179" s="167" t="s">
        <v>359</v>
      </c>
      <c r="E2179" s="167" t="s">
        <v>3699</v>
      </c>
      <c r="F2179" s="168">
        <v>33.81</v>
      </c>
    </row>
    <row r="2180" spans="1:6" x14ac:dyDescent="0.2">
      <c r="A2180" s="163" t="s">
        <v>3724</v>
      </c>
      <c r="B2180" s="164" t="s">
        <v>2509</v>
      </c>
      <c r="C2180" s="164">
        <v>14121766</v>
      </c>
      <c r="D2180" s="164" t="s">
        <v>358</v>
      </c>
      <c r="E2180" s="164" t="s">
        <v>3699</v>
      </c>
      <c r="F2180" s="165">
        <v>36.49</v>
      </c>
    </row>
    <row r="2181" spans="1:6" x14ac:dyDescent="0.2">
      <c r="A2181" s="166" t="s">
        <v>3724</v>
      </c>
      <c r="B2181" s="167" t="s">
        <v>2509</v>
      </c>
      <c r="C2181" s="167">
        <v>14121756</v>
      </c>
      <c r="D2181" s="167" t="s">
        <v>357</v>
      </c>
      <c r="E2181" s="167" t="s">
        <v>3699</v>
      </c>
      <c r="F2181" s="168">
        <v>33.81</v>
      </c>
    </row>
    <row r="2182" spans="1:6" x14ac:dyDescent="0.2">
      <c r="A2182" s="163" t="s">
        <v>3724</v>
      </c>
      <c r="B2182" s="164" t="s">
        <v>2509</v>
      </c>
      <c r="C2182" s="164">
        <v>14121733</v>
      </c>
      <c r="D2182" s="164" t="s">
        <v>353</v>
      </c>
      <c r="E2182" s="164" t="s">
        <v>3699</v>
      </c>
      <c r="F2182" s="165">
        <v>33.81</v>
      </c>
    </row>
    <row r="2183" spans="1:6" x14ac:dyDescent="0.2">
      <c r="A2183" s="166" t="s">
        <v>3724</v>
      </c>
      <c r="B2183" s="167" t="s">
        <v>2509</v>
      </c>
      <c r="C2183" s="167">
        <v>14121728</v>
      </c>
      <c r="D2183" s="167" t="s">
        <v>352</v>
      </c>
      <c r="E2183" s="167" t="s">
        <v>3699</v>
      </c>
      <c r="F2183" s="168">
        <v>33.81</v>
      </c>
    </row>
    <row r="2184" spans="1:6" x14ac:dyDescent="0.2">
      <c r="A2184" s="163" t="s">
        <v>3724</v>
      </c>
      <c r="B2184" s="164" t="s">
        <v>2509</v>
      </c>
      <c r="C2184" s="164">
        <v>14121677</v>
      </c>
      <c r="D2184" s="164" t="s">
        <v>350</v>
      </c>
      <c r="E2184" s="164" t="s">
        <v>3699</v>
      </c>
      <c r="F2184" s="165">
        <v>33.81</v>
      </c>
    </row>
    <row r="2185" spans="1:6" x14ac:dyDescent="0.2">
      <c r="A2185" s="166" t="s">
        <v>3724</v>
      </c>
      <c r="B2185" s="167" t="s">
        <v>2509</v>
      </c>
      <c r="C2185" s="167">
        <v>14121672</v>
      </c>
      <c r="D2185" s="167" t="s">
        <v>349</v>
      </c>
      <c r="E2185" s="167" t="s">
        <v>3699</v>
      </c>
      <c r="F2185" s="168">
        <v>36.49</v>
      </c>
    </row>
    <row r="2186" spans="1:6" x14ac:dyDescent="0.2">
      <c r="A2186" s="163" t="s">
        <v>3724</v>
      </c>
      <c r="B2186" s="164" t="s">
        <v>2509</v>
      </c>
      <c r="C2186" s="164">
        <v>14121600</v>
      </c>
      <c r="D2186" s="164" t="s">
        <v>346</v>
      </c>
      <c r="E2186" s="164" t="s">
        <v>3699</v>
      </c>
      <c r="F2186" s="165">
        <v>33.81</v>
      </c>
    </row>
    <row r="2187" spans="1:6" x14ac:dyDescent="0.2">
      <c r="A2187" s="166" t="s">
        <v>3724</v>
      </c>
      <c r="B2187" s="167" t="s">
        <v>2509</v>
      </c>
      <c r="C2187" s="167">
        <v>14121598</v>
      </c>
      <c r="D2187" s="167" t="s">
        <v>345</v>
      </c>
      <c r="E2187" s="167" t="s">
        <v>3699</v>
      </c>
      <c r="F2187" s="168">
        <v>33.81</v>
      </c>
    </row>
    <row r="2188" spans="1:6" x14ac:dyDescent="0.2">
      <c r="A2188" s="163" t="s">
        <v>3724</v>
      </c>
      <c r="B2188" s="164" t="s">
        <v>2509</v>
      </c>
      <c r="C2188" s="164">
        <v>14121582</v>
      </c>
      <c r="D2188" s="164" t="s">
        <v>343</v>
      </c>
      <c r="E2188" s="164" t="s">
        <v>3699</v>
      </c>
      <c r="F2188" s="165">
        <v>36.49</v>
      </c>
    </row>
    <row r="2189" spans="1:6" x14ac:dyDescent="0.2">
      <c r="A2189" s="166" t="s">
        <v>3724</v>
      </c>
      <c r="B2189" s="167" t="s">
        <v>2509</v>
      </c>
      <c r="C2189" s="167">
        <v>14121571</v>
      </c>
      <c r="D2189" s="167" t="s">
        <v>342</v>
      </c>
      <c r="E2189" s="167" t="s">
        <v>3699</v>
      </c>
      <c r="F2189" s="168">
        <v>36.49</v>
      </c>
    </row>
    <row r="2190" spans="1:6" x14ac:dyDescent="0.2">
      <c r="A2190" s="163" t="s">
        <v>3724</v>
      </c>
      <c r="B2190" s="164" t="s">
        <v>2509</v>
      </c>
      <c r="C2190" s="164">
        <v>14121545</v>
      </c>
      <c r="D2190" s="164" t="s">
        <v>340</v>
      </c>
      <c r="E2190" s="164" t="s">
        <v>3699</v>
      </c>
      <c r="F2190" s="165">
        <v>33.81</v>
      </c>
    </row>
    <row r="2191" spans="1:6" x14ac:dyDescent="0.2">
      <c r="A2191" s="166" t="s">
        <v>3724</v>
      </c>
      <c r="B2191" s="167" t="s">
        <v>2509</v>
      </c>
      <c r="C2191" s="167">
        <v>14121543</v>
      </c>
      <c r="D2191" s="167" t="s">
        <v>339</v>
      </c>
      <c r="E2191" s="167" t="s">
        <v>3699</v>
      </c>
      <c r="F2191" s="168">
        <v>33.81</v>
      </c>
    </row>
    <row r="2192" spans="1:6" x14ac:dyDescent="0.2">
      <c r="A2192" s="163" t="s">
        <v>3724</v>
      </c>
      <c r="B2192" s="164" t="s">
        <v>2509</v>
      </c>
      <c r="C2192" s="164">
        <v>14121523</v>
      </c>
      <c r="D2192" s="164" t="s">
        <v>338</v>
      </c>
      <c r="E2192" s="164" t="s">
        <v>3699</v>
      </c>
      <c r="F2192" s="165">
        <v>33.81</v>
      </c>
    </row>
    <row r="2193" spans="1:6" x14ac:dyDescent="0.2">
      <c r="A2193" s="166" t="s">
        <v>3724</v>
      </c>
      <c r="B2193" s="167" t="s">
        <v>2509</v>
      </c>
      <c r="C2193" s="167">
        <v>14121522</v>
      </c>
      <c r="D2193" s="167" t="s">
        <v>337</v>
      </c>
      <c r="E2193" s="167" t="s">
        <v>3699</v>
      </c>
      <c r="F2193" s="168">
        <v>33.81</v>
      </c>
    </row>
    <row r="2194" spans="1:6" x14ac:dyDescent="0.2">
      <c r="A2194" s="163" t="s">
        <v>3724</v>
      </c>
      <c r="B2194" s="164" t="s">
        <v>2509</v>
      </c>
      <c r="C2194" s="164">
        <v>14121398</v>
      </c>
      <c r="D2194" s="164" t="s">
        <v>333</v>
      </c>
      <c r="E2194" s="164" t="s">
        <v>3699</v>
      </c>
      <c r="F2194" s="165">
        <v>33.81</v>
      </c>
    </row>
    <row r="2195" spans="1:6" x14ac:dyDescent="0.2">
      <c r="A2195" s="166" t="s">
        <v>3724</v>
      </c>
      <c r="B2195" s="167" t="s">
        <v>2509</v>
      </c>
      <c r="C2195" s="167">
        <v>14121331</v>
      </c>
      <c r="D2195" s="167" t="s">
        <v>332</v>
      </c>
      <c r="E2195" s="167" t="s">
        <v>3699</v>
      </c>
      <c r="F2195" s="168">
        <v>44.82</v>
      </c>
    </row>
    <row r="2196" spans="1:6" x14ac:dyDescent="0.2">
      <c r="A2196" s="163" t="s">
        <v>3724</v>
      </c>
      <c r="B2196" s="164" t="s">
        <v>2509</v>
      </c>
      <c r="C2196" s="164">
        <v>14121328</v>
      </c>
      <c r="D2196" s="164" t="s">
        <v>331</v>
      </c>
      <c r="E2196" s="164" t="s">
        <v>3699</v>
      </c>
      <c r="F2196" s="165">
        <v>33.81</v>
      </c>
    </row>
    <row r="2197" spans="1:6" x14ac:dyDescent="0.2">
      <c r="A2197" s="166" t="s">
        <v>3724</v>
      </c>
      <c r="B2197" s="167" t="s">
        <v>2509</v>
      </c>
      <c r="C2197" s="167">
        <v>14121271</v>
      </c>
      <c r="D2197" s="167" t="s">
        <v>330</v>
      </c>
      <c r="E2197" s="167" t="s">
        <v>3699</v>
      </c>
      <c r="F2197" s="168">
        <v>33.81</v>
      </c>
    </row>
    <row r="2198" spans="1:6" x14ac:dyDescent="0.2">
      <c r="A2198" s="163" t="s">
        <v>3724</v>
      </c>
      <c r="B2198" s="164" t="s">
        <v>2509</v>
      </c>
      <c r="C2198" s="164">
        <v>14121266</v>
      </c>
      <c r="D2198" s="164" t="s">
        <v>329</v>
      </c>
      <c r="E2198" s="164" t="s">
        <v>3699</v>
      </c>
      <c r="F2198" s="165">
        <v>33.81</v>
      </c>
    </row>
    <row r="2199" spans="1:6" x14ac:dyDescent="0.2">
      <c r="A2199" s="166" t="s">
        <v>3724</v>
      </c>
      <c r="B2199" s="167" t="s">
        <v>2509</v>
      </c>
      <c r="C2199" s="167">
        <v>14121239</v>
      </c>
      <c r="D2199" s="167" t="s">
        <v>328</v>
      </c>
      <c r="E2199" s="167" t="s">
        <v>3699</v>
      </c>
      <c r="F2199" s="168">
        <v>33.81</v>
      </c>
    </row>
    <row r="2200" spans="1:6" x14ac:dyDescent="0.2">
      <c r="A2200" s="163" t="s">
        <v>3724</v>
      </c>
      <c r="B2200" s="164" t="s">
        <v>2509</v>
      </c>
      <c r="C2200" s="164">
        <v>14121238</v>
      </c>
      <c r="D2200" s="164" t="s">
        <v>327</v>
      </c>
      <c r="E2200" s="164" t="s">
        <v>3699</v>
      </c>
      <c r="F2200" s="165">
        <v>33.81</v>
      </c>
    </row>
    <row r="2201" spans="1:6" x14ac:dyDescent="0.2">
      <c r="A2201" s="166" t="s">
        <v>3724</v>
      </c>
      <c r="B2201" s="167" t="s">
        <v>2509</v>
      </c>
      <c r="C2201" s="167">
        <v>14121235</v>
      </c>
      <c r="D2201" s="167" t="s">
        <v>326</v>
      </c>
      <c r="E2201" s="167" t="s">
        <v>3699</v>
      </c>
      <c r="F2201" s="168">
        <v>33.81</v>
      </c>
    </row>
    <row r="2202" spans="1:6" x14ac:dyDescent="0.2">
      <c r="A2202" s="163" t="s">
        <v>3724</v>
      </c>
      <c r="B2202" s="164" t="s">
        <v>2509</v>
      </c>
      <c r="C2202" s="164">
        <v>14121193</v>
      </c>
      <c r="D2202" s="164" t="s">
        <v>324</v>
      </c>
      <c r="E2202" s="164" t="s">
        <v>3699</v>
      </c>
      <c r="F2202" s="165">
        <v>33.81</v>
      </c>
    </row>
    <row r="2203" spans="1:6" x14ac:dyDescent="0.2">
      <c r="A2203" s="166" t="s">
        <v>3724</v>
      </c>
      <c r="B2203" s="167" t="s">
        <v>2509</v>
      </c>
      <c r="C2203" s="167">
        <v>14121159</v>
      </c>
      <c r="D2203" s="167" t="s">
        <v>323</v>
      </c>
      <c r="E2203" s="167" t="s">
        <v>3699</v>
      </c>
      <c r="F2203" s="168">
        <v>33.81</v>
      </c>
    </row>
    <row r="2204" spans="1:6" x14ac:dyDescent="0.2">
      <c r="A2204" s="163" t="s">
        <v>3724</v>
      </c>
      <c r="B2204" s="164" t="s">
        <v>2509</v>
      </c>
      <c r="C2204" s="164">
        <v>14121158</v>
      </c>
      <c r="D2204" s="164" t="s">
        <v>322</v>
      </c>
      <c r="E2204" s="164" t="s">
        <v>3699</v>
      </c>
      <c r="F2204" s="165">
        <v>33.81</v>
      </c>
    </row>
    <row r="2205" spans="1:6" x14ac:dyDescent="0.2">
      <c r="A2205" s="166" t="s">
        <v>3724</v>
      </c>
      <c r="B2205" s="167" t="s">
        <v>2509</v>
      </c>
      <c r="C2205" s="167">
        <v>14121153</v>
      </c>
      <c r="D2205" s="167" t="s">
        <v>321</v>
      </c>
      <c r="E2205" s="167" t="s">
        <v>3699</v>
      </c>
      <c r="F2205" s="168">
        <v>33.81</v>
      </c>
    </row>
    <row r="2206" spans="1:6" x14ac:dyDescent="0.2">
      <c r="A2206" s="163" t="s">
        <v>3724</v>
      </c>
      <c r="B2206" s="164" t="s">
        <v>2509</v>
      </c>
      <c r="C2206" s="164">
        <v>14121152</v>
      </c>
      <c r="D2206" s="164" t="s">
        <v>320</v>
      </c>
      <c r="E2206" s="164" t="s">
        <v>3699</v>
      </c>
      <c r="F2206" s="165">
        <v>33.81</v>
      </c>
    </row>
    <row r="2207" spans="1:6" x14ac:dyDescent="0.2">
      <c r="A2207" s="166" t="s">
        <v>3724</v>
      </c>
      <c r="B2207" s="167" t="s">
        <v>2509</v>
      </c>
      <c r="C2207" s="167">
        <v>14121116</v>
      </c>
      <c r="D2207" s="167" t="s">
        <v>319</v>
      </c>
      <c r="E2207" s="167" t="s">
        <v>3699</v>
      </c>
      <c r="F2207" s="168">
        <v>33.81</v>
      </c>
    </row>
    <row r="2208" spans="1:6" x14ac:dyDescent="0.2">
      <c r="A2208" s="163" t="s">
        <v>3724</v>
      </c>
      <c r="B2208" s="164" t="s">
        <v>2509</v>
      </c>
      <c r="C2208" s="164">
        <v>14121104</v>
      </c>
      <c r="D2208" s="164" t="s">
        <v>313</v>
      </c>
      <c r="E2208" s="164" t="s">
        <v>3699</v>
      </c>
      <c r="F2208" s="165">
        <v>33.81</v>
      </c>
    </row>
    <row r="2209" spans="1:6" x14ac:dyDescent="0.2">
      <c r="A2209" s="166" t="s">
        <v>3724</v>
      </c>
      <c r="B2209" s="167" t="s">
        <v>2509</v>
      </c>
      <c r="C2209" s="167">
        <v>14121103</v>
      </c>
      <c r="D2209" s="167" t="s">
        <v>312</v>
      </c>
      <c r="E2209" s="167" t="s">
        <v>3699</v>
      </c>
      <c r="F2209" s="168">
        <v>33.81</v>
      </c>
    </row>
    <row r="2210" spans="1:6" x14ac:dyDescent="0.2">
      <c r="A2210" s="163" t="s">
        <v>3724</v>
      </c>
      <c r="B2210" s="164" t="s">
        <v>2509</v>
      </c>
      <c r="C2210" s="164">
        <v>14121015</v>
      </c>
      <c r="D2210" s="164" t="s">
        <v>311</v>
      </c>
      <c r="E2210" s="164" t="s">
        <v>3699</v>
      </c>
      <c r="F2210" s="165">
        <v>33.81</v>
      </c>
    </row>
    <row r="2211" spans="1:6" x14ac:dyDescent="0.2">
      <c r="A2211" s="166" t="s">
        <v>3724</v>
      </c>
      <c r="B2211" s="167" t="s">
        <v>2509</v>
      </c>
      <c r="C2211" s="167">
        <v>14121013</v>
      </c>
      <c r="D2211" s="167" t="s">
        <v>310</v>
      </c>
      <c r="E2211" s="167" t="s">
        <v>3699</v>
      </c>
      <c r="F2211" s="168">
        <v>33.81</v>
      </c>
    </row>
    <row r="2212" spans="1:6" x14ac:dyDescent="0.2">
      <c r="A2212" s="163" t="s">
        <v>3724</v>
      </c>
      <c r="B2212" s="164" t="s">
        <v>2509</v>
      </c>
      <c r="C2212" s="164">
        <v>14120925</v>
      </c>
      <c r="D2212" s="164" t="s">
        <v>309</v>
      </c>
      <c r="E2212" s="164" t="s">
        <v>3699</v>
      </c>
      <c r="F2212" s="165">
        <v>33.81</v>
      </c>
    </row>
    <row r="2213" spans="1:6" x14ac:dyDescent="0.2">
      <c r="A2213" s="166" t="s">
        <v>3724</v>
      </c>
      <c r="B2213" s="167" t="s">
        <v>2509</v>
      </c>
      <c r="C2213" s="167">
        <v>14120885</v>
      </c>
      <c r="D2213" s="167" t="s">
        <v>307</v>
      </c>
      <c r="E2213" s="167" t="s">
        <v>3699</v>
      </c>
      <c r="F2213" s="168">
        <v>33.81</v>
      </c>
    </row>
    <row r="2214" spans="1:6" x14ac:dyDescent="0.2">
      <c r="A2214" s="163" t="s">
        <v>3724</v>
      </c>
      <c r="B2214" s="164" t="s">
        <v>2509</v>
      </c>
      <c r="C2214" s="164">
        <v>14120850</v>
      </c>
      <c r="D2214" s="164" t="s">
        <v>306</v>
      </c>
      <c r="E2214" s="164" t="s">
        <v>3699</v>
      </c>
      <c r="F2214" s="165">
        <v>33.81</v>
      </c>
    </row>
    <row r="2215" spans="1:6" x14ac:dyDescent="0.2">
      <c r="A2215" s="166" t="s">
        <v>3724</v>
      </c>
      <c r="B2215" s="167" t="s">
        <v>2509</v>
      </c>
      <c r="C2215" s="167">
        <v>14120848</v>
      </c>
      <c r="D2215" s="167" t="s">
        <v>305</v>
      </c>
      <c r="E2215" s="167" t="s">
        <v>3699</v>
      </c>
      <c r="F2215" s="168">
        <v>44.82</v>
      </c>
    </row>
    <row r="2216" spans="1:6" x14ac:dyDescent="0.2">
      <c r="A2216" s="163" t="s">
        <v>3724</v>
      </c>
      <c r="B2216" s="164" t="s">
        <v>2509</v>
      </c>
      <c r="C2216" s="164">
        <v>14120807</v>
      </c>
      <c r="D2216" s="164" t="s">
        <v>304</v>
      </c>
      <c r="E2216" s="164" t="s">
        <v>3699</v>
      </c>
      <c r="F2216" s="165">
        <v>33.81</v>
      </c>
    </row>
    <row r="2217" spans="1:6" x14ac:dyDescent="0.2">
      <c r="A2217" s="166" t="s">
        <v>3724</v>
      </c>
      <c r="B2217" s="167" t="s">
        <v>2509</v>
      </c>
      <c r="C2217" s="167">
        <v>14120806</v>
      </c>
      <c r="D2217" s="167" t="s">
        <v>303</v>
      </c>
      <c r="E2217" s="167" t="s">
        <v>3699</v>
      </c>
      <c r="F2217" s="168">
        <v>33.81</v>
      </c>
    </row>
    <row r="2218" spans="1:6" x14ac:dyDescent="0.2">
      <c r="A2218" s="163" t="s">
        <v>3724</v>
      </c>
      <c r="B2218" s="164" t="s">
        <v>2509</v>
      </c>
      <c r="C2218" s="164">
        <v>14120789</v>
      </c>
      <c r="D2218" s="164" t="s">
        <v>302</v>
      </c>
      <c r="E2218" s="164" t="s">
        <v>3699</v>
      </c>
      <c r="F2218" s="165">
        <v>35.04</v>
      </c>
    </row>
    <row r="2219" spans="1:6" x14ac:dyDescent="0.2">
      <c r="A2219" s="166" t="s">
        <v>3724</v>
      </c>
      <c r="B2219" s="167" t="s">
        <v>2509</v>
      </c>
      <c r="C2219" s="167">
        <v>14120788</v>
      </c>
      <c r="D2219" s="167" t="s">
        <v>301</v>
      </c>
      <c r="E2219" s="167" t="s">
        <v>3699</v>
      </c>
      <c r="F2219" s="168">
        <v>35.04</v>
      </c>
    </row>
    <row r="2220" spans="1:6" x14ac:dyDescent="0.2">
      <c r="A2220" s="163" t="s">
        <v>3724</v>
      </c>
      <c r="B2220" s="164" t="s">
        <v>2509</v>
      </c>
      <c r="C2220" s="164">
        <v>14120778</v>
      </c>
      <c r="D2220" s="164" t="s">
        <v>300</v>
      </c>
      <c r="E2220" s="164" t="s">
        <v>3699</v>
      </c>
      <c r="F2220" s="165">
        <v>44.82</v>
      </c>
    </row>
    <row r="2221" spans="1:6" x14ac:dyDescent="0.2">
      <c r="A2221" s="166" t="s">
        <v>3724</v>
      </c>
      <c r="B2221" s="167" t="s">
        <v>2509</v>
      </c>
      <c r="C2221" s="167">
        <v>14120715</v>
      </c>
      <c r="D2221" s="167" t="s">
        <v>298</v>
      </c>
      <c r="E2221" s="167" t="s">
        <v>3699</v>
      </c>
      <c r="F2221" s="168">
        <v>33.81</v>
      </c>
    </row>
    <row r="2222" spans="1:6" x14ac:dyDescent="0.2">
      <c r="A2222" s="163" t="s">
        <v>3724</v>
      </c>
      <c r="B2222" s="164" t="s">
        <v>2509</v>
      </c>
      <c r="C2222" s="164">
        <v>14120668</v>
      </c>
      <c r="D2222" s="164" t="s">
        <v>297</v>
      </c>
      <c r="E2222" s="164" t="s">
        <v>3699</v>
      </c>
      <c r="F2222" s="165">
        <v>35.04</v>
      </c>
    </row>
    <row r="2223" spans="1:6" x14ac:dyDescent="0.2">
      <c r="A2223" s="166" t="s">
        <v>3724</v>
      </c>
      <c r="B2223" s="167" t="s">
        <v>2509</v>
      </c>
      <c r="C2223" s="167">
        <v>14120655</v>
      </c>
      <c r="D2223" s="167" t="s">
        <v>296</v>
      </c>
      <c r="E2223" s="167" t="s">
        <v>3699</v>
      </c>
      <c r="F2223" s="168">
        <v>35.04</v>
      </c>
    </row>
    <row r="2224" spans="1:6" x14ac:dyDescent="0.2">
      <c r="A2224" s="163" t="s">
        <v>3724</v>
      </c>
      <c r="B2224" s="164" t="s">
        <v>2509</v>
      </c>
      <c r="C2224" s="164">
        <v>14120613</v>
      </c>
      <c r="D2224" s="164" t="s">
        <v>293</v>
      </c>
      <c r="E2224" s="164" t="s">
        <v>3699</v>
      </c>
      <c r="F2224" s="165">
        <v>35.04</v>
      </c>
    </row>
    <row r="2225" spans="1:6" x14ac:dyDescent="0.2">
      <c r="A2225" s="166" t="s">
        <v>3724</v>
      </c>
      <c r="B2225" s="167" t="s">
        <v>2509</v>
      </c>
      <c r="C2225" s="167">
        <v>14120611</v>
      </c>
      <c r="D2225" s="167" t="s">
        <v>292</v>
      </c>
      <c r="E2225" s="167" t="s">
        <v>3699</v>
      </c>
      <c r="F2225" s="168">
        <v>35.04</v>
      </c>
    </row>
    <row r="2226" spans="1:6" x14ac:dyDescent="0.2">
      <c r="A2226" s="163" t="s">
        <v>3724</v>
      </c>
      <c r="B2226" s="164" t="s">
        <v>2509</v>
      </c>
      <c r="C2226" s="164">
        <v>14120489</v>
      </c>
      <c r="D2226" s="164" t="s">
        <v>291</v>
      </c>
      <c r="E2226" s="164" t="s">
        <v>3699</v>
      </c>
      <c r="F2226" s="165">
        <v>35.04</v>
      </c>
    </row>
    <row r="2227" spans="1:6" x14ac:dyDescent="0.2">
      <c r="A2227" s="166" t="s">
        <v>3724</v>
      </c>
      <c r="B2227" s="167" t="s">
        <v>2509</v>
      </c>
      <c r="C2227" s="167">
        <v>14120455</v>
      </c>
      <c r="D2227" s="167" t="s">
        <v>290</v>
      </c>
      <c r="E2227" s="167" t="s">
        <v>3699</v>
      </c>
      <c r="F2227" s="168">
        <v>33.81</v>
      </c>
    </row>
    <row r="2228" spans="1:6" x14ac:dyDescent="0.2">
      <c r="A2228" s="163" t="s">
        <v>3724</v>
      </c>
      <c r="B2228" s="164" t="s">
        <v>2509</v>
      </c>
      <c r="C2228" s="164">
        <v>14120415</v>
      </c>
      <c r="D2228" s="164" t="s">
        <v>287</v>
      </c>
      <c r="E2228" s="164" t="s">
        <v>3699</v>
      </c>
      <c r="F2228" s="165">
        <v>35.04</v>
      </c>
    </row>
    <row r="2229" spans="1:6" x14ac:dyDescent="0.2">
      <c r="A2229" s="166" t="s">
        <v>3724</v>
      </c>
      <c r="B2229" s="167" t="s">
        <v>2509</v>
      </c>
      <c r="C2229" s="167">
        <v>14120351</v>
      </c>
      <c r="D2229" s="167" t="s">
        <v>286</v>
      </c>
      <c r="E2229" s="167" t="s">
        <v>3699</v>
      </c>
      <c r="F2229" s="168">
        <v>35.04</v>
      </c>
    </row>
    <row r="2230" spans="1:6" x14ac:dyDescent="0.2">
      <c r="A2230" s="163" t="s">
        <v>3724</v>
      </c>
      <c r="B2230" s="164" t="s">
        <v>2509</v>
      </c>
      <c r="C2230" s="164">
        <v>14120349</v>
      </c>
      <c r="D2230" s="164" t="s">
        <v>285</v>
      </c>
      <c r="E2230" s="164" t="s">
        <v>3699</v>
      </c>
      <c r="F2230" s="165">
        <v>35.04</v>
      </c>
    </row>
    <row r="2231" spans="1:6" x14ac:dyDescent="0.2">
      <c r="A2231" s="166" t="s">
        <v>3724</v>
      </c>
      <c r="B2231" s="167" t="s">
        <v>2509</v>
      </c>
      <c r="C2231" s="167">
        <v>14120276</v>
      </c>
      <c r="D2231" s="167" t="s">
        <v>283</v>
      </c>
      <c r="E2231" s="167" t="s">
        <v>3699</v>
      </c>
      <c r="F2231" s="168">
        <v>35.04</v>
      </c>
    </row>
    <row r="2232" spans="1:6" x14ac:dyDescent="0.2">
      <c r="A2232" s="163" t="s">
        <v>3724</v>
      </c>
      <c r="B2232" s="164" t="s">
        <v>2509</v>
      </c>
      <c r="C2232" s="164">
        <v>14120270</v>
      </c>
      <c r="D2232" s="164" t="s">
        <v>282</v>
      </c>
      <c r="E2232" s="164" t="s">
        <v>3699</v>
      </c>
      <c r="F2232" s="165">
        <v>35.04</v>
      </c>
    </row>
    <row r="2233" spans="1:6" x14ac:dyDescent="0.2">
      <c r="A2233" s="166" t="s">
        <v>3724</v>
      </c>
      <c r="B2233" s="167" t="s">
        <v>2509</v>
      </c>
      <c r="C2233" s="167">
        <v>14120199</v>
      </c>
      <c r="D2233" s="167" t="s">
        <v>406</v>
      </c>
      <c r="E2233" s="167" t="s">
        <v>3699</v>
      </c>
      <c r="F2233" s="168">
        <v>33.81</v>
      </c>
    </row>
    <row r="2234" spans="1:6" x14ac:dyDescent="0.2">
      <c r="A2234" s="163" t="s">
        <v>3724</v>
      </c>
      <c r="B2234" s="164" t="s">
        <v>2509</v>
      </c>
      <c r="C2234" s="164">
        <v>14120196</v>
      </c>
      <c r="D2234" s="164" t="s">
        <v>280</v>
      </c>
      <c r="E2234" s="164" t="s">
        <v>3699</v>
      </c>
      <c r="F2234" s="165">
        <v>35.04</v>
      </c>
    </row>
    <row r="2235" spans="1:6" x14ac:dyDescent="0.2">
      <c r="A2235" s="166" t="s">
        <v>3724</v>
      </c>
      <c r="B2235" s="167" t="s">
        <v>2509</v>
      </c>
      <c r="C2235" s="167">
        <v>14120121</v>
      </c>
      <c r="D2235" s="167" t="s">
        <v>279</v>
      </c>
      <c r="E2235" s="167" t="s">
        <v>3699</v>
      </c>
      <c r="F2235" s="168">
        <v>35.04</v>
      </c>
    </row>
    <row r="2236" spans="1:6" x14ac:dyDescent="0.2">
      <c r="A2236" s="163" t="s">
        <v>3724</v>
      </c>
      <c r="B2236" s="164" t="s">
        <v>2509</v>
      </c>
      <c r="C2236" s="164">
        <v>14120106</v>
      </c>
      <c r="D2236" s="164" t="s">
        <v>278</v>
      </c>
      <c r="E2236" s="164" t="s">
        <v>3699</v>
      </c>
      <c r="F2236" s="165">
        <v>10.01</v>
      </c>
    </row>
    <row r="2237" spans="1:6" x14ac:dyDescent="0.2">
      <c r="A2237" s="166" t="s">
        <v>3724</v>
      </c>
      <c r="B2237" s="167" t="s">
        <v>2509</v>
      </c>
      <c r="C2237" s="167">
        <v>14120104</v>
      </c>
      <c r="D2237" s="167" t="s">
        <v>277</v>
      </c>
      <c r="E2237" s="167" t="s">
        <v>3699</v>
      </c>
      <c r="F2237" s="168">
        <v>33.81</v>
      </c>
    </row>
    <row r="2238" spans="1:6" x14ac:dyDescent="0.2">
      <c r="A2238" s="163" t="s">
        <v>3724</v>
      </c>
      <c r="B2238" s="164" t="s">
        <v>2509</v>
      </c>
      <c r="C2238" s="164">
        <v>14120091</v>
      </c>
      <c r="D2238" s="164" t="s">
        <v>276</v>
      </c>
      <c r="E2238" s="164" t="s">
        <v>3699</v>
      </c>
      <c r="F2238" s="165">
        <v>35.04</v>
      </c>
    </row>
    <row r="2239" spans="1:6" x14ac:dyDescent="0.2">
      <c r="A2239" s="166" t="s">
        <v>3724</v>
      </c>
      <c r="B2239" s="167" t="s">
        <v>2509</v>
      </c>
      <c r="C2239" s="167">
        <v>14120044</v>
      </c>
      <c r="D2239" s="167" t="s">
        <v>274</v>
      </c>
      <c r="E2239" s="167" t="s">
        <v>3699</v>
      </c>
      <c r="F2239" s="168">
        <v>35.04</v>
      </c>
    </row>
    <row r="2240" spans="1:6" x14ac:dyDescent="0.2">
      <c r="A2240" s="163" t="s">
        <v>3724</v>
      </c>
      <c r="B2240" s="164" t="s">
        <v>2509</v>
      </c>
      <c r="C2240" s="164">
        <v>14120041</v>
      </c>
      <c r="D2240" s="164" t="s">
        <v>273</v>
      </c>
      <c r="E2240" s="164" t="s">
        <v>3699</v>
      </c>
      <c r="F2240" s="165">
        <v>35.04</v>
      </c>
    </row>
    <row r="2241" spans="1:6" x14ac:dyDescent="0.2">
      <c r="A2241" s="166" t="s">
        <v>3724</v>
      </c>
      <c r="B2241" s="167" t="s">
        <v>2509</v>
      </c>
      <c r="C2241" s="167">
        <v>14120016</v>
      </c>
      <c r="D2241" s="167" t="s">
        <v>531</v>
      </c>
      <c r="E2241" s="167" t="s">
        <v>3699</v>
      </c>
      <c r="F2241" s="168">
        <v>52.21</v>
      </c>
    </row>
    <row r="2242" spans="1:6" x14ac:dyDescent="0.2">
      <c r="A2242" s="163" t="s">
        <v>3724</v>
      </c>
      <c r="B2242" s="164" t="s">
        <v>2509</v>
      </c>
      <c r="C2242" s="164">
        <v>14119958</v>
      </c>
      <c r="D2242" s="164" t="s">
        <v>271</v>
      </c>
      <c r="E2242" s="164" t="s">
        <v>3699</v>
      </c>
      <c r="F2242" s="165">
        <v>33.81</v>
      </c>
    </row>
    <row r="2243" spans="1:6" x14ac:dyDescent="0.2">
      <c r="A2243" s="166" t="s">
        <v>3724</v>
      </c>
      <c r="B2243" s="167" t="s">
        <v>2509</v>
      </c>
      <c r="C2243" s="167">
        <v>14119956</v>
      </c>
      <c r="D2243" s="167" t="s">
        <v>270</v>
      </c>
      <c r="E2243" s="167" t="s">
        <v>3699</v>
      </c>
      <c r="F2243" s="168">
        <v>35.04</v>
      </c>
    </row>
    <row r="2244" spans="1:6" x14ac:dyDescent="0.2">
      <c r="A2244" s="163" t="s">
        <v>3724</v>
      </c>
      <c r="B2244" s="164" t="s">
        <v>2509</v>
      </c>
      <c r="C2244" s="164">
        <v>14119890</v>
      </c>
      <c r="D2244" s="164" t="s">
        <v>267</v>
      </c>
      <c r="E2244" s="164" t="s">
        <v>3699</v>
      </c>
      <c r="F2244" s="165">
        <v>35.04</v>
      </c>
    </row>
    <row r="2245" spans="1:6" x14ac:dyDescent="0.2">
      <c r="A2245" s="166" t="s">
        <v>3724</v>
      </c>
      <c r="B2245" s="167" t="s">
        <v>2509</v>
      </c>
      <c r="C2245" s="167">
        <v>14119839</v>
      </c>
      <c r="D2245" s="167" t="s">
        <v>266</v>
      </c>
      <c r="E2245" s="167" t="s">
        <v>3699</v>
      </c>
      <c r="F2245" s="168">
        <v>35.04</v>
      </c>
    </row>
    <row r="2246" spans="1:6" x14ac:dyDescent="0.2">
      <c r="A2246" s="163" t="s">
        <v>3724</v>
      </c>
      <c r="B2246" s="164" t="s">
        <v>2509</v>
      </c>
      <c r="C2246" s="164">
        <v>14119838</v>
      </c>
      <c r="D2246" s="164" t="s">
        <v>509</v>
      </c>
      <c r="E2246" s="164" t="s">
        <v>3699</v>
      </c>
      <c r="F2246" s="165">
        <v>32.880000000000003</v>
      </c>
    </row>
    <row r="2247" spans="1:6" x14ac:dyDescent="0.2">
      <c r="A2247" s="166" t="s">
        <v>3724</v>
      </c>
      <c r="B2247" s="167" t="s">
        <v>2509</v>
      </c>
      <c r="C2247" s="167">
        <v>14119837</v>
      </c>
      <c r="D2247" s="167" t="s">
        <v>265</v>
      </c>
      <c r="E2247" s="167" t="s">
        <v>3699</v>
      </c>
      <c r="F2247" s="168">
        <v>35.04</v>
      </c>
    </row>
    <row r="2248" spans="1:6" x14ac:dyDescent="0.2">
      <c r="A2248" s="163" t="s">
        <v>3724</v>
      </c>
      <c r="B2248" s="164" t="s">
        <v>2509</v>
      </c>
      <c r="C2248" s="164">
        <v>14119787</v>
      </c>
      <c r="D2248" s="164" t="s">
        <v>261</v>
      </c>
      <c r="E2248" s="164" t="s">
        <v>3699</v>
      </c>
      <c r="F2248" s="165">
        <v>35.04</v>
      </c>
    </row>
    <row r="2249" spans="1:6" x14ac:dyDescent="0.2">
      <c r="A2249" s="166" t="s">
        <v>3724</v>
      </c>
      <c r="B2249" s="167" t="s">
        <v>2509</v>
      </c>
      <c r="C2249" s="167">
        <v>14119785</v>
      </c>
      <c r="D2249" s="167" t="s">
        <v>259</v>
      </c>
      <c r="E2249" s="167" t="s">
        <v>3699</v>
      </c>
      <c r="F2249" s="168">
        <v>35.04</v>
      </c>
    </row>
    <row r="2250" spans="1:6" x14ac:dyDescent="0.2">
      <c r="A2250" s="163" t="s">
        <v>3724</v>
      </c>
      <c r="B2250" s="164" t="s">
        <v>2509</v>
      </c>
      <c r="C2250" s="164">
        <v>14119751</v>
      </c>
      <c r="D2250" s="164" t="s">
        <v>258</v>
      </c>
      <c r="E2250" s="164" t="s">
        <v>3699</v>
      </c>
      <c r="F2250" s="165">
        <v>35.04</v>
      </c>
    </row>
    <row r="2251" spans="1:6" x14ac:dyDescent="0.2">
      <c r="A2251" s="166" t="s">
        <v>3724</v>
      </c>
      <c r="B2251" s="167" t="s">
        <v>2509</v>
      </c>
      <c r="C2251" s="167">
        <v>14119701</v>
      </c>
      <c r="D2251" s="167" t="s">
        <v>257</v>
      </c>
      <c r="E2251" s="167" t="s">
        <v>3699</v>
      </c>
      <c r="F2251" s="168">
        <v>35.04</v>
      </c>
    </row>
    <row r="2252" spans="1:6" x14ac:dyDescent="0.2">
      <c r="A2252" s="163" t="s">
        <v>3724</v>
      </c>
      <c r="B2252" s="164" t="s">
        <v>2509</v>
      </c>
      <c r="C2252" s="164">
        <v>14119598</v>
      </c>
      <c r="D2252" s="164" t="s">
        <v>255</v>
      </c>
      <c r="E2252" s="164" t="s">
        <v>3699</v>
      </c>
      <c r="F2252" s="165">
        <v>35.04</v>
      </c>
    </row>
    <row r="2253" spans="1:6" x14ac:dyDescent="0.2">
      <c r="A2253" s="166" t="s">
        <v>3724</v>
      </c>
      <c r="B2253" s="167" t="s">
        <v>2509</v>
      </c>
      <c r="C2253" s="167">
        <v>14119540</v>
      </c>
      <c r="D2253" s="167" t="s">
        <v>254</v>
      </c>
      <c r="E2253" s="167" t="s">
        <v>3699</v>
      </c>
      <c r="F2253" s="168">
        <v>35.04</v>
      </c>
    </row>
    <row r="2254" spans="1:6" x14ac:dyDescent="0.2">
      <c r="A2254" s="163" t="s">
        <v>3724</v>
      </c>
      <c r="B2254" s="164" t="s">
        <v>2509</v>
      </c>
      <c r="C2254" s="164">
        <v>14119539</v>
      </c>
      <c r="D2254" s="164" t="s">
        <v>253</v>
      </c>
      <c r="E2254" s="164" t="s">
        <v>3699</v>
      </c>
      <c r="F2254" s="165">
        <v>35.04</v>
      </c>
    </row>
    <row r="2255" spans="1:6" x14ac:dyDescent="0.2">
      <c r="A2255" s="166" t="s">
        <v>3724</v>
      </c>
      <c r="B2255" s="167" t="s">
        <v>2509</v>
      </c>
      <c r="C2255" s="167">
        <v>14119517</v>
      </c>
      <c r="D2255" s="167" t="s">
        <v>252</v>
      </c>
      <c r="E2255" s="167" t="s">
        <v>3699</v>
      </c>
      <c r="F2255" s="168">
        <v>35.04</v>
      </c>
    </row>
    <row r="2256" spans="1:6" x14ac:dyDescent="0.2">
      <c r="A2256" s="163" t="s">
        <v>3724</v>
      </c>
      <c r="B2256" s="164" t="s">
        <v>2509</v>
      </c>
      <c r="C2256" s="164">
        <v>14119481</v>
      </c>
      <c r="D2256" s="164" t="s">
        <v>248</v>
      </c>
      <c r="E2256" s="164" t="s">
        <v>3699</v>
      </c>
      <c r="F2256" s="165">
        <v>35.04</v>
      </c>
    </row>
    <row r="2257" spans="1:6" x14ac:dyDescent="0.2">
      <c r="A2257" s="166" t="s">
        <v>3724</v>
      </c>
      <c r="B2257" s="167" t="s">
        <v>2509</v>
      </c>
      <c r="C2257" s="167">
        <v>14119437</v>
      </c>
      <c r="D2257" s="167" t="s">
        <v>247</v>
      </c>
      <c r="E2257" s="167" t="s">
        <v>3699</v>
      </c>
      <c r="F2257" s="168">
        <v>35.04</v>
      </c>
    </row>
    <row r="2258" spans="1:6" x14ac:dyDescent="0.2">
      <c r="A2258" s="163" t="s">
        <v>3724</v>
      </c>
      <c r="B2258" s="164" t="s">
        <v>2509</v>
      </c>
      <c r="C2258" s="164">
        <v>14119357</v>
      </c>
      <c r="D2258" s="164" t="s">
        <v>245</v>
      </c>
      <c r="E2258" s="164" t="s">
        <v>3699</v>
      </c>
      <c r="F2258" s="165">
        <v>35.04</v>
      </c>
    </row>
    <row r="2259" spans="1:6" x14ac:dyDescent="0.2">
      <c r="A2259" s="166" t="s">
        <v>3724</v>
      </c>
      <c r="B2259" s="167" t="s">
        <v>2509</v>
      </c>
      <c r="C2259" s="167">
        <v>14119324</v>
      </c>
      <c r="D2259" s="167" t="s">
        <v>243</v>
      </c>
      <c r="E2259" s="167" t="s">
        <v>3699</v>
      </c>
      <c r="F2259" s="168">
        <v>35.04</v>
      </c>
    </row>
    <row r="2260" spans="1:6" x14ac:dyDescent="0.2">
      <c r="A2260" s="163" t="s">
        <v>3724</v>
      </c>
      <c r="B2260" s="164" t="s">
        <v>2509</v>
      </c>
      <c r="C2260" s="164">
        <v>14119323</v>
      </c>
      <c r="D2260" s="164" t="s">
        <v>242</v>
      </c>
      <c r="E2260" s="164" t="s">
        <v>3699</v>
      </c>
      <c r="F2260" s="165">
        <v>35.04</v>
      </c>
    </row>
    <row r="2261" spans="1:6" x14ac:dyDescent="0.2">
      <c r="A2261" s="166" t="s">
        <v>3724</v>
      </c>
      <c r="B2261" s="167" t="s">
        <v>2509</v>
      </c>
      <c r="C2261" s="167">
        <v>14119271</v>
      </c>
      <c r="D2261" s="167" t="s">
        <v>240</v>
      </c>
      <c r="E2261" s="167" t="s">
        <v>3699</v>
      </c>
      <c r="F2261" s="168">
        <v>35.04</v>
      </c>
    </row>
    <row r="2262" spans="1:6" x14ac:dyDescent="0.2">
      <c r="A2262" s="163" t="s">
        <v>3724</v>
      </c>
      <c r="B2262" s="164" t="s">
        <v>2509</v>
      </c>
      <c r="C2262" s="164">
        <v>14119175</v>
      </c>
      <c r="D2262" s="164" t="s">
        <v>238</v>
      </c>
      <c r="E2262" s="164" t="s">
        <v>3699</v>
      </c>
      <c r="F2262" s="165">
        <v>35.04</v>
      </c>
    </row>
    <row r="2263" spans="1:6" x14ac:dyDescent="0.2">
      <c r="A2263" s="166" t="s">
        <v>3724</v>
      </c>
      <c r="B2263" s="167" t="s">
        <v>2509</v>
      </c>
      <c r="C2263" s="167">
        <v>14119155</v>
      </c>
      <c r="D2263" s="167" t="s">
        <v>235</v>
      </c>
      <c r="E2263" s="167" t="s">
        <v>3699</v>
      </c>
      <c r="F2263" s="168">
        <v>35.04</v>
      </c>
    </row>
    <row r="2264" spans="1:6" x14ac:dyDescent="0.2">
      <c r="A2264" s="163" t="s">
        <v>3724</v>
      </c>
      <c r="B2264" s="164" t="s">
        <v>2509</v>
      </c>
      <c r="C2264" s="164">
        <v>14119154</v>
      </c>
      <c r="D2264" s="164" t="s">
        <v>234</v>
      </c>
      <c r="E2264" s="164" t="s">
        <v>3699</v>
      </c>
      <c r="F2264" s="165">
        <v>35.04</v>
      </c>
    </row>
    <row r="2265" spans="1:6" x14ac:dyDescent="0.2">
      <c r="A2265" s="166" t="s">
        <v>3724</v>
      </c>
      <c r="B2265" s="167" t="s">
        <v>2509</v>
      </c>
      <c r="C2265" s="167">
        <v>14119153</v>
      </c>
      <c r="D2265" s="167" t="s">
        <v>233</v>
      </c>
      <c r="E2265" s="167" t="s">
        <v>3699</v>
      </c>
      <c r="F2265" s="168">
        <v>35.04</v>
      </c>
    </row>
    <row r="2266" spans="1:6" x14ac:dyDescent="0.2">
      <c r="A2266" s="163" t="s">
        <v>3724</v>
      </c>
      <c r="B2266" s="164" t="s">
        <v>2509</v>
      </c>
      <c r="C2266" s="164">
        <v>14119076</v>
      </c>
      <c r="D2266" s="164" t="s">
        <v>232</v>
      </c>
      <c r="E2266" s="164" t="s">
        <v>3699</v>
      </c>
      <c r="F2266" s="165">
        <v>35.04</v>
      </c>
    </row>
    <row r="2267" spans="1:6" x14ac:dyDescent="0.2">
      <c r="A2267" s="166" t="s">
        <v>3724</v>
      </c>
      <c r="B2267" s="167" t="s">
        <v>2509</v>
      </c>
      <c r="C2267" s="167">
        <v>14119057</v>
      </c>
      <c r="D2267" s="167" t="s">
        <v>231</v>
      </c>
      <c r="E2267" s="167" t="s">
        <v>3699</v>
      </c>
      <c r="F2267" s="168">
        <v>35.04</v>
      </c>
    </row>
    <row r="2268" spans="1:6" x14ac:dyDescent="0.2">
      <c r="A2268" s="163" t="s">
        <v>3724</v>
      </c>
      <c r="B2268" s="164" t="s">
        <v>2509</v>
      </c>
      <c r="C2268" s="164">
        <v>14119018</v>
      </c>
      <c r="D2268" s="164" t="s">
        <v>230</v>
      </c>
      <c r="E2268" s="164" t="s">
        <v>3699</v>
      </c>
      <c r="F2268" s="165">
        <v>35.04</v>
      </c>
    </row>
    <row r="2269" spans="1:6" x14ac:dyDescent="0.2">
      <c r="A2269" s="166" t="s">
        <v>3724</v>
      </c>
      <c r="B2269" s="167" t="s">
        <v>2509</v>
      </c>
      <c r="C2269" s="167">
        <v>14119017</v>
      </c>
      <c r="D2269" s="167" t="s">
        <v>229</v>
      </c>
      <c r="E2269" s="167" t="s">
        <v>3699</v>
      </c>
      <c r="F2269" s="168">
        <v>10.01</v>
      </c>
    </row>
    <row r="2270" spans="1:6" x14ac:dyDescent="0.2">
      <c r="A2270" s="163" t="s">
        <v>3724</v>
      </c>
      <c r="B2270" s="164" t="s">
        <v>2509</v>
      </c>
      <c r="C2270" s="164">
        <v>14118958</v>
      </c>
      <c r="D2270" s="164" t="s">
        <v>374</v>
      </c>
      <c r="E2270" s="164" t="s">
        <v>3699</v>
      </c>
      <c r="F2270" s="165">
        <v>28.98</v>
      </c>
    </row>
    <row r="2271" spans="1:6" x14ac:dyDescent="0.2">
      <c r="A2271" s="166" t="s">
        <v>3724</v>
      </c>
      <c r="B2271" s="167" t="s">
        <v>2509</v>
      </c>
      <c r="C2271" s="167">
        <v>14118957</v>
      </c>
      <c r="D2271" s="167" t="s">
        <v>225</v>
      </c>
      <c r="E2271" s="167" t="s">
        <v>3699</v>
      </c>
      <c r="F2271" s="168">
        <v>35.04</v>
      </c>
    </row>
    <row r="2272" spans="1:6" x14ac:dyDescent="0.2">
      <c r="A2272" s="163" t="s">
        <v>3724</v>
      </c>
      <c r="B2272" s="164" t="s">
        <v>2509</v>
      </c>
      <c r="C2272" s="164">
        <v>14118956</v>
      </c>
      <c r="D2272" s="164" t="s">
        <v>224</v>
      </c>
      <c r="E2272" s="164" t="s">
        <v>3699</v>
      </c>
      <c r="F2272" s="165">
        <v>35.04</v>
      </c>
    </row>
    <row r="2273" spans="1:6" x14ac:dyDescent="0.2">
      <c r="A2273" s="166" t="s">
        <v>3724</v>
      </c>
      <c r="B2273" s="167" t="s">
        <v>2509</v>
      </c>
      <c r="C2273" s="167">
        <v>14118892</v>
      </c>
      <c r="D2273" s="167" t="s">
        <v>222</v>
      </c>
      <c r="E2273" s="167" t="s">
        <v>3699</v>
      </c>
      <c r="F2273" s="168">
        <v>35.04</v>
      </c>
    </row>
    <row r="2274" spans="1:6" x14ac:dyDescent="0.2">
      <c r="A2274" s="163" t="s">
        <v>3724</v>
      </c>
      <c r="B2274" s="164" t="s">
        <v>2509</v>
      </c>
      <c r="C2274" s="164">
        <v>14118889</v>
      </c>
      <c r="D2274" s="164" t="s">
        <v>221</v>
      </c>
      <c r="E2274" s="164" t="s">
        <v>3699</v>
      </c>
      <c r="F2274" s="165">
        <v>35.04</v>
      </c>
    </row>
    <row r="2275" spans="1:6" x14ac:dyDescent="0.2">
      <c r="A2275" s="166" t="s">
        <v>3724</v>
      </c>
      <c r="B2275" s="167" t="s">
        <v>2509</v>
      </c>
      <c r="C2275" s="167">
        <v>14118887</v>
      </c>
      <c r="D2275" s="167" t="s">
        <v>220</v>
      </c>
      <c r="E2275" s="167" t="s">
        <v>3699</v>
      </c>
      <c r="F2275" s="168">
        <v>35.04</v>
      </c>
    </row>
    <row r="2276" spans="1:6" x14ac:dyDescent="0.2">
      <c r="A2276" s="163" t="s">
        <v>3724</v>
      </c>
      <c r="B2276" s="164" t="s">
        <v>2509</v>
      </c>
      <c r="C2276" s="164">
        <v>14118849</v>
      </c>
      <c r="D2276" s="164" t="s">
        <v>219</v>
      </c>
      <c r="E2276" s="164" t="s">
        <v>3699</v>
      </c>
      <c r="F2276" s="165">
        <v>36.49</v>
      </c>
    </row>
    <row r="2277" spans="1:6" x14ac:dyDescent="0.2">
      <c r="A2277" s="166" t="s">
        <v>3724</v>
      </c>
      <c r="B2277" s="167" t="s">
        <v>2509</v>
      </c>
      <c r="C2277" s="167">
        <v>14118811</v>
      </c>
      <c r="D2277" s="167" t="s">
        <v>217</v>
      </c>
      <c r="E2277" s="167" t="s">
        <v>3699</v>
      </c>
      <c r="F2277" s="168">
        <v>36.49</v>
      </c>
    </row>
    <row r="2278" spans="1:6" x14ac:dyDescent="0.2">
      <c r="A2278" s="163" t="s">
        <v>3724</v>
      </c>
      <c r="B2278" s="164" t="s">
        <v>2509</v>
      </c>
      <c r="C2278" s="164">
        <v>14118809</v>
      </c>
      <c r="D2278" s="164" t="s">
        <v>216</v>
      </c>
      <c r="E2278" s="164" t="s">
        <v>3699</v>
      </c>
      <c r="F2278" s="165">
        <v>36.49</v>
      </c>
    </row>
    <row r="2279" spans="1:6" x14ac:dyDescent="0.2">
      <c r="A2279" s="166" t="s">
        <v>3724</v>
      </c>
      <c r="B2279" s="167" t="s">
        <v>2509</v>
      </c>
      <c r="C2279" s="167">
        <v>14118773</v>
      </c>
      <c r="D2279" s="167" t="s">
        <v>213</v>
      </c>
      <c r="E2279" s="167" t="s">
        <v>3699</v>
      </c>
      <c r="F2279" s="168">
        <v>35.04</v>
      </c>
    </row>
    <row r="2280" spans="1:6" x14ac:dyDescent="0.2">
      <c r="A2280" s="163" t="s">
        <v>3724</v>
      </c>
      <c r="B2280" s="164" t="s">
        <v>2509</v>
      </c>
      <c r="C2280" s="164">
        <v>14118745</v>
      </c>
      <c r="D2280" s="164" t="s">
        <v>212</v>
      </c>
      <c r="E2280" s="164" t="s">
        <v>3699</v>
      </c>
      <c r="F2280" s="165">
        <v>36.49</v>
      </c>
    </row>
    <row r="2281" spans="1:6" x14ac:dyDescent="0.2">
      <c r="A2281" s="166" t="s">
        <v>3724</v>
      </c>
      <c r="B2281" s="167" t="s">
        <v>2509</v>
      </c>
      <c r="C2281" s="167">
        <v>14118663</v>
      </c>
      <c r="D2281" s="167" t="s">
        <v>211</v>
      </c>
      <c r="E2281" s="167" t="s">
        <v>3699</v>
      </c>
      <c r="F2281" s="168">
        <v>36.49</v>
      </c>
    </row>
    <row r="2282" spans="1:6" x14ac:dyDescent="0.2">
      <c r="A2282" s="163" t="s">
        <v>3724</v>
      </c>
      <c r="B2282" s="164" t="s">
        <v>2509</v>
      </c>
      <c r="C2282" s="164">
        <v>14118660</v>
      </c>
      <c r="D2282" s="164" t="s">
        <v>210</v>
      </c>
      <c r="E2282" s="164" t="s">
        <v>3699</v>
      </c>
      <c r="F2282" s="165">
        <v>36.49</v>
      </c>
    </row>
    <row r="2283" spans="1:6" x14ac:dyDescent="0.2">
      <c r="A2283" s="166" t="s">
        <v>3724</v>
      </c>
      <c r="B2283" s="167" t="s">
        <v>2509</v>
      </c>
      <c r="C2283" s="167">
        <v>14118640</v>
      </c>
      <c r="D2283" s="167" t="s">
        <v>209</v>
      </c>
      <c r="E2283" s="167" t="s">
        <v>3699</v>
      </c>
      <c r="F2283" s="168">
        <v>36.49</v>
      </c>
    </row>
    <row r="2284" spans="1:6" x14ac:dyDescent="0.2">
      <c r="A2284" s="163" t="s">
        <v>3724</v>
      </c>
      <c r="B2284" s="164" t="s">
        <v>2509</v>
      </c>
      <c r="C2284" s="164">
        <v>14118625</v>
      </c>
      <c r="D2284" s="164" t="s">
        <v>428</v>
      </c>
      <c r="E2284" s="164" t="s">
        <v>3699</v>
      </c>
      <c r="F2284" s="165">
        <v>31.04</v>
      </c>
    </row>
    <row r="2285" spans="1:6" x14ac:dyDescent="0.2">
      <c r="A2285" s="166" t="s">
        <v>3724</v>
      </c>
      <c r="B2285" s="167" t="s">
        <v>2509</v>
      </c>
      <c r="C2285" s="167">
        <v>14118622</v>
      </c>
      <c r="D2285" s="167" t="s">
        <v>207</v>
      </c>
      <c r="E2285" s="167" t="s">
        <v>3699</v>
      </c>
      <c r="F2285" s="168">
        <v>36.49</v>
      </c>
    </row>
    <row r="2286" spans="1:6" x14ac:dyDescent="0.2">
      <c r="A2286" s="163" t="s">
        <v>3724</v>
      </c>
      <c r="B2286" s="164" t="s">
        <v>2509</v>
      </c>
      <c r="C2286" s="164">
        <v>14118621</v>
      </c>
      <c r="D2286" s="164" t="s">
        <v>206</v>
      </c>
      <c r="E2286" s="164" t="s">
        <v>3699</v>
      </c>
      <c r="F2286" s="165">
        <v>36.49</v>
      </c>
    </row>
    <row r="2287" spans="1:6" x14ac:dyDescent="0.2">
      <c r="A2287" s="166" t="s">
        <v>3724</v>
      </c>
      <c r="B2287" s="167" t="s">
        <v>2509</v>
      </c>
      <c r="C2287" s="167">
        <v>14118620</v>
      </c>
      <c r="D2287" s="167" t="s">
        <v>205</v>
      </c>
      <c r="E2287" s="167" t="s">
        <v>3699</v>
      </c>
      <c r="F2287" s="168">
        <v>36.49</v>
      </c>
    </row>
    <row r="2288" spans="1:6" x14ac:dyDescent="0.2">
      <c r="A2288" s="163" t="s">
        <v>3724</v>
      </c>
      <c r="B2288" s="164" t="s">
        <v>2509</v>
      </c>
      <c r="C2288" s="164">
        <v>14118579</v>
      </c>
      <c r="D2288" s="164" t="s">
        <v>471</v>
      </c>
      <c r="E2288" s="164" t="s">
        <v>3699</v>
      </c>
      <c r="F2288" s="165">
        <v>32.880000000000003</v>
      </c>
    </row>
    <row r="2289" spans="1:6" x14ac:dyDescent="0.2">
      <c r="A2289" s="166" t="s">
        <v>3724</v>
      </c>
      <c r="B2289" s="167" t="s">
        <v>2509</v>
      </c>
      <c r="C2289" s="167">
        <v>14118505</v>
      </c>
      <c r="D2289" s="167" t="s">
        <v>356</v>
      </c>
      <c r="E2289" s="167" t="s">
        <v>3699</v>
      </c>
      <c r="F2289" s="168">
        <v>33.81</v>
      </c>
    </row>
    <row r="2290" spans="1:6" x14ac:dyDescent="0.2">
      <c r="A2290" s="163" t="s">
        <v>3724</v>
      </c>
      <c r="B2290" s="164" t="s">
        <v>2509</v>
      </c>
      <c r="C2290" s="164">
        <v>14118501</v>
      </c>
      <c r="D2290" s="164" t="s">
        <v>203</v>
      </c>
      <c r="E2290" s="164" t="s">
        <v>3699</v>
      </c>
      <c r="F2290" s="165">
        <v>33.81</v>
      </c>
    </row>
    <row r="2291" spans="1:6" x14ac:dyDescent="0.2">
      <c r="A2291" s="166" t="s">
        <v>3724</v>
      </c>
      <c r="B2291" s="167" t="s">
        <v>2509</v>
      </c>
      <c r="C2291" s="167">
        <v>14118499</v>
      </c>
      <c r="D2291" s="167" t="s">
        <v>202</v>
      </c>
      <c r="E2291" s="167" t="s">
        <v>3699</v>
      </c>
      <c r="F2291" s="168">
        <v>36.49</v>
      </c>
    </row>
    <row r="2292" spans="1:6" x14ac:dyDescent="0.2">
      <c r="A2292" s="163" t="s">
        <v>3724</v>
      </c>
      <c r="B2292" s="164" t="s">
        <v>2509</v>
      </c>
      <c r="C2292" s="164">
        <v>14118440</v>
      </c>
      <c r="D2292" s="164" t="s">
        <v>201</v>
      </c>
      <c r="E2292" s="164" t="s">
        <v>3699</v>
      </c>
      <c r="F2292" s="165">
        <v>36.49</v>
      </c>
    </row>
    <row r="2293" spans="1:6" x14ac:dyDescent="0.2">
      <c r="A2293" s="166" t="s">
        <v>3724</v>
      </c>
      <c r="B2293" s="167" t="s">
        <v>2509</v>
      </c>
      <c r="C2293" s="167">
        <v>14118397</v>
      </c>
      <c r="D2293" s="167" t="s">
        <v>200</v>
      </c>
      <c r="E2293" s="167" t="s">
        <v>3699</v>
      </c>
      <c r="F2293" s="168">
        <v>36.49</v>
      </c>
    </row>
    <row r="2294" spans="1:6" x14ac:dyDescent="0.2">
      <c r="A2294" s="163" t="s">
        <v>3724</v>
      </c>
      <c r="B2294" s="164" t="s">
        <v>2509</v>
      </c>
      <c r="C2294" s="164">
        <v>14118341</v>
      </c>
      <c r="D2294" s="164" t="s">
        <v>199</v>
      </c>
      <c r="E2294" s="164" t="s">
        <v>3699</v>
      </c>
      <c r="F2294" s="165">
        <v>33.81</v>
      </c>
    </row>
    <row r="2295" spans="1:6" x14ac:dyDescent="0.2">
      <c r="A2295" s="166" t="s">
        <v>3724</v>
      </c>
      <c r="B2295" s="167" t="s">
        <v>2509</v>
      </c>
      <c r="C2295" s="167">
        <v>14118225</v>
      </c>
      <c r="D2295" s="167" t="s">
        <v>272</v>
      </c>
      <c r="E2295" s="167" t="s">
        <v>3699</v>
      </c>
      <c r="F2295" s="168">
        <v>35.04</v>
      </c>
    </row>
    <row r="2296" spans="1:6" x14ac:dyDescent="0.2">
      <c r="A2296" s="163" t="s">
        <v>3724</v>
      </c>
      <c r="B2296" s="164" t="s">
        <v>2509</v>
      </c>
      <c r="C2296" s="164">
        <v>14118210</v>
      </c>
      <c r="D2296" s="164" t="s">
        <v>194</v>
      </c>
      <c r="E2296" s="164" t="s">
        <v>3699</v>
      </c>
      <c r="F2296" s="165">
        <v>36.49</v>
      </c>
    </row>
    <row r="2297" spans="1:6" x14ac:dyDescent="0.2">
      <c r="A2297" s="166" t="s">
        <v>3724</v>
      </c>
      <c r="B2297" s="167" t="s">
        <v>2509</v>
      </c>
      <c r="C2297" s="167">
        <v>14118196</v>
      </c>
      <c r="D2297" s="167" t="s">
        <v>193</v>
      </c>
      <c r="E2297" s="167" t="s">
        <v>3699</v>
      </c>
      <c r="F2297" s="168">
        <v>36.49</v>
      </c>
    </row>
    <row r="2298" spans="1:6" x14ac:dyDescent="0.2">
      <c r="A2298" s="163" t="s">
        <v>3724</v>
      </c>
      <c r="B2298" s="164" t="s">
        <v>2509</v>
      </c>
      <c r="C2298" s="164">
        <v>14118186</v>
      </c>
      <c r="D2298" s="164" t="s">
        <v>192</v>
      </c>
      <c r="E2298" s="164" t="s">
        <v>3699</v>
      </c>
      <c r="F2298" s="165">
        <v>36.49</v>
      </c>
    </row>
    <row r="2299" spans="1:6" x14ac:dyDescent="0.2">
      <c r="A2299" s="166" t="s">
        <v>3724</v>
      </c>
      <c r="B2299" s="167" t="s">
        <v>2509</v>
      </c>
      <c r="C2299" s="167">
        <v>14118184</v>
      </c>
      <c r="D2299" s="167" t="s">
        <v>239</v>
      </c>
      <c r="E2299" s="167" t="s">
        <v>3699</v>
      </c>
      <c r="F2299" s="168">
        <v>35.04</v>
      </c>
    </row>
    <row r="2300" spans="1:6" x14ac:dyDescent="0.2">
      <c r="A2300" s="163" t="s">
        <v>3724</v>
      </c>
      <c r="B2300" s="164" t="s">
        <v>2509</v>
      </c>
      <c r="C2300" s="164">
        <v>14118065</v>
      </c>
      <c r="D2300" s="164" t="s">
        <v>191</v>
      </c>
      <c r="E2300" s="164" t="s">
        <v>3699</v>
      </c>
      <c r="F2300" s="165">
        <v>35.04</v>
      </c>
    </row>
    <row r="2301" spans="1:6" x14ac:dyDescent="0.2">
      <c r="A2301" s="166" t="s">
        <v>3724</v>
      </c>
      <c r="B2301" s="167" t="s">
        <v>2509</v>
      </c>
      <c r="C2301" s="167">
        <v>14118028</v>
      </c>
      <c r="D2301" s="167" t="s">
        <v>189</v>
      </c>
      <c r="E2301" s="167" t="s">
        <v>3699</v>
      </c>
      <c r="F2301" s="168">
        <v>35.04</v>
      </c>
    </row>
    <row r="2302" spans="1:6" x14ac:dyDescent="0.2">
      <c r="A2302" s="163" t="s">
        <v>3724</v>
      </c>
      <c r="B2302" s="164" t="s">
        <v>2509</v>
      </c>
      <c r="C2302" s="164">
        <v>14117986</v>
      </c>
      <c r="D2302" s="164" t="s">
        <v>188</v>
      </c>
      <c r="E2302" s="164" t="s">
        <v>3699</v>
      </c>
      <c r="F2302" s="165">
        <v>36.49</v>
      </c>
    </row>
    <row r="2303" spans="1:6" x14ac:dyDescent="0.2">
      <c r="A2303" s="166" t="s">
        <v>3724</v>
      </c>
      <c r="B2303" s="167" t="s">
        <v>2509</v>
      </c>
      <c r="C2303" s="167">
        <v>14117970</v>
      </c>
      <c r="D2303" s="167" t="s">
        <v>190</v>
      </c>
      <c r="E2303" s="167" t="s">
        <v>3699</v>
      </c>
      <c r="F2303" s="168">
        <v>42.65</v>
      </c>
    </row>
    <row r="2304" spans="1:6" x14ac:dyDescent="0.2">
      <c r="A2304" s="163" t="s">
        <v>3724</v>
      </c>
      <c r="B2304" s="164" t="s">
        <v>2509</v>
      </c>
      <c r="C2304" s="164">
        <v>14117969</v>
      </c>
      <c r="D2304" s="164" t="s">
        <v>405</v>
      </c>
      <c r="E2304" s="164" t="s">
        <v>3699</v>
      </c>
      <c r="F2304" s="165">
        <v>33.81</v>
      </c>
    </row>
    <row r="2305" spans="1:6" x14ac:dyDescent="0.2">
      <c r="A2305" s="166" t="s">
        <v>3724</v>
      </c>
      <c r="B2305" s="167" t="s">
        <v>2509</v>
      </c>
      <c r="C2305" s="167">
        <v>14117967</v>
      </c>
      <c r="D2305" s="167" t="s">
        <v>186</v>
      </c>
      <c r="E2305" s="167" t="s">
        <v>3699</v>
      </c>
      <c r="F2305" s="168">
        <v>36.49</v>
      </c>
    </row>
    <row r="2306" spans="1:6" x14ac:dyDescent="0.2">
      <c r="A2306" s="163" t="s">
        <v>3724</v>
      </c>
      <c r="B2306" s="164" t="s">
        <v>2509</v>
      </c>
      <c r="C2306" s="164">
        <v>14117647</v>
      </c>
      <c r="D2306" s="164" t="s">
        <v>181</v>
      </c>
      <c r="E2306" s="164" t="s">
        <v>3699</v>
      </c>
      <c r="F2306" s="165">
        <v>36.49</v>
      </c>
    </row>
    <row r="2307" spans="1:6" x14ac:dyDescent="0.2">
      <c r="A2307" s="166" t="s">
        <v>3724</v>
      </c>
      <c r="B2307" s="167" t="s">
        <v>2509</v>
      </c>
      <c r="C2307" s="167">
        <v>14117542</v>
      </c>
      <c r="D2307" s="167" t="s">
        <v>180</v>
      </c>
      <c r="E2307" s="167" t="s">
        <v>3699</v>
      </c>
      <c r="F2307" s="168">
        <v>36.49</v>
      </c>
    </row>
    <row r="2308" spans="1:6" x14ac:dyDescent="0.2">
      <c r="A2308" s="163" t="s">
        <v>3724</v>
      </c>
      <c r="B2308" s="164" t="s">
        <v>2509</v>
      </c>
      <c r="C2308" s="164">
        <v>14117509</v>
      </c>
      <c r="D2308" s="164" t="s">
        <v>237</v>
      </c>
      <c r="E2308" s="164" t="s">
        <v>3699</v>
      </c>
      <c r="F2308" s="165">
        <v>35.04</v>
      </c>
    </row>
    <row r="2309" spans="1:6" x14ac:dyDescent="0.2">
      <c r="A2309" s="166" t="s">
        <v>3724</v>
      </c>
      <c r="B2309" s="167" t="s">
        <v>2509</v>
      </c>
      <c r="C2309" s="167">
        <v>14117508</v>
      </c>
      <c r="D2309" s="167" t="s">
        <v>318</v>
      </c>
      <c r="E2309" s="167" t="s">
        <v>3699</v>
      </c>
      <c r="F2309" s="168">
        <v>33.81</v>
      </c>
    </row>
    <row r="2310" spans="1:6" x14ac:dyDescent="0.2">
      <c r="A2310" s="163" t="s">
        <v>3724</v>
      </c>
      <c r="B2310" s="164" t="s">
        <v>2509</v>
      </c>
      <c r="C2310" s="164">
        <v>14117400</v>
      </c>
      <c r="D2310" s="164" t="s">
        <v>179</v>
      </c>
      <c r="E2310" s="164" t="s">
        <v>3699</v>
      </c>
      <c r="F2310" s="165">
        <v>36.49</v>
      </c>
    </row>
    <row r="2311" spans="1:6" x14ac:dyDescent="0.2">
      <c r="A2311" s="166" t="s">
        <v>3724</v>
      </c>
      <c r="B2311" s="167" t="s">
        <v>2509</v>
      </c>
      <c r="C2311" s="167">
        <v>14117297</v>
      </c>
      <c r="D2311" s="167" t="s">
        <v>178</v>
      </c>
      <c r="E2311" s="167" t="s">
        <v>3699</v>
      </c>
      <c r="F2311" s="168">
        <v>36.49</v>
      </c>
    </row>
    <row r="2312" spans="1:6" x14ac:dyDescent="0.2">
      <c r="A2312" s="163" t="s">
        <v>3724</v>
      </c>
      <c r="B2312" s="164" t="s">
        <v>2509</v>
      </c>
      <c r="C2312" s="164">
        <v>14117160</v>
      </c>
      <c r="D2312" s="164" t="s">
        <v>177</v>
      </c>
      <c r="E2312" s="164" t="s">
        <v>3699</v>
      </c>
      <c r="F2312" s="165">
        <v>36.49</v>
      </c>
    </row>
    <row r="2313" spans="1:6" x14ac:dyDescent="0.2">
      <c r="A2313" s="166" t="s">
        <v>3724</v>
      </c>
      <c r="B2313" s="167" t="s">
        <v>2509</v>
      </c>
      <c r="C2313" s="167">
        <v>14117158</v>
      </c>
      <c r="D2313" s="167" t="s">
        <v>176</v>
      </c>
      <c r="E2313" s="167" t="s">
        <v>3699</v>
      </c>
      <c r="F2313" s="168">
        <v>33.81</v>
      </c>
    </row>
    <row r="2314" spans="1:6" x14ac:dyDescent="0.2">
      <c r="A2314" s="163" t="s">
        <v>3724</v>
      </c>
      <c r="B2314" s="164" t="s">
        <v>2509</v>
      </c>
      <c r="C2314" s="164">
        <v>14117157</v>
      </c>
      <c r="D2314" s="164" t="s">
        <v>246</v>
      </c>
      <c r="E2314" s="164" t="s">
        <v>3699</v>
      </c>
      <c r="F2314" s="165">
        <v>35.04</v>
      </c>
    </row>
    <row r="2315" spans="1:6" x14ac:dyDescent="0.2">
      <c r="A2315" s="166" t="s">
        <v>3724</v>
      </c>
      <c r="B2315" s="167" t="s">
        <v>2509</v>
      </c>
      <c r="C2315" s="167">
        <v>14117156</v>
      </c>
      <c r="D2315" s="167" t="s">
        <v>241</v>
      </c>
      <c r="E2315" s="167" t="s">
        <v>3699</v>
      </c>
      <c r="F2315" s="168">
        <v>35.04</v>
      </c>
    </row>
    <row r="2316" spans="1:6" x14ac:dyDescent="0.2">
      <c r="A2316" s="163" t="s">
        <v>3724</v>
      </c>
      <c r="B2316" s="164" t="s">
        <v>2509</v>
      </c>
      <c r="C2316" s="164">
        <v>14116958</v>
      </c>
      <c r="D2316" s="164" t="s">
        <v>175</v>
      </c>
      <c r="E2316" s="164" t="s">
        <v>3699</v>
      </c>
      <c r="F2316" s="165">
        <v>38.86</v>
      </c>
    </row>
    <row r="2317" spans="1:6" x14ac:dyDescent="0.2">
      <c r="A2317" s="166" t="s">
        <v>3724</v>
      </c>
      <c r="B2317" s="167" t="s">
        <v>2509</v>
      </c>
      <c r="C2317" s="167">
        <v>14116929</v>
      </c>
      <c r="D2317" s="167" t="s">
        <v>373</v>
      </c>
      <c r="E2317" s="167" t="s">
        <v>3699</v>
      </c>
      <c r="F2317" s="168">
        <v>36.49</v>
      </c>
    </row>
    <row r="2318" spans="1:6" x14ac:dyDescent="0.2">
      <c r="A2318" s="163" t="s">
        <v>3724</v>
      </c>
      <c r="B2318" s="164" t="s">
        <v>2509</v>
      </c>
      <c r="C2318" s="164">
        <v>14116917</v>
      </c>
      <c r="D2318" s="164" t="s">
        <v>174</v>
      </c>
      <c r="E2318" s="164" t="s">
        <v>3699</v>
      </c>
      <c r="F2318" s="165">
        <v>36.49</v>
      </c>
    </row>
    <row r="2319" spans="1:6" x14ac:dyDescent="0.2">
      <c r="A2319" s="166" t="s">
        <v>3724</v>
      </c>
      <c r="B2319" s="167" t="s">
        <v>2509</v>
      </c>
      <c r="C2319" s="167">
        <v>14116900</v>
      </c>
      <c r="D2319" s="167" t="s">
        <v>173</v>
      </c>
      <c r="E2319" s="167" t="s">
        <v>3699</v>
      </c>
      <c r="F2319" s="168">
        <v>39.82</v>
      </c>
    </row>
    <row r="2320" spans="1:6" x14ac:dyDescent="0.2">
      <c r="A2320" s="163" t="s">
        <v>3724</v>
      </c>
      <c r="B2320" s="164" t="s">
        <v>2509</v>
      </c>
      <c r="C2320" s="164">
        <v>14116860</v>
      </c>
      <c r="D2320" s="164" t="s">
        <v>172</v>
      </c>
      <c r="E2320" s="164" t="s">
        <v>3699</v>
      </c>
      <c r="F2320" s="165">
        <v>33.81</v>
      </c>
    </row>
    <row r="2321" spans="1:6" x14ac:dyDescent="0.2">
      <c r="A2321" s="166" t="s">
        <v>3724</v>
      </c>
      <c r="B2321" s="167" t="s">
        <v>2509</v>
      </c>
      <c r="C2321" s="167">
        <v>14116855</v>
      </c>
      <c r="D2321" s="167" t="s">
        <v>171</v>
      </c>
      <c r="E2321" s="167" t="s">
        <v>3699</v>
      </c>
      <c r="F2321" s="168">
        <v>36.49</v>
      </c>
    </row>
    <row r="2322" spans="1:6" x14ac:dyDescent="0.2">
      <c r="A2322" s="163" t="s">
        <v>3724</v>
      </c>
      <c r="B2322" s="164" t="s">
        <v>2509</v>
      </c>
      <c r="C2322" s="164">
        <v>14116853</v>
      </c>
      <c r="D2322" s="164" t="s">
        <v>256</v>
      </c>
      <c r="E2322" s="164" t="s">
        <v>3699</v>
      </c>
      <c r="F2322" s="165">
        <v>35.04</v>
      </c>
    </row>
    <row r="2323" spans="1:6" x14ac:dyDescent="0.2">
      <c r="A2323" s="166" t="s">
        <v>3724</v>
      </c>
      <c r="B2323" s="167" t="s">
        <v>2509</v>
      </c>
      <c r="C2323" s="167">
        <v>14116723</v>
      </c>
      <c r="D2323" s="167" t="s">
        <v>170</v>
      </c>
      <c r="E2323" s="167" t="s">
        <v>3699</v>
      </c>
      <c r="F2323" s="168">
        <v>36.49</v>
      </c>
    </row>
    <row r="2324" spans="1:6" x14ac:dyDescent="0.2">
      <c r="A2324" s="163" t="s">
        <v>3724</v>
      </c>
      <c r="B2324" s="164" t="s">
        <v>2509</v>
      </c>
      <c r="C2324" s="164">
        <v>14116643</v>
      </c>
      <c r="D2324" s="164" t="s">
        <v>295</v>
      </c>
      <c r="E2324" s="164" t="s">
        <v>3699</v>
      </c>
      <c r="F2324" s="165">
        <v>35.04</v>
      </c>
    </row>
    <row r="2325" spans="1:6" x14ac:dyDescent="0.2">
      <c r="A2325" s="166" t="s">
        <v>3724</v>
      </c>
      <c r="B2325" s="167" t="s">
        <v>2509</v>
      </c>
      <c r="C2325" s="167">
        <v>14116577</v>
      </c>
      <c r="D2325" s="167" t="s">
        <v>168</v>
      </c>
      <c r="E2325" s="167" t="s">
        <v>3699</v>
      </c>
      <c r="F2325" s="168">
        <v>46.63</v>
      </c>
    </row>
    <row r="2326" spans="1:6" x14ac:dyDescent="0.2">
      <c r="A2326" s="163" t="s">
        <v>3724</v>
      </c>
      <c r="B2326" s="164" t="s">
        <v>2509</v>
      </c>
      <c r="C2326" s="164">
        <v>14116565</v>
      </c>
      <c r="D2326" s="164" t="s">
        <v>463</v>
      </c>
      <c r="E2326" s="164" t="s">
        <v>3699</v>
      </c>
      <c r="F2326" s="165">
        <v>32.880000000000003</v>
      </c>
    </row>
    <row r="2327" spans="1:6" x14ac:dyDescent="0.2">
      <c r="A2327" s="166" t="s">
        <v>3724</v>
      </c>
      <c r="B2327" s="167" t="s">
        <v>2509</v>
      </c>
      <c r="C2327" s="167">
        <v>14116564</v>
      </c>
      <c r="D2327" s="167" t="s">
        <v>167</v>
      </c>
      <c r="E2327" s="167" t="s">
        <v>3699</v>
      </c>
      <c r="F2327" s="168">
        <v>36.49</v>
      </c>
    </row>
    <row r="2328" spans="1:6" x14ac:dyDescent="0.2">
      <c r="A2328" s="163" t="s">
        <v>3724</v>
      </c>
      <c r="B2328" s="164" t="s">
        <v>2509</v>
      </c>
      <c r="C2328" s="164">
        <v>14116504</v>
      </c>
      <c r="D2328" s="164" t="s">
        <v>165</v>
      </c>
      <c r="E2328" s="164" t="s">
        <v>3699</v>
      </c>
      <c r="F2328" s="165">
        <v>36.49</v>
      </c>
    </row>
    <row r="2329" spans="1:6" x14ac:dyDescent="0.2">
      <c r="A2329" s="166" t="s">
        <v>3724</v>
      </c>
      <c r="B2329" s="167" t="s">
        <v>2509</v>
      </c>
      <c r="C2329" s="167">
        <v>14116433</v>
      </c>
      <c r="D2329" s="167" t="s">
        <v>164</v>
      </c>
      <c r="E2329" s="167" t="s">
        <v>3699</v>
      </c>
      <c r="F2329" s="168">
        <v>36.49</v>
      </c>
    </row>
    <row r="2330" spans="1:6" x14ac:dyDescent="0.2">
      <c r="A2330" s="163" t="s">
        <v>3724</v>
      </c>
      <c r="B2330" s="164" t="s">
        <v>2509</v>
      </c>
      <c r="C2330" s="164">
        <v>14116431</v>
      </c>
      <c r="D2330" s="164" t="s">
        <v>163</v>
      </c>
      <c r="E2330" s="164" t="s">
        <v>3699</v>
      </c>
      <c r="F2330" s="165">
        <v>36.49</v>
      </c>
    </row>
    <row r="2331" spans="1:6" x14ac:dyDescent="0.2">
      <c r="A2331" s="166" t="s">
        <v>3724</v>
      </c>
      <c r="B2331" s="167" t="s">
        <v>2509</v>
      </c>
      <c r="C2331" s="167">
        <v>14116373</v>
      </c>
      <c r="D2331" s="167" t="s">
        <v>162</v>
      </c>
      <c r="E2331" s="167" t="s">
        <v>3699</v>
      </c>
      <c r="F2331" s="168">
        <v>36.49</v>
      </c>
    </row>
    <row r="2332" spans="1:6" x14ac:dyDescent="0.2">
      <c r="A2332" s="163" t="s">
        <v>3724</v>
      </c>
      <c r="B2332" s="164" t="s">
        <v>2509</v>
      </c>
      <c r="C2332" s="164">
        <v>14116352</v>
      </c>
      <c r="D2332" s="164" t="s">
        <v>160</v>
      </c>
      <c r="E2332" s="164" t="s">
        <v>3699</v>
      </c>
      <c r="F2332" s="165">
        <v>33.81</v>
      </c>
    </row>
    <row r="2333" spans="1:6" x14ac:dyDescent="0.2">
      <c r="A2333" s="166" t="s">
        <v>3724</v>
      </c>
      <c r="B2333" s="167" t="s">
        <v>2509</v>
      </c>
      <c r="C2333" s="167">
        <v>14116295</v>
      </c>
      <c r="D2333" s="167" t="s">
        <v>159</v>
      </c>
      <c r="E2333" s="167" t="s">
        <v>3699</v>
      </c>
      <c r="F2333" s="168">
        <v>36.49</v>
      </c>
    </row>
    <row r="2334" spans="1:6" x14ac:dyDescent="0.2">
      <c r="A2334" s="163" t="s">
        <v>3724</v>
      </c>
      <c r="B2334" s="164" t="s">
        <v>2509</v>
      </c>
      <c r="C2334" s="164">
        <v>14116262</v>
      </c>
      <c r="D2334" s="164" t="s">
        <v>158</v>
      </c>
      <c r="E2334" s="164" t="s">
        <v>3699</v>
      </c>
      <c r="F2334" s="165">
        <v>36.49</v>
      </c>
    </row>
    <row r="2335" spans="1:6" x14ac:dyDescent="0.2">
      <c r="A2335" s="166" t="s">
        <v>3724</v>
      </c>
      <c r="B2335" s="167" t="s">
        <v>2509</v>
      </c>
      <c r="C2335" s="167">
        <v>14116250</v>
      </c>
      <c r="D2335" s="167" t="s">
        <v>431</v>
      </c>
      <c r="E2335" s="167" t="s">
        <v>3699</v>
      </c>
      <c r="F2335" s="168">
        <v>32.880000000000003</v>
      </c>
    </row>
    <row r="2336" spans="1:6" x14ac:dyDescent="0.2">
      <c r="A2336" s="163" t="s">
        <v>3724</v>
      </c>
      <c r="B2336" s="164" t="s">
        <v>2509</v>
      </c>
      <c r="C2336" s="164">
        <v>14116134</v>
      </c>
      <c r="D2336" s="164" t="s">
        <v>157</v>
      </c>
      <c r="E2336" s="164" t="s">
        <v>3699</v>
      </c>
      <c r="F2336" s="165">
        <v>33.81</v>
      </c>
    </row>
    <row r="2337" spans="1:6" x14ac:dyDescent="0.2">
      <c r="A2337" s="166" t="s">
        <v>3724</v>
      </c>
      <c r="B2337" s="167" t="s">
        <v>2509</v>
      </c>
      <c r="C2337" s="167">
        <v>14116097</v>
      </c>
      <c r="D2337" s="167" t="s">
        <v>155</v>
      </c>
      <c r="E2337" s="167" t="s">
        <v>3699</v>
      </c>
      <c r="F2337" s="168">
        <v>52.21</v>
      </c>
    </row>
    <row r="2338" spans="1:6" x14ac:dyDescent="0.2">
      <c r="A2338" s="163" t="s">
        <v>3724</v>
      </c>
      <c r="B2338" s="164" t="s">
        <v>2509</v>
      </c>
      <c r="C2338" s="164">
        <v>14116058</v>
      </c>
      <c r="D2338" s="164" t="s">
        <v>154</v>
      </c>
      <c r="E2338" s="164" t="s">
        <v>3699</v>
      </c>
      <c r="F2338" s="165">
        <v>36.49</v>
      </c>
    </row>
    <row r="2339" spans="1:6" x14ac:dyDescent="0.2">
      <c r="A2339" s="166" t="s">
        <v>3724</v>
      </c>
      <c r="B2339" s="167" t="s">
        <v>2509</v>
      </c>
      <c r="C2339" s="167">
        <v>14116046</v>
      </c>
      <c r="D2339" s="167" t="s">
        <v>153</v>
      </c>
      <c r="E2339" s="167" t="s">
        <v>3699</v>
      </c>
      <c r="F2339" s="168">
        <v>36.49</v>
      </c>
    </row>
    <row r="2340" spans="1:6" x14ac:dyDescent="0.2">
      <c r="A2340" s="163" t="s">
        <v>3724</v>
      </c>
      <c r="B2340" s="164" t="s">
        <v>2509</v>
      </c>
      <c r="C2340" s="164">
        <v>14116000</v>
      </c>
      <c r="D2340" s="164" t="s">
        <v>152</v>
      </c>
      <c r="E2340" s="164" t="s">
        <v>3699</v>
      </c>
      <c r="F2340" s="165">
        <v>36.49</v>
      </c>
    </row>
    <row r="2341" spans="1:6" x14ac:dyDescent="0.2">
      <c r="A2341" s="166" t="s">
        <v>3724</v>
      </c>
      <c r="B2341" s="167" t="s">
        <v>2509</v>
      </c>
      <c r="C2341" s="167">
        <v>14115917</v>
      </c>
      <c r="D2341" s="167" t="s">
        <v>151</v>
      </c>
      <c r="E2341" s="167" t="s">
        <v>3699</v>
      </c>
      <c r="F2341" s="168">
        <v>36.49</v>
      </c>
    </row>
    <row r="2342" spans="1:6" x14ac:dyDescent="0.2">
      <c r="A2342" s="163" t="s">
        <v>3724</v>
      </c>
      <c r="B2342" s="164" t="s">
        <v>2509</v>
      </c>
      <c r="C2342" s="164">
        <v>14115909</v>
      </c>
      <c r="D2342" s="164" t="s">
        <v>341</v>
      </c>
      <c r="E2342" s="164" t="s">
        <v>3699</v>
      </c>
      <c r="F2342" s="165">
        <v>36.49</v>
      </c>
    </row>
    <row r="2343" spans="1:6" x14ac:dyDescent="0.2">
      <c r="A2343" s="166" t="s">
        <v>3724</v>
      </c>
      <c r="B2343" s="167" t="s">
        <v>2509</v>
      </c>
      <c r="C2343" s="167">
        <v>14115908</v>
      </c>
      <c r="D2343" s="167" t="s">
        <v>150</v>
      </c>
      <c r="E2343" s="167" t="s">
        <v>3699</v>
      </c>
      <c r="F2343" s="168">
        <v>36.49</v>
      </c>
    </row>
    <row r="2344" spans="1:6" x14ac:dyDescent="0.2">
      <c r="A2344" s="163" t="s">
        <v>3724</v>
      </c>
      <c r="B2344" s="164" t="s">
        <v>2509</v>
      </c>
      <c r="C2344" s="164">
        <v>14115830</v>
      </c>
      <c r="D2344" s="164" t="s">
        <v>149</v>
      </c>
      <c r="E2344" s="164" t="s">
        <v>3699</v>
      </c>
      <c r="F2344" s="165">
        <v>36.49</v>
      </c>
    </row>
    <row r="2345" spans="1:6" x14ac:dyDescent="0.2">
      <c r="A2345" s="166" t="s">
        <v>3724</v>
      </c>
      <c r="B2345" s="167" t="s">
        <v>2509</v>
      </c>
      <c r="C2345" s="167">
        <v>14115820</v>
      </c>
      <c r="D2345" s="167" t="s">
        <v>148</v>
      </c>
      <c r="E2345" s="167" t="s">
        <v>3699</v>
      </c>
      <c r="F2345" s="168">
        <v>33.81</v>
      </c>
    </row>
    <row r="2346" spans="1:6" x14ac:dyDescent="0.2">
      <c r="A2346" s="163" t="s">
        <v>3724</v>
      </c>
      <c r="B2346" s="164" t="s">
        <v>2509</v>
      </c>
      <c r="C2346" s="164">
        <v>14115630</v>
      </c>
      <c r="D2346" s="164" t="s">
        <v>146</v>
      </c>
      <c r="E2346" s="164" t="s">
        <v>3699</v>
      </c>
      <c r="F2346" s="165">
        <v>36.49</v>
      </c>
    </row>
    <row r="2347" spans="1:6" x14ac:dyDescent="0.2">
      <c r="A2347" s="166" t="s">
        <v>3724</v>
      </c>
      <c r="B2347" s="167" t="s">
        <v>2509</v>
      </c>
      <c r="C2347" s="167">
        <v>14115536</v>
      </c>
      <c r="D2347" s="167" t="s">
        <v>144</v>
      </c>
      <c r="E2347" s="167" t="s">
        <v>3699</v>
      </c>
      <c r="F2347" s="168">
        <v>36.49</v>
      </c>
    </row>
    <row r="2348" spans="1:6" x14ac:dyDescent="0.2">
      <c r="A2348" s="163" t="s">
        <v>3724</v>
      </c>
      <c r="B2348" s="164" t="s">
        <v>2509</v>
      </c>
      <c r="C2348" s="164">
        <v>14115535</v>
      </c>
      <c r="D2348" s="164" t="s">
        <v>289</v>
      </c>
      <c r="E2348" s="164" t="s">
        <v>3699</v>
      </c>
      <c r="F2348" s="165">
        <v>32.880000000000003</v>
      </c>
    </row>
    <row r="2349" spans="1:6" x14ac:dyDescent="0.2">
      <c r="A2349" s="166" t="s">
        <v>3724</v>
      </c>
      <c r="B2349" s="167" t="s">
        <v>2509</v>
      </c>
      <c r="C2349" s="167">
        <v>14115435</v>
      </c>
      <c r="D2349" s="167" t="s">
        <v>143</v>
      </c>
      <c r="E2349" s="167" t="s">
        <v>3699</v>
      </c>
      <c r="F2349" s="168">
        <v>33.81</v>
      </c>
    </row>
    <row r="2350" spans="1:6" x14ac:dyDescent="0.2">
      <c r="A2350" s="163" t="s">
        <v>3724</v>
      </c>
      <c r="B2350" s="164" t="s">
        <v>2509</v>
      </c>
      <c r="C2350" s="164">
        <v>14115304</v>
      </c>
      <c r="D2350" s="164" t="s">
        <v>142</v>
      </c>
      <c r="E2350" s="164" t="s">
        <v>3699</v>
      </c>
      <c r="F2350" s="165">
        <v>33.81</v>
      </c>
    </row>
    <row r="2351" spans="1:6" x14ac:dyDescent="0.2">
      <c r="A2351" s="166" t="s">
        <v>3724</v>
      </c>
      <c r="B2351" s="167" t="s">
        <v>2509</v>
      </c>
      <c r="C2351" s="167">
        <v>14115244</v>
      </c>
      <c r="D2351" s="167" t="s">
        <v>141</v>
      </c>
      <c r="E2351" s="167" t="s">
        <v>3699</v>
      </c>
      <c r="F2351" s="168">
        <v>33.81</v>
      </c>
    </row>
    <row r="2352" spans="1:6" x14ac:dyDescent="0.2">
      <c r="A2352" s="163" t="s">
        <v>3724</v>
      </c>
      <c r="B2352" s="164" t="s">
        <v>2509</v>
      </c>
      <c r="C2352" s="164">
        <v>14115136</v>
      </c>
      <c r="D2352" s="164" t="s">
        <v>140</v>
      </c>
      <c r="E2352" s="164" t="s">
        <v>3699</v>
      </c>
      <c r="F2352" s="165">
        <v>36.49</v>
      </c>
    </row>
    <row r="2353" spans="1:6" x14ac:dyDescent="0.2">
      <c r="A2353" s="166" t="s">
        <v>3724</v>
      </c>
      <c r="B2353" s="167" t="s">
        <v>2509</v>
      </c>
      <c r="C2353" s="167">
        <v>14114789</v>
      </c>
      <c r="D2353" s="167" t="s">
        <v>288</v>
      </c>
      <c r="E2353" s="167" t="s">
        <v>3699</v>
      </c>
      <c r="F2353" s="168">
        <v>46.63</v>
      </c>
    </row>
    <row r="2354" spans="1:6" x14ac:dyDescent="0.2">
      <c r="A2354" s="163" t="s">
        <v>3724</v>
      </c>
      <c r="B2354" s="164" t="s">
        <v>2509</v>
      </c>
      <c r="C2354" s="164">
        <v>14114709</v>
      </c>
      <c r="D2354" s="164" t="s">
        <v>139</v>
      </c>
      <c r="E2354" s="164" t="s">
        <v>3699</v>
      </c>
      <c r="F2354" s="165">
        <v>36.49</v>
      </c>
    </row>
    <row r="2355" spans="1:6" x14ac:dyDescent="0.2">
      <c r="A2355" s="166" t="s">
        <v>3724</v>
      </c>
      <c r="B2355" s="167" t="s">
        <v>2509</v>
      </c>
      <c r="C2355" s="167">
        <v>14114667</v>
      </c>
      <c r="D2355" s="167" t="s">
        <v>138</v>
      </c>
      <c r="E2355" s="167" t="s">
        <v>3699</v>
      </c>
      <c r="F2355" s="168">
        <v>36.49</v>
      </c>
    </row>
    <row r="2356" spans="1:6" x14ac:dyDescent="0.2">
      <c r="A2356" s="163" t="s">
        <v>3724</v>
      </c>
      <c r="B2356" s="164" t="s">
        <v>2509</v>
      </c>
      <c r="C2356" s="164">
        <v>14114665</v>
      </c>
      <c r="D2356" s="164" t="s">
        <v>137</v>
      </c>
      <c r="E2356" s="164" t="s">
        <v>3699</v>
      </c>
      <c r="F2356" s="165">
        <v>36.49</v>
      </c>
    </row>
    <row r="2357" spans="1:6" x14ac:dyDescent="0.2">
      <c r="A2357" s="166" t="s">
        <v>3724</v>
      </c>
      <c r="B2357" s="167" t="s">
        <v>2509</v>
      </c>
      <c r="C2357" s="167">
        <v>14114431</v>
      </c>
      <c r="D2357" s="167" t="s">
        <v>136</v>
      </c>
      <c r="E2357" s="167" t="s">
        <v>3699</v>
      </c>
      <c r="F2357" s="168">
        <v>36.49</v>
      </c>
    </row>
    <row r="2358" spans="1:6" x14ac:dyDescent="0.2">
      <c r="A2358" s="163" t="s">
        <v>3724</v>
      </c>
      <c r="B2358" s="164" t="s">
        <v>2509</v>
      </c>
      <c r="C2358" s="164">
        <v>14114330</v>
      </c>
      <c r="D2358" s="164" t="s">
        <v>135</v>
      </c>
      <c r="E2358" s="164" t="s">
        <v>3699</v>
      </c>
      <c r="F2358" s="165">
        <v>36.49</v>
      </c>
    </row>
    <row r="2359" spans="1:6" x14ac:dyDescent="0.2">
      <c r="A2359" s="166" t="s">
        <v>3724</v>
      </c>
      <c r="B2359" s="167" t="s">
        <v>2509</v>
      </c>
      <c r="C2359" s="167">
        <v>14114324</v>
      </c>
      <c r="D2359" s="167" t="s">
        <v>348</v>
      </c>
      <c r="E2359" s="167" t="s">
        <v>3699</v>
      </c>
      <c r="F2359" s="168">
        <v>36.49</v>
      </c>
    </row>
    <row r="2360" spans="1:6" x14ac:dyDescent="0.2">
      <c r="A2360" s="163" t="s">
        <v>3724</v>
      </c>
      <c r="B2360" s="164" t="s">
        <v>2509</v>
      </c>
      <c r="C2360" s="164">
        <v>14114320</v>
      </c>
      <c r="D2360" s="164" t="s">
        <v>317</v>
      </c>
      <c r="E2360" s="164" t="s">
        <v>3699</v>
      </c>
      <c r="F2360" s="165">
        <v>33.81</v>
      </c>
    </row>
    <row r="2361" spans="1:6" x14ac:dyDescent="0.2">
      <c r="A2361" s="166" t="s">
        <v>3724</v>
      </c>
      <c r="B2361" s="167" t="s">
        <v>2509</v>
      </c>
      <c r="C2361" s="167">
        <v>14114062</v>
      </c>
      <c r="D2361" s="167" t="s">
        <v>134</v>
      </c>
      <c r="E2361" s="167" t="s">
        <v>3699</v>
      </c>
      <c r="F2361" s="168">
        <v>36.49</v>
      </c>
    </row>
    <row r="2362" spans="1:6" x14ac:dyDescent="0.2">
      <c r="A2362" s="163" t="s">
        <v>3724</v>
      </c>
      <c r="B2362" s="164" t="s">
        <v>2509</v>
      </c>
      <c r="C2362" s="164">
        <v>14114037</v>
      </c>
      <c r="D2362" s="164" t="s">
        <v>184</v>
      </c>
      <c r="E2362" s="164" t="s">
        <v>3699</v>
      </c>
      <c r="F2362" s="165">
        <v>36.49</v>
      </c>
    </row>
    <row r="2363" spans="1:6" x14ac:dyDescent="0.2">
      <c r="A2363" s="166" t="s">
        <v>3724</v>
      </c>
      <c r="B2363" s="167" t="s">
        <v>2509</v>
      </c>
      <c r="C2363" s="167">
        <v>14114030</v>
      </c>
      <c r="D2363" s="167" t="s">
        <v>133</v>
      </c>
      <c r="E2363" s="167" t="s">
        <v>3699</v>
      </c>
      <c r="F2363" s="168">
        <v>36.49</v>
      </c>
    </row>
    <row r="2364" spans="1:6" x14ac:dyDescent="0.2">
      <c r="A2364" s="163" t="s">
        <v>3724</v>
      </c>
      <c r="B2364" s="164" t="s">
        <v>2509</v>
      </c>
      <c r="C2364" s="164">
        <v>14113837</v>
      </c>
      <c r="D2364" s="164" t="s">
        <v>132</v>
      </c>
      <c r="E2364" s="164" t="s">
        <v>3699</v>
      </c>
      <c r="F2364" s="165">
        <v>36.49</v>
      </c>
    </row>
    <row r="2365" spans="1:6" x14ac:dyDescent="0.2">
      <c r="A2365" s="166" t="s">
        <v>3724</v>
      </c>
      <c r="B2365" s="167" t="s">
        <v>2509</v>
      </c>
      <c r="C2365" s="167">
        <v>14113803</v>
      </c>
      <c r="D2365" s="167" t="s">
        <v>299</v>
      </c>
      <c r="E2365" s="167" t="s">
        <v>3699</v>
      </c>
      <c r="F2365" s="168">
        <v>35.04</v>
      </c>
    </row>
    <row r="2366" spans="1:6" x14ac:dyDescent="0.2">
      <c r="A2366" s="163" t="s">
        <v>3724</v>
      </c>
      <c r="B2366" s="164" t="s">
        <v>2509</v>
      </c>
      <c r="C2366" s="164">
        <v>14113619</v>
      </c>
      <c r="D2366" s="164" t="s">
        <v>131</v>
      </c>
      <c r="E2366" s="164" t="s">
        <v>3699</v>
      </c>
      <c r="F2366" s="165">
        <v>36.49</v>
      </c>
    </row>
    <row r="2367" spans="1:6" x14ac:dyDescent="0.2">
      <c r="A2367" s="166" t="s">
        <v>3724</v>
      </c>
      <c r="B2367" s="167" t="s">
        <v>2509</v>
      </c>
      <c r="C2367" s="167">
        <v>14113565</v>
      </c>
      <c r="D2367" s="167" t="s">
        <v>130</v>
      </c>
      <c r="E2367" s="167" t="s">
        <v>3699</v>
      </c>
      <c r="F2367" s="168">
        <v>33.81</v>
      </c>
    </row>
    <row r="2368" spans="1:6" x14ac:dyDescent="0.2">
      <c r="A2368" s="163" t="s">
        <v>3724</v>
      </c>
      <c r="B2368" s="164" t="s">
        <v>2509</v>
      </c>
      <c r="C2368" s="164">
        <v>14113349</v>
      </c>
      <c r="D2368" s="164" t="s">
        <v>129</v>
      </c>
      <c r="E2368" s="164" t="s">
        <v>3699</v>
      </c>
      <c r="F2368" s="165">
        <v>36.49</v>
      </c>
    </row>
    <row r="2369" spans="1:6" x14ac:dyDescent="0.2">
      <c r="A2369" s="166" t="s">
        <v>3724</v>
      </c>
      <c r="B2369" s="167" t="s">
        <v>2509</v>
      </c>
      <c r="C2369" s="167">
        <v>14113320</v>
      </c>
      <c r="D2369" s="167" t="s">
        <v>128</v>
      </c>
      <c r="E2369" s="167" t="s">
        <v>3699</v>
      </c>
      <c r="F2369" s="168">
        <v>36.49</v>
      </c>
    </row>
    <row r="2370" spans="1:6" x14ac:dyDescent="0.2">
      <c r="A2370" s="163" t="s">
        <v>3724</v>
      </c>
      <c r="B2370" s="164" t="s">
        <v>2509</v>
      </c>
      <c r="C2370" s="164">
        <v>14113311</v>
      </c>
      <c r="D2370" s="164" t="s">
        <v>127</v>
      </c>
      <c r="E2370" s="164" t="s">
        <v>3699</v>
      </c>
      <c r="F2370" s="165">
        <v>36.49</v>
      </c>
    </row>
    <row r="2371" spans="1:6" x14ac:dyDescent="0.2">
      <c r="A2371" s="166" t="s">
        <v>3724</v>
      </c>
      <c r="B2371" s="167" t="s">
        <v>2509</v>
      </c>
      <c r="C2371" s="167">
        <v>14113200</v>
      </c>
      <c r="D2371" s="167" t="s">
        <v>126</v>
      </c>
      <c r="E2371" s="167" t="s">
        <v>3699</v>
      </c>
      <c r="F2371" s="168">
        <v>36.49</v>
      </c>
    </row>
    <row r="2372" spans="1:6" x14ac:dyDescent="0.2">
      <c r="A2372" s="163" t="s">
        <v>3724</v>
      </c>
      <c r="B2372" s="164" t="s">
        <v>2509</v>
      </c>
      <c r="C2372" s="164">
        <v>14113198</v>
      </c>
      <c r="D2372" s="164" t="s">
        <v>215</v>
      </c>
      <c r="E2372" s="164" t="s">
        <v>3699</v>
      </c>
      <c r="F2372" s="165">
        <v>36.49</v>
      </c>
    </row>
    <row r="2373" spans="1:6" x14ac:dyDescent="0.2">
      <c r="A2373" s="166" t="s">
        <v>3724</v>
      </c>
      <c r="B2373" s="167" t="s">
        <v>2509</v>
      </c>
      <c r="C2373" s="167">
        <v>14113146</v>
      </c>
      <c r="D2373" s="167" t="s">
        <v>125</v>
      </c>
      <c r="E2373" s="167" t="s">
        <v>3699</v>
      </c>
      <c r="F2373" s="168">
        <v>33.81</v>
      </c>
    </row>
    <row r="2374" spans="1:6" x14ac:dyDescent="0.2">
      <c r="A2374" s="163" t="s">
        <v>3724</v>
      </c>
      <c r="B2374" s="164" t="s">
        <v>2509</v>
      </c>
      <c r="C2374" s="164">
        <v>14113140</v>
      </c>
      <c r="D2374" s="164" t="s">
        <v>124</v>
      </c>
      <c r="E2374" s="164" t="s">
        <v>3699</v>
      </c>
      <c r="F2374" s="165">
        <v>36.49</v>
      </c>
    </row>
    <row r="2375" spans="1:6" x14ac:dyDescent="0.2">
      <c r="A2375" s="166" t="s">
        <v>3724</v>
      </c>
      <c r="B2375" s="167" t="s">
        <v>2509</v>
      </c>
      <c r="C2375" s="167">
        <v>14113056</v>
      </c>
      <c r="D2375" s="167" t="s">
        <v>236</v>
      </c>
      <c r="E2375" s="167" t="s">
        <v>3699</v>
      </c>
      <c r="F2375" s="168">
        <v>35.04</v>
      </c>
    </row>
    <row r="2376" spans="1:6" x14ac:dyDescent="0.2">
      <c r="A2376" s="163" t="s">
        <v>3724</v>
      </c>
      <c r="B2376" s="164" t="s">
        <v>2509</v>
      </c>
      <c r="C2376" s="164">
        <v>14113054</v>
      </c>
      <c r="D2376" s="164" t="s">
        <v>123</v>
      </c>
      <c r="E2376" s="164" t="s">
        <v>3699</v>
      </c>
      <c r="F2376" s="165">
        <v>36.49</v>
      </c>
    </row>
    <row r="2377" spans="1:6" x14ac:dyDescent="0.2">
      <c r="A2377" s="166" t="s">
        <v>3724</v>
      </c>
      <c r="B2377" s="167" t="s">
        <v>2509</v>
      </c>
      <c r="C2377" s="167">
        <v>14112757</v>
      </c>
      <c r="D2377" s="167" t="s">
        <v>355</v>
      </c>
      <c r="E2377" s="167" t="s">
        <v>3699</v>
      </c>
      <c r="F2377" s="168">
        <v>36.49</v>
      </c>
    </row>
    <row r="2378" spans="1:6" x14ac:dyDescent="0.2">
      <c r="A2378" s="163" t="s">
        <v>3724</v>
      </c>
      <c r="B2378" s="164" t="s">
        <v>2509</v>
      </c>
      <c r="C2378" s="164">
        <v>14112730</v>
      </c>
      <c r="D2378" s="164" t="s">
        <v>281</v>
      </c>
      <c r="E2378" s="164" t="s">
        <v>3699</v>
      </c>
      <c r="F2378" s="165">
        <v>35.04</v>
      </c>
    </row>
    <row r="2379" spans="1:6" x14ac:dyDescent="0.2">
      <c r="A2379" s="166" t="s">
        <v>3724</v>
      </c>
      <c r="B2379" s="167" t="s">
        <v>2509</v>
      </c>
      <c r="C2379" s="167">
        <v>14112635</v>
      </c>
      <c r="D2379" s="167" t="s">
        <v>985</v>
      </c>
      <c r="E2379" s="167" t="s">
        <v>3699</v>
      </c>
      <c r="F2379" s="168">
        <v>32.880000000000003</v>
      </c>
    </row>
    <row r="2380" spans="1:6" x14ac:dyDescent="0.2">
      <c r="A2380" s="163" t="s">
        <v>3724</v>
      </c>
      <c r="B2380" s="164" t="s">
        <v>2509</v>
      </c>
      <c r="C2380" s="164">
        <v>14112630</v>
      </c>
      <c r="D2380" s="164" t="s">
        <v>122</v>
      </c>
      <c r="E2380" s="164" t="s">
        <v>3699</v>
      </c>
      <c r="F2380" s="165">
        <v>36.49</v>
      </c>
    </row>
    <row r="2381" spans="1:6" x14ac:dyDescent="0.2">
      <c r="A2381" s="166" t="s">
        <v>3724</v>
      </c>
      <c r="B2381" s="167" t="s">
        <v>2509</v>
      </c>
      <c r="C2381" s="167">
        <v>14112605</v>
      </c>
      <c r="D2381" s="167" t="s">
        <v>121</v>
      </c>
      <c r="E2381" s="167" t="s">
        <v>3699</v>
      </c>
      <c r="F2381" s="168">
        <v>36.49</v>
      </c>
    </row>
    <row r="2382" spans="1:6" x14ac:dyDescent="0.2">
      <c r="A2382" s="163" t="s">
        <v>3724</v>
      </c>
      <c r="B2382" s="164" t="s">
        <v>2509</v>
      </c>
      <c r="C2382" s="164">
        <v>14112603</v>
      </c>
      <c r="D2382" s="164" t="s">
        <v>120</v>
      </c>
      <c r="E2382" s="164" t="s">
        <v>3699</v>
      </c>
      <c r="F2382" s="165">
        <v>36.49</v>
      </c>
    </row>
    <row r="2383" spans="1:6" x14ac:dyDescent="0.2">
      <c r="A2383" s="166" t="s">
        <v>3724</v>
      </c>
      <c r="B2383" s="167" t="s">
        <v>2509</v>
      </c>
      <c r="C2383" s="167">
        <v>14112602</v>
      </c>
      <c r="D2383" s="167" t="s">
        <v>119</v>
      </c>
      <c r="E2383" s="167" t="s">
        <v>3699</v>
      </c>
      <c r="F2383" s="168">
        <v>36.49</v>
      </c>
    </row>
    <row r="2384" spans="1:6" x14ac:dyDescent="0.2">
      <c r="A2384" s="163" t="s">
        <v>3724</v>
      </c>
      <c r="B2384" s="164" t="s">
        <v>2509</v>
      </c>
      <c r="C2384" s="164">
        <v>14112597</v>
      </c>
      <c r="D2384" s="164" t="s">
        <v>118</v>
      </c>
      <c r="E2384" s="164" t="s">
        <v>3699</v>
      </c>
      <c r="F2384" s="165">
        <v>36.49</v>
      </c>
    </row>
    <row r="2385" spans="1:6" x14ac:dyDescent="0.2">
      <c r="A2385" s="166" t="s">
        <v>3724</v>
      </c>
      <c r="B2385" s="167" t="s">
        <v>2509</v>
      </c>
      <c r="C2385" s="167">
        <v>14112595</v>
      </c>
      <c r="D2385" s="167" t="s">
        <v>372</v>
      </c>
      <c r="E2385" s="167" t="s">
        <v>3699</v>
      </c>
      <c r="F2385" s="168">
        <v>36.49</v>
      </c>
    </row>
    <row r="2386" spans="1:6" x14ac:dyDescent="0.2">
      <c r="A2386" s="163" t="s">
        <v>3724</v>
      </c>
      <c r="B2386" s="164" t="s">
        <v>2509</v>
      </c>
      <c r="C2386" s="164">
        <v>14112592</v>
      </c>
      <c r="D2386" s="164" t="s">
        <v>117</v>
      </c>
      <c r="E2386" s="164" t="s">
        <v>3699</v>
      </c>
      <c r="F2386" s="165">
        <v>36.49</v>
      </c>
    </row>
    <row r="2387" spans="1:6" x14ac:dyDescent="0.2">
      <c r="A2387" s="166" t="s">
        <v>3724</v>
      </c>
      <c r="B2387" s="167" t="s">
        <v>2509</v>
      </c>
      <c r="C2387" s="167">
        <v>14112591</v>
      </c>
      <c r="D2387" s="167" t="s">
        <v>116</v>
      </c>
      <c r="E2387" s="167" t="s">
        <v>3699</v>
      </c>
      <c r="F2387" s="168">
        <v>36.49</v>
      </c>
    </row>
    <row r="2388" spans="1:6" x14ac:dyDescent="0.2">
      <c r="A2388" s="163" t="s">
        <v>3724</v>
      </c>
      <c r="B2388" s="164" t="s">
        <v>2509</v>
      </c>
      <c r="C2388" s="164">
        <v>14112588</v>
      </c>
      <c r="D2388" s="164" t="s">
        <v>935</v>
      </c>
      <c r="E2388" s="164" t="s">
        <v>3699</v>
      </c>
      <c r="F2388" s="165">
        <v>32.880000000000003</v>
      </c>
    </row>
    <row r="2389" spans="1:6" x14ac:dyDescent="0.2">
      <c r="A2389" s="166" t="s">
        <v>3724</v>
      </c>
      <c r="B2389" s="167" t="s">
        <v>2509</v>
      </c>
      <c r="C2389" s="167">
        <v>14112449</v>
      </c>
      <c r="D2389" s="167" t="s">
        <v>197</v>
      </c>
      <c r="E2389" s="167" t="s">
        <v>3699</v>
      </c>
      <c r="F2389" s="168">
        <v>36.49</v>
      </c>
    </row>
    <row r="2390" spans="1:6" x14ac:dyDescent="0.2">
      <c r="A2390" s="163" t="s">
        <v>3724</v>
      </c>
      <c r="B2390" s="164" t="s">
        <v>2509</v>
      </c>
      <c r="C2390" s="164">
        <v>14112292</v>
      </c>
      <c r="D2390" s="164" t="s">
        <v>195</v>
      </c>
      <c r="E2390" s="164" t="s">
        <v>3699</v>
      </c>
      <c r="F2390" s="165">
        <v>36.49</v>
      </c>
    </row>
    <row r="2391" spans="1:6" x14ac:dyDescent="0.2">
      <c r="A2391" s="166" t="s">
        <v>3724</v>
      </c>
      <c r="B2391" s="167" t="s">
        <v>2509</v>
      </c>
      <c r="C2391" s="167">
        <v>14112197</v>
      </c>
      <c r="D2391" s="167" t="s">
        <v>244</v>
      </c>
      <c r="E2391" s="167" t="s">
        <v>3699</v>
      </c>
      <c r="F2391" s="168">
        <v>35.04</v>
      </c>
    </row>
    <row r="2392" spans="1:6" x14ac:dyDescent="0.2">
      <c r="A2392" s="163" t="s">
        <v>3724</v>
      </c>
      <c r="B2392" s="164" t="s">
        <v>2509</v>
      </c>
      <c r="C2392" s="164">
        <v>14112174</v>
      </c>
      <c r="D2392" s="164" t="s">
        <v>115</v>
      </c>
      <c r="E2392" s="164" t="s">
        <v>3699</v>
      </c>
      <c r="F2392" s="165">
        <v>36.49</v>
      </c>
    </row>
    <row r="2393" spans="1:6" x14ac:dyDescent="0.2">
      <c r="A2393" s="166" t="s">
        <v>3724</v>
      </c>
      <c r="B2393" s="167" t="s">
        <v>2509</v>
      </c>
      <c r="C2393" s="167">
        <v>14112124</v>
      </c>
      <c r="D2393" s="167" t="s">
        <v>251</v>
      </c>
      <c r="E2393" s="167" t="s">
        <v>3699</v>
      </c>
      <c r="F2393" s="168">
        <v>35.04</v>
      </c>
    </row>
    <row r="2394" spans="1:6" x14ac:dyDescent="0.2">
      <c r="A2394" s="163" t="s">
        <v>3724</v>
      </c>
      <c r="B2394" s="164" t="s">
        <v>2509</v>
      </c>
      <c r="C2394" s="164">
        <v>14112026</v>
      </c>
      <c r="D2394" s="164" t="s">
        <v>114</v>
      </c>
      <c r="E2394" s="164" t="s">
        <v>3699</v>
      </c>
      <c r="F2394" s="165">
        <v>36.49</v>
      </c>
    </row>
    <row r="2395" spans="1:6" x14ac:dyDescent="0.2">
      <c r="A2395" s="166" t="s">
        <v>3724</v>
      </c>
      <c r="B2395" s="167" t="s">
        <v>2509</v>
      </c>
      <c r="C2395" s="167">
        <v>14111754</v>
      </c>
      <c r="D2395" s="167" t="s">
        <v>316</v>
      </c>
      <c r="E2395" s="167" t="s">
        <v>3699</v>
      </c>
      <c r="F2395" s="168">
        <v>36.49</v>
      </c>
    </row>
    <row r="2396" spans="1:6" x14ac:dyDescent="0.2">
      <c r="A2396" s="163" t="s">
        <v>3724</v>
      </c>
      <c r="B2396" s="164" t="s">
        <v>2509</v>
      </c>
      <c r="C2396" s="164">
        <v>14111678</v>
      </c>
      <c r="D2396" s="164" t="s">
        <v>284</v>
      </c>
      <c r="E2396" s="164" t="s">
        <v>3699</v>
      </c>
      <c r="F2396" s="165">
        <v>35.04</v>
      </c>
    </row>
    <row r="2397" spans="1:6" x14ac:dyDescent="0.2">
      <c r="A2397" s="166" t="s">
        <v>3724</v>
      </c>
      <c r="B2397" s="167" t="s">
        <v>2509</v>
      </c>
      <c r="C2397" s="167">
        <v>14111675</v>
      </c>
      <c r="D2397" s="167" t="s">
        <v>113</v>
      </c>
      <c r="E2397" s="167" t="s">
        <v>3699</v>
      </c>
      <c r="F2397" s="168">
        <v>33.81</v>
      </c>
    </row>
    <row r="2398" spans="1:6" x14ac:dyDescent="0.2">
      <c r="A2398" s="163" t="s">
        <v>3724</v>
      </c>
      <c r="B2398" s="164" t="s">
        <v>2509</v>
      </c>
      <c r="C2398" s="164">
        <v>14111557</v>
      </c>
      <c r="D2398" s="164" t="s">
        <v>112</v>
      </c>
      <c r="E2398" s="164" t="s">
        <v>3699</v>
      </c>
      <c r="F2398" s="165">
        <v>36.49</v>
      </c>
    </row>
    <row r="2399" spans="1:6" x14ac:dyDescent="0.2">
      <c r="A2399" s="166" t="s">
        <v>3724</v>
      </c>
      <c r="B2399" s="167" t="s">
        <v>2509</v>
      </c>
      <c r="C2399" s="167">
        <v>14111266</v>
      </c>
      <c r="D2399" s="167" t="s">
        <v>111</v>
      </c>
      <c r="E2399" s="167" t="s">
        <v>3699</v>
      </c>
      <c r="F2399" s="168">
        <v>36.49</v>
      </c>
    </row>
    <row r="2400" spans="1:6" x14ac:dyDescent="0.2">
      <c r="A2400" s="163" t="s">
        <v>3724</v>
      </c>
      <c r="B2400" s="164" t="s">
        <v>2509</v>
      </c>
      <c r="C2400" s="164">
        <v>14111143</v>
      </c>
      <c r="D2400" s="164" t="s">
        <v>110</v>
      </c>
      <c r="E2400" s="164" t="s">
        <v>3699</v>
      </c>
      <c r="F2400" s="165">
        <v>36.49</v>
      </c>
    </row>
    <row r="2401" spans="1:6" x14ac:dyDescent="0.2">
      <c r="A2401" s="166" t="s">
        <v>3724</v>
      </c>
      <c r="B2401" s="167" t="s">
        <v>2509</v>
      </c>
      <c r="C2401" s="167">
        <v>14110978</v>
      </c>
      <c r="D2401" s="167" t="s">
        <v>109</v>
      </c>
      <c r="E2401" s="167" t="s">
        <v>3699</v>
      </c>
      <c r="F2401" s="168">
        <v>36.49</v>
      </c>
    </row>
    <row r="2402" spans="1:6" x14ac:dyDescent="0.2">
      <c r="A2402" s="163" t="s">
        <v>3724</v>
      </c>
      <c r="B2402" s="164" t="s">
        <v>2509</v>
      </c>
      <c r="C2402" s="164">
        <v>14110974</v>
      </c>
      <c r="D2402" s="164" t="s">
        <v>108</v>
      </c>
      <c r="E2402" s="164" t="s">
        <v>3699</v>
      </c>
      <c r="F2402" s="165">
        <v>33.81</v>
      </c>
    </row>
    <row r="2403" spans="1:6" x14ac:dyDescent="0.2">
      <c r="A2403" s="166" t="s">
        <v>3724</v>
      </c>
      <c r="B2403" s="167" t="s">
        <v>2509</v>
      </c>
      <c r="C2403" s="167">
        <v>14110973</v>
      </c>
      <c r="D2403" s="167" t="s">
        <v>107</v>
      </c>
      <c r="E2403" s="167" t="s">
        <v>3699</v>
      </c>
      <c r="F2403" s="168">
        <v>36.49</v>
      </c>
    </row>
    <row r="2404" spans="1:6" x14ac:dyDescent="0.2">
      <c r="A2404" s="163" t="s">
        <v>3724</v>
      </c>
      <c r="B2404" s="164" t="s">
        <v>2509</v>
      </c>
      <c r="C2404" s="164">
        <v>14110929</v>
      </c>
      <c r="D2404" s="164" t="s">
        <v>183</v>
      </c>
      <c r="E2404" s="164" t="s">
        <v>3699</v>
      </c>
      <c r="F2404" s="165">
        <v>36.49</v>
      </c>
    </row>
    <row r="2405" spans="1:6" x14ac:dyDescent="0.2">
      <c r="A2405" s="166" t="s">
        <v>3724</v>
      </c>
      <c r="B2405" s="167" t="s">
        <v>2509</v>
      </c>
      <c r="C2405" s="167">
        <v>14110799</v>
      </c>
      <c r="D2405" s="167" t="s">
        <v>462</v>
      </c>
      <c r="E2405" s="167" t="s">
        <v>3699</v>
      </c>
      <c r="F2405" s="168">
        <v>32.880000000000003</v>
      </c>
    </row>
    <row r="2406" spans="1:6" x14ac:dyDescent="0.2">
      <c r="A2406" s="163" t="s">
        <v>3724</v>
      </c>
      <c r="B2406" s="164" t="s">
        <v>2509</v>
      </c>
      <c r="C2406" s="164">
        <v>14110765</v>
      </c>
      <c r="D2406" s="164" t="s">
        <v>106</v>
      </c>
      <c r="E2406" s="164" t="s">
        <v>3699</v>
      </c>
      <c r="F2406" s="165">
        <v>33.81</v>
      </c>
    </row>
    <row r="2407" spans="1:6" x14ac:dyDescent="0.2">
      <c r="A2407" s="166" t="s">
        <v>3724</v>
      </c>
      <c r="B2407" s="167" t="s">
        <v>2509</v>
      </c>
      <c r="C2407" s="167">
        <v>14110761</v>
      </c>
      <c r="D2407" s="167" t="s">
        <v>105</v>
      </c>
      <c r="E2407" s="167" t="s">
        <v>3699</v>
      </c>
      <c r="F2407" s="168">
        <v>36.49</v>
      </c>
    </row>
    <row r="2408" spans="1:6" x14ac:dyDescent="0.2">
      <c r="A2408" s="163" t="s">
        <v>3724</v>
      </c>
      <c r="B2408" s="164" t="s">
        <v>2509</v>
      </c>
      <c r="C2408" s="164">
        <v>14110707</v>
      </c>
      <c r="D2408" s="164" t="s">
        <v>268</v>
      </c>
      <c r="E2408" s="164" t="s">
        <v>3699</v>
      </c>
      <c r="F2408" s="165">
        <v>33.81</v>
      </c>
    </row>
    <row r="2409" spans="1:6" x14ac:dyDescent="0.2">
      <c r="A2409" s="166" t="s">
        <v>3724</v>
      </c>
      <c r="B2409" s="167" t="s">
        <v>2509</v>
      </c>
      <c r="C2409" s="167">
        <v>14110604</v>
      </c>
      <c r="D2409" s="167" t="s">
        <v>336</v>
      </c>
      <c r="E2409" s="167" t="s">
        <v>3699</v>
      </c>
      <c r="F2409" s="168">
        <v>32.880000000000003</v>
      </c>
    </row>
    <row r="2410" spans="1:6" x14ac:dyDescent="0.2">
      <c r="A2410" s="163" t="s">
        <v>3724</v>
      </c>
      <c r="B2410" s="164" t="s">
        <v>2509</v>
      </c>
      <c r="C2410" s="164">
        <v>14110550</v>
      </c>
      <c r="D2410" s="164" t="s">
        <v>104</v>
      </c>
      <c r="E2410" s="164" t="s">
        <v>3699</v>
      </c>
      <c r="F2410" s="165">
        <v>33.81</v>
      </c>
    </row>
    <row r="2411" spans="1:6" x14ac:dyDescent="0.2">
      <c r="A2411" s="166" t="s">
        <v>3724</v>
      </c>
      <c r="B2411" s="167" t="s">
        <v>2509</v>
      </c>
      <c r="C2411" s="167">
        <v>14110512</v>
      </c>
      <c r="D2411" s="167" t="s">
        <v>187</v>
      </c>
      <c r="E2411" s="167" t="s">
        <v>3699</v>
      </c>
      <c r="F2411" s="168">
        <v>36.49</v>
      </c>
    </row>
    <row r="2412" spans="1:6" x14ac:dyDescent="0.2">
      <c r="A2412" s="163" t="s">
        <v>3724</v>
      </c>
      <c r="B2412" s="164" t="s">
        <v>2509</v>
      </c>
      <c r="C2412" s="164">
        <v>14110506</v>
      </c>
      <c r="D2412" s="164" t="s">
        <v>427</v>
      </c>
      <c r="E2412" s="164" t="s">
        <v>3699</v>
      </c>
      <c r="F2412" s="165">
        <v>32.880000000000003</v>
      </c>
    </row>
    <row r="2413" spans="1:6" x14ac:dyDescent="0.2">
      <c r="A2413" s="166" t="s">
        <v>3724</v>
      </c>
      <c r="B2413" s="167" t="s">
        <v>2509</v>
      </c>
      <c r="C2413" s="167">
        <v>14110465</v>
      </c>
      <c r="D2413" s="167" t="s">
        <v>103</v>
      </c>
      <c r="E2413" s="167" t="s">
        <v>3699</v>
      </c>
      <c r="F2413" s="168">
        <v>36.49</v>
      </c>
    </row>
    <row r="2414" spans="1:6" x14ac:dyDescent="0.2">
      <c r="A2414" s="163" t="s">
        <v>3724</v>
      </c>
      <c r="B2414" s="164" t="s">
        <v>2509</v>
      </c>
      <c r="C2414" s="164">
        <v>14110339</v>
      </c>
      <c r="D2414" s="164" t="s">
        <v>102</v>
      </c>
      <c r="E2414" s="164" t="s">
        <v>3699</v>
      </c>
      <c r="F2414" s="165">
        <v>36.49</v>
      </c>
    </row>
    <row r="2415" spans="1:6" x14ac:dyDescent="0.2">
      <c r="A2415" s="166" t="s">
        <v>3724</v>
      </c>
      <c r="B2415" s="167" t="s">
        <v>2509</v>
      </c>
      <c r="C2415" s="167">
        <v>14110336</v>
      </c>
      <c r="D2415" s="167" t="s">
        <v>983</v>
      </c>
      <c r="E2415" s="167" t="s">
        <v>3699</v>
      </c>
      <c r="F2415" s="168">
        <v>32.880000000000003</v>
      </c>
    </row>
    <row r="2416" spans="1:6" x14ac:dyDescent="0.2">
      <c r="A2416" s="163" t="s">
        <v>3724</v>
      </c>
      <c r="B2416" s="164" t="s">
        <v>2509</v>
      </c>
      <c r="C2416" s="164">
        <v>14110292</v>
      </c>
      <c r="D2416" s="164" t="s">
        <v>101</v>
      </c>
      <c r="E2416" s="164" t="s">
        <v>3699</v>
      </c>
      <c r="F2416" s="165">
        <v>36.49</v>
      </c>
    </row>
    <row r="2417" spans="1:6" x14ac:dyDescent="0.2">
      <c r="A2417" s="166" t="s">
        <v>3724</v>
      </c>
      <c r="B2417" s="167" t="s">
        <v>2509</v>
      </c>
      <c r="C2417" s="167">
        <v>14110044</v>
      </c>
      <c r="D2417" s="167" t="s">
        <v>145</v>
      </c>
      <c r="E2417" s="167" t="s">
        <v>3699</v>
      </c>
      <c r="F2417" s="168">
        <v>36.49</v>
      </c>
    </row>
    <row r="2418" spans="1:6" x14ac:dyDescent="0.2">
      <c r="A2418" s="163" t="s">
        <v>3724</v>
      </c>
      <c r="B2418" s="164" t="s">
        <v>2509</v>
      </c>
      <c r="C2418" s="164">
        <v>14110042</v>
      </c>
      <c r="D2418" s="164" t="s">
        <v>335</v>
      </c>
      <c r="E2418" s="164" t="s">
        <v>3699</v>
      </c>
      <c r="F2418" s="165">
        <v>36.49</v>
      </c>
    </row>
    <row r="2419" spans="1:6" x14ac:dyDescent="0.2">
      <c r="A2419" s="166" t="s">
        <v>3724</v>
      </c>
      <c r="B2419" s="167" t="s">
        <v>2509</v>
      </c>
      <c r="C2419" s="167">
        <v>14110040</v>
      </c>
      <c r="D2419" s="167" t="s">
        <v>100</v>
      </c>
      <c r="E2419" s="167" t="s">
        <v>3699</v>
      </c>
      <c r="F2419" s="168">
        <v>36.49</v>
      </c>
    </row>
    <row r="2420" spans="1:6" x14ac:dyDescent="0.2">
      <c r="A2420" s="163" t="s">
        <v>3724</v>
      </c>
      <c r="B2420" s="164" t="s">
        <v>2509</v>
      </c>
      <c r="C2420" s="164">
        <v>14110039</v>
      </c>
      <c r="D2420" s="164" t="s">
        <v>99</v>
      </c>
      <c r="E2420" s="164" t="s">
        <v>3699</v>
      </c>
      <c r="F2420" s="165">
        <v>36.49</v>
      </c>
    </row>
    <row r="2421" spans="1:6" x14ac:dyDescent="0.2">
      <c r="A2421" s="166" t="s">
        <v>3724</v>
      </c>
      <c r="B2421" s="167" t="s">
        <v>2509</v>
      </c>
      <c r="C2421" s="167">
        <v>14109948</v>
      </c>
      <c r="D2421" s="167" t="s">
        <v>166</v>
      </c>
      <c r="E2421" s="167" t="s">
        <v>3699</v>
      </c>
      <c r="F2421" s="168">
        <v>36.49</v>
      </c>
    </row>
    <row r="2422" spans="1:6" x14ac:dyDescent="0.2">
      <c r="A2422" s="163" t="s">
        <v>3724</v>
      </c>
      <c r="B2422" s="164" t="s">
        <v>2509</v>
      </c>
      <c r="C2422" s="164">
        <v>14109874</v>
      </c>
      <c r="D2422" s="164" t="s">
        <v>98</v>
      </c>
      <c r="E2422" s="164" t="s">
        <v>3699</v>
      </c>
      <c r="F2422" s="165">
        <v>33.81</v>
      </c>
    </row>
    <row r="2423" spans="1:6" x14ac:dyDescent="0.2">
      <c r="A2423" s="166" t="s">
        <v>3724</v>
      </c>
      <c r="B2423" s="167" t="s">
        <v>2509</v>
      </c>
      <c r="C2423" s="167">
        <v>14109808</v>
      </c>
      <c r="D2423" s="167" t="s">
        <v>97</v>
      </c>
      <c r="E2423" s="167" t="s">
        <v>3699</v>
      </c>
      <c r="F2423" s="168">
        <v>36.49</v>
      </c>
    </row>
    <row r="2424" spans="1:6" x14ac:dyDescent="0.2">
      <c r="A2424" s="163" t="s">
        <v>3724</v>
      </c>
      <c r="B2424" s="164" t="s">
        <v>2509</v>
      </c>
      <c r="C2424" s="164">
        <v>14109802</v>
      </c>
      <c r="D2424" s="164" t="s">
        <v>96</v>
      </c>
      <c r="E2424" s="164" t="s">
        <v>3699</v>
      </c>
      <c r="F2424" s="165">
        <v>33.81</v>
      </c>
    </row>
    <row r="2425" spans="1:6" x14ac:dyDescent="0.2">
      <c r="A2425" s="166" t="s">
        <v>3724</v>
      </c>
      <c r="B2425" s="167" t="s">
        <v>2509</v>
      </c>
      <c r="C2425" s="167">
        <v>14109748</v>
      </c>
      <c r="D2425" s="167" t="s">
        <v>95</v>
      </c>
      <c r="E2425" s="167" t="s">
        <v>3699</v>
      </c>
      <c r="F2425" s="168">
        <v>33.81</v>
      </c>
    </row>
    <row r="2426" spans="1:6" x14ac:dyDescent="0.2">
      <c r="A2426" s="163" t="s">
        <v>3724</v>
      </c>
      <c r="B2426" s="164" t="s">
        <v>2509</v>
      </c>
      <c r="C2426" s="164">
        <v>14109738</v>
      </c>
      <c r="D2426" s="164" t="s">
        <v>94</v>
      </c>
      <c r="E2426" s="164" t="s">
        <v>3699</v>
      </c>
      <c r="F2426" s="165">
        <v>33.81</v>
      </c>
    </row>
    <row r="2427" spans="1:6" x14ac:dyDescent="0.2">
      <c r="A2427" s="166" t="s">
        <v>3724</v>
      </c>
      <c r="B2427" s="167" t="s">
        <v>2509</v>
      </c>
      <c r="C2427" s="167">
        <v>14109707</v>
      </c>
      <c r="D2427" s="167" t="s">
        <v>93</v>
      </c>
      <c r="E2427" s="167" t="s">
        <v>3699</v>
      </c>
      <c r="F2427" s="168">
        <v>36.49</v>
      </c>
    </row>
    <row r="2428" spans="1:6" x14ac:dyDescent="0.2">
      <c r="A2428" s="163" t="s">
        <v>3724</v>
      </c>
      <c r="B2428" s="164" t="s">
        <v>2509</v>
      </c>
      <c r="C2428" s="164">
        <v>14109674</v>
      </c>
      <c r="D2428" s="164" t="s">
        <v>91</v>
      </c>
      <c r="E2428" s="164" t="s">
        <v>3699</v>
      </c>
      <c r="F2428" s="165">
        <v>36.49</v>
      </c>
    </row>
    <row r="2429" spans="1:6" x14ac:dyDescent="0.2">
      <c r="A2429" s="166" t="s">
        <v>3724</v>
      </c>
      <c r="B2429" s="167" t="s">
        <v>2509</v>
      </c>
      <c r="C2429" s="167">
        <v>14109664</v>
      </c>
      <c r="D2429" s="167" t="s">
        <v>90</v>
      </c>
      <c r="E2429" s="167" t="s">
        <v>3699</v>
      </c>
      <c r="F2429" s="168">
        <v>36.49</v>
      </c>
    </row>
    <row r="2430" spans="1:6" x14ac:dyDescent="0.2">
      <c r="A2430" s="163" t="s">
        <v>3724</v>
      </c>
      <c r="B2430" s="164" t="s">
        <v>2509</v>
      </c>
      <c r="C2430" s="164">
        <v>14109648</v>
      </c>
      <c r="D2430" s="164" t="s">
        <v>214</v>
      </c>
      <c r="E2430" s="164" t="s">
        <v>3699</v>
      </c>
      <c r="F2430" s="165">
        <v>36.49</v>
      </c>
    </row>
    <row r="2431" spans="1:6" x14ac:dyDescent="0.2">
      <c r="A2431" s="166" t="s">
        <v>3724</v>
      </c>
      <c r="B2431" s="167" t="s">
        <v>2509</v>
      </c>
      <c r="C2431" s="167">
        <v>14109436</v>
      </c>
      <c r="D2431" s="167" t="s">
        <v>371</v>
      </c>
      <c r="E2431" s="167" t="s">
        <v>3699</v>
      </c>
      <c r="F2431" s="168">
        <v>36.49</v>
      </c>
    </row>
    <row r="2432" spans="1:6" x14ac:dyDescent="0.2">
      <c r="A2432" s="163" t="s">
        <v>3724</v>
      </c>
      <c r="B2432" s="164" t="s">
        <v>2509</v>
      </c>
      <c r="C2432" s="164">
        <v>14109435</v>
      </c>
      <c r="D2432" s="164" t="s">
        <v>89</v>
      </c>
      <c r="E2432" s="164" t="s">
        <v>3699</v>
      </c>
      <c r="F2432" s="165">
        <v>36.49</v>
      </c>
    </row>
    <row r="2433" spans="1:6" x14ac:dyDescent="0.2">
      <c r="A2433" s="166" t="s">
        <v>3724</v>
      </c>
      <c r="B2433" s="167" t="s">
        <v>2509</v>
      </c>
      <c r="C2433" s="167">
        <v>14109408</v>
      </c>
      <c r="D2433" s="167" t="s">
        <v>87</v>
      </c>
      <c r="E2433" s="167" t="s">
        <v>3699</v>
      </c>
      <c r="F2433" s="168">
        <v>36.49</v>
      </c>
    </row>
    <row r="2434" spans="1:6" x14ac:dyDescent="0.2">
      <c r="A2434" s="163" t="s">
        <v>3724</v>
      </c>
      <c r="B2434" s="164" t="s">
        <v>2509</v>
      </c>
      <c r="C2434" s="164">
        <v>14109378</v>
      </c>
      <c r="D2434" s="164" t="s">
        <v>86</v>
      </c>
      <c r="E2434" s="164" t="s">
        <v>3699</v>
      </c>
      <c r="F2434" s="165">
        <v>36.49</v>
      </c>
    </row>
    <row r="2435" spans="1:6" x14ac:dyDescent="0.2">
      <c r="A2435" s="166" t="s">
        <v>3724</v>
      </c>
      <c r="B2435" s="167" t="s">
        <v>2509</v>
      </c>
      <c r="C2435" s="167">
        <v>14109134</v>
      </c>
      <c r="D2435" s="167" t="s">
        <v>85</v>
      </c>
      <c r="E2435" s="167" t="s">
        <v>3699</v>
      </c>
      <c r="F2435" s="168">
        <v>36.49</v>
      </c>
    </row>
    <row r="2436" spans="1:6" x14ac:dyDescent="0.2">
      <c r="A2436" s="163" t="s">
        <v>3724</v>
      </c>
      <c r="B2436" s="164" t="s">
        <v>2509</v>
      </c>
      <c r="C2436" s="164">
        <v>14109133</v>
      </c>
      <c r="D2436" s="164" t="s">
        <v>84</v>
      </c>
      <c r="E2436" s="164" t="s">
        <v>3699</v>
      </c>
      <c r="F2436" s="165">
        <v>36.49</v>
      </c>
    </row>
    <row r="2437" spans="1:6" x14ac:dyDescent="0.2">
      <c r="A2437" s="166" t="s">
        <v>3724</v>
      </c>
      <c r="B2437" s="167" t="s">
        <v>2509</v>
      </c>
      <c r="C2437" s="167">
        <v>14109131</v>
      </c>
      <c r="D2437" s="167" t="s">
        <v>83</v>
      </c>
      <c r="E2437" s="167" t="s">
        <v>3699</v>
      </c>
      <c r="F2437" s="168">
        <v>36.49</v>
      </c>
    </row>
    <row r="2438" spans="1:6" x14ac:dyDescent="0.2">
      <c r="A2438" s="163" t="s">
        <v>3724</v>
      </c>
      <c r="B2438" s="164" t="s">
        <v>2509</v>
      </c>
      <c r="C2438" s="164">
        <v>14109097</v>
      </c>
      <c r="D2438" s="164" t="s">
        <v>82</v>
      </c>
      <c r="E2438" s="164" t="s">
        <v>3699</v>
      </c>
      <c r="F2438" s="165">
        <v>36.49</v>
      </c>
    </row>
    <row r="2439" spans="1:6" x14ac:dyDescent="0.2">
      <c r="A2439" s="166" t="s">
        <v>3724</v>
      </c>
      <c r="B2439" s="167" t="s">
        <v>2509</v>
      </c>
      <c r="C2439" s="167">
        <v>14109032</v>
      </c>
      <c r="D2439" s="167" t="s">
        <v>81</v>
      </c>
      <c r="E2439" s="167" t="s">
        <v>3699</v>
      </c>
      <c r="F2439" s="168">
        <v>36.49</v>
      </c>
    </row>
    <row r="2440" spans="1:6" x14ac:dyDescent="0.2">
      <c r="A2440" s="163" t="s">
        <v>3724</v>
      </c>
      <c r="B2440" s="164" t="s">
        <v>2509</v>
      </c>
      <c r="C2440" s="164">
        <v>14108916</v>
      </c>
      <c r="D2440" s="164" t="s">
        <v>80</v>
      </c>
      <c r="E2440" s="164" t="s">
        <v>3699</v>
      </c>
      <c r="F2440" s="165">
        <v>36.49</v>
      </c>
    </row>
    <row r="2441" spans="1:6" x14ac:dyDescent="0.2">
      <c r="A2441" s="166" t="s">
        <v>3724</v>
      </c>
      <c r="B2441" s="167" t="s">
        <v>2509</v>
      </c>
      <c r="C2441" s="167">
        <v>14108828</v>
      </c>
      <c r="D2441" s="167" t="s">
        <v>227</v>
      </c>
      <c r="E2441" s="167" t="s">
        <v>3699</v>
      </c>
      <c r="F2441" s="168">
        <v>35.04</v>
      </c>
    </row>
    <row r="2442" spans="1:6" x14ac:dyDescent="0.2">
      <c r="A2442" s="163" t="s">
        <v>3724</v>
      </c>
      <c r="B2442" s="164" t="s">
        <v>2509</v>
      </c>
      <c r="C2442" s="164">
        <v>14108775</v>
      </c>
      <c r="D2442" s="164" t="s">
        <v>182</v>
      </c>
      <c r="E2442" s="164" t="s">
        <v>3699</v>
      </c>
      <c r="F2442" s="165">
        <v>35.04</v>
      </c>
    </row>
    <row r="2443" spans="1:6" x14ac:dyDescent="0.2">
      <c r="A2443" s="166" t="s">
        <v>3724</v>
      </c>
      <c r="B2443" s="167" t="s">
        <v>2509</v>
      </c>
      <c r="C2443" s="167">
        <v>14108571</v>
      </c>
      <c r="D2443" s="167" t="s">
        <v>78</v>
      </c>
      <c r="E2443" s="167" t="s">
        <v>3699</v>
      </c>
      <c r="F2443" s="168">
        <v>36.49</v>
      </c>
    </row>
    <row r="2444" spans="1:6" x14ac:dyDescent="0.2">
      <c r="A2444" s="163" t="s">
        <v>3724</v>
      </c>
      <c r="B2444" s="164" t="s">
        <v>2509</v>
      </c>
      <c r="C2444" s="164">
        <v>14108552</v>
      </c>
      <c r="D2444" s="164" t="s">
        <v>314</v>
      </c>
      <c r="E2444" s="164" t="s">
        <v>3699</v>
      </c>
      <c r="F2444" s="165">
        <v>36.49</v>
      </c>
    </row>
    <row r="2445" spans="1:6" x14ac:dyDescent="0.2">
      <c r="A2445" s="166" t="s">
        <v>3724</v>
      </c>
      <c r="B2445" s="167" t="s">
        <v>2509</v>
      </c>
      <c r="C2445" s="167">
        <v>14108483</v>
      </c>
      <c r="D2445" s="167" t="s">
        <v>77</v>
      </c>
      <c r="E2445" s="167" t="s">
        <v>3699</v>
      </c>
      <c r="F2445" s="168">
        <v>36.49</v>
      </c>
    </row>
    <row r="2446" spans="1:6" x14ac:dyDescent="0.2">
      <c r="A2446" s="163" t="s">
        <v>3724</v>
      </c>
      <c r="B2446" s="164" t="s">
        <v>2509</v>
      </c>
      <c r="C2446" s="164">
        <v>14108382</v>
      </c>
      <c r="D2446" s="164" t="s">
        <v>76</v>
      </c>
      <c r="E2446" s="164" t="s">
        <v>3699</v>
      </c>
      <c r="F2446" s="165">
        <v>36.49</v>
      </c>
    </row>
    <row r="2447" spans="1:6" x14ac:dyDescent="0.2">
      <c r="A2447" s="166" t="s">
        <v>3724</v>
      </c>
      <c r="B2447" s="167" t="s">
        <v>2509</v>
      </c>
      <c r="C2447" s="167">
        <v>14108361</v>
      </c>
      <c r="D2447" s="167" t="s">
        <v>75</v>
      </c>
      <c r="E2447" s="167" t="s">
        <v>3699</v>
      </c>
      <c r="F2447" s="168">
        <v>36.49</v>
      </c>
    </row>
    <row r="2448" spans="1:6" x14ac:dyDescent="0.2">
      <c r="A2448" s="163" t="s">
        <v>3724</v>
      </c>
      <c r="B2448" s="164" t="s">
        <v>2509</v>
      </c>
      <c r="C2448" s="164">
        <v>14108271</v>
      </c>
      <c r="D2448" s="164" t="s">
        <v>74</v>
      </c>
      <c r="E2448" s="164" t="s">
        <v>3699</v>
      </c>
      <c r="F2448" s="165">
        <v>36.49</v>
      </c>
    </row>
    <row r="2449" spans="1:6" x14ac:dyDescent="0.2">
      <c r="A2449" s="166" t="s">
        <v>3724</v>
      </c>
      <c r="B2449" s="167" t="s">
        <v>2509</v>
      </c>
      <c r="C2449" s="167">
        <v>14108267</v>
      </c>
      <c r="D2449" s="167" t="s">
        <v>73</v>
      </c>
      <c r="E2449" s="167" t="s">
        <v>3699</v>
      </c>
      <c r="F2449" s="168">
        <v>36.49</v>
      </c>
    </row>
    <row r="2450" spans="1:6" x14ac:dyDescent="0.2">
      <c r="A2450" s="163" t="s">
        <v>3724</v>
      </c>
      <c r="B2450" s="164" t="s">
        <v>2509</v>
      </c>
      <c r="C2450" s="164">
        <v>14108222</v>
      </c>
      <c r="D2450" s="164" t="s">
        <v>72</v>
      </c>
      <c r="E2450" s="164" t="s">
        <v>3699</v>
      </c>
      <c r="F2450" s="165">
        <v>36.49</v>
      </c>
    </row>
    <row r="2451" spans="1:6" x14ac:dyDescent="0.2">
      <c r="A2451" s="166" t="s">
        <v>3724</v>
      </c>
      <c r="B2451" s="167" t="s">
        <v>2509</v>
      </c>
      <c r="C2451" s="167">
        <v>14108150</v>
      </c>
      <c r="D2451" s="167" t="s">
        <v>71</v>
      </c>
      <c r="E2451" s="167" t="s">
        <v>3699</v>
      </c>
      <c r="F2451" s="168">
        <v>36.49</v>
      </c>
    </row>
    <row r="2452" spans="1:6" x14ac:dyDescent="0.2">
      <c r="A2452" s="163" t="s">
        <v>3724</v>
      </c>
      <c r="B2452" s="164" t="s">
        <v>2509</v>
      </c>
      <c r="C2452" s="164">
        <v>14108111</v>
      </c>
      <c r="D2452" s="164" t="s">
        <v>70</v>
      </c>
      <c r="E2452" s="164" t="s">
        <v>3699</v>
      </c>
      <c r="F2452" s="165">
        <v>36.49</v>
      </c>
    </row>
    <row r="2453" spans="1:6" x14ac:dyDescent="0.2">
      <c r="A2453" s="166" t="s">
        <v>3724</v>
      </c>
      <c r="B2453" s="167" t="s">
        <v>2509</v>
      </c>
      <c r="C2453" s="167">
        <v>14107978</v>
      </c>
      <c r="D2453" s="167" t="s">
        <v>69</v>
      </c>
      <c r="E2453" s="167" t="s">
        <v>3699</v>
      </c>
      <c r="F2453" s="168">
        <v>36.49</v>
      </c>
    </row>
    <row r="2454" spans="1:6" x14ac:dyDescent="0.2">
      <c r="A2454" s="163" t="s">
        <v>3724</v>
      </c>
      <c r="B2454" s="164" t="s">
        <v>2509</v>
      </c>
      <c r="C2454" s="164">
        <v>14107967</v>
      </c>
      <c r="D2454" s="164" t="s">
        <v>68</v>
      </c>
      <c r="E2454" s="164" t="s">
        <v>3699</v>
      </c>
      <c r="F2454" s="165">
        <v>36.49</v>
      </c>
    </row>
    <row r="2455" spans="1:6" x14ac:dyDescent="0.2">
      <c r="A2455" s="166" t="s">
        <v>3724</v>
      </c>
      <c r="B2455" s="167" t="s">
        <v>2509</v>
      </c>
      <c r="C2455" s="167">
        <v>14107840</v>
      </c>
      <c r="D2455" s="167" t="s">
        <v>67</v>
      </c>
      <c r="E2455" s="167" t="s">
        <v>3699</v>
      </c>
      <c r="F2455" s="168">
        <v>36.49</v>
      </c>
    </row>
    <row r="2456" spans="1:6" x14ac:dyDescent="0.2">
      <c r="A2456" s="163" t="s">
        <v>3724</v>
      </c>
      <c r="B2456" s="164" t="s">
        <v>2509</v>
      </c>
      <c r="C2456" s="164">
        <v>14107754</v>
      </c>
      <c r="D2456" s="164" t="s">
        <v>66</v>
      </c>
      <c r="E2456" s="164" t="s">
        <v>3699</v>
      </c>
      <c r="F2456" s="165">
        <v>36.49</v>
      </c>
    </row>
    <row r="2457" spans="1:6" x14ac:dyDescent="0.2">
      <c r="A2457" s="166" t="s">
        <v>3724</v>
      </c>
      <c r="B2457" s="167" t="s">
        <v>2509</v>
      </c>
      <c r="C2457" s="167">
        <v>14107735</v>
      </c>
      <c r="D2457" s="167" t="s">
        <v>65</v>
      </c>
      <c r="E2457" s="167" t="s">
        <v>3699</v>
      </c>
      <c r="F2457" s="168">
        <v>36.49</v>
      </c>
    </row>
    <row r="2458" spans="1:6" x14ac:dyDescent="0.2">
      <c r="A2458" s="163" t="s">
        <v>3724</v>
      </c>
      <c r="B2458" s="164" t="s">
        <v>2509</v>
      </c>
      <c r="C2458" s="164">
        <v>14107552</v>
      </c>
      <c r="D2458" s="164" t="s">
        <v>64</v>
      </c>
      <c r="E2458" s="164" t="s">
        <v>3699</v>
      </c>
      <c r="F2458" s="165">
        <v>36.49</v>
      </c>
    </row>
    <row r="2459" spans="1:6" x14ac:dyDescent="0.2">
      <c r="A2459" s="166" t="s">
        <v>3724</v>
      </c>
      <c r="B2459" s="167" t="s">
        <v>2509</v>
      </c>
      <c r="C2459" s="167">
        <v>14107484</v>
      </c>
      <c r="D2459" s="167" t="s">
        <v>63</v>
      </c>
      <c r="E2459" s="167" t="s">
        <v>3699</v>
      </c>
      <c r="F2459" s="168">
        <v>36.49</v>
      </c>
    </row>
    <row r="2460" spans="1:6" x14ac:dyDescent="0.2">
      <c r="A2460" s="163" t="s">
        <v>3724</v>
      </c>
      <c r="B2460" s="164" t="s">
        <v>2509</v>
      </c>
      <c r="C2460" s="164">
        <v>14107393</v>
      </c>
      <c r="D2460" s="164" t="s">
        <v>62</v>
      </c>
      <c r="E2460" s="164" t="s">
        <v>3699</v>
      </c>
      <c r="F2460" s="165">
        <v>36.49</v>
      </c>
    </row>
    <row r="2461" spans="1:6" x14ac:dyDescent="0.2">
      <c r="A2461" s="166" t="s">
        <v>3724</v>
      </c>
      <c r="B2461" s="167" t="s">
        <v>2509</v>
      </c>
      <c r="C2461" s="167">
        <v>14107271</v>
      </c>
      <c r="D2461" s="167" t="s">
        <v>61</v>
      </c>
      <c r="E2461" s="167" t="s">
        <v>3699</v>
      </c>
      <c r="F2461" s="168">
        <v>33.81</v>
      </c>
    </row>
    <row r="2462" spans="1:6" x14ac:dyDescent="0.2">
      <c r="A2462" s="163" t="s">
        <v>3724</v>
      </c>
      <c r="B2462" s="164" t="s">
        <v>2509</v>
      </c>
      <c r="C2462" s="164">
        <v>14107206</v>
      </c>
      <c r="D2462" s="164" t="s">
        <v>59</v>
      </c>
      <c r="E2462" s="164" t="s">
        <v>3699</v>
      </c>
      <c r="F2462" s="165">
        <v>36.49</v>
      </c>
    </row>
    <row r="2463" spans="1:6" x14ac:dyDescent="0.2">
      <c r="A2463" s="166" t="s">
        <v>3724</v>
      </c>
      <c r="B2463" s="167" t="s">
        <v>2509</v>
      </c>
      <c r="C2463" s="167">
        <v>14107202</v>
      </c>
      <c r="D2463" s="167" t="s">
        <v>58</v>
      </c>
      <c r="E2463" s="167" t="s">
        <v>3699</v>
      </c>
      <c r="F2463" s="168">
        <v>36.49</v>
      </c>
    </row>
    <row r="2464" spans="1:6" x14ac:dyDescent="0.2">
      <c r="A2464" s="163" t="s">
        <v>3724</v>
      </c>
      <c r="B2464" s="164" t="s">
        <v>2509</v>
      </c>
      <c r="C2464" s="164">
        <v>14107167</v>
      </c>
      <c r="D2464" s="164" t="s">
        <v>57</v>
      </c>
      <c r="E2464" s="164" t="s">
        <v>3699</v>
      </c>
      <c r="F2464" s="165">
        <v>36.49</v>
      </c>
    </row>
    <row r="2465" spans="1:6" x14ac:dyDescent="0.2">
      <c r="A2465" s="166" t="s">
        <v>3724</v>
      </c>
      <c r="B2465" s="167" t="s">
        <v>2509</v>
      </c>
      <c r="C2465" s="167">
        <v>14107081</v>
      </c>
      <c r="D2465" s="167" t="s">
        <v>56</v>
      </c>
      <c r="E2465" s="167" t="s">
        <v>3699</v>
      </c>
      <c r="F2465" s="168">
        <v>15.64</v>
      </c>
    </row>
    <row r="2466" spans="1:6" x14ac:dyDescent="0.2">
      <c r="A2466" s="163" t="s">
        <v>3724</v>
      </c>
      <c r="B2466" s="164" t="s">
        <v>2509</v>
      </c>
      <c r="C2466" s="164">
        <v>14106980</v>
      </c>
      <c r="D2466" s="164" t="s">
        <v>55</v>
      </c>
      <c r="E2466" s="164" t="s">
        <v>3699</v>
      </c>
      <c r="F2466" s="165">
        <v>36.49</v>
      </c>
    </row>
    <row r="2467" spans="1:6" x14ac:dyDescent="0.2">
      <c r="A2467" s="166" t="s">
        <v>3724</v>
      </c>
      <c r="B2467" s="167" t="s">
        <v>2509</v>
      </c>
      <c r="C2467" s="167">
        <v>14106949</v>
      </c>
      <c r="D2467" s="167" t="s">
        <v>54</v>
      </c>
      <c r="E2467" s="167" t="s">
        <v>3699</v>
      </c>
      <c r="F2467" s="168">
        <v>36.49</v>
      </c>
    </row>
    <row r="2468" spans="1:6" x14ac:dyDescent="0.2">
      <c r="A2468" s="163" t="s">
        <v>3724</v>
      </c>
      <c r="B2468" s="164" t="s">
        <v>2509</v>
      </c>
      <c r="C2468" s="164">
        <v>14106778</v>
      </c>
      <c r="D2468" s="164" t="s">
        <v>53</v>
      </c>
      <c r="E2468" s="164" t="s">
        <v>3699</v>
      </c>
      <c r="F2468" s="165">
        <v>36.49</v>
      </c>
    </row>
    <row r="2469" spans="1:6" x14ac:dyDescent="0.2">
      <c r="A2469" s="166" t="s">
        <v>3724</v>
      </c>
      <c r="B2469" s="167" t="s">
        <v>2509</v>
      </c>
      <c r="C2469" s="167">
        <v>14106438</v>
      </c>
      <c r="D2469" s="167" t="s">
        <v>52</v>
      </c>
      <c r="E2469" s="167" t="s">
        <v>3699</v>
      </c>
      <c r="F2469" s="168">
        <v>36.49</v>
      </c>
    </row>
    <row r="2470" spans="1:6" x14ac:dyDescent="0.2">
      <c r="A2470" s="163" t="s">
        <v>3724</v>
      </c>
      <c r="B2470" s="164" t="s">
        <v>2509</v>
      </c>
      <c r="C2470" s="164">
        <v>14106368</v>
      </c>
      <c r="D2470" s="164" t="s">
        <v>51</v>
      </c>
      <c r="E2470" s="164" t="s">
        <v>3699</v>
      </c>
      <c r="F2470" s="165">
        <v>36.49</v>
      </c>
    </row>
    <row r="2471" spans="1:6" x14ac:dyDescent="0.2">
      <c r="A2471" s="166" t="s">
        <v>3724</v>
      </c>
      <c r="B2471" s="167" t="s">
        <v>2509</v>
      </c>
      <c r="C2471" s="167">
        <v>14106233</v>
      </c>
      <c r="D2471" s="167" t="s">
        <v>347</v>
      </c>
      <c r="E2471" s="167" t="s">
        <v>3699</v>
      </c>
      <c r="F2471" s="168">
        <v>36.49</v>
      </c>
    </row>
    <row r="2472" spans="1:6" x14ac:dyDescent="0.2">
      <c r="A2472" s="163" t="s">
        <v>3724</v>
      </c>
      <c r="B2472" s="164" t="s">
        <v>2509</v>
      </c>
      <c r="C2472" s="164">
        <v>14106066</v>
      </c>
      <c r="D2472" s="164" t="s">
        <v>50</v>
      </c>
      <c r="E2472" s="164" t="s">
        <v>3699</v>
      </c>
      <c r="F2472" s="165">
        <v>33.81</v>
      </c>
    </row>
    <row r="2473" spans="1:6" x14ac:dyDescent="0.2">
      <c r="A2473" s="166" t="s">
        <v>3724</v>
      </c>
      <c r="B2473" s="167" t="s">
        <v>2509</v>
      </c>
      <c r="C2473" s="167">
        <v>14106035</v>
      </c>
      <c r="D2473" s="167" t="s">
        <v>49</v>
      </c>
      <c r="E2473" s="167" t="s">
        <v>3699</v>
      </c>
      <c r="F2473" s="168">
        <v>43.75</v>
      </c>
    </row>
    <row r="2474" spans="1:6" x14ac:dyDescent="0.2">
      <c r="A2474" s="163" t="s">
        <v>3724</v>
      </c>
      <c r="B2474" s="164" t="s">
        <v>2509</v>
      </c>
      <c r="C2474" s="164">
        <v>14106033</v>
      </c>
      <c r="D2474" s="164" t="s">
        <v>48</v>
      </c>
      <c r="E2474" s="164" t="s">
        <v>3699</v>
      </c>
      <c r="F2474" s="165">
        <v>36.49</v>
      </c>
    </row>
    <row r="2475" spans="1:6" x14ac:dyDescent="0.2">
      <c r="A2475" s="166" t="s">
        <v>3724</v>
      </c>
      <c r="B2475" s="167" t="s">
        <v>2509</v>
      </c>
      <c r="C2475" s="167">
        <v>14105645</v>
      </c>
      <c r="D2475" s="167" t="s">
        <v>161</v>
      </c>
      <c r="E2475" s="167" t="s">
        <v>3699</v>
      </c>
      <c r="F2475" s="168">
        <v>36.49</v>
      </c>
    </row>
    <row r="2476" spans="1:6" x14ac:dyDescent="0.2">
      <c r="A2476" s="163" t="s">
        <v>3724</v>
      </c>
      <c r="B2476" s="164" t="s">
        <v>2509</v>
      </c>
      <c r="C2476" s="164">
        <v>14105586</v>
      </c>
      <c r="D2476" s="164" t="s">
        <v>47</v>
      </c>
      <c r="E2476" s="164" t="s">
        <v>3699</v>
      </c>
      <c r="F2476" s="165">
        <v>36.49</v>
      </c>
    </row>
    <row r="2477" spans="1:6" x14ac:dyDescent="0.2">
      <c r="A2477" s="166" t="s">
        <v>3724</v>
      </c>
      <c r="B2477" s="167" t="s">
        <v>2509</v>
      </c>
      <c r="C2477" s="167">
        <v>14105531</v>
      </c>
      <c r="D2477" s="167" t="s">
        <v>46</v>
      </c>
      <c r="E2477" s="167" t="s">
        <v>3699</v>
      </c>
      <c r="F2477" s="168">
        <v>36.49</v>
      </c>
    </row>
    <row r="2478" spans="1:6" x14ac:dyDescent="0.2">
      <c r="A2478" s="163" t="s">
        <v>3724</v>
      </c>
      <c r="B2478" s="164" t="s">
        <v>2509</v>
      </c>
      <c r="C2478" s="164">
        <v>14105437</v>
      </c>
      <c r="D2478" s="164" t="s">
        <v>45</v>
      </c>
      <c r="E2478" s="164" t="s">
        <v>3699</v>
      </c>
      <c r="F2478" s="165">
        <v>36.49</v>
      </c>
    </row>
    <row r="2479" spans="1:6" x14ac:dyDescent="0.2">
      <c r="A2479" s="166" t="s">
        <v>3724</v>
      </c>
      <c r="B2479" s="167" t="s">
        <v>2509</v>
      </c>
      <c r="C2479" s="167">
        <v>14104957</v>
      </c>
      <c r="D2479" s="167" t="s">
        <v>308</v>
      </c>
      <c r="E2479" s="167" t="s">
        <v>3699</v>
      </c>
      <c r="F2479" s="168">
        <v>33.81</v>
      </c>
    </row>
    <row r="2480" spans="1:6" x14ac:dyDescent="0.2">
      <c r="A2480" s="163" t="s">
        <v>3724</v>
      </c>
      <c r="B2480" s="164" t="s">
        <v>2509</v>
      </c>
      <c r="C2480" s="164">
        <v>14104932</v>
      </c>
      <c r="D2480" s="164" t="s">
        <v>43</v>
      </c>
      <c r="E2480" s="164" t="s">
        <v>3699</v>
      </c>
      <c r="F2480" s="165">
        <v>36.49</v>
      </c>
    </row>
    <row r="2481" spans="1:6" x14ac:dyDescent="0.2">
      <c r="A2481" s="166" t="s">
        <v>3724</v>
      </c>
      <c r="B2481" s="167" t="s">
        <v>2509</v>
      </c>
      <c r="C2481" s="167">
        <v>14104853</v>
      </c>
      <c r="D2481" s="167" t="s">
        <v>185</v>
      </c>
      <c r="E2481" s="167" t="s">
        <v>3699</v>
      </c>
      <c r="F2481" s="168">
        <v>33.81</v>
      </c>
    </row>
    <row r="2482" spans="1:6" x14ac:dyDescent="0.2">
      <c r="A2482" s="163" t="s">
        <v>3724</v>
      </c>
      <c r="B2482" s="164" t="s">
        <v>2509</v>
      </c>
      <c r="C2482" s="164">
        <v>14104839</v>
      </c>
      <c r="D2482" s="164" t="s">
        <v>226</v>
      </c>
      <c r="E2482" s="164" t="s">
        <v>3699</v>
      </c>
      <c r="F2482" s="165">
        <v>35.04</v>
      </c>
    </row>
    <row r="2483" spans="1:6" x14ac:dyDescent="0.2">
      <c r="A2483" s="166" t="s">
        <v>3724</v>
      </c>
      <c r="B2483" s="167" t="s">
        <v>2509</v>
      </c>
      <c r="C2483" s="167">
        <v>14104822</v>
      </c>
      <c r="D2483" s="167" t="s">
        <v>42</v>
      </c>
      <c r="E2483" s="167" t="s">
        <v>3699</v>
      </c>
      <c r="F2483" s="168">
        <v>36.49</v>
      </c>
    </row>
    <row r="2484" spans="1:6" x14ac:dyDescent="0.2">
      <c r="A2484" s="163" t="s">
        <v>3724</v>
      </c>
      <c r="B2484" s="164" t="s">
        <v>2509</v>
      </c>
      <c r="C2484" s="164">
        <v>14104599</v>
      </c>
      <c r="D2484" s="164" t="s">
        <v>41</v>
      </c>
      <c r="E2484" s="164" t="s">
        <v>3699</v>
      </c>
      <c r="F2484" s="165">
        <v>36.49</v>
      </c>
    </row>
    <row r="2485" spans="1:6" x14ac:dyDescent="0.2">
      <c r="A2485" s="166" t="s">
        <v>3724</v>
      </c>
      <c r="B2485" s="167" t="s">
        <v>2509</v>
      </c>
      <c r="C2485" s="167">
        <v>14104316</v>
      </c>
      <c r="D2485" s="167" t="s">
        <v>40</v>
      </c>
      <c r="E2485" s="167" t="s">
        <v>3699</v>
      </c>
      <c r="F2485" s="168">
        <v>36.49</v>
      </c>
    </row>
    <row r="2486" spans="1:6" x14ac:dyDescent="0.2">
      <c r="A2486" s="163" t="s">
        <v>3724</v>
      </c>
      <c r="B2486" s="164" t="s">
        <v>2509</v>
      </c>
      <c r="C2486" s="164">
        <v>14104315</v>
      </c>
      <c r="D2486" s="164" t="s">
        <v>334</v>
      </c>
      <c r="E2486" s="164" t="s">
        <v>3699</v>
      </c>
      <c r="F2486" s="165">
        <v>36.49</v>
      </c>
    </row>
    <row r="2487" spans="1:6" x14ac:dyDescent="0.2">
      <c r="A2487" s="166" t="s">
        <v>3724</v>
      </c>
      <c r="B2487" s="167" t="s">
        <v>2509</v>
      </c>
      <c r="C2487" s="167">
        <v>14103952</v>
      </c>
      <c r="D2487" s="167" t="s">
        <v>39</v>
      </c>
      <c r="E2487" s="167" t="s">
        <v>3699</v>
      </c>
      <c r="F2487" s="168">
        <v>36.49</v>
      </c>
    </row>
    <row r="2488" spans="1:6" x14ac:dyDescent="0.2">
      <c r="A2488" s="163" t="s">
        <v>3724</v>
      </c>
      <c r="B2488" s="164" t="s">
        <v>2509</v>
      </c>
      <c r="C2488" s="164">
        <v>14103936</v>
      </c>
      <c r="D2488" s="164" t="s">
        <v>294</v>
      </c>
      <c r="E2488" s="164" t="s">
        <v>3699</v>
      </c>
      <c r="F2488" s="165">
        <v>35.04</v>
      </c>
    </row>
    <row r="2489" spans="1:6" x14ac:dyDescent="0.2">
      <c r="A2489" s="166" t="s">
        <v>3724</v>
      </c>
      <c r="B2489" s="167" t="s">
        <v>2509</v>
      </c>
      <c r="C2489" s="167">
        <v>14103679</v>
      </c>
      <c r="D2489" s="167" t="s">
        <v>38</v>
      </c>
      <c r="E2489" s="167" t="s">
        <v>3699</v>
      </c>
      <c r="F2489" s="168">
        <v>36.49</v>
      </c>
    </row>
    <row r="2490" spans="1:6" x14ac:dyDescent="0.2">
      <c r="A2490" s="163" t="s">
        <v>3724</v>
      </c>
      <c r="B2490" s="164" t="s">
        <v>2509</v>
      </c>
      <c r="C2490" s="164">
        <v>14103335</v>
      </c>
      <c r="D2490" s="164" t="s">
        <v>37</v>
      </c>
      <c r="E2490" s="164" t="s">
        <v>3699</v>
      </c>
      <c r="F2490" s="165">
        <v>36.49</v>
      </c>
    </row>
    <row r="2491" spans="1:6" x14ac:dyDescent="0.2">
      <c r="A2491" s="166" t="s">
        <v>3724</v>
      </c>
      <c r="B2491" s="167" t="s">
        <v>2509</v>
      </c>
      <c r="C2491" s="167">
        <v>14103183</v>
      </c>
      <c r="D2491" s="167" t="s">
        <v>36</v>
      </c>
      <c r="E2491" s="167" t="s">
        <v>3699</v>
      </c>
      <c r="F2491" s="168">
        <v>36.49</v>
      </c>
    </row>
    <row r="2492" spans="1:6" x14ac:dyDescent="0.2">
      <c r="A2492" s="163" t="s">
        <v>3724</v>
      </c>
      <c r="B2492" s="164" t="s">
        <v>2509</v>
      </c>
      <c r="C2492" s="164">
        <v>14103106</v>
      </c>
      <c r="D2492" s="164" t="s">
        <v>35</v>
      </c>
      <c r="E2492" s="164" t="s">
        <v>3699</v>
      </c>
      <c r="F2492" s="165">
        <v>36.49</v>
      </c>
    </row>
    <row r="2493" spans="1:6" x14ac:dyDescent="0.2">
      <c r="A2493" s="166" t="s">
        <v>3724</v>
      </c>
      <c r="B2493" s="167" t="s">
        <v>2509</v>
      </c>
      <c r="C2493" s="167">
        <v>14103061</v>
      </c>
      <c r="D2493" s="167" t="s">
        <v>398</v>
      </c>
      <c r="E2493" s="167" t="s">
        <v>3699</v>
      </c>
      <c r="F2493" s="168">
        <v>36.49</v>
      </c>
    </row>
    <row r="2494" spans="1:6" x14ac:dyDescent="0.2">
      <c r="A2494" s="163" t="s">
        <v>3724</v>
      </c>
      <c r="B2494" s="164" t="s">
        <v>2509</v>
      </c>
      <c r="C2494" s="164">
        <v>14102890</v>
      </c>
      <c r="D2494" s="164" t="s">
        <v>34</v>
      </c>
      <c r="E2494" s="164" t="s">
        <v>3699</v>
      </c>
      <c r="F2494" s="165">
        <v>36.49</v>
      </c>
    </row>
    <row r="2495" spans="1:6" x14ac:dyDescent="0.2">
      <c r="A2495" s="166" t="s">
        <v>3724</v>
      </c>
      <c r="B2495" s="167" t="s">
        <v>2509</v>
      </c>
      <c r="C2495" s="167">
        <v>14102875</v>
      </c>
      <c r="D2495" s="167" t="s">
        <v>33</v>
      </c>
      <c r="E2495" s="167" t="s">
        <v>3699</v>
      </c>
      <c r="F2495" s="168">
        <v>36.49</v>
      </c>
    </row>
    <row r="2496" spans="1:6" x14ac:dyDescent="0.2">
      <c r="A2496" s="163" t="s">
        <v>3724</v>
      </c>
      <c r="B2496" s="164" t="s">
        <v>2509</v>
      </c>
      <c r="C2496" s="164">
        <v>14102730</v>
      </c>
      <c r="D2496" s="164" t="s">
        <v>32</v>
      </c>
      <c r="E2496" s="164" t="s">
        <v>3699</v>
      </c>
      <c r="F2496" s="165">
        <v>36.49</v>
      </c>
    </row>
    <row r="2497" spans="1:6" x14ac:dyDescent="0.2">
      <c r="A2497" s="166" t="s">
        <v>3724</v>
      </c>
      <c r="B2497" s="167" t="s">
        <v>2509</v>
      </c>
      <c r="C2497" s="167">
        <v>14102701</v>
      </c>
      <c r="D2497" s="167" t="s">
        <v>31</v>
      </c>
      <c r="E2497" s="167" t="s">
        <v>3699</v>
      </c>
      <c r="F2497" s="168">
        <v>36.49</v>
      </c>
    </row>
    <row r="2498" spans="1:6" x14ac:dyDescent="0.2">
      <c r="A2498" s="163" t="s">
        <v>3724</v>
      </c>
      <c r="B2498" s="164" t="s">
        <v>2509</v>
      </c>
      <c r="C2498" s="164">
        <v>14102288</v>
      </c>
      <c r="D2498" s="164" t="s">
        <v>30</v>
      </c>
      <c r="E2498" s="164" t="s">
        <v>3699</v>
      </c>
      <c r="F2498" s="165">
        <v>36.49</v>
      </c>
    </row>
    <row r="2499" spans="1:6" x14ac:dyDescent="0.2">
      <c r="A2499" s="166" t="s">
        <v>3724</v>
      </c>
      <c r="B2499" s="167" t="s">
        <v>2509</v>
      </c>
      <c r="C2499" s="167">
        <v>14102081</v>
      </c>
      <c r="D2499" s="167" t="s">
        <v>29</v>
      </c>
      <c r="E2499" s="167" t="s">
        <v>3699</v>
      </c>
      <c r="F2499" s="168">
        <v>33.81</v>
      </c>
    </row>
    <row r="2500" spans="1:6" x14ac:dyDescent="0.2">
      <c r="A2500" s="163" t="s">
        <v>3724</v>
      </c>
      <c r="B2500" s="164" t="s">
        <v>2509</v>
      </c>
      <c r="C2500" s="164">
        <v>14101984</v>
      </c>
      <c r="D2500" s="164" t="s">
        <v>28</v>
      </c>
      <c r="E2500" s="164" t="s">
        <v>3699</v>
      </c>
      <c r="F2500" s="165">
        <v>36.49</v>
      </c>
    </row>
    <row r="2501" spans="1:6" x14ac:dyDescent="0.2">
      <c r="A2501" s="166" t="s">
        <v>3724</v>
      </c>
      <c r="B2501" s="167" t="s">
        <v>2509</v>
      </c>
      <c r="C2501" s="167">
        <v>14101881</v>
      </c>
      <c r="D2501" s="167" t="s">
        <v>27</v>
      </c>
      <c r="E2501" s="167" t="s">
        <v>3699</v>
      </c>
      <c r="F2501" s="168">
        <v>36.49</v>
      </c>
    </row>
    <row r="2502" spans="1:6" x14ac:dyDescent="0.2">
      <c r="A2502" s="163" t="s">
        <v>3724</v>
      </c>
      <c r="B2502" s="164" t="s">
        <v>2509</v>
      </c>
      <c r="C2502" s="164">
        <v>14100902</v>
      </c>
      <c r="D2502" s="164" t="s">
        <v>354</v>
      </c>
      <c r="E2502" s="164" t="s">
        <v>3699</v>
      </c>
      <c r="F2502" s="165">
        <v>36.49</v>
      </c>
    </row>
    <row r="2503" spans="1:6" x14ac:dyDescent="0.2">
      <c r="A2503" s="166" t="s">
        <v>3724</v>
      </c>
      <c r="B2503" s="167" t="s">
        <v>2509</v>
      </c>
      <c r="C2503" s="167">
        <v>14100863</v>
      </c>
      <c r="D2503" s="167" t="s">
        <v>26</v>
      </c>
      <c r="E2503" s="167" t="s">
        <v>3699</v>
      </c>
      <c r="F2503" s="168">
        <v>36.49</v>
      </c>
    </row>
    <row r="2504" spans="1:6" x14ac:dyDescent="0.2">
      <c r="A2504" s="163" t="s">
        <v>3724</v>
      </c>
      <c r="B2504" s="164" t="s">
        <v>2509</v>
      </c>
      <c r="C2504" s="164">
        <v>14100858</v>
      </c>
      <c r="D2504" s="164" t="s">
        <v>262</v>
      </c>
      <c r="E2504" s="164" t="s">
        <v>3699</v>
      </c>
      <c r="F2504" s="165">
        <v>35.04</v>
      </c>
    </row>
    <row r="2505" spans="1:6" x14ac:dyDescent="0.2">
      <c r="A2505" s="166" t="s">
        <v>3724</v>
      </c>
      <c r="B2505" s="167" t="s">
        <v>2509</v>
      </c>
      <c r="C2505" s="167">
        <v>14100843</v>
      </c>
      <c r="D2505" s="167" t="s">
        <v>223</v>
      </c>
      <c r="E2505" s="167" t="s">
        <v>3699</v>
      </c>
      <c r="F2505" s="168">
        <v>35.04</v>
      </c>
    </row>
    <row r="2506" spans="1:6" x14ac:dyDescent="0.2">
      <c r="A2506" s="163" t="s">
        <v>3724</v>
      </c>
      <c r="B2506" s="164" t="s">
        <v>2509</v>
      </c>
      <c r="C2506" s="164">
        <v>14100842</v>
      </c>
      <c r="D2506" s="164" t="s">
        <v>25</v>
      </c>
      <c r="E2506" s="164" t="s">
        <v>3699</v>
      </c>
      <c r="F2506" s="165">
        <v>36.49</v>
      </c>
    </row>
    <row r="2507" spans="1:6" x14ac:dyDescent="0.2">
      <c r="A2507" s="166" t="s">
        <v>3724</v>
      </c>
      <c r="B2507" s="167" t="s">
        <v>2509</v>
      </c>
      <c r="C2507" s="167">
        <v>14100823</v>
      </c>
      <c r="D2507" s="167" t="s">
        <v>275</v>
      </c>
      <c r="E2507" s="167" t="s">
        <v>3699</v>
      </c>
      <c r="F2507" s="168">
        <v>36.49</v>
      </c>
    </row>
    <row r="2508" spans="1:6" x14ac:dyDescent="0.2">
      <c r="A2508" s="163" t="s">
        <v>3724</v>
      </c>
      <c r="B2508" s="164" t="s">
        <v>2509</v>
      </c>
      <c r="C2508" s="164">
        <v>14100807</v>
      </c>
      <c r="D2508" s="164" t="s">
        <v>24</v>
      </c>
      <c r="E2508" s="164" t="s">
        <v>3699</v>
      </c>
      <c r="F2508" s="165">
        <v>36.49</v>
      </c>
    </row>
    <row r="2509" spans="1:6" x14ac:dyDescent="0.2">
      <c r="A2509" s="166" t="s">
        <v>3724</v>
      </c>
      <c r="B2509" s="167" t="s">
        <v>2509</v>
      </c>
      <c r="C2509" s="167">
        <v>14100798</v>
      </c>
      <c r="D2509" s="167" t="s">
        <v>23</v>
      </c>
      <c r="E2509" s="167" t="s">
        <v>3699</v>
      </c>
      <c r="F2509" s="168">
        <v>36.49</v>
      </c>
    </row>
    <row r="2510" spans="1:6" x14ac:dyDescent="0.2">
      <c r="A2510" s="163" t="s">
        <v>3724</v>
      </c>
      <c r="B2510" s="164" t="s">
        <v>2509</v>
      </c>
      <c r="C2510" s="164">
        <v>14100795</v>
      </c>
      <c r="D2510" s="164" t="s">
        <v>22</v>
      </c>
      <c r="E2510" s="164" t="s">
        <v>3699</v>
      </c>
      <c r="F2510" s="165">
        <v>36.49</v>
      </c>
    </row>
    <row r="2511" spans="1:6" x14ac:dyDescent="0.2">
      <c r="A2511" s="166" t="s">
        <v>3724</v>
      </c>
      <c r="B2511" s="167" t="s">
        <v>2509</v>
      </c>
      <c r="C2511" s="167">
        <v>14100787</v>
      </c>
      <c r="D2511" s="167" t="s">
        <v>21</v>
      </c>
      <c r="E2511" s="167" t="s">
        <v>3699</v>
      </c>
      <c r="F2511" s="168">
        <v>36.49</v>
      </c>
    </row>
    <row r="2512" spans="1:6" x14ac:dyDescent="0.2">
      <c r="A2512" s="163" t="s">
        <v>3724</v>
      </c>
      <c r="B2512" s="164" t="s">
        <v>2509</v>
      </c>
      <c r="C2512" s="164">
        <v>14100777</v>
      </c>
      <c r="D2512" s="164" t="s">
        <v>20</v>
      </c>
      <c r="E2512" s="164" t="s">
        <v>3699</v>
      </c>
      <c r="F2512" s="165">
        <v>36.49</v>
      </c>
    </row>
    <row r="2513" spans="1:6" x14ac:dyDescent="0.2">
      <c r="A2513" s="166" t="s">
        <v>3724</v>
      </c>
      <c r="B2513" s="167" t="s">
        <v>2509</v>
      </c>
      <c r="C2513" s="167">
        <v>14100751</v>
      </c>
      <c r="D2513" s="167" t="s">
        <v>325</v>
      </c>
      <c r="E2513" s="167" t="s">
        <v>3699</v>
      </c>
      <c r="F2513" s="168">
        <v>33.81</v>
      </c>
    </row>
    <row r="2514" spans="1:6" x14ac:dyDescent="0.2">
      <c r="A2514" s="163" t="s">
        <v>3724</v>
      </c>
      <c r="B2514" s="164" t="s">
        <v>2509</v>
      </c>
      <c r="C2514" s="164">
        <v>14100740</v>
      </c>
      <c r="D2514" s="164" t="s">
        <v>19</v>
      </c>
      <c r="E2514" s="164" t="s">
        <v>3699</v>
      </c>
      <c r="F2514" s="165">
        <v>36.49</v>
      </c>
    </row>
    <row r="2515" spans="1:6" x14ac:dyDescent="0.2">
      <c r="A2515" s="166" t="s">
        <v>3724</v>
      </c>
      <c r="B2515" s="167" t="s">
        <v>2509</v>
      </c>
      <c r="C2515" s="167">
        <v>14100733</v>
      </c>
      <c r="D2515" s="167" t="s">
        <v>18</v>
      </c>
      <c r="E2515" s="167" t="s">
        <v>3699</v>
      </c>
      <c r="F2515" s="168">
        <v>36.49</v>
      </c>
    </row>
    <row r="2516" spans="1:6" x14ac:dyDescent="0.2">
      <c r="A2516" s="163" t="s">
        <v>3724</v>
      </c>
      <c r="B2516" s="164" t="s">
        <v>2509</v>
      </c>
      <c r="C2516" s="164">
        <v>14100732</v>
      </c>
      <c r="D2516" s="164" t="s">
        <v>17</v>
      </c>
      <c r="E2516" s="164" t="s">
        <v>3699</v>
      </c>
      <c r="F2516" s="165">
        <v>36.49</v>
      </c>
    </row>
    <row r="2517" spans="1:6" x14ac:dyDescent="0.2">
      <c r="A2517" s="166" t="s">
        <v>3724</v>
      </c>
      <c r="B2517" s="167" t="s">
        <v>2509</v>
      </c>
      <c r="C2517" s="167">
        <v>14100731</v>
      </c>
      <c r="D2517" s="167" t="s">
        <v>16</v>
      </c>
      <c r="E2517" s="167" t="s">
        <v>3699</v>
      </c>
      <c r="F2517" s="168">
        <v>36.49</v>
      </c>
    </row>
    <row r="2518" spans="1:6" x14ac:dyDescent="0.2">
      <c r="A2518" s="163" t="s">
        <v>3724</v>
      </c>
      <c r="B2518" s="164" t="s">
        <v>2509</v>
      </c>
      <c r="C2518" s="164">
        <v>14100729</v>
      </c>
      <c r="D2518" s="164" t="s">
        <v>15</v>
      </c>
      <c r="E2518" s="164" t="s">
        <v>3699</v>
      </c>
      <c r="F2518" s="165">
        <v>36.49</v>
      </c>
    </row>
    <row r="2519" spans="1:6" x14ac:dyDescent="0.2">
      <c r="A2519" s="166" t="s">
        <v>3724</v>
      </c>
      <c r="B2519" s="167" t="s">
        <v>2509</v>
      </c>
      <c r="C2519" s="167">
        <v>14100727</v>
      </c>
      <c r="D2519" s="167" t="s">
        <v>14</v>
      </c>
      <c r="E2519" s="167" t="s">
        <v>3699</v>
      </c>
      <c r="F2519" s="168">
        <v>36.49</v>
      </c>
    </row>
    <row r="2520" spans="1:6" x14ac:dyDescent="0.2">
      <c r="A2520" s="163" t="s">
        <v>3724</v>
      </c>
      <c r="B2520" s="164" t="s">
        <v>2509</v>
      </c>
      <c r="C2520" s="164">
        <v>14100726</v>
      </c>
      <c r="D2520" s="164" t="s">
        <v>13</v>
      </c>
      <c r="E2520" s="164" t="s">
        <v>3699</v>
      </c>
      <c r="F2520" s="165">
        <v>36.49</v>
      </c>
    </row>
    <row r="2521" spans="1:6" x14ac:dyDescent="0.2">
      <c r="A2521" s="166" t="s">
        <v>3724</v>
      </c>
      <c r="B2521" s="167" t="s">
        <v>2509</v>
      </c>
      <c r="C2521" s="167">
        <v>14100725</v>
      </c>
      <c r="D2521" s="167" t="s">
        <v>12</v>
      </c>
      <c r="E2521" s="167" t="s">
        <v>3699</v>
      </c>
      <c r="F2521" s="168">
        <v>36.49</v>
      </c>
    </row>
    <row r="2522" spans="1:6" x14ac:dyDescent="0.2">
      <c r="A2522" s="163" t="s">
        <v>3724</v>
      </c>
      <c r="B2522" s="164" t="s">
        <v>2509</v>
      </c>
      <c r="C2522" s="164">
        <v>14100724</v>
      </c>
      <c r="D2522" s="164" t="s">
        <v>11</v>
      </c>
      <c r="E2522" s="164" t="s">
        <v>3699</v>
      </c>
      <c r="F2522" s="165">
        <v>36.49</v>
      </c>
    </row>
    <row r="2523" spans="1:6" x14ac:dyDescent="0.2">
      <c r="A2523" s="166" t="s">
        <v>3724</v>
      </c>
      <c r="B2523" s="167" t="s">
        <v>2509</v>
      </c>
      <c r="C2523" s="167">
        <v>14100721</v>
      </c>
      <c r="D2523" s="167" t="s">
        <v>10</v>
      </c>
      <c r="E2523" s="167" t="s">
        <v>3699</v>
      </c>
      <c r="F2523" s="168">
        <v>36.49</v>
      </c>
    </row>
    <row r="2524" spans="1:6" x14ac:dyDescent="0.2">
      <c r="A2524" s="163" t="s">
        <v>3724</v>
      </c>
      <c r="B2524" s="164" t="s">
        <v>2509</v>
      </c>
      <c r="C2524" s="164">
        <v>14100718</v>
      </c>
      <c r="D2524" s="164" t="s">
        <v>9</v>
      </c>
      <c r="E2524" s="164" t="s">
        <v>3699</v>
      </c>
      <c r="F2524" s="165">
        <v>36.49</v>
      </c>
    </row>
    <row r="2525" spans="1:6" x14ac:dyDescent="0.2">
      <c r="A2525" s="166" t="s">
        <v>3724</v>
      </c>
      <c r="B2525" s="167" t="s">
        <v>2509</v>
      </c>
      <c r="C2525" s="167">
        <v>14100716</v>
      </c>
      <c r="D2525" s="167" t="s">
        <v>8</v>
      </c>
      <c r="E2525" s="167" t="s">
        <v>3699</v>
      </c>
      <c r="F2525" s="168">
        <v>43.75</v>
      </c>
    </row>
    <row r="2526" spans="1:6" x14ac:dyDescent="0.2">
      <c r="A2526" s="163" t="s">
        <v>3724</v>
      </c>
      <c r="B2526" s="164" t="s">
        <v>2509</v>
      </c>
      <c r="C2526" s="164">
        <v>14100713</v>
      </c>
      <c r="D2526" s="164" t="s">
        <v>6</v>
      </c>
      <c r="E2526" s="164" t="s">
        <v>3699</v>
      </c>
      <c r="F2526" s="165">
        <v>44.82</v>
      </c>
    </row>
    <row r="2527" spans="1:6" x14ac:dyDescent="0.2">
      <c r="A2527" s="166" t="s">
        <v>3724</v>
      </c>
      <c r="B2527" s="167" t="s">
        <v>2509</v>
      </c>
      <c r="C2527" s="167">
        <v>14224259</v>
      </c>
      <c r="D2527" s="167" t="s">
        <v>2385</v>
      </c>
      <c r="E2527" s="167" t="s">
        <v>3699</v>
      </c>
      <c r="F2527" s="168">
        <v>30.53</v>
      </c>
    </row>
    <row r="2528" spans="1:6" x14ac:dyDescent="0.2">
      <c r="A2528" s="163" t="s">
        <v>3724</v>
      </c>
      <c r="B2528" s="164" t="s">
        <v>2509</v>
      </c>
      <c r="C2528" s="164">
        <v>14223827</v>
      </c>
      <c r="D2528" s="164" t="s">
        <v>2384</v>
      </c>
      <c r="E2528" s="164" t="s">
        <v>3699</v>
      </c>
      <c r="F2528" s="165">
        <v>10.18</v>
      </c>
    </row>
    <row r="2529" spans="1:6" x14ac:dyDescent="0.2">
      <c r="A2529" s="166" t="s">
        <v>3724</v>
      </c>
      <c r="B2529" s="167" t="s">
        <v>2509</v>
      </c>
      <c r="C2529" s="167">
        <v>14223826</v>
      </c>
      <c r="D2529" s="167" t="s">
        <v>2383</v>
      </c>
      <c r="E2529" s="167" t="s">
        <v>3699</v>
      </c>
      <c r="F2529" s="168">
        <v>30.53</v>
      </c>
    </row>
    <row r="2530" spans="1:6" x14ac:dyDescent="0.2">
      <c r="A2530" s="163" t="s">
        <v>3724</v>
      </c>
      <c r="B2530" s="164" t="s">
        <v>2509</v>
      </c>
      <c r="C2530" s="164">
        <v>14223825</v>
      </c>
      <c r="D2530" s="164" t="s">
        <v>2382</v>
      </c>
      <c r="E2530" s="164" t="s">
        <v>3699</v>
      </c>
      <c r="F2530" s="165">
        <v>30.53</v>
      </c>
    </row>
    <row r="2531" spans="1:6" x14ac:dyDescent="0.2">
      <c r="A2531" s="166" t="s">
        <v>3724</v>
      </c>
      <c r="B2531" s="167" t="s">
        <v>2509</v>
      </c>
      <c r="C2531" s="167">
        <v>14223662</v>
      </c>
      <c r="D2531" s="167" t="s">
        <v>2381</v>
      </c>
      <c r="E2531" s="167" t="s">
        <v>3699</v>
      </c>
      <c r="F2531" s="168">
        <v>30.53</v>
      </c>
    </row>
    <row r="2532" spans="1:6" x14ac:dyDescent="0.2">
      <c r="A2532" s="163" t="s">
        <v>3724</v>
      </c>
      <c r="B2532" s="164" t="s">
        <v>2509</v>
      </c>
      <c r="C2532" s="164">
        <v>14223659</v>
      </c>
      <c r="D2532" s="164" t="s">
        <v>2380</v>
      </c>
      <c r="E2532" s="164" t="s">
        <v>3699</v>
      </c>
      <c r="F2532" s="165">
        <v>30.53</v>
      </c>
    </row>
    <row r="2533" spans="1:6" x14ac:dyDescent="0.2">
      <c r="A2533" s="166" t="s">
        <v>3724</v>
      </c>
      <c r="B2533" s="167" t="s">
        <v>2509</v>
      </c>
      <c r="C2533" s="167">
        <v>14223590</v>
      </c>
      <c r="D2533" s="167" t="s">
        <v>2379</v>
      </c>
      <c r="E2533" s="167" t="s">
        <v>3699</v>
      </c>
      <c r="F2533" s="168">
        <v>30.53</v>
      </c>
    </row>
    <row r="2534" spans="1:6" x14ac:dyDescent="0.2">
      <c r="A2534" s="163" t="s">
        <v>3724</v>
      </c>
      <c r="B2534" s="164" t="s">
        <v>2509</v>
      </c>
      <c r="C2534" s="164">
        <v>14223379</v>
      </c>
      <c r="D2534" s="164" t="s">
        <v>2378</v>
      </c>
      <c r="E2534" s="164" t="s">
        <v>3699</v>
      </c>
      <c r="F2534" s="165">
        <v>30.53</v>
      </c>
    </row>
    <row r="2535" spans="1:6" x14ac:dyDescent="0.2">
      <c r="A2535" s="166" t="s">
        <v>3724</v>
      </c>
      <c r="B2535" s="167" t="s">
        <v>2509</v>
      </c>
      <c r="C2535" s="167">
        <v>14223279</v>
      </c>
      <c r="D2535" s="167" t="s">
        <v>2377</v>
      </c>
      <c r="E2535" s="167" t="s">
        <v>3699</v>
      </c>
      <c r="F2535" s="168">
        <v>30.53</v>
      </c>
    </row>
    <row r="2536" spans="1:6" x14ac:dyDescent="0.2">
      <c r="A2536" s="163" t="s">
        <v>3724</v>
      </c>
      <c r="B2536" s="164" t="s">
        <v>2509</v>
      </c>
      <c r="C2536" s="164">
        <v>14222997</v>
      </c>
      <c r="D2536" s="164" t="s">
        <v>2376</v>
      </c>
      <c r="E2536" s="164" t="s">
        <v>3699</v>
      </c>
      <c r="F2536" s="165">
        <v>30.53</v>
      </c>
    </row>
    <row r="2537" spans="1:6" x14ac:dyDescent="0.2">
      <c r="A2537" s="166" t="s">
        <v>3724</v>
      </c>
      <c r="B2537" s="167" t="s">
        <v>2509</v>
      </c>
      <c r="C2537" s="167">
        <v>14222576</v>
      </c>
      <c r="D2537" s="167" t="s">
        <v>2375</v>
      </c>
      <c r="E2537" s="167" t="s">
        <v>3699</v>
      </c>
      <c r="F2537" s="168">
        <v>30.53</v>
      </c>
    </row>
    <row r="2538" spans="1:6" x14ac:dyDescent="0.2">
      <c r="A2538" s="163" t="s">
        <v>3724</v>
      </c>
      <c r="B2538" s="164" t="s">
        <v>2509</v>
      </c>
      <c r="C2538" s="164">
        <v>14222163</v>
      </c>
      <c r="D2538" s="164" t="s">
        <v>2374</v>
      </c>
      <c r="E2538" s="164" t="s">
        <v>3699</v>
      </c>
      <c r="F2538" s="165">
        <v>30.53</v>
      </c>
    </row>
    <row r="2539" spans="1:6" x14ac:dyDescent="0.2">
      <c r="A2539" s="166" t="s">
        <v>3724</v>
      </c>
      <c r="B2539" s="167" t="s">
        <v>2509</v>
      </c>
      <c r="C2539" s="167">
        <v>14222082</v>
      </c>
      <c r="D2539" s="167" t="s">
        <v>2373</v>
      </c>
      <c r="E2539" s="167" t="s">
        <v>3699</v>
      </c>
      <c r="F2539" s="168">
        <v>30.53</v>
      </c>
    </row>
    <row r="2540" spans="1:6" x14ac:dyDescent="0.2">
      <c r="A2540" s="163" t="s">
        <v>3724</v>
      </c>
      <c r="B2540" s="164" t="s">
        <v>2509</v>
      </c>
      <c r="C2540" s="164">
        <v>14221921</v>
      </c>
      <c r="D2540" s="164" t="s">
        <v>2372</v>
      </c>
      <c r="E2540" s="164" t="s">
        <v>3699</v>
      </c>
      <c r="F2540" s="165">
        <v>30.53</v>
      </c>
    </row>
    <row r="2541" spans="1:6" x14ac:dyDescent="0.2">
      <c r="A2541" s="166" t="s">
        <v>3724</v>
      </c>
      <c r="B2541" s="167" t="s">
        <v>2509</v>
      </c>
      <c r="C2541" s="167">
        <v>14221824</v>
      </c>
      <c r="D2541" s="167" t="s">
        <v>2371</v>
      </c>
      <c r="E2541" s="167" t="s">
        <v>3699</v>
      </c>
      <c r="F2541" s="168">
        <v>59.18</v>
      </c>
    </row>
    <row r="2542" spans="1:6" x14ac:dyDescent="0.2">
      <c r="A2542" s="163" t="s">
        <v>3724</v>
      </c>
      <c r="B2542" s="164" t="s">
        <v>2509</v>
      </c>
      <c r="C2542" s="164">
        <v>14221253</v>
      </c>
      <c r="D2542" s="164" t="s">
        <v>2370</v>
      </c>
      <c r="E2542" s="164" t="s">
        <v>3699</v>
      </c>
      <c r="F2542" s="165">
        <v>30.53</v>
      </c>
    </row>
    <row r="2543" spans="1:6" x14ac:dyDescent="0.2">
      <c r="A2543" s="166" t="s">
        <v>3724</v>
      </c>
      <c r="B2543" s="167" t="s">
        <v>2509</v>
      </c>
      <c r="C2543" s="167">
        <v>14221054</v>
      </c>
      <c r="D2543" s="167" t="s">
        <v>2369</v>
      </c>
      <c r="E2543" s="167" t="s">
        <v>3699</v>
      </c>
      <c r="F2543" s="168">
        <v>30.53</v>
      </c>
    </row>
    <row r="2544" spans="1:6" x14ac:dyDescent="0.2">
      <c r="A2544" s="163" t="s">
        <v>3724</v>
      </c>
      <c r="B2544" s="164" t="s">
        <v>2509</v>
      </c>
      <c r="C2544" s="164">
        <v>14220597</v>
      </c>
      <c r="D2544" s="164" t="s">
        <v>2368</v>
      </c>
      <c r="E2544" s="164" t="s">
        <v>3699</v>
      </c>
      <c r="F2544" s="165">
        <v>30.53</v>
      </c>
    </row>
    <row r="2545" spans="1:6" x14ac:dyDescent="0.2">
      <c r="A2545" s="166" t="s">
        <v>3724</v>
      </c>
      <c r="B2545" s="167" t="s">
        <v>2509</v>
      </c>
      <c r="C2545" s="167">
        <v>14219234</v>
      </c>
      <c r="D2545" s="167" t="s">
        <v>2367</v>
      </c>
      <c r="E2545" s="167" t="s">
        <v>3699</v>
      </c>
      <c r="F2545" s="168">
        <v>30.53</v>
      </c>
    </row>
    <row r="2546" spans="1:6" x14ac:dyDescent="0.2">
      <c r="A2546" s="163" t="s">
        <v>3724</v>
      </c>
      <c r="B2546" s="164" t="s">
        <v>2509</v>
      </c>
      <c r="C2546" s="164">
        <v>14217918</v>
      </c>
      <c r="D2546" s="164" t="s">
        <v>2366</v>
      </c>
      <c r="E2546" s="164" t="s">
        <v>3699</v>
      </c>
      <c r="F2546" s="165">
        <v>30.53</v>
      </c>
    </row>
    <row r="2547" spans="1:6" x14ac:dyDescent="0.2">
      <c r="A2547" s="166" t="s">
        <v>3724</v>
      </c>
      <c r="B2547" s="167" t="s">
        <v>2509</v>
      </c>
      <c r="C2547" s="167">
        <v>14217446</v>
      </c>
      <c r="D2547" s="167" t="s">
        <v>2365</v>
      </c>
      <c r="E2547" s="167" t="s">
        <v>3699</v>
      </c>
      <c r="F2547" s="168">
        <v>30.53</v>
      </c>
    </row>
    <row r="2548" spans="1:6" x14ac:dyDescent="0.2">
      <c r="A2548" s="163" t="s">
        <v>3724</v>
      </c>
      <c r="B2548" s="164" t="s">
        <v>2509</v>
      </c>
      <c r="C2548" s="164">
        <v>14217374</v>
      </c>
      <c r="D2548" s="164" t="s">
        <v>2364</v>
      </c>
      <c r="E2548" s="164" t="s">
        <v>3699</v>
      </c>
      <c r="F2548" s="165">
        <v>30.53</v>
      </c>
    </row>
    <row r="2549" spans="1:6" x14ac:dyDescent="0.2">
      <c r="A2549" s="166" t="s">
        <v>3724</v>
      </c>
      <c r="B2549" s="167" t="s">
        <v>2509</v>
      </c>
      <c r="C2549" s="167">
        <v>14216357</v>
      </c>
      <c r="D2549" s="167" t="s">
        <v>2363</v>
      </c>
      <c r="E2549" s="167" t="s">
        <v>3699</v>
      </c>
      <c r="F2549" s="168">
        <v>30.53</v>
      </c>
    </row>
    <row r="2550" spans="1:6" x14ac:dyDescent="0.2">
      <c r="A2550" s="163" t="s">
        <v>3724</v>
      </c>
      <c r="B2550" s="164" t="s">
        <v>2509</v>
      </c>
      <c r="C2550" s="164">
        <v>14216184</v>
      </c>
      <c r="D2550" s="164" t="s">
        <v>2362</v>
      </c>
      <c r="E2550" s="164" t="s">
        <v>3699</v>
      </c>
      <c r="F2550" s="165">
        <v>30.53</v>
      </c>
    </row>
    <row r="2551" spans="1:6" x14ac:dyDescent="0.2">
      <c r="A2551" s="166" t="s">
        <v>3724</v>
      </c>
      <c r="B2551" s="167" t="s">
        <v>2509</v>
      </c>
      <c r="C2551" s="167">
        <v>14213768</v>
      </c>
      <c r="D2551" s="167" t="s">
        <v>2361</v>
      </c>
      <c r="E2551" s="167" t="s">
        <v>3699</v>
      </c>
      <c r="F2551" s="168">
        <v>48.42</v>
      </c>
    </row>
    <row r="2552" spans="1:6" x14ac:dyDescent="0.2">
      <c r="A2552" s="163" t="s">
        <v>3724</v>
      </c>
      <c r="B2552" s="164" t="s">
        <v>2509</v>
      </c>
      <c r="C2552" s="164">
        <v>14213524</v>
      </c>
      <c r="D2552" s="164" t="s">
        <v>2360</v>
      </c>
      <c r="E2552" s="164" t="s">
        <v>3699</v>
      </c>
      <c r="F2552" s="165">
        <v>30.53</v>
      </c>
    </row>
    <row r="2553" spans="1:6" x14ac:dyDescent="0.2">
      <c r="A2553" s="166" t="s">
        <v>3724</v>
      </c>
      <c r="B2553" s="167" t="s">
        <v>2509</v>
      </c>
      <c r="C2553" s="167">
        <v>14111999</v>
      </c>
      <c r="D2553" s="167" t="s">
        <v>2359</v>
      </c>
      <c r="E2553" s="167" t="s">
        <v>3699</v>
      </c>
      <c r="F2553" s="168">
        <v>30.53</v>
      </c>
    </row>
    <row r="2554" spans="1:6" x14ac:dyDescent="0.2">
      <c r="A2554" s="163" t="s">
        <v>3724</v>
      </c>
      <c r="B2554" s="164" t="s">
        <v>2509</v>
      </c>
      <c r="C2554" s="164">
        <v>14111997</v>
      </c>
      <c r="D2554" s="164" t="s">
        <v>2358</v>
      </c>
      <c r="E2554" s="164" t="s">
        <v>3699</v>
      </c>
      <c r="F2554" s="165">
        <v>30.53</v>
      </c>
    </row>
    <row r="2555" spans="1:6" x14ac:dyDescent="0.2">
      <c r="A2555" s="166" t="s">
        <v>3724</v>
      </c>
      <c r="B2555" s="167" t="s">
        <v>2509</v>
      </c>
      <c r="C2555" s="167">
        <v>14111652</v>
      </c>
      <c r="D2555" s="167" t="s">
        <v>2357</v>
      </c>
      <c r="E2555" s="167" t="s">
        <v>3699</v>
      </c>
      <c r="F2555" s="168">
        <v>30.53</v>
      </c>
    </row>
    <row r="2556" spans="1:6" x14ac:dyDescent="0.2">
      <c r="A2556" s="163" t="s">
        <v>3724</v>
      </c>
      <c r="B2556" s="164" t="s">
        <v>2509</v>
      </c>
      <c r="C2556" s="164">
        <v>14111633</v>
      </c>
      <c r="D2556" s="164" t="s">
        <v>2356</v>
      </c>
      <c r="E2556" s="164" t="s">
        <v>3699</v>
      </c>
      <c r="F2556" s="165">
        <v>30.53</v>
      </c>
    </row>
    <row r="2557" spans="1:6" x14ac:dyDescent="0.2">
      <c r="A2557" s="166" t="s">
        <v>3724</v>
      </c>
      <c r="B2557" s="167" t="s">
        <v>2509</v>
      </c>
      <c r="C2557" s="167">
        <v>14111447</v>
      </c>
      <c r="D2557" s="167" t="s">
        <v>2355</v>
      </c>
      <c r="E2557" s="167" t="s">
        <v>3699</v>
      </c>
      <c r="F2557" s="168">
        <v>30.53</v>
      </c>
    </row>
    <row r="2558" spans="1:6" x14ac:dyDescent="0.2">
      <c r="A2558" s="163" t="s">
        <v>3724</v>
      </c>
      <c r="B2558" s="164" t="s">
        <v>2509</v>
      </c>
      <c r="C2558" s="164">
        <v>14111336</v>
      </c>
      <c r="D2558" s="164" t="s">
        <v>2354</v>
      </c>
      <c r="E2558" s="164" t="s">
        <v>3699</v>
      </c>
      <c r="F2558" s="165">
        <v>30.53</v>
      </c>
    </row>
    <row r="2559" spans="1:6" x14ac:dyDescent="0.2">
      <c r="A2559" s="166" t="s">
        <v>3724</v>
      </c>
      <c r="B2559" s="167" t="s">
        <v>2509</v>
      </c>
      <c r="C2559" s="167">
        <v>14111261</v>
      </c>
      <c r="D2559" s="167" t="s">
        <v>2353</v>
      </c>
      <c r="E2559" s="167" t="s">
        <v>3699</v>
      </c>
      <c r="F2559" s="168">
        <v>30.53</v>
      </c>
    </row>
    <row r="2560" spans="1:6" x14ac:dyDescent="0.2">
      <c r="A2560" s="163" t="s">
        <v>3724</v>
      </c>
      <c r="B2560" s="164" t="s">
        <v>2509</v>
      </c>
      <c r="C2560" s="164">
        <v>14108427</v>
      </c>
      <c r="D2560" s="164" t="s">
        <v>2352</v>
      </c>
      <c r="E2560" s="164" t="s">
        <v>3699</v>
      </c>
      <c r="F2560" s="165">
        <v>30.53</v>
      </c>
    </row>
    <row r="2561" spans="1:6" x14ac:dyDescent="0.2">
      <c r="A2561" s="166" t="s">
        <v>3724</v>
      </c>
      <c r="B2561" s="167" t="s">
        <v>2509</v>
      </c>
      <c r="C2561" s="167">
        <v>14106270</v>
      </c>
      <c r="D2561" s="167" t="s">
        <v>2351</v>
      </c>
      <c r="E2561" s="167" t="s">
        <v>3699</v>
      </c>
      <c r="F2561" s="168">
        <v>39.270000000000003</v>
      </c>
    </row>
    <row r="2562" spans="1:6" x14ac:dyDescent="0.2">
      <c r="A2562" s="163" t="s">
        <v>3724</v>
      </c>
      <c r="B2562" s="164" t="s">
        <v>2509</v>
      </c>
      <c r="C2562" s="164">
        <v>14104889</v>
      </c>
      <c r="D2562" s="164" t="s">
        <v>2350</v>
      </c>
      <c r="E2562" s="164" t="s">
        <v>3699</v>
      </c>
      <c r="F2562" s="165">
        <v>30.53</v>
      </c>
    </row>
    <row r="2563" spans="1:6" x14ac:dyDescent="0.2">
      <c r="A2563" s="166" t="s">
        <v>3724</v>
      </c>
      <c r="B2563" s="167" t="s">
        <v>2509</v>
      </c>
      <c r="C2563" s="167">
        <v>14103046</v>
      </c>
      <c r="D2563" s="167" t="s">
        <v>2349</v>
      </c>
      <c r="E2563" s="167" t="s">
        <v>3699</v>
      </c>
      <c r="F2563" s="168">
        <v>30.53</v>
      </c>
    </row>
    <row r="2564" spans="1:6" x14ac:dyDescent="0.2">
      <c r="A2564" s="163" t="s">
        <v>3724</v>
      </c>
      <c r="B2564" s="164" t="s">
        <v>2509</v>
      </c>
      <c r="C2564" s="164">
        <v>14102638</v>
      </c>
      <c r="D2564" s="164" t="s">
        <v>2348</v>
      </c>
      <c r="E2564" s="164" t="s">
        <v>3699</v>
      </c>
      <c r="F2564" s="165">
        <v>30.53</v>
      </c>
    </row>
    <row r="2565" spans="1:6" x14ac:dyDescent="0.2">
      <c r="A2565" s="166" t="s">
        <v>3724</v>
      </c>
      <c r="B2565" s="167" t="s">
        <v>2509</v>
      </c>
      <c r="C2565" s="167">
        <v>14102637</v>
      </c>
      <c r="D2565" s="167" t="s">
        <v>2347</v>
      </c>
      <c r="E2565" s="167" t="s">
        <v>3699</v>
      </c>
      <c r="F2565" s="168">
        <v>30.53</v>
      </c>
    </row>
    <row r="2566" spans="1:6" x14ac:dyDescent="0.2">
      <c r="A2566" s="163" t="s">
        <v>3724</v>
      </c>
      <c r="B2566" s="164" t="s">
        <v>2509</v>
      </c>
      <c r="C2566" s="164">
        <v>14100913</v>
      </c>
      <c r="D2566" s="164" t="s">
        <v>2346</v>
      </c>
      <c r="E2566" s="164" t="s">
        <v>3699</v>
      </c>
      <c r="F2566" s="165">
        <v>30.53</v>
      </c>
    </row>
    <row r="2567" spans="1:6" x14ac:dyDescent="0.2">
      <c r="A2567" s="166" t="s">
        <v>3724</v>
      </c>
      <c r="B2567" s="167" t="s">
        <v>2508</v>
      </c>
      <c r="C2567" s="167">
        <v>16119562</v>
      </c>
      <c r="D2567" s="167" t="s">
        <v>2463</v>
      </c>
      <c r="E2567" s="167" t="s">
        <v>3699</v>
      </c>
      <c r="F2567" s="168">
        <v>1278.75</v>
      </c>
    </row>
    <row r="2568" spans="1:6" x14ac:dyDescent="0.2">
      <c r="A2568" s="163" t="s">
        <v>3724</v>
      </c>
      <c r="B2568" s="164" t="s">
        <v>2508</v>
      </c>
      <c r="C2568" s="164">
        <v>16118701</v>
      </c>
      <c r="D2568" s="164" t="s">
        <v>2456</v>
      </c>
      <c r="E2568" s="164" t="s">
        <v>3699</v>
      </c>
      <c r="F2568" s="165">
        <v>2983.75</v>
      </c>
    </row>
    <row r="2569" spans="1:6" x14ac:dyDescent="0.2">
      <c r="A2569" s="166" t="s">
        <v>3724</v>
      </c>
      <c r="B2569" s="167" t="s">
        <v>2508</v>
      </c>
      <c r="C2569" s="167">
        <v>16116077</v>
      </c>
      <c r="D2569" s="167" t="s">
        <v>2446</v>
      </c>
      <c r="E2569" s="167" t="s">
        <v>3699</v>
      </c>
      <c r="F2569" s="168">
        <v>2983.75</v>
      </c>
    </row>
    <row r="2570" spans="1:6" x14ac:dyDescent="0.2">
      <c r="A2570" s="163" t="s">
        <v>3724</v>
      </c>
      <c r="B2570" s="164" t="s">
        <v>2508</v>
      </c>
      <c r="C2570" s="164">
        <v>16107598</v>
      </c>
      <c r="D2570" s="164" t="s">
        <v>2505</v>
      </c>
      <c r="E2570" s="164" t="s">
        <v>3699</v>
      </c>
      <c r="F2570" s="165">
        <v>2131.25</v>
      </c>
    </row>
    <row r="2571" spans="1:6" x14ac:dyDescent="0.2">
      <c r="A2571" s="166" t="s">
        <v>3724</v>
      </c>
      <c r="B2571" s="167" t="s">
        <v>2508</v>
      </c>
      <c r="C2571" s="167">
        <v>16103733</v>
      </c>
      <c r="D2571" s="167" t="s">
        <v>2504</v>
      </c>
      <c r="E2571" s="167" t="s">
        <v>3699</v>
      </c>
      <c r="F2571" s="168">
        <v>1278.75</v>
      </c>
    </row>
    <row r="2572" spans="1:6" x14ac:dyDescent="0.2">
      <c r="A2572" s="163" t="s">
        <v>3724</v>
      </c>
      <c r="B2572" s="164" t="s">
        <v>2508</v>
      </c>
      <c r="C2572" s="164">
        <v>14120489</v>
      </c>
      <c r="D2572" s="164" t="s">
        <v>291</v>
      </c>
      <c r="E2572" s="164" t="s">
        <v>3699</v>
      </c>
      <c r="F2572" s="165">
        <v>2002.52</v>
      </c>
    </row>
    <row r="2573" spans="1:6" x14ac:dyDescent="0.2">
      <c r="A2573" s="166" t="s">
        <v>3724</v>
      </c>
      <c r="B2573" s="167" t="s">
        <v>2508</v>
      </c>
      <c r="C2573" s="167">
        <v>14120044</v>
      </c>
      <c r="D2573" s="167" t="s">
        <v>274</v>
      </c>
      <c r="E2573" s="167" t="s">
        <v>3699</v>
      </c>
      <c r="F2573" s="168">
        <v>3504.41</v>
      </c>
    </row>
    <row r="2574" spans="1:6" x14ac:dyDescent="0.2">
      <c r="A2574" s="163" t="s">
        <v>3724</v>
      </c>
      <c r="B2574" s="164" t="s">
        <v>2508</v>
      </c>
      <c r="C2574" s="164">
        <v>14117647</v>
      </c>
      <c r="D2574" s="164" t="s">
        <v>181</v>
      </c>
      <c r="E2574" s="164" t="s">
        <v>3699</v>
      </c>
      <c r="F2574" s="165">
        <v>3649.31</v>
      </c>
    </row>
    <row r="2575" spans="1:6" x14ac:dyDescent="0.2">
      <c r="A2575" s="166" t="s">
        <v>3724</v>
      </c>
      <c r="B2575" s="167" t="s">
        <v>2508</v>
      </c>
      <c r="C2575" s="167">
        <v>14115304</v>
      </c>
      <c r="D2575" s="167" t="s">
        <v>142</v>
      </c>
      <c r="E2575" s="167" t="s">
        <v>3699</v>
      </c>
      <c r="F2575" s="168">
        <v>3381.07</v>
      </c>
    </row>
    <row r="2576" spans="1:6" x14ac:dyDescent="0.2">
      <c r="A2576" s="163" t="s">
        <v>3724</v>
      </c>
      <c r="B2576" s="164" t="s">
        <v>2508</v>
      </c>
      <c r="C2576" s="164">
        <v>14110039</v>
      </c>
      <c r="D2576" s="164" t="s">
        <v>99</v>
      </c>
      <c r="E2576" s="164" t="s">
        <v>3699</v>
      </c>
      <c r="F2576" s="165">
        <v>3649.31</v>
      </c>
    </row>
    <row r="2577" spans="1:6" x14ac:dyDescent="0.2">
      <c r="A2577" s="166" t="s">
        <v>3724</v>
      </c>
      <c r="B2577" s="167" t="s">
        <v>2508</v>
      </c>
      <c r="C2577" s="167">
        <v>14109748</v>
      </c>
      <c r="D2577" s="167" t="s">
        <v>95</v>
      </c>
      <c r="E2577" s="167" t="s">
        <v>3699</v>
      </c>
      <c r="F2577" s="168">
        <v>2415.0500000000002</v>
      </c>
    </row>
    <row r="2578" spans="1:6" x14ac:dyDescent="0.2">
      <c r="A2578" s="163" t="s">
        <v>3724</v>
      </c>
      <c r="B2578" s="164" t="s">
        <v>2508</v>
      </c>
      <c r="C2578" s="164">
        <v>14109664</v>
      </c>
      <c r="D2578" s="164" t="s">
        <v>90</v>
      </c>
      <c r="E2578" s="164" t="s">
        <v>3699</v>
      </c>
      <c r="F2578" s="165">
        <v>3649.31</v>
      </c>
    </row>
    <row r="2579" spans="1:6" x14ac:dyDescent="0.2">
      <c r="A2579" s="166" t="s">
        <v>3724</v>
      </c>
      <c r="B2579" s="167" t="s">
        <v>2508</v>
      </c>
      <c r="C2579" s="167">
        <v>14108382</v>
      </c>
      <c r="D2579" s="167" t="s">
        <v>76</v>
      </c>
      <c r="E2579" s="167" t="s">
        <v>3699</v>
      </c>
      <c r="F2579" s="168">
        <v>2606.65</v>
      </c>
    </row>
    <row r="2580" spans="1:6" x14ac:dyDescent="0.2">
      <c r="A2580" s="163" t="s">
        <v>3724</v>
      </c>
      <c r="B2580" s="164" t="s">
        <v>2508</v>
      </c>
      <c r="C2580" s="164">
        <v>14107967</v>
      </c>
      <c r="D2580" s="164" t="s">
        <v>68</v>
      </c>
      <c r="E2580" s="164" t="s">
        <v>3699</v>
      </c>
      <c r="F2580" s="165">
        <v>1042.6600000000001</v>
      </c>
    </row>
    <row r="2581" spans="1:6" x14ac:dyDescent="0.2">
      <c r="A2581" s="166" t="s">
        <v>3724</v>
      </c>
      <c r="B2581" s="167" t="s">
        <v>2508</v>
      </c>
      <c r="C2581" s="167">
        <v>14103952</v>
      </c>
      <c r="D2581" s="167" t="s">
        <v>39</v>
      </c>
      <c r="E2581" s="167" t="s">
        <v>3699</v>
      </c>
      <c r="F2581" s="168">
        <v>3649.31</v>
      </c>
    </row>
    <row r="2582" spans="1:6" x14ac:dyDescent="0.2">
      <c r="A2582" s="163" t="s">
        <v>3724</v>
      </c>
      <c r="B2582" s="164" t="s">
        <v>2508</v>
      </c>
      <c r="C2582" s="164">
        <v>14103061</v>
      </c>
      <c r="D2582" s="164" t="s">
        <v>398</v>
      </c>
      <c r="E2582" s="164" t="s">
        <v>3699</v>
      </c>
      <c r="F2582" s="165">
        <v>521.33000000000004</v>
      </c>
    </row>
    <row r="2583" spans="1:6" x14ac:dyDescent="0.2">
      <c r="A2583" s="166" t="s">
        <v>3724</v>
      </c>
      <c r="B2583" s="167" t="s">
        <v>2508</v>
      </c>
      <c r="C2583" s="167">
        <v>14102890</v>
      </c>
      <c r="D2583" s="167" t="s">
        <v>34</v>
      </c>
      <c r="E2583" s="167" t="s">
        <v>3699</v>
      </c>
      <c r="F2583" s="168">
        <v>2085.3200000000002</v>
      </c>
    </row>
    <row r="2584" spans="1:6" x14ac:dyDescent="0.2">
      <c r="A2584" s="163" t="s">
        <v>3724</v>
      </c>
      <c r="B2584" s="164" t="s">
        <v>2508</v>
      </c>
      <c r="C2584" s="164">
        <v>14100777</v>
      </c>
      <c r="D2584" s="164" t="s">
        <v>20</v>
      </c>
      <c r="E2584" s="164" t="s">
        <v>3699</v>
      </c>
      <c r="F2584" s="165">
        <v>3649.31</v>
      </c>
    </row>
    <row r="2585" spans="1:6" x14ac:dyDescent="0.2">
      <c r="A2585" s="166" t="s">
        <v>3724</v>
      </c>
      <c r="B2585" s="167" t="s">
        <v>2508</v>
      </c>
      <c r="C2585" s="167">
        <v>14100731</v>
      </c>
      <c r="D2585" s="167" t="s">
        <v>16</v>
      </c>
      <c r="E2585" s="167" t="s">
        <v>3699</v>
      </c>
      <c r="F2585" s="168">
        <v>2085.3200000000002</v>
      </c>
    </row>
    <row r="2586" spans="1:6" x14ac:dyDescent="0.2">
      <c r="A2586" s="163" t="s">
        <v>3724</v>
      </c>
      <c r="B2586" s="164" t="s">
        <v>2508</v>
      </c>
      <c r="C2586" s="164">
        <v>14100725</v>
      </c>
      <c r="D2586" s="164" t="s">
        <v>12</v>
      </c>
      <c r="E2586" s="164" t="s">
        <v>3699</v>
      </c>
      <c r="F2586" s="165">
        <v>3649.31</v>
      </c>
    </row>
    <row r="2587" spans="1:6" x14ac:dyDescent="0.2">
      <c r="A2587" s="166" t="s">
        <v>3724</v>
      </c>
      <c r="B2587" s="167" t="s">
        <v>2508</v>
      </c>
      <c r="C2587" s="167">
        <v>14216357</v>
      </c>
      <c r="D2587" s="167" t="s">
        <v>2363</v>
      </c>
      <c r="E2587" s="167" t="s">
        <v>3699</v>
      </c>
      <c r="F2587" s="168">
        <v>436.12</v>
      </c>
    </row>
    <row r="2588" spans="1:6" x14ac:dyDescent="0.2">
      <c r="A2588" s="163" t="s">
        <v>3724</v>
      </c>
      <c r="B2588" s="164" t="s">
        <v>2508</v>
      </c>
      <c r="C2588" s="164">
        <v>14104889</v>
      </c>
      <c r="D2588" s="164" t="s">
        <v>2350</v>
      </c>
      <c r="E2588" s="164" t="s">
        <v>3699</v>
      </c>
      <c r="F2588" s="165">
        <v>2616.7199999999998</v>
      </c>
    </row>
    <row r="2589" spans="1:6" x14ac:dyDescent="0.2">
      <c r="A2589" s="166" t="s">
        <v>3724</v>
      </c>
      <c r="B2589" s="167" t="s">
        <v>2345</v>
      </c>
      <c r="C2589" s="167">
        <v>16124369</v>
      </c>
      <c r="D2589" s="167" t="s">
        <v>3704</v>
      </c>
      <c r="E2589" s="167" t="s">
        <v>3699</v>
      </c>
      <c r="F2589" s="168">
        <v>2983.75</v>
      </c>
    </row>
    <row r="2590" spans="1:6" x14ac:dyDescent="0.2">
      <c r="A2590" s="163" t="s">
        <v>3724</v>
      </c>
      <c r="B2590" s="164" t="s">
        <v>2345</v>
      </c>
      <c r="C2590" s="164">
        <v>16124368</v>
      </c>
      <c r="D2590" s="164" t="s">
        <v>3705</v>
      </c>
      <c r="E2590" s="164" t="s">
        <v>3699</v>
      </c>
      <c r="F2590" s="165">
        <v>2983.75</v>
      </c>
    </row>
    <row r="2591" spans="1:6" x14ac:dyDescent="0.2">
      <c r="A2591" s="166" t="s">
        <v>3724</v>
      </c>
      <c r="B2591" s="167" t="s">
        <v>2345</v>
      </c>
      <c r="C2591" s="167">
        <v>16124306</v>
      </c>
      <c r="D2591" s="167" t="s">
        <v>2503</v>
      </c>
      <c r="E2591" s="167" t="s">
        <v>3699</v>
      </c>
      <c r="F2591" s="168">
        <v>2983.75</v>
      </c>
    </row>
    <row r="2592" spans="1:6" x14ac:dyDescent="0.2">
      <c r="A2592" s="163" t="s">
        <v>3724</v>
      </c>
      <c r="B2592" s="164" t="s">
        <v>2345</v>
      </c>
      <c r="C2592" s="164">
        <v>16124305</v>
      </c>
      <c r="D2592" s="164" t="s">
        <v>2502</v>
      </c>
      <c r="E2592" s="164" t="s">
        <v>3699</v>
      </c>
      <c r="F2592" s="165">
        <v>2983.75</v>
      </c>
    </row>
    <row r="2593" spans="1:6" x14ac:dyDescent="0.2">
      <c r="A2593" s="166" t="s">
        <v>3724</v>
      </c>
      <c r="B2593" s="167" t="s">
        <v>2345</v>
      </c>
      <c r="C2593" s="167">
        <v>16124304</v>
      </c>
      <c r="D2593" s="167" t="s">
        <v>2501</v>
      </c>
      <c r="E2593" s="167" t="s">
        <v>3699</v>
      </c>
      <c r="F2593" s="168">
        <v>2983.75</v>
      </c>
    </row>
    <row r="2594" spans="1:6" x14ac:dyDescent="0.2">
      <c r="A2594" s="163" t="s">
        <v>3724</v>
      </c>
      <c r="B2594" s="164" t="s">
        <v>2345</v>
      </c>
      <c r="C2594" s="164">
        <v>16124225</v>
      </c>
      <c r="D2594" s="164" t="s">
        <v>2500</v>
      </c>
      <c r="E2594" s="164" t="s">
        <v>3699</v>
      </c>
      <c r="F2594" s="165">
        <v>2983.75</v>
      </c>
    </row>
    <row r="2595" spans="1:6" x14ac:dyDescent="0.2">
      <c r="A2595" s="166" t="s">
        <v>3724</v>
      </c>
      <c r="B2595" s="167" t="s">
        <v>2345</v>
      </c>
      <c r="C2595" s="167">
        <v>16124205</v>
      </c>
      <c r="D2595" s="167" t="s">
        <v>2499</v>
      </c>
      <c r="E2595" s="167" t="s">
        <v>3699</v>
      </c>
      <c r="F2595" s="168">
        <v>2983.75</v>
      </c>
    </row>
    <row r="2596" spans="1:6" x14ac:dyDescent="0.2">
      <c r="A2596" s="163" t="s">
        <v>3724</v>
      </c>
      <c r="B2596" s="164" t="s">
        <v>2345</v>
      </c>
      <c r="C2596" s="164">
        <v>16124203</v>
      </c>
      <c r="D2596" s="164" t="s">
        <v>2498</v>
      </c>
      <c r="E2596" s="164" t="s">
        <v>3699</v>
      </c>
      <c r="F2596" s="165">
        <v>2983.75</v>
      </c>
    </row>
    <row r="2597" spans="1:6" x14ac:dyDescent="0.2">
      <c r="A2597" s="166" t="s">
        <v>3724</v>
      </c>
      <c r="B2597" s="167" t="s">
        <v>2345</v>
      </c>
      <c r="C2597" s="167">
        <v>16124047</v>
      </c>
      <c r="D2597" s="167" t="s">
        <v>2497</v>
      </c>
      <c r="E2597" s="167" t="s">
        <v>3699</v>
      </c>
      <c r="F2597" s="168">
        <v>2983.75</v>
      </c>
    </row>
    <row r="2598" spans="1:6" x14ac:dyDescent="0.2">
      <c r="A2598" s="163" t="s">
        <v>3724</v>
      </c>
      <c r="B2598" s="164" t="s">
        <v>2345</v>
      </c>
      <c r="C2598" s="164">
        <v>16124018</v>
      </c>
      <c r="D2598" s="164" t="s">
        <v>2496</v>
      </c>
      <c r="E2598" s="164" t="s">
        <v>3699</v>
      </c>
      <c r="F2598" s="165">
        <v>2983.75</v>
      </c>
    </row>
    <row r="2599" spans="1:6" x14ac:dyDescent="0.2">
      <c r="A2599" s="166" t="s">
        <v>3724</v>
      </c>
      <c r="B2599" s="167" t="s">
        <v>2345</v>
      </c>
      <c r="C2599" s="167">
        <v>16124001</v>
      </c>
      <c r="D2599" s="167" t="s">
        <v>2495</v>
      </c>
      <c r="E2599" s="167" t="s">
        <v>3699</v>
      </c>
      <c r="F2599" s="168">
        <v>2983.75</v>
      </c>
    </row>
    <row r="2600" spans="1:6" x14ac:dyDescent="0.2">
      <c r="A2600" s="163" t="s">
        <v>3724</v>
      </c>
      <c r="B2600" s="164" t="s">
        <v>2345</v>
      </c>
      <c r="C2600" s="164">
        <v>16123938</v>
      </c>
      <c r="D2600" s="164" t="s">
        <v>2494</v>
      </c>
      <c r="E2600" s="164" t="s">
        <v>3699</v>
      </c>
      <c r="F2600" s="165">
        <v>1989.17</v>
      </c>
    </row>
    <row r="2601" spans="1:6" x14ac:dyDescent="0.2">
      <c r="A2601" s="166" t="s">
        <v>3724</v>
      </c>
      <c r="B2601" s="167" t="s">
        <v>2345</v>
      </c>
      <c r="C2601" s="167">
        <v>16123937</v>
      </c>
      <c r="D2601" s="167" t="s">
        <v>2493</v>
      </c>
      <c r="E2601" s="167" t="s">
        <v>3699</v>
      </c>
      <c r="F2601" s="168">
        <v>2983.75</v>
      </c>
    </row>
    <row r="2602" spans="1:6" x14ac:dyDescent="0.2">
      <c r="A2602" s="163" t="s">
        <v>3724</v>
      </c>
      <c r="B2602" s="164" t="s">
        <v>2345</v>
      </c>
      <c r="C2602" s="164">
        <v>16123910</v>
      </c>
      <c r="D2602" s="164" t="s">
        <v>2492</v>
      </c>
      <c r="E2602" s="164" t="s">
        <v>3699</v>
      </c>
      <c r="F2602" s="165">
        <v>2983.75</v>
      </c>
    </row>
    <row r="2603" spans="1:6" x14ac:dyDescent="0.2">
      <c r="A2603" s="166" t="s">
        <v>3724</v>
      </c>
      <c r="B2603" s="167" t="s">
        <v>2345</v>
      </c>
      <c r="C2603" s="167">
        <v>16123909</v>
      </c>
      <c r="D2603" s="167" t="s">
        <v>2491</v>
      </c>
      <c r="E2603" s="167" t="s">
        <v>3699</v>
      </c>
      <c r="F2603" s="168">
        <v>2983.75</v>
      </c>
    </row>
    <row r="2604" spans="1:6" x14ac:dyDescent="0.2">
      <c r="A2604" s="163" t="s">
        <v>3724</v>
      </c>
      <c r="B2604" s="164" t="s">
        <v>2345</v>
      </c>
      <c r="C2604" s="164">
        <v>16123887</v>
      </c>
      <c r="D2604" s="164" t="s">
        <v>2490</v>
      </c>
      <c r="E2604" s="164" t="s">
        <v>3699</v>
      </c>
      <c r="F2604" s="165">
        <v>2983.75</v>
      </c>
    </row>
    <row r="2605" spans="1:6" x14ac:dyDescent="0.2">
      <c r="A2605" s="166" t="s">
        <v>3724</v>
      </c>
      <c r="B2605" s="167" t="s">
        <v>2345</v>
      </c>
      <c r="C2605" s="167">
        <v>16123866</v>
      </c>
      <c r="D2605" s="167" t="s">
        <v>2489</v>
      </c>
      <c r="E2605" s="167" t="s">
        <v>3699</v>
      </c>
      <c r="F2605" s="168">
        <v>2983.75</v>
      </c>
    </row>
    <row r="2606" spans="1:6" x14ac:dyDescent="0.2">
      <c r="A2606" s="163" t="s">
        <v>3724</v>
      </c>
      <c r="B2606" s="164" t="s">
        <v>2345</v>
      </c>
      <c r="C2606" s="164">
        <v>16123865</v>
      </c>
      <c r="D2606" s="164" t="s">
        <v>2488</v>
      </c>
      <c r="E2606" s="164" t="s">
        <v>3699</v>
      </c>
      <c r="F2606" s="165">
        <v>2983.75</v>
      </c>
    </row>
    <row r="2607" spans="1:6" x14ac:dyDescent="0.2">
      <c r="A2607" s="166" t="s">
        <v>3724</v>
      </c>
      <c r="B2607" s="167" t="s">
        <v>2345</v>
      </c>
      <c r="C2607" s="167">
        <v>16123864</v>
      </c>
      <c r="D2607" s="167" t="s">
        <v>2487</v>
      </c>
      <c r="E2607" s="167" t="s">
        <v>3699</v>
      </c>
      <c r="F2607" s="168">
        <v>2983.75</v>
      </c>
    </row>
    <row r="2608" spans="1:6" x14ac:dyDescent="0.2">
      <c r="A2608" s="163" t="s">
        <v>3724</v>
      </c>
      <c r="B2608" s="164" t="s">
        <v>2345</v>
      </c>
      <c r="C2608" s="164">
        <v>16123790</v>
      </c>
      <c r="D2608" s="164" t="s">
        <v>2486</v>
      </c>
      <c r="E2608" s="164" t="s">
        <v>3699</v>
      </c>
      <c r="F2608" s="165">
        <v>2983.75</v>
      </c>
    </row>
    <row r="2609" spans="1:6" x14ac:dyDescent="0.2">
      <c r="A2609" s="166" t="s">
        <v>3724</v>
      </c>
      <c r="B2609" s="167" t="s">
        <v>2345</v>
      </c>
      <c r="C2609" s="167">
        <v>16123764</v>
      </c>
      <c r="D2609" s="167" t="s">
        <v>2485</v>
      </c>
      <c r="E2609" s="167" t="s">
        <v>3699</v>
      </c>
      <c r="F2609" s="168">
        <v>2983.75</v>
      </c>
    </row>
    <row r="2610" spans="1:6" x14ac:dyDescent="0.2">
      <c r="A2610" s="163" t="s">
        <v>3724</v>
      </c>
      <c r="B2610" s="164" t="s">
        <v>2345</v>
      </c>
      <c r="C2610" s="164">
        <v>16123745</v>
      </c>
      <c r="D2610" s="164" t="s">
        <v>2484</v>
      </c>
      <c r="E2610" s="164" t="s">
        <v>3699</v>
      </c>
      <c r="F2610" s="165">
        <v>2983.75</v>
      </c>
    </row>
    <row r="2611" spans="1:6" x14ac:dyDescent="0.2">
      <c r="A2611" s="166" t="s">
        <v>3724</v>
      </c>
      <c r="B2611" s="167" t="s">
        <v>2345</v>
      </c>
      <c r="C2611" s="167">
        <v>16123499</v>
      </c>
      <c r="D2611" s="167" t="s">
        <v>2483</v>
      </c>
      <c r="E2611" s="167" t="s">
        <v>3699</v>
      </c>
      <c r="F2611" s="168">
        <v>2983.75</v>
      </c>
    </row>
    <row r="2612" spans="1:6" x14ac:dyDescent="0.2">
      <c r="A2612" s="163" t="s">
        <v>3724</v>
      </c>
      <c r="B2612" s="164" t="s">
        <v>2345</v>
      </c>
      <c r="C2612" s="164">
        <v>16123358</v>
      </c>
      <c r="D2612" s="164" t="s">
        <v>2482</v>
      </c>
      <c r="E2612" s="164" t="s">
        <v>3699</v>
      </c>
      <c r="F2612" s="165">
        <v>2983.75</v>
      </c>
    </row>
    <row r="2613" spans="1:6" x14ac:dyDescent="0.2">
      <c r="A2613" s="166" t="s">
        <v>3724</v>
      </c>
      <c r="B2613" s="167" t="s">
        <v>2345</v>
      </c>
      <c r="C2613" s="167">
        <v>16122568</v>
      </c>
      <c r="D2613" s="167" t="s">
        <v>2481</v>
      </c>
      <c r="E2613" s="167" t="s">
        <v>3699</v>
      </c>
      <c r="F2613" s="168">
        <v>2983.75</v>
      </c>
    </row>
    <row r="2614" spans="1:6" x14ac:dyDescent="0.2">
      <c r="A2614" s="163" t="s">
        <v>3724</v>
      </c>
      <c r="B2614" s="164" t="s">
        <v>2345</v>
      </c>
      <c r="C2614" s="164">
        <v>16122503</v>
      </c>
      <c r="D2614" s="164" t="s">
        <v>2480</v>
      </c>
      <c r="E2614" s="164" t="s">
        <v>3699</v>
      </c>
      <c r="F2614" s="165">
        <v>2983.75</v>
      </c>
    </row>
    <row r="2615" spans="1:6" x14ac:dyDescent="0.2">
      <c r="A2615" s="166" t="s">
        <v>3724</v>
      </c>
      <c r="B2615" s="167" t="s">
        <v>2345</v>
      </c>
      <c r="C2615" s="167">
        <v>16122376</v>
      </c>
      <c r="D2615" s="167" t="s">
        <v>2479</v>
      </c>
      <c r="E2615" s="167" t="s">
        <v>3699</v>
      </c>
      <c r="F2615" s="168">
        <v>2983.75</v>
      </c>
    </row>
    <row r="2616" spans="1:6" x14ac:dyDescent="0.2">
      <c r="A2616" s="163" t="s">
        <v>3724</v>
      </c>
      <c r="B2616" s="164" t="s">
        <v>2345</v>
      </c>
      <c r="C2616" s="164">
        <v>16122324</v>
      </c>
      <c r="D2616" s="164" t="s">
        <v>2478</v>
      </c>
      <c r="E2616" s="164" t="s">
        <v>3699</v>
      </c>
      <c r="F2616" s="165">
        <v>2983.75</v>
      </c>
    </row>
    <row r="2617" spans="1:6" x14ac:dyDescent="0.2">
      <c r="A2617" s="166" t="s">
        <v>3724</v>
      </c>
      <c r="B2617" s="167" t="s">
        <v>2345</v>
      </c>
      <c r="C2617" s="167">
        <v>16122298</v>
      </c>
      <c r="D2617" s="167" t="s">
        <v>2477</v>
      </c>
      <c r="E2617" s="167" t="s">
        <v>3699</v>
      </c>
      <c r="F2617" s="168">
        <v>2983.75</v>
      </c>
    </row>
    <row r="2618" spans="1:6" x14ac:dyDescent="0.2">
      <c r="A2618" s="163" t="s">
        <v>3724</v>
      </c>
      <c r="B2618" s="164" t="s">
        <v>2345</v>
      </c>
      <c r="C2618" s="164">
        <v>16122277</v>
      </c>
      <c r="D2618" s="164" t="s">
        <v>2476</v>
      </c>
      <c r="E2618" s="164" t="s">
        <v>3699</v>
      </c>
      <c r="F2618" s="165">
        <v>2983.75</v>
      </c>
    </row>
    <row r="2619" spans="1:6" x14ac:dyDescent="0.2">
      <c r="A2619" s="166" t="s">
        <v>3724</v>
      </c>
      <c r="B2619" s="167" t="s">
        <v>2345</v>
      </c>
      <c r="C2619" s="167">
        <v>16122204</v>
      </c>
      <c r="D2619" s="167" t="s">
        <v>2475</v>
      </c>
      <c r="E2619" s="167" t="s">
        <v>3699</v>
      </c>
      <c r="F2619" s="168">
        <v>2983.75</v>
      </c>
    </row>
    <row r="2620" spans="1:6" x14ac:dyDescent="0.2">
      <c r="A2620" s="163" t="s">
        <v>3724</v>
      </c>
      <c r="B2620" s="164" t="s">
        <v>2345</v>
      </c>
      <c r="C2620" s="164">
        <v>16122078</v>
      </c>
      <c r="D2620" s="164" t="s">
        <v>2474</v>
      </c>
      <c r="E2620" s="164" t="s">
        <v>3699</v>
      </c>
      <c r="F2620" s="165">
        <v>2983.75</v>
      </c>
    </row>
    <row r="2621" spans="1:6" x14ac:dyDescent="0.2">
      <c r="A2621" s="166" t="s">
        <v>3724</v>
      </c>
      <c r="B2621" s="167" t="s">
        <v>2345</v>
      </c>
      <c r="C2621" s="167">
        <v>16121937</v>
      </c>
      <c r="D2621" s="167" t="s">
        <v>2473</v>
      </c>
      <c r="E2621" s="167" t="s">
        <v>3699</v>
      </c>
      <c r="F2621" s="168">
        <v>2983.75</v>
      </c>
    </row>
    <row r="2622" spans="1:6" x14ac:dyDescent="0.2">
      <c r="A2622" s="163" t="s">
        <v>3724</v>
      </c>
      <c r="B2622" s="164" t="s">
        <v>2345</v>
      </c>
      <c r="C2622" s="164">
        <v>16121844</v>
      </c>
      <c r="D2622" s="164" t="s">
        <v>2472</v>
      </c>
      <c r="E2622" s="164" t="s">
        <v>3699</v>
      </c>
      <c r="F2622" s="165">
        <v>2983.75</v>
      </c>
    </row>
    <row r="2623" spans="1:6" x14ac:dyDescent="0.2">
      <c r="A2623" s="166" t="s">
        <v>3724</v>
      </c>
      <c r="B2623" s="167" t="s">
        <v>2345</v>
      </c>
      <c r="C2623" s="167">
        <v>16121712</v>
      </c>
      <c r="D2623" s="167" t="s">
        <v>2471</v>
      </c>
      <c r="E2623" s="167" t="s">
        <v>3699</v>
      </c>
      <c r="F2623" s="168">
        <v>2983.75</v>
      </c>
    </row>
    <row r="2624" spans="1:6" x14ac:dyDescent="0.2">
      <c r="A2624" s="163" t="s">
        <v>3724</v>
      </c>
      <c r="B2624" s="164" t="s">
        <v>2345</v>
      </c>
      <c r="C2624" s="164">
        <v>16121373</v>
      </c>
      <c r="D2624" s="164" t="s">
        <v>2470</v>
      </c>
      <c r="E2624" s="164" t="s">
        <v>3699</v>
      </c>
      <c r="F2624" s="165">
        <v>2983.75</v>
      </c>
    </row>
    <row r="2625" spans="1:6" x14ac:dyDescent="0.2">
      <c r="A2625" s="166" t="s">
        <v>3724</v>
      </c>
      <c r="B2625" s="167" t="s">
        <v>2345</v>
      </c>
      <c r="C2625" s="167">
        <v>16120702</v>
      </c>
      <c r="D2625" s="167" t="s">
        <v>2469</v>
      </c>
      <c r="E2625" s="167" t="s">
        <v>3699</v>
      </c>
      <c r="F2625" s="168">
        <v>2983.75</v>
      </c>
    </row>
    <row r="2626" spans="1:6" x14ac:dyDescent="0.2">
      <c r="A2626" s="163" t="s">
        <v>3724</v>
      </c>
      <c r="B2626" s="164" t="s">
        <v>2345</v>
      </c>
      <c r="C2626" s="164">
        <v>16120465</v>
      </c>
      <c r="D2626" s="164" t="s">
        <v>2468</v>
      </c>
      <c r="E2626" s="164" t="s">
        <v>3699</v>
      </c>
      <c r="F2626" s="165">
        <v>2983.75</v>
      </c>
    </row>
    <row r="2627" spans="1:6" x14ac:dyDescent="0.2">
      <c r="A2627" s="166" t="s">
        <v>3724</v>
      </c>
      <c r="B2627" s="167" t="s">
        <v>2345</v>
      </c>
      <c r="C2627" s="167">
        <v>16120346</v>
      </c>
      <c r="D2627" s="167" t="s">
        <v>2467</v>
      </c>
      <c r="E2627" s="167" t="s">
        <v>3699</v>
      </c>
      <c r="F2627" s="168">
        <v>2983.75</v>
      </c>
    </row>
    <row r="2628" spans="1:6" x14ac:dyDescent="0.2">
      <c r="A2628" s="163" t="s">
        <v>3724</v>
      </c>
      <c r="B2628" s="164" t="s">
        <v>2345</v>
      </c>
      <c r="C2628" s="164">
        <v>16120137</v>
      </c>
      <c r="D2628" s="164" t="s">
        <v>2466</v>
      </c>
      <c r="E2628" s="164" t="s">
        <v>3699</v>
      </c>
      <c r="F2628" s="165">
        <v>2983.75</v>
      </c>
    </row>
    <row r="2629" spans="1:6" x14ac:dyDescent="0.2">
      <c r="A2629" s="166" t="s">
        <v>3724</v>
      </c>
      <c r="B2629" s="167" t="s">
        <v>2345</v>
      </c>
      <c r="C2629" s="167">
        <v>16119689</v>
      </c>
      <c r="D2629" s="167" t="s">
        <v>2465</v>
      </c>
      <c r="E2629" s="167" t="s">
        <v>3699</v>
      </c>
      <c r="F2629" s="168">
        <v>2983.75</v>
      </c>
    </row>
    <row r="2630" spans="1:6" x14ac:dyDescent="0.2">
      <c r="A2630" s="163" t="s">
        <v>3724</v>
      </c>
      <c r="B2630" s="164" t="s">
        <v>2345</v>
      </c>
      <c r="C2630" s="164">
        <v>16119563</v>
      </c>
      <c r="D2630" s="164" t="s">
        <v>2464</v>
      </c>
      <c r="E2630" s="164" t="s">
        <v>3699</v>
      </c>
      <c r="F2630" s="165">
        <v>2983.75</v>
      </c>
    </row>
    <row r="2631" spans="1:6" x14ac:dyDescent="0.2">
      <c r="A2631" s="166" t="s">
        <v>3724</v>
      </c>
      <c r="B2631" s="167" t="s">
        <v>2345</v>
      </c>
      <c r="C2631" s="167">
        <v>16119562</v>
      </c>
      <c r="D2631" s="167" t="s">
        <v>2463</v>
      </c>
      <c r="E2631" s="167" t="s">
        <v>3699</v>
      </c>
      <c r="F2631" s="168">
        <v>1705</v>
      </c>
    </row>
    <row r="2632" spans="1:6" x14ac:dyDescent="0.2">
      <c r="A2632" s="163" t="s">
        <v>3724</v>
      </c>
      <c r="B2632" s="164" t="s">
        <v>2345</v>
      </c>
      <c r="C2632" s="164">
        <v>16119354</v>
      </c>
      <c r="D2632" s="164" t="s">
        <v>2462</v>
      </c>
      <c r="E2632" s="164" t="s">
        <v>3699</v>
      </c>
      <c r="F2632" s="165">
        <v>2486.46</v>
      </c>
    </row>
    <row r="2633" spans="1:6" x14ac:dyDescent="0.2">
      <c r="A2633" s="166" t="s">
        <v>3724</v>
      </c>
      <c r="B2633" s="167" t="s">
        <v>2345</v>
      </c>
      <c r="C2633" s="167">
        <v>16119278</v>
      </c>
      <c r="D2633" s="167" t="s">
        <v>2507</v>
      </c>
      <c r="E2633" s="167" t="s">
        <v>3699</v>
      </c>
      <c r="F2633" s="168">
        <v>2983.75</v>
      </c>
    </row>
    <row r="2634" spans="1:6" x14ac:dyDescent="0.2">
      <c r="A2634" s="163" t="s">
        <v>3724</v>
      </c>
      <c r="B2634" s="164" t="s">
        <v>2345</v>
      </c>
      <c r="C2634" s="164">
        <v>16119048</v>
      </c>
      <c r="D2634" s="164" t="s">
        <v>2461</v>
      </c>
      <c r="E2634" s="164" t="s">
        <v>3699</v>
      </c>
      <c r="F2634" s="165">
        <v>2983.75</v>
      </c>
    </row>
    <row r="2635" spans="1:6" x14ac:dyDescent="0.2">
      <c r="A2635" s="166" t="s">
        <v>3724</v>
      </c>
      <c r="B2635" s="167" t="s">
        <v>2345</v>
      </c>
      <c r="C2635" s="167">
        <v>16118965</v>
      </c>
      <c r="D2635" s="167" t="s">
        <v>2460</v>
      </c>
      <c r="E2635" s="167" t="s">
        <v>3699</v>
      </c>
      <c r="F2635" s="168">
        <v>3814.58</v>
      </c>
    </row>
    <row r="2636" spans="1:6" x14ac:dyDescent="0.2">
      <c r="A2636" s="163" t="s">
        <v>3724</v>
      </c>
      <c r="B2636" s="164" t="s">
        <v>2345</v>
      </c>
      <c r="C2636" s="164">
        <v>16118963</v>
      </c>
      <c r="D2636" s="164" t="s">
        <v>2459</v>
      </c>
      <c r="E2636" s="164" t="s">
        <v>3699</v>
      </c>
      <c r="F2636" s="165">
        <v>2983.75</v>
      </c>
    </row>
    <row r="2637" spans="1:6" x14ac:dyDescent="0.2">
      <c r="A2637" s="166" t="s">
        <v>3724</v>
      </c>
      <c r="B2637" s="167" t="s">
        <v>2345</v>
      </c>
      <c r="C2637" s="167">
        <v>16118874</v>
      </c>
      <c r="D2637" s="167" t="s">
        <v>2458</v>
      </c>
      <c r="E2637" s="167" t="s">
        <v>3699</v>
      </c>
      <c r="F2637" s="168">
        <v>2983.75</v>
      </c>
    </row>
    <row r="2638" spans="1:6" x14ac:dyDescent="0.2">
      <c r="A2638" s="163" t="s">
        <v>3724</v>
      </c>
      <c r="B2638" s="164" t="s">
        <v>2345</v>
      </c>
      <c r="C2638" s="164">
        <v>16118723</v>
      </c>
      <c r="D2638" s="164" t="s">
        <v>2457</v>
      </c>
      <c r="E2638" s="164" t="s">
        <v>3699</v>
      </c>
      <c r="F2638" s="165">
        <v>2983.75</v>
      </c>
    </row>
    <row r="2639" spans="1:6" x14ac:dyDescent="0.2">
      <c r="A2639" s="166" t="s">
        <v>3724</v>
      </c>
      <c r="B2639" s="167" t="s">
        <v>2345</v>
      </c>
      <c r="C2639" s="167">
        <v>16118558</v>
      </c>
      <c r="D2639" s="167" t="s">
        <v>2455</v>
      </c>
      <c r="E2639" s="167" t="s">
        <v>3699</v>
      </c>
      <c r="F2639" s="168">
        <v>2983.75</v>
      </c>
    </row>
    <row r="2640" spans="1:6" x14ac:dyDescent="0.2">
      <c r="A2640" s="163" t="s">
        <v>3724</v>
      </c>
      <c r="B2640" s="164" t="s">
        <v>2345</v>
      </c>
      <c r="C2640" s="164">
        <v>16118485</v>
      </c>
      <c r="D2640" s="164" t="s">
        <v>2454</v>
      </c>
      <c r="E2640" s="164" t="s">
        <v>3699</v>
      </c>
      <c r="F2640" s="165">
        <v>2983.75</v>
      </c>
    </row>
    <row r="2641" spans="1:6" x14ac:dyDescent="0.2">
      <c r="A2641" s="166" t="s">
        <v>3724</v>
      </c>
      <c r="B2641" s="167" t="s">
        <v>2345</v>
      </c>
      <c r="C2641" s="167">
        <v>16118421</v>
      </c>
      <c r="D2641" s="167" t="s">
        <v>2453</v>
      </c>
      <c r="E2641" s="167" t="s">
        <v>3699</v>
      </c>
      <c r="F2641" s="168">
        <v>2983.75</v>
      </c>
    </row>
    <row r="2642" spans="1:6" x14ac:dyDescent="0.2">
      <c r="A2642" s="163" t="s">
        <v>3724</v>
      </c>
      <c r="B2642" s="164" t="s">
        <v>2345</v>
      </c>
      <c r="C2642" s="164">
        <v>16117764</v>
      </c>
      <c r="D2642" s="164" t="s">
        <v>2452</v>
      </c>
      <c r="E2642" s="164" t="s">
        <v>3699</v>
      </c>
      <c r="F2642" s="165">
        <v>2983.75</v>
      </c>
    </row>
    <row r="2643" spans="1:6" x14ac:dyDescent="0.2">
      <c r="A2643" s="166" t="s">
        <v>3724</v>
      </c>
      <c r="B2643" s="167" t="s">
        <v>2345</v>
      </c>
      <c r="C2643" s="167">
        <v>16117582</v>
      </c>
      <c r="D2643" s="167" t="s">
        <v>2451</v>
      </c>
      <c r="E2643" s="167" t="s">
        <v>3699</v>
      </c>
      <c r="F2643" s="168">
        <v>2983.75</v>
      </c>
    </row>
    <row r="2644" spans="1:6" x14ac:dyDescent="0.2">
      <c r="A2644" s="163" t="s">
        <v>3724</v>
      </c>
      <c r="B2644" s="164" t="s">
        <v>2345</v>
      </c>
      <c r="C2644" s="164">
        <v>16116733</v>
      </c>
      <c r="D2644" s="164" t="s">
        <v>2450</v>
      </c>
      <c r="E2644" s="164" t="s">
        <v>3699</v>
      </c>
      <c r="F2644" s="165">
        <v>2983.75</v>
      </c>
    </row>
    <row r="2645" spans="1:6" x14ac:dyDescent="0.2">
      <c r="A2645" s="166" t="s">
        <v>3724</v>
      </c>
      <c r="B2645" s="167" t="s">
        <v>2345</v>
      </c>
      <c r="C2645" s="167">
        <v>16116477</v>
      </c>
      <c r="D2645" s="167" t="s">
        <v>2449</v>
      </c>
      <c r="E2645" s="167" t="s">
        <v>3699</v>
      </c>
      <c r="F2645" s="168">
        <v>2983.75</v>
      </c>
    </row>
    <row r="2646" spans="1:6" x14ac:dyDescent="0.2">
      <c r="A2646" s="163" t="s">
        <v>3724</v>
      </c>
      <c r="B2646" s="164" t="s">
        <v>2345</v>
      </c>
      <c r="C2646" s="164">
        <v>16116290</v>
      </c>
      <c r="D2646" s="164" t="s">
        <v>2448</v>
      </c>
      <c r="E2646" s="164" t="s">
        <v>3699</v>
      </c>
      <c r="F2646" s="165">
        <v>2983.75</v>
      </c>
    </row>
    <row r="2647" spans="1:6" x14ac:dyDescent="0.2">
      <c r="A2647" s="166" t="s">
        <v>3724</v>
      </c>
      <c r="B2647" s="167" t="s">
        <v>2345</v>
      </c>
      <c r="C2647" s="167">
        <v>16116202</v>
      </c>
      <c r="D2647" s="167" t="s">
        <v>2447</v>
      </c>
      <c r="E2647" s="167" t="s">
        <v>3699</v>
      </c>
      <c r="F2647" s="168">
        <v>2983.75</v>
      </c>
    </row>
    <row r="2648" spans="1:6" x14ac:dyDescent="0.2">
      <c r="A2648" s="163" t="s">
        <v>3724</v>
      </c>
      <c r="B2648" s="164" t="s">
        <v>2345</v>
      </c>
      <c r="C2648" s="164">
        <v>16115783</v>
      </c>
      <c r="D2648" s="164" t="s">
        <v>2445</v>
      </c>
      <c r="E2648" s="164" t="s">
        <v>3699</v>
      </c>
      <c r="F2648" s="165">
        <v>2983.75</v>
      </c>
    </row>
    <row r="2649" spans="1:6" x14ac:dyDescent="0.2">
      <c r="A2649" s="166" t="s">
        <v>3724</v>
      </c>
      <c r="B2649" s="167" t="s">
        <v>2345</v>
      </c>
      <c r="C2649" s="167">
        <v>16115756</v>
      </c>
      <c r="D2649" s="167" t="s">
        <v>2444</v>
      </c>
      <c r="E2649" s="167" t="s">
        <v>3699</v>
      </c>
      <c r="F2649" s="168">
        <v>2983.75</v>
      </c>
    </row>
    <row r="2650" spans="1:6" x14ac:dyDescent="0.2">
      <c r="A2650" s="163" t="s">
        <v>3724</v>
      </c>
      <c r="B2650" s="164" t="s">
        <v>2345</v>
      </c>
      <c r="C2650" s="164">
        <v>16115586</v>
      </c>
      <c r="D2650" s="164" t="s">
        <v>2443</v>
      </c>
      <c r="E2650" s="164" t="s">
        <v>3699</v>
      </c>
      <c r="F2650" s="165">
        <v>2983.75</v>
      </c>
    </row>
    <row r="2651" spans="1:6" x14ac:dyDescent="0.2">
      <c r="A2651" s="166" t="s">
        <v>3724</v>
      </c>
      <c r="B2651" s="167" t="s">
        <v>2345</v>
      </c>
      <c r="C2651" s="167">
        <v>16115150</v>
      </c>
      <c r="D2651" s="167" t="s">
        <v>2442</v>
      </c>
      <c r="E2651" s="167" t="s">
        <v>3699</v>
      </c>
      <c r="F2651" s="168">
        <v>2983.75</v>
      </c>
    </row>
    <row r="2652" spans="1:6" x14ac:dyDescent="0.2">
      <c r="A2652" s="163" t="s">
        <v>3724</v>
      </c>
      <c r="B2652" s="164" t="s">
        <v>2345</v>
      </c>
      <c r="C2652" s="164">
        <v>16115026</v>
      </c>
      <c r="D2652" s="164" t="s">
        <v>2441</v>
      </c>
      <c r="E2652" s="164" t="s">
        <v>3699</v>
      </c>
      <c r="F2652" s="165">
        <v>1989.17</v>
      </c>
    </row>
    <row r="2653" spans="1:6" x14ac:dyDescent="0.2">
      <c r="A2653" s="166" t="s">
        <v>3724</v>
      </c>
      <c r="B2653" s="167" t="s">
        <v>2345</v>
      </c>
      <c r="C2653" s="167">
        <v>16114991</v>
      </c>
      <c r="D2653" s="167" t="s">
        <v>2440</v>
      </c>
      <c r="E2653" s="167" t="s">
        <v>3699</v>
      </c>
      <c r="F2653" s="168">
        <v>2983.75</v>
      </c>
    </row>
    <row r="2654" spans="1:6" x14ac:dyDescent="0.2">
      <c r="A2654" s="163" t="s">
        <v>3724</v>
      </c>
      <c r="B2654" s="164" t="s">
        <v>2345</v>
      </c>
      <c r="C2654" s="164">
        <v>16114529</v>
      </c>
      <c r="D2654" s="164" t="s">
        <v>2439</v>
      </c>
      <c r="E2654" s="164" t="s">
        <v>3699</v>
      </c>
      <c r="F2654" s="165">
        <v>2983.75</v>
      </c>
    </row>
    <row r="2655" spans="1:6" x14ac:dyDescent="0.2">
      <c r="A2655" s="166" t="s">
        <v>3724</v>
      </c>
      <c r="B2655" s="167" t="s">
        <v>2345</v>
      </c>
      <c r="C2655" s="167">
        <v>16114091</v>
      </c>
      <c r="D2655" s="167" t="s">
        <v>2438</v>
      </c>
      <c r="E2655" s="167" t="s">
        <v>3699</v>
      </c>
      <c r="F2655" s="168">
        <v>5230.33</v>
      </c>
    </row>
    <row r="2656" spans="1:6" x14ac:dyDescent="0.2">
      <c r="A2656" s="163" t="s">
        <v>3724</v>
      </c>
      <c r="B2656" s="164" t="s">
        <v>2345</v>
      </c>
      <c r="C2656" s="164">
        <v>16114063</v>
      </c>
      <c r="D2656" s="164" t="s">
        <v>2437</v>
      </c>
      <c r="E2656" s="164" t="s">
        <v>3699</v>
      </c>
      <c r="F2656" s="165">
        <v>2983.75</v>
      </c>
    </row>
    <row r="2657" spans="1:6" x14ac:dyDescent="0.2">
      <c r="A2657" s="166" t="s">
        <v>3724</v>
      </c>
      <c r="B2657" s="167" t="s">
        <v>2345</v>
      </c>
      <c r="C2657" s="167">
        <v>16113686</v>
      </c>
      <c r="D2657" s="167" t="s">
        <v>2436</v>
      </c>
      <c r="E2657" s="167" t="s">
        <v>3699</v>
      </c>
      <c r="F2657" s="168">
        <v>5064.29</v>
      </c>
    </row>
    <row r="2658" spans="1:6" x14ac:dyDescent="0.2">
      <c r="A2658" s="163" t="s">
        <v>3724</v>
      </c>
      <c r="B2658" s="164" t="s">
        <v>2345</v>
      </c>
      <c r="C2658" s="164">
        <v>16113003</v>
      </c>
      <c r="D2658" s="164" t="s">
        <v>2435</v>
      </c>
      <c r="E2658" s="164" t="s">
        <v>3699</v>
      </c>
      <c r="F2658" s="165">
        <v>2983.75</v>
      </c>
    </row>
    <row r="2659" spans="1:6" x14ac:dyDescent="0.2">
      <c r="A2659" s="166" t="s">
        <v>3724</v>
      </c>
      <c r="B2659" s="167" t="s">
        <v>2345</v>
      </c>
      <c r="C2659" s="167">
        <v>16112922</v>
      </c>
      <c r="D2659" s="167" t="s">
        <v>2434</v>
      </c>
      <c r="E2659" s="167" t="s">
        <v>3699</v>
      </c>
      <c r="F2659" s="168">
        <v>3814.58</v>
      </c>
    </row>
    <row r="2660" spans="1:6" x14ac:dyDescent="0.2">
      <c r="A2660" s="163" t="s">
        <v>3724</v>
      </c>
      <c r="B2660" s="164" t="s">
        <v>2345</v>
      </c>
      <c r="C2660" s="164">
        <v>16112578</v>
      </c>
      <c r="D2660" s="164" t="s">
        <v>2433</v>
      </c>
      <c r="E2660" s="164" t="s">
        <v>3699</v>
      </c>
      <c r="F2660" s="165">
        <v>2983.75</v>
      </c>
    </row>
    <row r="2661" spans="1:6" x14ac:dyDescent="0.2">
      <c r="A2661" s="166" t="s">
        <v>3724</v>
      </c>
      <c r="B2661" s="167" t="s">
        <v>2345</v>
      </c>
      <c r="C2661" s="167">
        <v>16112068</v>
      </c>
      <c r="D2661" s="167" t="s">
        <v>2432</v>
      </c>
      <c r="E2661" s="167" t="s">
        <v>3699</v>
      </c>
      <c r="F2661" s="168">
        <v>2983.75</v>
      </c>
    </row>
    <row r="2662" spans="1:6" x14ac:dyDescent="0.2">
      <c r="A2662" s="163" t="s">
        <v>3724</v>
      </c>
      <c r="B2662" s="164" t="s">
        <v>2345</v>
      </c>
      <c r="C2662" s="164">
        <v>16111844</v>
      </c>
      <c r="D2662" s="164" t="s">
        <v>2431</v>
      </c>
      <c r="E2662" s="164" t="s">
        <v>3699</v>
      </c>
      <c r="F2662" s="165">
        <v>2983.75</v>
      </c>
    </row>
    <row r="2663" spans="1:6" x14ac:dyDescent="0.2">
      <c r="A2663" s="166" t="s">
        <v>3724</v>
      </c>
      <c r="B2663" s="167" t="s">
        <v>2345</v>
      </c>
      <c r="C2663" s="167">
        <v>16111231</v>
      </c>
      <c r="D2663" s="167" t="s">
        <v>2430</v>
      </c>
      <c r="E2663" s="167" t="s">
        <v>3699</v>
      </c>
      <c r="F2663" s="168">
        <v>2983.75</v>
      </c>
    </row>
    <row r="2664" spans="1:6" x14ac:dyDescent="0.2">
      <c r="A2664" s="163" t="s">
        <v>3724</v>
      </c>
      <c r="B2664" s="164" t="s">
        <v>2345</v>
      </c>
      <c r="C2664" s="164">
        <v>16110744</v>
      </c>
      <c r="D2664" s="164" t="s">
        <v>2506</v>
      </c>
      <c r="E2664" s="164" t="s">
        <v>3699</v>
      </c>
      <c r="F2664" s="165">
        <v>2983.75</v>
      </c>
    </row>
    <row r="2665" spans="1:6" x14ac:dyDescent="0.2">
      <c r="A2665" s="166" t="s">
        <v>3724</v>
      </c>
      <c r="B2665" s="167" t="s">
        <v>2345</v>
      </c>
      <c r="C2665" s="167">
        <v>16110177</v>
      </c>
      <c r="D2665" s="167" t="s">
        <v>2429</v>
      </c>
      <c r="E2665" s="167" t="s">
        <v>3699</v>
      </c>
      <c r="F2665" s="168">
        <v>2983.75</v>
      </c>
    </row>
    <row r="2666" spans="1:6" x14ac:dyDescent="0.2">
      <c r="A2666" s="163" t="s">
        <v>3724</v>
      </c>
      <c r="B2666" s="164" t="s">
        <v>2345</v>
      </c>
      <c r="C2666" s="164">
        <v>16107905</v>
      </c>
      <c r="D2666" s="164" t="s">
        <v>2428</v>
      </c>
      <c r="E2666" s="164" t="s">
        <v>3699</v>
      </c>
      <c r="F2666" s="165">
        <v>2983.75</v>
      </c>
    </row>
    <row r="2667" spans="1:6" x14ac:dyDescent="0.2">
      <c r="A2667" s="166" t="s">
        <v>3724</v>
      </c>
      <c r="B2667" s="167" t="s">
        <v>2345</v>
      </c>
      <c r="C2667" s="167">
        <v>16107845</v>
      </c>
      <c r="D2667" s="167" t="s">
        <v>2427</v>
      </c>
      <c r="E2667" s="167" t="s">
        <v>3699</v>
      </c>
      <c r="F2667" s="168">
        <v>2983.75</v>
      </c>
    </row>
    <row r="2668" spans="1:6" x14ac:dyDescent="0.2">
      <c r="A2668" s="163" t="s">
        <v>3724</v>
      </c>
      <c r="B2668" s="164" t="s">
        <v>2345</v>
      </c>
      <c r="C2668" s="164">
        <v>16107705</v>
      </c>
      <c r="D2668" s="164" t="s">
        <v>2426</v>
      </c>
      <c r="E2668" s="164" t="s">
        <v>3699</v>
      </c>
      <c r="F2668" s="165">
        <v>2983.75</v>
      </c>
    </row>
    <row r="2669" spans="1:6" x14ac:dyDescent="0.2">
      <c r="A2669" s="166" t="s">
        <v>3724</v>
      </c>
      <c r="B2669" s="167" t="s">
        <v>2345</v>
      </c>
      <c r="C2669" s="167">
        <v>16107598</v>
      </c>
      <c r="D2669" s="167" t="s">
        <v>2505</v>
      </c>
      <c r="E2669" s="167" t="s">
        <v>3699</v>
      </c>
      <c r="F2669" s="168">
        <v>852.5</v>
      </c>
    </row>
    <row r="2670" spans="1:6" x14ac:dyDescent="0.2">
      <c r="A2670" s="163" t="s">
        <v>3724</v>
      </c>
      <c r="B2670" s="164" t="s">
        <v>2345</v>
      </c>
      <c r="C2670" s="164">
        <v>16107341</v>
      </c>
      <c r="D2670" s="164" t="s">
        <v>2425</v>
      </c>
      <c r="E2670" s="164" t="s">
        <v>3699</v>
      </c>
      <c r="F2670" s="165">
        <v>2450</v>
      </c>
    </row>
    <row r="2671" spans="1:6" x14ac:dyDescent="0.2">
      <c r="A2671" s="166" t="s">
        <v>3724</v>
      </c>
      <c r="B2671" s="167" t="s">
        <v>2345</v>
      </c>
      <c r="C2671" s="167">
        <v>16107227</v>
      </c>
      <c r="D2671" s="167" t="s">
        <v>2424</v>
      </c>
      <c r="E2671" s="167" t="s">
        <v>3699</v>
      </c>
      <c r="F2671" s="168">
        <v>2983.75</v>
      </c>
    </row>
    <row r="2672" spans="1:6" x14ac:dyDescent="0.2">
      <c r="A2672" s="163" t="s">
        <v>3724</v>
      </c>
      <c r="B2672" s="164" t="s">
        <v>2345</v>
      </c>
      <c r="C2672" s="164">
        <v>16106566</v>
      </c>
      <c r="D2672" s="164" t="s">
        <v>2423</v>
      </c>
      <c r="E2672" s="164" t="s">
        <v>3699</v>
      </c>
      <c r="F2672" s="165">
        <v>2983.75</v>
      </c>
    </row>
    <row r="2673" spans="1:6" x14ac:dyDescent="0.2">
      <c r="A2673" s="166" t="s">
        <v>3724</v>
      </c>
      <c r="B2673" s="167" t="s">
        <v>2345</v>
      </c>
      <c r="C2673" s="167">
        <v>16105115</v>
      </c>
      <c r="D2673" s="167" t="s">
        <v>2422</v>
      </c>
      <c r="E2673" s="167" t="s">
        <v>3699</v>
      </c>
      <c r="F2673" s="168">
        <v>2983.75</v>
      </c>
    </row>
    <row r="2674" spans="1:6" x14ac:dyDescent="0.2">
      <c r="A2674" s="163" t="s">
        <v>3724</v>
      </c>
      <c r="B2674" s="164" t="s">
        <v>2345</v>
      </c>
      <c r="C2674" s="164">
        <v>16104653</v>
      </c>
      <c r="D2674" s="164" t="s">
        <v>2421</v>
      </c>
      <c r="E2674" s="164" t="s">
        <v>3699</v>
      </c>
      <c r="F2674" s="165">
        <v>2983.75</v>
      </c>
    </row>
    <row r="2675" spans="1:6" x14ac:dyDescent="0.2">
      <c r="A2675" s="166" t="s">
        <v>3724</v>
      </c>
      <c r="B2675" s="167" t="s">
        <v>2345</v>
      </c>
      <c r="C2675" s="167">
        <v>16104436</v>
      </c>
      <c r="D2675" s="167" t="s">
        <v>2420</v>
      </c>
      <c r="E2675" s="167" t="s">
        <v>3699</v>
      </c>
      <c r="F2675" s="168">
        <v>2983.75</v>
      </c>
    </row>
    <row r="2676" spans="1:6" x14ac:dyDescent="0.2">
      <c r="A2676" s="163" t="s">
        <v>3724</v>
      </c>
      <c r="B2676" s="164" t="s">
        <v>2345</v>
      </c>
      <c r="C2676" s="164">
        <v>16103733</v>
      </c>
      <c r="D2676" s="164" t="s">
        <v>2504</v>
      </c>
      <c r="E2676" s="164" t="s">
        <v>3699</v>
      </c>
      <c r="F2676" s="165">
        <v>1705</v>
      </c>
    </row>
    <row r="2677" spans="1:6" x14ac:dyDescent="0.2">
      <c r="A2677" s="166" t="s">
        <v>3724</v>
      </c>
      <c r="B2677" s="167" t="s">
        <v>2345</v>
      </c>
      <c r="C2677" s="167">
        <v>16102762</v>
      </c>
      <c r="D2677" s="167" t="s">
        <v>2419</v>
      </c>
      <c r="E2677" s="167" t="s">
        <v>3699</v>
      </c>
      <c r="F2677" s="168">
        <v>2983.75</v>
      </c>
    </row>
    <row r="2678" spans="1:6" x14ac:dyDescent="0.2">
      <c r="A2678" s="163" t="s">
        <v>3724</v>
      </c>
      <c r="B2678" s="164" t="s">
        <v>2345</v>
      </c>
      <c r="C2678" s="164">
        <v>16102665</v>
      </c>
      <c r="D2678" s="164" t="s">
        <v>2418</v>
      </c>
      <c r="E2678" s="164" t="s">
        <v>3699</v>
      </c>
      <c r="F2678" s="165">
        <v>2983.75</v>
      </c>
    </row>
    <row r="2679" spans="1:6" x14ac:dyDescent="0.2">
      <c r="A2679" s="166" t="s">
        <v>3724</v>
      </c>
      <c r="B2679" s="167" t="s">
        <v>2345</v>
      </c>
      <c r="C2679" s="167">
        <v>16102525</v>
      </c>
      <c r="D2679" s="167" t="s">
        <v>2417</v>
      </c>
      <c r="E2679" s="167" t="s">
        <v>3699</v>
      </c>
      <c r="F2679" s="168">
        <v>2983.75</v>
      </c>
    </row>
    <row r="2680" spans="1:6" x14ac:dyDescent="0.2">
      <c r="A2680" s="163" t="s">
        <v>3724</v>
      </c>
      <c r="B2680" s="164" t="s">
        <v>2345</v>
      </c>
      <c r="C2680" s="164">
        <v>16102265</v>
      </c>
      <c r="D2680" s="164" t="s">
        <v>2416</v>
      </c>
      <c r="E2680" s="164" t="s">
        <v>3699</v>
      </c>
      <c r="F2680" s="165">
        <v>2983.75</v>
      </c>
    </row>
    <row r="2681" spans="1:6" x14ac:dyDescent="0.2">
      <c r="A2681" s="166" t="s">
        <v>3724</v>
      </c>
      <c r="B2681" s="167" t="s">
        <v>2345</v>
      </c>
      <c r="C2681" s="167">
        <v>16102211</v>
      </c>
      <c r="D2681" s="167" t="s">
        <v>2415</v>
      </c>
      <c r="E2681" s="167" t="s">
        <v>3699</v>
      </c>
      <c r="F2681" s="168">
        <v>3656.17</v>
      </c>
    </row>
    <row r="2682" spans="1:6" x14ac:dyDescent="0.2">
      <c r="A2682" s="163" t="s">
        <v>3724</v>
      </c>
      <c r="B2682" s="164" t="s">
        <v>2345</v>
      </c>
      <c r="C2682" s="164">
        <v>16102200</v>
      </c>
      <c r="D2682" s="164" t="s">
        <v>2414</v>
      </c>
      <c r="E2682" s="164" t="s">
        <v>3699</v>
      </c>
      <c r="F2682" s="165">
        <v>2983.75</v>
      </c>
    </row>
    <row r="2683" spans="1:6" x14ac:dyDescent="0.2">
      <c r="A2683" s="166" t="s">
        <v>3724</v>
      </c>
      <c r="B2683" s="167" t="s">
        <v>2345</v>
      </c>
      <c r="C2683" s="167">
        <v>16101387</v>
      </c>
      <c r="D2683" s="167" t="s">
        <v>2413</v>
      </c>
      <c r="E2683" s="167" t="s">
        <v>3699</v>
      </c>
      <c r="F2683" s="168">
        <v>2983.75</v>
      </c>
    </row>
    <row r="2684" spans="1:6" x14ac:dyDescent="0.2">
      <c r="A2684" s="163" t="s">
        <v>3724</v>
      </c>
      <c r="B2684" s="164" t="s">
        <v>2345</v>
      </c>
      <c r="C2684" s="164">
        <v>16101382</v>
      </c>
      <c r="D2684" s="164" t="s">
        <v>2412</v>
      </c>
      <c r="E2684" s="164" t="s">
        <v>3699</v>
      </c>
      <c r="F2684" s="165">
        <v>2983.75</v>
      </c>
    </row>
    <row r="2685" spans="1:6" x14ac:dyDescent="0.2">
      <c r="A2685" s="166" t="s">
        <v>3724</v>
      </c>
      <c r="B2685" s="167" t="s">
        <v>2345</v>
      </c>
      <c r="C2685" s="167">
        <v>16101370</v>
      </c>
      <c r="D2685" s="167" t="s">
        <v>2411</v>
      </c>
      <c r="E2685" s="167" t="s">
        <v>3699</v>
      </c>
      <c r="F2685" s="168">
        <v>2983.75</v>
      </c>
    </row>
    <row r="2686" spans="1:6" x14ac:dyDescent="0.2">
      <c r="A2686" s="163" t="s">
        <v>3724</v>
      </c>
      <c r="B2686" s="164" t="s">
        <v>2345</v>
      </c>
      <c r="C2686" s="164">
        <v>16101347</v>
      </c>
      <c r="D2686" s="164" t="s">
        <v>2410</v>
      </c>
      <c r="E2686" s="164" t="s">
        <v>3699</v>
      </c>
      <c r="F2686" s="165">
        <v>2983.75</v>
      </c>
    </row>
    <row r="2687" spans="1:6" x14ac:dyDescent="0.2">
      <c r="A2687" s="166" t="s">
        <v>3724</v>
      </c>
      <c r="B2687" s="167" t="s">
        <v>2345</v>
      </c>
      <c r="C2687" s="167">
        <v>16101324</v>
      </c>
      <c r="D2687" s="167" t="s">
        <v>2409</v>
      </c>
      <c r="E2687" s="167" t="s">
        <v>3699</v>
      </c>
      <c r="F2687" s="168">
        <v>2983.75</v>
      </c>
    </row>
    <row r="2688" spans="1:6" x14ac:dyDescent="0.2">
      <c r="A2688" s="163" t="s">
        <v>3724</v>
      </c>
      <c r="B2688" s="164" t="s">
        <v>2345</v>
      </c>
      <c r="C2688" s="164">
        <v>16101321</v>
      </c>
      <c r="D2688" s="164" t="s">
        <v>2408</v>
      </c>
      <c r="E2688" s="164" t="s">
        <v>3699</v>
      </c>
      <c r="F2688" s="165">
        <v>2983.75</v>
      </c>
    </row>
    <row r="2689" spans="1:6" x14ac:dyDescent="0.2">
      <c r="A2689" s="166" t="s">
        <v>3724</v>
      </c>
      <c r="B2689" s="167" t="s">
        <v>2345</v>
      </c>
      <c r="C2689" s="167">
        <v>16101311</v>
      </c>
      <c r="D2689" s="167" t="s">
        <v>2407</v>
      </c>
      <c r="E2689" s="167" t="s">
        <v>3699</v>
      </c>
      <c r="F2689" s="168">
        <v>4139.8</v>
      </c>
    </row>
    <row r="2690" spans="1:6" x14ac:dyDescent="0.2">
      <c r="A2690" s="163" t="s">
        <v>3724</v>
      </c>
      <c r="B2690" s="164" t="s">
        <v>2345</v>
      </c>
      <c r="C2690" s="164">
        <v>16101303</v>
      </c>
      <c r="D2690" s="164" t="s">
        <v>2406</v>
      </c>
      <c r="E2690" s="164" t="s">
        <v>3699</v>
      </c>
      <c r="F2690" s="165">
        <v>2983.75</v>
      </c>
    </row>
    <row r="2691" spans="1:6" x14ac:dyDescent="0.2">
      <c r="A2691" s="166" t="s">
        <v>3724</v>
      </c>
      <c r="B2691" s="167" t="s">
        <v>2345</v>
      </c>
      <c r="C2691" s="167">
        <v>16101291</v>
      </c>
      <c r="D2691" s="167" t="s">
        <v>2405</v>
      </c>
      <c r="E2691" s="167" t="s">
        <v>3699</v>
      </c>
      <c r="F2691" s="168">
        <v>2983.75</v>
      </c>
    </row>
    <row r="2692" spans="1:6" x14ac:dyDescent="0.2">
      <c r="A2692" s="163" t="s">
        <v>3724</v>
      </c>
      <c r="B2692" s="164" t="s">
        <v>2345</v>
      </c>
      <c r="C2692" s="164">
        <v>14124456</v>
      </c>
      <c r="D2692" s="164" t="s">
        <v>3706</v>
      </c>
      <c r="E2692" s="164" t="s">
        <v>3699</v>
      </c>
      <c r="F2692" s="165">
        <v>3288.46</v>
      </c>
    </row>
    <row r="2693" spans="1:6" x14ac:dyDescent="0.2">
      <c r="A2693" s="166" t="s">
        <v>3724</v>
      </c>
      <c r="B2693" s="167" t="s">
        <v>2345</v>
      </c>
      <c r="C2693" s="167">
        <v>14124431</v>
      </c>
      <c r="D2693" s="167" t="s">
        <v>3701</v>
      </c>
      <c r="E2693" s="167" t="s">
        <v>3699</v>
      </c>
      <c r="F2693" s="168">
        <v>3288.46</v>
      </c>
    </row>
    <row r="2694" spans="1:6" x14ac:dyDescent="0.2">
      <c r="A2694" s="163" t="s">
        <v>3724</v>
      </c>
      <c r="B2694" s="164" t="s">
        <v>2345</v>
      </c>
      <c r="C2694" s="164">
        <v>14124430</v>
      </c>
      <c r="D2694" s="164" t="s">
        <v>3703</v>
      </c>
      <c r="E2694" s="164" t="s">
        <v>3699</v>
      </c>
      <c r="F2694" s="165">
        <v>3288.46</v>
      </c>
    </row>
    <row r="2695" spans="1:6" x14ac:dyDescent="0.2">
      <c r="A2695" s="166" t="s">
        <v>3724</v>
      </c>
      <c r="B2695" s="167" t="s">
        <v>2345</v>
      </c>
      <c r="C2695" s="167">
        <v>14124429</v>
      </c>
      <c r="D2695" s="167" t="s">
        <v>3702</v>
      </c>
      <c r="E2695" s="167" t="s">
        <v>3699</v>
      </c>
      <c r="F2695" s="168">
        <v>3288.46</v>
      </c>
    </row>
    <row r="2696" spans="1:6" x14ac:dyDescent="0.2">
      <c r="A2696" s="163" t="s">
        <v>3724</v>
      </c>
      <c r="B2696" s="164" t="s">
        <v>2345</v>
      </c>
      <c r="C2696" s="164">
        <v>14124428</v>
      </c>
      <c r="D2696" s="164" t="s">
        <v>3707</v>
      </c>
      <c r="E2696" s="164" t="s">
        <v>3699</v>
      </c>
      <c r="F2696" s="165">
        <v>3288.46</v>
      </c>
    </row>
    <row r="2697" spans="1:6" x14ac:dyDescent="0.2">
      <c r="A2697" s="166" t="s">
        <v>3724</v>
      </c>
      <c r="B2697" s="167" t="s">
        <v>2345</v>
      </c>
      <c r="C2697" s="167">
        <v>14124413</v>
      </c>
      <c r="D2697" s="167" t="s">
        <v>2599</v>
      </c>
      <c r="E2697" s="167" t="s">
        <v>3699</v>
      </c>
      <c r="F2697" s="168">
        <v>3288.46</v>
      </c>
    </row>
    <row r="2698" spans="1:6" x14ac:dyDescent="0.2">
      <c r="A2698" s="163" t="s">
        <v>3724</v>
      </c>
      <c r="B2698" s="164" t="s">
        <v>2345</v>
      </c>
      <c r="C2698" s="164">
        <v>14124412</v>
      </c>
      <c r="D2698" s="164" t="s">
        <v>2598</v>
      </c>
      <c r="E2698" s="164" t="s">
        <v>3699</v>
      </c>
      <c r="F2698" s="165">
        <v>3288.46</v>
      </c>
    </row>
    <row r="2699" spans="1:6" x14ac:dyDescent="0.2">
      <c r="A2699" s="166" t="s">
        <v>3724</v>
      </c>
      <c r="B2699" s="167" t="s">
        <v>2345</v>
      </c>
      <c r="C2699" s="167">
        <v>14124411</v>
      </c>
      <c r="D2699" s="167" t="s">
        <v>2597</v>
      </c>
      <c r="E2699" s="167" t="s">
        <v>3699</v>
      </c>
      <c r="F2699" s="168">
        <v>3288.46</v>
      </c>
    </row>
    <row r="2700" spans="1:6" x14ac:dyDescent="0.2">
      <c r="A2700" s="163" t="s">
        <v>3724</v>
      </c>
      <c r="B2700" s="164" t="s">
        <v>2345</v>
      </c>
      <c r="C2700" s="164">
        <v>14124410</v>
      </c>
      <c r="D2700" s="164" t="s">
        <v>2596</v>
      </c>
      <c r="E2700" s="164" t="s">
        <v>3699</v>
      </c>
      <c r="F2700" s="165">
        <v>3288.46</v>
      </c>
    </row>
    <row r="2701" spans="1:6" x14ac:dyDescent="0.2">
      <c r="A2701" s="166" t="s">
        <v>3724</v>
      </c>
      <c r="B2701" s="167" t="s">
        <v>2345</v>
      </c>
      <c r="C2701" s="167">
        <v>14124409</v>
      </c>
      <c r="D2701" s="167" t="s">
        <v>2595</v>
      </c>
      <c r="E2701" s="167" t="s">
        <v>3699</v>
      </c>
      <c r="F2701" s="168">
        <v>2192.31</v>
      </c>
    </row>
    <row r="2702" spans="1:6" x14ac:dyDescent="0.2">
      <c r="A2702" s="163" t="s">
        <v>3724</v>
      </c>
      <c r="B2702" s="164" t="s">
        <v>2345</v>
      </c>
      <c r="C2702" s="164">
        <v>14124408</v>
      </c>
      <c r="D2702" s="164" t="s">
        <v>2593</v>
      </c>
      <c r="E2702" s="164" t="s">
        <v>3699</v>
      </c>
      <c r="F2702" s="165">
        <v>3288.46</v>
      </c>
    </row>
    <row r="2703" spans="1:6" x14ac:dyDescent="0.2">
      <c r="A2703" s="166" t="s">
        <v>3724</v>
      </c>
      <c r="B2703" s="167" t="s">
        <v>2345</v>
      </c>
      <c r="C2703" s="167">
        <v>14124406</v>
      </c>
      <c r="D2703" s="167" t="s">
        <v>2591</v>
      </c>
      <c r="E2703" s="167" t="s">
        <v>3699</v>
      </c>
      <c r="F2703" s="168">
        <v>3288.46</v>
      </c>
    </row>
    <row r="2704" spans="1:6" x14ac:dyDescent="0.2">
      <c r="A2704" s="163" t="s">
        <v>3724</v>
      </c>
      <c r="B2704" s="164" t="s">
        <v>2345</v>
      </c>
      <c r="C2704" s="164">
        <v>14124394</v>
      </c>
      <c r="D2704" s="164" t="s">
        <v>2590</v>
      </c>
      <c r="E2704" s="164" t="s">
        <v>3699</v>
      </c>
      <c r="F2704" s="165">
        <v>3288.46</v>
      </c>
    </row>
    <row r="2705" spans="1:6" x14ac:dyDescent="0.2">
      <c r="A2705" s="166" t="s">
        <v>3724</v>
      </c>
      <c r="B2705" s="167" t="s">
        <v>2345</v>
      </c>
      <c r="C2705" s="167">
        <v>14124389</v>
      </c>
      <c r="D2705" s="167" t="s">
        <v>2570</v>
      </c>
      <c r="E2705" s="167" t="s">
        <v>3699</v>
      </c>
      <c r="F2705" s="168">
        <v>3288.46</v>
      </c>
    </row>
    <row r="2706" spans="1:6" x14ac:dyDescent="0.2">
      <c r="A2706" s="163" t="s">
        <v>3724</v>
      </c>
      <c r="B2706" s="164" t="s">
        <v>2345</v>
      </c>
      <c r="C2706" s="164">
        <v>14124388</v>
      </c>
      <c r="D2706" s="164" t="s">
        <v>2588</v>
      </c>
      <c r="E2706" s="164" t="s">
        <v>3699</v>
      </c>
      <c r="F2706" s="165">
        <v>3288.46</v>
      </c>
    </row>
    <row r="2707" spans="1:6" x14ac:dyDescent="0.2">
      <c r="A2707" s="166" t="s">
        <v>3724</v>
      </c>
      <c r="B2707" s="167" t="s">
        <v>2345</v>
      </c>
      <c r="C2707" s="167">
        <v>14124384</v>
      </c>
      <c r="D2707" s="167" t="s">
        <v>2551</v>
      </c>
      <c r="E2707" s="167" t="s">
        <v>3699</v>
      </c>
      <c r="F2707" s="168">
        <v>3288.46</v>
      </c>
    </row>
    <row r="2708" spans="1:6" x14ac:dyDescent="0.2">
      <c r="A2708" s="163" t="s">
        <v>3724</v>
      </c>
      <c r="B2708" s="164" t="s">
        <v>2345</v>
      </c>
      <c r="C2708" s="164">
        <v>14124377</v>
      </c>
      <c r="D2708" s="164" t="s">
        <v>3708</v>
      </c>
      <c r="E2708" s="164" t="s">
        <v>3699</v>
      </c>
      <c r="F2708" s="165">
        <v>3981.95</v>
      </c>
    </row>
    <row r="2709" spans="1:6" x14ac:dyDescent="0.2">
      <c r="A2709" s="166" t="s">
        <v>3724</v>
      </c>
      <c r="B2709" s="167" t="s">
        <v>2345</v>
      </c>
      <c r="C2709" s="167">
        <v>14124376</v>
      </c>
      <c r="D2709" s="167" t="s">
        <v>2559</v>
      </c>
      <c r="E2709" s="167" t="s">
        <v>3699</v>
      </c>
      <c r="F2709" s="168">
        <v>3288.46</v>
      </c>
    </row>
    <row r="2710" spans="1:6" x14ac:dyDescent="0.2">
      <c r="A2710" s="163" t="s">
        <v>3724</v>
      </c>
      <c r="B2710" s="164" t="s">
        <v>2345</v>
      </c>
      <c r="C2710" s="164">
        <v>14124352</v>
      </c>
      <c r="D2710" s="164" t="s">
        <v>2555</v>
      </c>
      <c r="E2710" s="164" t="s">
        <v>3699</v>
      </c>
      <c r="F2710" s="165">
        <v>3288.46</v>
      </c>
    </row>
    <row r="2711" spans="1:6" x14ac:dyDescent="0.2">
      <c r="A2711" s="166" t="s">
        <v>3724</v>
      </c>
      <c r="B2711" s="167" t="s">
        <v>2345</v>
      </c>
      <c r="C2711" s="167">
        <v>14124350</v>
      </c>
      <c r="D2711" s="167" t="s">
        <v>2566</v>
      </c>
      <c r="E2711" s="167" t="s">
        <v>3699</v>
      </c>
      <c r="F2711" s="168">
        <v>3288.46</v>
      </c>
    </row>
    <row r="2712" spans="1:6" x14ac:dyDescent="0.2">
      <c r="A2712" s="163" t="s">
        <v>3724</v>
      </c>
      <c r="B2712" s="164" t="s">
        <v>2345</v>
      </c>
      <c r="C2712" s="164">
        <v>14124349</v>
      </c>
      <c r="D2712" s="164" t="s">
        <v>2561</v>
      </c>
      <c r="E2712" s="164" t="s">
        <v>3699</v>
      </c>
      <c r="F2712" s="165">
        <v>3288.46</v>
      </c>
    </row>
    <row r="2713" spans="1:6" x14ac:dyDescent="0.2">
      <c r="A2713" s="166" t="s">
        <v>3724</v>
      </c>
      <c r="B2713" s="167" t="s">
        <v>2345</v>
      </c>
      <c r="C2713" s="167">
        <v>14124348</v>
      </c>
      <c r="D2713" s="167" t="s">
        <v>2554</v>
      </c>
      <c r="E2713" s="167" t="s">
        <v>3699</v>
      </c>
      <c r="F2713" s="168">
        <v>3288.46</v>
      </c>
    </row>
    <row r="2714" spans="1:6" x14ac:dyDescent="0.2">
      <c r="A2714" s="163" t="s">
        <v>3724</v>
      </c>
      <c r="B2714" s="164" t="s">
        <v>2345</v>
      </c>
      <c r="C2714" s="164">
        <v>14124347</v>
      </c>
      <c r="D2714" s="164" t="s">
        <v>2553</v>
      </c>
      <c r="E2714" s="164" t="s">
        <v>3699</v>
      </c>
      <c r="F2714" s="165">
        <v>3288.46</v>
      </c>
    </row>
    <row r="2715" spans="1:6" x14ac:dyDescent="0.2">
      <c r="A2715" s="166" t="s">
        <v>3724</v>
      </c>
      <c r="B2715" s="167" t="s">
        <v>2345</v>
      </c>
      <c r="C2715" s="167">
        <v>14124346</v>
      </c>
      <c r="D2715" s="167" t="s">
        <v>2552</v>
      </c>
      <c r="E2715" s="167" t="s">
        <v>3699</v>
      </c>
      <c r="F2715" s="168">
        <v>3288.46</v>
      </c>
    </row>
    <row r="2716" spans="1:6" x14ac:dyDescent="0.2">
      <c r="A2716" s="163" t="s">
        <v>3724</v>
      </c>
      <c r="B2716" s="164" t="s">
        <v>2345</v>
      </c>
      <c r="C2716" s="164">
        <v>14124345</v>
      </c>
      <c r="D2716" s="164" t="s">
        <v>2556</v>
      </c>
      <c r="E2716" s="164" t="s">
        <v>3699</v>
      </c>
      <c r="F2716" s="165">
        <v>3288.46</v>
      </c>
    </row>
    <row r="2717" spans="1:6" x14ac:dyDescent="0.2">
      <c r="A2717" s="166" t="s">
        <v>3724</v>
      </c>
      <c r="B2717" s="167" t="s">
        <v>2345</v>
      </c>
      <c r="C2717" s="167">
        <v>14124344</v>
      </c>
      <c r="D2717" s="167" t="s">
        <v>2567</v>
      </c>
      <c r="E2717" s="167" t="s">
        <v>3699</v>
      </c>
      <c r="F2717" s="168">
        <v>3288.46</v>
      </c>
    </row>
    <row r="2718" spans="1:6" x14ac:dyDescent="0.2">
      <c r="A2718" s="163" t="s">
        <v>3724</v>
      </c>
      <c r="B2718" s="164" t="s">
        <v>2345</v>
      </c>
      <c r="C2718" s="164">
        <v>14124343</v>
      </c>
      <c r="D2718" s="164" t="s">
        <v>2562</v>
      </c>
      <c r="E2718" s="164" t="s">
        <v>3699</v>
      </c>
      <c r="F2718" s="165">
        <v>3288.46</v>
      </c>
    </row>
    <row r="2719" spans="1:6" x14ac:dyDescent="0.2">
      <c r="A2719" s="166" t="s">
        <v>3724</v>
      </c>
      <c r="B2719" s="167" t="s">
        <v>2345</v>
      </c>
      <c r="C2719" s="167">
        <v>14124334</v>
      </c>
      <c r="D2719" s="167" t="s">
        <v>2538</v>
      </c>
      <c r="E2719" s="167" t="s">
        <v>3699</v>
      </c>
      <c r="F2719" s="168">
        <v>3288.46</v>
      </c>
    </row>
    <row r="2720" spans="1:6" x14ac:dyDescent="0.2">
      <c r="A2720" s="163" t="s">
        <v>3724</v>
      </c>
      <c r="B2720" s="164" t="s">
        <v>2345</v>
      </c>
      <c r="C2720" s="164">
        <v>14124331</v>
      </c>
      <c r="D2720" s="164" t="s">
        <v>2583</v>
      </c>
      <c r="E2720" s="164" t="s">
        <v>3699</v>
      </c>
      <c r="F2720" s="165">
        <v>3288.46</v>
      </c>
    </row>
    <row r="2721" spans="1:6" x14ac:dyDescent="0.2">
      <c r="A2721" s="166" t="s">
        <v>3724</v>
      </c>
      <c r="B2721" s="167" t="s">
        <v>2345</v>
      </c>
      <c r="C2721" s="167">
        <v>14124320</v>
      </c>
      <c r="D2721" s="167" t="s">
        <v>2404</v>
      </c>
      <c r="E2721" s="167" t="s">
        <v>3699</v>
      </c>
      <c r="F2721" s="168">
        <v>3288.46</v>
      </c>
    </row>
    <row r="2722" spans="1:6" x14ac:dyDescent="0.2">
      <c r="A2722" s="163" t="s">
        <v>3724</v>
      </c>
      <c r="B2722" s="164" t="s">
        <v>2345</v>
      </c>
      <c r="C2722" s="164">
        <v>14124303</v>
      </c>
      <c r="D2722" s="164" t="s">
        <v>2403</v>
      </c>
      <c r="E2722" s="164" t="s">
        <v>3699</v>
      </c>
      <c r="F2722" s="165">
        <v>3288.46</v>
      </c>
    </row>
    <row r="2723" spans="1:6" x14ac:dyDescent="0.2">
      <c r="A2723" s="166" t="s">
        <v>3724</v>
      </c>
      <c r="B2723" s="167" t="s">
        <v>2345</v>
      </c>
      <c r="C2723" s="167">
        <v>14124287</v>
      </c>
      <c r="D2723" s="167" t="s">
        <v>2402</v>
      </c>
      <c r="E2723" s="167" t="s">
        <v>3699</v>
      </c>
      <c r="F2723" s="168">
        <v>1644.23</v>
      </c>
    </row>
    <row r="2724" spans="1:6" x14ac:dyDescent="0.2">
      <c r="A2724" s="163" t="s">
        <v>3724</v>
      </c>
      <c r="B2724" s="164" t="s">
        <v>2345</v>
      </c>
      <c r="C2724" s="164">
        <v>14124286</v>
      </c>
      <c r="D2724" s="164" t="s">
        <v>2401</v>
      </c>
      <c r="E2724" s="164" t="s">
        <v>3699</v>
      </c>
      <c r="F2724" s="165">
        <v>3288.46</v>
      </c>
    </row>
    <row r="2725" spans="1:6" x14ac:dyDescent="0.2">
      <c r="A2725" s="166" t="s">
        <v>3724</v>
      </c>
      <c r="B2725" s="167" t="s">
        <v>2345</v>
      </c>
      <c r="C2725" s="167">
        <v>14124263</v>
      </c>
      <c r="D2725" s="167" t="s">
        <v>2400</v>
      </c>
      <c r="E2725" s="167" t="s">
        <v>3699</v>
      </c>
      <c r="F2725" s="168">
        <v>3288.46</v>
      </c>
    </row>
    <row r="2726" spans="1:6" x14ac:dyDescent="0.2">
      <c r="A2726" s="163" t="s">
        <v>3724</v>
      </c>
      <c r="B2726" s="164" t="s">
        <v>2345</v>
      </c>
      <c r="C2726" s="164">
        <v>14124261</v>
      </c>
      <c r="D2726" s="164" t="s">
        <v>2398</v>
      </c>
      <c r="E2726" s="164" t="s">
        <v>3699</v>
      </c>
      <c r="F2726" s="165">
        <v>3288.46</v>
      </c>
    </row>
    <row r="2727" spans="1:6" x14ac:dyDescent="0.2">
      <c r="A2727" s="166" t="s">
        <v>3724</v>
      </c>
      <c r="B2727" s="167" t="s">
        <v>2345</v>
      </c>
      <c r="C2727" s="167">
        <v>14124260</v>
      </c>
      <c r="D2727" s="167" t="s">
        <v>2397</v>
      </c>
      <c r="E2727" s="167" t="s">
        <v>3699</v>
      </c>
      <c r="F2727" s="168">
        <v>3288.46</v>
      </c>
    </row>
    <row r="2728" spans="1:6" x14ac:dyDescent="0.2">
      <c r="A2728" s="163" t="s">
        <v>3724</v>
      </c>
      <c r="B2728" s="164" t="s">
        <v>2345</v>
      </c>
      <c r="C2728" s="164">
        <v>14124254</v>
      </c>
      <c r="D2728" s="164" t="s">
        <v>2396</v>
      </c>
      <c r="E2728" s="164" t="s">
        <v>3699</v>
      </c>
      <c r="F2728" s="165">
        <v>3288.46</v>
      </c>
    </row>
    <row r="2729" spans="1:6" x14ac:dyDescent="0.2">
      <c r="A2729" s="166" t="s">
        <v>3724</v>
      </c>
      <c r="B2729" s="167" t="s">
        <v>2345</v>
      </c>
      <c r="C2729" s="167">
        <v>14124244</v>
      </c>
      <c r="D2729" s="167" t="s">
        <v>2393</v>
      </c>
      <c r="E2729" s="167" t="s">
        <v>3699</v>
      </c>
      <c r="F2729" s="168">
        <v>3288.46</v>
      </c>
    </row>
    <row r="2730" spans="1:6" x14ac:dyDescent="0.2">
      <c r="A2730" s="163" t="s">
        <v>3724</v>
      </c>
      <c r="B2730" s="164" t="s">
        <v>2345</v>
      </c>
      <c r="C2730" s="164">
        <v>14124243</v>
      </c>
      <c r="D2730" s="164" t="s">
        <v>2392</v>
      </c>
      <c r="E2730" s="164" t="s">
        <v>3699</v>
      </c>
      <c r="F2730" s="165">
        <v>3288.46</v>
      </c>
    </row>
    <row r="2731" spans="1:6" x14ac:dyDescent="0.2">
      <c r="A2731" s="166" t="s">
        <v>3724</v>
      </c>
      <c r="B2731" s="167" t="s">
        <v>2345</v>
      </c>
      <c r="C2731" s="167">
        <v>14124240</v>
      </c>
      <c r="D2731" s="167" t="s">
        <v>3700</v>
      </c>
      <c r="E2731" s="167" t="s">
        <v>3699</v>
      </c>
      <c r="F2731" s="168">
        <v>3288.46</v>
      </c>
    </row>
    <row r="2732" spans="1:6" x14ac:dyDescent="0.2">
      <c r="A2732" s="163" t="s">
        <v>3724</v>
      </c>
      <c r="B2732" s="164" t="s">
        <v>2345</v>
      </c>
      <c r="C2732" s="164">
        <v>14124206</v>
      </c>
      <c r="D2732" s="164" t="s">
        <v>2391</v>
      </c>
      <c r="E2732" s="164" t="s">
        <v>3699</v>
      </c>
      <c r="F2732" s="165">
        <v>3288.46</v>
      </c>
    </row>
    <row r="2733" spans="1:6" x14ac:dyDescent="0.2">
      <c r="A2733" s="166" t="s">
        <v>3724</v>
      </c>
      <c r="B2733" s="167" t="s">
        <v>2345</v>
      </c>
      <c r="C2733" s="167">
        <v>14124190</v>
      </c>
      <c r="D2733" s="167" t="s">
        <v>2027</v>
      </c>
      <c r="E2733" s="167" t="s">
        <v>3699</v>
      </c>
      <c r="F2733" s="168">
        <v>3288.46</v>
      </c>
    </row>
    <row r="2734" spans="1:6" x14ac:dyDescent="0.2">
      <c r="A2734" s="163" t="s">
        <v>3724</v>
      </c>
      <c r="B2734" s="164" t="s">
        <v>2345</v>
      </c>
      <c r="C2734" s="164">
        <v>14124189</v>
      </c>
      <c r="D2734" s="164" t="s">
        <v>2390</v>
      </c>
      <c r="E2734" s="164" t="s">
        <v>3699</v>
      </c>
      <c r="F2734" s="165">
        <v>3288.46</v>
      </c>
    </row>
    <row r="2735" spans="1:6" x14ac:dyDescent="0.2">
      <c r="A2735" s="166" t="s">
        <v>3724</v>
      </c>
      <c r="B2735" s="167" t="s">
        <v>2345</v>
      </c>
      <c r="C2735" s="167">
        <v>14124188</v>
      </c>
      <c r="D2735" s="167" t="s">
        <v>2016</v>
      </c>
      <c r="E2735" s="167" t="s">
        <v>3699</v>
      </c>
      <c r="F2735" s="168">
        <v>3288.46</v>
      </c>
    </row>
    <row r="2736" spans="1:6" x14ac:dyDescent="0.2">
      <c r="A2736" s="163" t="s">
        <v>3724</v>
      </c>
      <c r="B2736" s="164" t="s">
        <v>2345</v>
      </c>
      <c r="C2736" s="164">
        <v>14124187</v>
      </c>
      <c r="D2736" s="164" t="s">
        <v>2022</v>
      </c>
      <c r="E2736" s="164" t="s">
        <v>3699</v>
      </c>
      <c r="F2736" s="165">
        <v>3288.46</v>
      </c>
    </row>
    <row r="2737" spans="1:6" x14ac:dyDescent="0.2">
      <c r="A2737" s="166" t="s">
        <v>3724</v>
      </c>
      <c r="B2737" s="167" t="s">
        <v>2345</v>
      </c>
      <c r="C2737" s="167">
        <v>14124186</v>
      </c>
      <c r="D2737" s="167" t="s">
        <v>2021</v>
      </c>
      <c r="E2737" s="167" t="s">
        <v>3699</v>
      </c>
      <c r="F2737" s="168">
        <v>3288.46</v>
      </c>
    </row>
    <row r="2738" spans="1:6" x14ac:dyDescent="0.2">
      <c r="A2738" s="163" t="s">
        <v>3724</v>
      </c>
      <c r="B2738" s="164" t="s">
        <v>2345</v>
      </c>
      <c r="C2738" s="164">
        <v>14124185</v>
      </c>
      <c r="D2738" s="164" t="s">
        <v>2018</v>
      </c>
      <c r="E2738" s="164" t="s">
        <v>3699</v>
      </c>
      <c r="F2738" s="165">
        <v>3288.46</v>
      </c>
    </row>
    <row r="2739" spans="1:6" x14ac:dyDescent="0.2">
      <c r="A2739" s="166" t="s">
        <v>3724</v>
      </c>
      <c r="B2739" s="167" t="s">
        <v>2345</v>
      </c>
      <c r="C2739" s="167">
        <v>14124166</v>
      </c>
      <c r="D2739" s="167" t="s">
        <v>1963</v>
      </c>
      <c r="E2739" s="167" t="s">
        <v>3699</v>
      </c>
      <c r="F2739" s="168">
        <v>3288.46</v>
      </c>
    </row>
    <row r="2740" spans="1:6" x14ac:dyDescent="0.2">
      <c r="A2740" s="163" t="s">
        <v>3724</v>
      </c>
      <c r="B2740" s="164" t="s">
        <v>2345</v>
      </c>
      <c r="C2740" s="164">
        <v>14124165</v>
      </c>
      <c r="D2740" s="164" t="s">
        <v>1923</v>
      </c>
      <c r="E2740" s="164" t="s">
        <v>3699</v>
      </c>
      <c r="F2740" s="165">
        <v>3288.46</v>
      </c>
    </row>
    <row r="2741" spans="1:6" x14ac:dyDescent="0.2">
      <c r="A2741" s="166" t="s">
        <v>3724</v>
      </c>
      <c r="B2741" s="167" t="s">
        <v>2345</v>
      </c>
      <c r="C2741" s="167">
        <v>14124164</v>
      </c>
      <c r="D2741" s="167" t="s">
        <v>1966</v>
      </c>
      <c r="E2741" s="167" t="s">
        <v>3699</v>
      </c>
      <c r="F2741" s="168">
        <v>3288.46</v>
      </c>
    </row>
    <row r="2742" spans="1:6" x14ac:dyDescent="0.2">
      <c r="A2742" s="163" t="s">
        <v>3724</v>
      </c>
      <c r="B2742" s="164" t="s">
        <v>2345</v>
      </c>
      <c r="C2742" s="164">
        <v>14124162</v>
      </c>
      <c r="D2742" s="164" t="s">
        <v>1998</v>
      </c>
      <c r="E2742" s="164" t="s">
        <v>3699</v>
      </c>
      <c r="F2742" s="165">
        <v>3288.46</v>
      </c>
    </row>
    <row r="2743" spans="1:6" x14ac:dyDescent="0.2">
      <c r="A2743" s="166" t="s">
        <v>3724</v>
      </c>
      <c r="B2743" s="167" t="s">
        <v>2345</v>
      </c>
      <c r="C2743" s="167">
        <v>14124161</v>
      </c>
      <c r="D2743" s="167" t="s">
        <v>2031</v>
      </c>
      <c r="E2743" s="167" t="s">
        <v>3699</v>
      </c>
      <c r="F2743" s="168">
        <v>3288.46</v>
      </c>
    </row>
    <row r="2744" spans="1:6" x14ac:dyDescent="0.2">
      <c r="A2744" s="163" t="s">
        <v>3724</v>
      </c>
      <c r="B2744" s="164" t="s">
        <v>2345</v>
      </c>
      <c r="C2744" s="164">
        <v>14124160</v>
      </c>
      <c r="D2744" s="164" t="s">
        <v>1972</v>
      </c>
      <c r="E2744" s="164" t="s">
        <v>3699</v>
      </c>
      <c r="F2744" s="165">
        <v>3288.46</v>
      </c>
    </row>
    <row r="2745" spans="1:6" x14ac:dyDescent="0.2">
      <c r="A2745" s="166" t="s">
        <v>3724</v>
      </c>
      <c r="B2745" s="167" t="s">
        <v>2345</v>
      </c>
      <c r="C2745" s="167">
        <v>14124159</v>
      </c>
      <c r="D2745" s="167" t="s">
        <v>2389</v>
      </c>
      <c r="E2745" s="167" t="s">
        <v>3699</v>
      </c>
      <c r="F2745" s="168">
        <v>3288.46</v>
      </c>
    </row>
    <row r="2746" spans="1:6" x14ac:dyDescent="0.2">
      <c r="A2746" s="163" t="s">
        <v>3724</v>
      </c>
      <c r="B2746" s="164" t="s">
        <v>2345</v>
      </c>
      <c r="C2746" s="164">
        <v>14124158</v>
      </c>
      <c r="D2746" s="164" t="s">
        <v>1983</v>
      </c>
      <c r="E2746" s="164" t="s">
        <v>3699</v>
      </c>
      <c r="F2746" s="165">
        <v>3288.46</v>
      </c>
    </row>
    <row r="2747" spans="1:6" x14ac:dyDescent="0.2">
      <c r="A2747" s="166" t="s">
        <v>3724</v>
      </c>
      <c r="B2747" s="167" t="s">
        <v>2345</v>
      </c>
      <c r="C2747" s="167">
        <v>14124157</v>
      </c>
      <c r="D2747" s="167" t="s">
        <v>1918</v>
      </c>
      <c r="E2747" s="167" t="s">
        <v>3699</v>
      </c>
      <c r="F2747" s="168">
        <v>3288.46</v>
      </c>
    </row>
    <row r="2748" spans="1:6" x14ac:dyDescent="0.2">
      <c r="A2748" s="163" t="s">
        <v>3724</v>
      </c>
      <c r="B2748" s="164" t="s">
        <v>2345</v>
      </c>
      <c r="C2748" s="164">
        <v>14124146</v>
      </c>
      <c r="D2748" s="164" t="s">
        <v>2003</v>
      </c>
      <c r="E2748" s="164" t="s">
        <v>3699</v>
      </c>
      <c r="F2748" s="165">
        <v>3288.46</v>
      </c>
    </row>
    <row r="2749" spans="1:6" x14ac:dyDescent="0.2">
      <c r="A2749" s="166" t="s">
        <v>3724</v>
      </c>
      <c r="B2749" s="167" t="s">
        <v>2345</v>
      </c>
      <c r="C2749" s="167">
        <v>14124144</v>
      </c>
      <c r="D2749" s="167" t="s">
        <v>2388</v>
      </c>
      <c r="E2749" s="167" t="s">
        <v>3699</v>
      </c>
      <c r="F2749" s="168">
        <v>3288.46</v>
      </c>
    </row>
    <row r="2750" spans="1:6" x14ac:dyDescent="0.2">
      <c r="A2750" s="163" t="s">
        <v>3724</v>
      </c>
      <c r="B2750" s="164" t="s">
        <v>2345</v>
      </c>
      <c r="C2750" s="164">
        <v>14124131</v>
      </c>
      <c r="D2750" s="164" t="s">
        <v>1891</v>
      </c>
      <c r="E2750" s="164" t="s">
        <v>3699</v>
      </c>
      <c r="F2750" s="165">
        <v>3288.46</v>
      </c>
    </row>
    <row r="2751" spans="1:6" x14ac:dyDescent="0.2">
      <c r="A2751" s="166" t="s">
        <v>3724</v>
      </c>
      <c r="B2751" s="167" t="s">
        <v>2345</v>
      </c>
      <c r="C2751" s="167">
        <v>14124114</v>
      </c>
      <c r="D2751" s="167" t="s">
        <v>1626</v>
      </c>
      <c r="E2751" s="167" t="s">
        <v>3699</v>
      </c>
      <c r="F2751" s="168">
        <v>3288.46</v>
      </c>
    </row>
    <row r="2752" spans="1:6" x14ac:dyDescent="0.2">
      <c r="A2752" s="163" t="s">
        <v>3724</v>
      </c>
      <c r="B2752" s="164" t="s">
        <v>2345</v>
      </c>
      <c r="C2752" s="164">
        <v>14124113</v>
      </c>
      <c r="D2752" s="164" t="s">
        <v>1624</v>
      </c>
      <c r="E2752" s="164" t="s">
        <v>3699</v>
      </c>
      <c r="F2752" s="165">
        <v>3288.46</v>
      </c>
    </row>
    <row r="2753" spans="1:6" x14ac:dyDescent="0.2">
      <c r="A2753" s="166" t="s">
        <v>3724</v>
      </c>
      <c r="B2753" s="167" t="s">
        <v>2345</v>
      </c>
      <c r="C2753" s="167">
        <v>14124111</v>
      </c>
      <c r="D2753" s="167" t="s">
        <v>1622</v>
      </c>
      <c r="E2753" s="167" t="s">
        <v>3699</v>
      </c>
      <c r="F2753" s="168">
        <v>3288.46</v>
      </c>
    </row>
    <row r="2754" spans="1:6" x14ac:dyDescent="0.2">
      <c r="A2754" s="163" t="s">
        <v>3724</v>
      </c>
      <c r="B2754" s="164" t="s">
        <v>2345</v>
      </c>
      <c r="C2754" s="164">
        <v>14124106</v>
      </c>
      <c r="D2754" s="164" t="s">
        <v>1621</v>
      </c>
      <c r="E2754" s="164" t="s">
        <v>3699</v>
      </c>
      <c r="F2754" s="165">
        <v>3288.46</v>
      </c>
    </row>
    <row r="2755" spans="1:6" x14ac:dyDescent="0.2">
      <c r="A2755" s="166" t="s">
        <v>3724</v>
      </c>
      <c r="B2755" s="167" t="s">
        <v>2345</v>
      </c>
      <c r="C2755" s="167">
        <v>14124105</v>
      </c>
      <c r="D2755" s="167" t="s">
        <v>1620</v>
      </c>
      <c r="E2755" s="167" t="s">
        <v>3699</v>
      </c>
      <c r="F2755" s="168">
        <v>3288.46</v>
      </c>
    </row>
    <row r="2756" spans="1:6" x14ac:dyDescent="0.2">
      <c r="A2756" s="163" t="s">
        <v>3724</v>
      </c>
      <c r="B2756" s="164" t="s">
        <v>2345</v>
      </c>
      <c r="C2756" s="164">
        <v>14124104</v>
      </c>
      <c r="D2756" s="164" t="s">
        <v>1618</v>
      </c>
      <c r="E2756" s="164" t="s">
        <v>3699</v>
      </c>
      <c r="F2756" s="165">
        <v>3288.46</v>
      </c>
    </row>
    <row r="2757" spans="1:6" x14ac:dyDescent="0.2">
      <c r="A2757" s="166" t="s">
        <v>3724</v>
      </c>
      <c r="B2757" s="167" t="s">
        <v>2345</v>
      </c>
      <c r="C2757" s="167">
        <v>14124091</v>
      </c>
      <c r="D2757" s="167" t="s">
        <v>1617</v>
      </c>
      <c r="E2757" s="167" t="s">
        <v>3699</v>
      </c>
      <c r="F2757" s="168">
        <v>3288.46</v>
      </c>
    </row>
    <row r="2758" spans="1:6" x14ac:dyDescent="0.2">
      <c r="A2758" s="163" t="s">
        <v>3724</v>
      </c>
      <c r="B2758" s="164" t="s">
        <v>2345</v>
      </c>
      <c r="C2758" s="164">
        <v>14124090</v>
      </c>
      <c r="D2758" s="164" t="s">
        <v>1615</v>
      </c>
      <c r="E2758" s="164" t="s">
        <v>3699</v>
      </c>
      <c r="F2758" s="165">
        <v>3288.46</v>
      </c>
    </row>
    <row r="2759" spans="1:6" x14ac:dyDescent="0.2">
      <c r="A2759" s="166" t="s">
        <v>3724</v>
      </c>
      <c r="B2759" s="167" t="s">
        <v>2345</v>
      </c>
      <c r="C2759" s="167">
        <v>14124076</v>
      </c>
      <c r="D2759" s="167" t="s">
        <v>1613</v>
      </c>
      <c r="E2759" s="167" t="s">
        <v>3699</v>
      </c>
      <c r="F2759" s="168">
        <v>3288.46</v>
      </c>
    </row>
    <row r="2760" spans="1:6" x14ac:dyDescent="0.2">
      <c r="A2760" s="163" t="s">
        <v>3724</v>
      </c>
      <c r="B2760" s="164" t="s">
        <v>2345</v>
      </c>
      <c r="C2760" s="164">
        <v>14124062</v>
      </c>
      <c r="D2760" s="164" t="s">
        <v>1612</v>
      </c>
      <c r="E2760" s="164" t="s">
        <v>3699</v>
      </c>
      <c r="F2760" s="165">
        <v>3288.46</v>
      </c>
    </row>
    <row r="2761" spans="1:6" x14ac:dyDescent="0.2">
      <c r="A2761" s="166" t="s">
        <v>3724</v>
      </c>
      <c r="B2761" s="167" t="s">
        <v>2345</v>
      </c>
      <c r="C2761" s="167">
        <v>14124061</v>
      </c>
      <c r="D2761" s="167" t="s">
        <v>1610</v>
      </c>
      <c r="E2761" s="167" t="s">
        <v>3699</v>
      </c>
      <c r="F2761" s="168">
        <v>3288.46</v>
      </c>
    </row>
    <row r="2762" spans="1:6" x14ac:dyDescent="0.2">
      <c r="A2762" s="163" t="s">
        <v>3724</v>
      </c>
      <c r="B2762" s="164" t="s">
        <v>2345</v>
      </c>
      <c r="C2762" s="164">
        <v>14124041</v>
      </c>
      <c r="D2762" s="164" t="s">
        <v>1009</v>
      </c>
      <c r="E2762" s="164" t="s">
        <v>3699</v>
      </c>
      <c r="F2762" s="165">
        <v>3288.46</v>
      </c>
    </row>
    <row r="2763" spans="1:6" x14ac:dyDescent="0.2">
      <c r="A2763" s="166" t="s">
        <v>3724</v>
      </c>
      <c r="B2763" s="167" t="s">
        <v>2345</v>
      </c>
      <c r="C2763" s="167">
        <v>14124031</v>
      </c>
      <c r="D2763" s="167" t="s">
        <v>1008</v>
      </c>
      <c r="E2763" s="167" t="s">
        <v>3699</v>
      </c>
      <c r="F2763" s="168">
        <v>3288.46</v>
      </c>
    </row>
    <row r="2764" spans="1:6" x14ac:dyDescent="0.2">
      <c r="A2764" s="163" t="s">
        <v>3724</v>
      </c>
      <c r="B2764" s="164" t="s">
        <v>2345</v>
      </c>
      <c r="C2764" s="164">
        <v>14124028</v>
      </c>
      <c r="D2764" s="164" t="s">
        <v>1006</v>
      </c>
      <c r="E2764" s="164" t="s">
        <v>3699</v>
      </c>
      <c r="F2764" s="165">
        <v>3288.46</v>
      </c>
    </row>
    <row r="2765" spans="1:6" x14ac:dyDescent="0.2">
      <c r="A2765" s="166" t="s">
        <v>3724</v>
      </c>
      <c r="B2765" s="167" t="s">
        <v>2345</v>
      </c>
      <c r="C2765" s="167">
        <v>14124020</v>
      </c>
      <c r="D2765" s="167" t="s">
        <v>1004</v>
      </c>
      <c r="E2765" s="167" t="s">
        <v>3699</v>
      </c>
      <c r="F2765" s="168">
        <v>3288.46</v>
      </c>
    </row>
    <row r="2766" spans="1:6" x14ac:dyDescent="0.2">
      <c r="A2766" s="163" t="s">
        <v>3724</v>
      </c>
      <c r="B2766" s="164" t="s">
        <v>2345</v>
      </c>
      <c r="C2766" s="164">
        <v>14124002</v>
      </c>
      <c r="D2766" s="164" t="s">
        <v>1003</v>
      </c>
      <c r="E2766" s="164" t="s">
        <v>3699</v>
      </c>
      <c r="F2766" s="165">
        <v>3288.46</v>
      </c>
    </row>
    <row r="2767" spans="1:6" x14ac:dyDescent="0.2">
      <c r="A2767" s="166" t="s">
        <v>3724</v>
      </c>
      <c r="B2767" s="167" t="s">
        <v>2345</v>
      </c>
      <c r="C2767" s="167">
        <v>14123988</v>
      </c>
      <c r="D2767" s="167" t="s">
        <v>1002</v>
      </c>
      <c r="E2767" s="167" t="s">
        <v>3699</v>
      </c>
      <c r="F2767" s="168">
        <v>3288.46</v>
      </c>
    </row>
    <row r="2768" spans="1:6" x14ac:dyDescent="0.2">
      <c r="A2768" s="163" t="s">
        <v>3724</v>
      </c>
      <c r="B2768" s="164" t="s">
        <v>2345</v>
      </c>
      <c r="C2768" s="164">
        <v>14123987</v>
      </c>
      <c r="D2768" s="164" t="s">
        <v>1001</v>
      </c>
      <c r="E2768" s="164" t="s">
        <v>3699</v>
      </c>
      <c r="F2768" s="165">
        <v>3288.46</v>
      </c>
    </row>
    <row r="2769" spans="1:6" x14ac:dyDescent="0.2">
      <c r="A2769" s="166" t="s">
        <v>3724</v>
      </c>
      <c r="B2769" s="167" t="s">
        <v>2345</v>
      </c>
      <c r="C2769" s="167">
        <v>14123985</v>
      </c>
      <c r="D2769" s="167" t="s">
        <v>999</v>
      </c>
      <c r="E2769" s="167" t="s">
        <v>3699</v>
      </c>
      <c r="F2769" s="168">
        <v>3288.46</v>
      </c>
    </row>
    <row r="2770" spans="1:6" x14ac:dyDescent="0.2">
      <c r="A2770" s="163" t="s">
        <v>3724</v>
      </c>
      <c r="B2770" s="164" t="s">
        <v>2345</v>
      </c>
      <c r="C2770" s="164">
        <v>14123971</v>
      </c>
      <c r="D2770" s="164" t="s">
        <v>997</v>
      </c>
      <c r="E2770" s="164" t="s">
        <v>3699</v>
      </c>
      <c r="F2770" s="165">
        <v>3288.46</v>
      </c>
    </row>
    <row r="2771" spans="1:6" x14ac:dyDescent="0.2">
      <c r="A2771" s="166" t="s">
        <v>3724</v>
      </c>
      <c r="B2771" s="167" t="s">
        <v>2345</v>
      </c>
      <c r="C2771" s="167">
        <v>14123963</v>
      </c>
      <c r="D2771" s="167" t="s">
        <v>2387</v>
      </c>
      <c r="E2771" s="167" t="s">
        <v>3699</v>
      </c>
      <c r="F2771" s="168">
        <v>3318.29</v>
      </c>
    </row>
    <row r="2772" spans="1:6" x14ac:dyDescent="0.2">
      <c r="A2772" s="163" t="s">
        <v>3724</v>
      </c>
      <c r="B2772" s="164" t="s">
        <v>2345</v>
      </c>
      <c r="C2772" s="164">
        <v>14123951</v>
      </c>
      <c r="D2772" s="164" t="s">
        <v>996</v>
      </c>
      <c r="E2772" s="164" t="s">
        <v>3699</v>
      </c>
      <c r="F2772" s="165">
        <v>1644.23</v>
      </c>
    </row>
    <row r="2773" spans="1:6" x14ac:dyDescent="0.2">
      <c r="A2773" s="166" t="s">
        <v>3724</v>
      </c>
      <c r="B2773" s="167" t="s">
        <v>2345</v>
      </c>
      <c r="C2773" s="167">
        <v>14123950</v>
      </c>
      <c r="D2773" s="167" t="s">
        <v>995</v>
      </c>
      <c r="E2773" s="167" t="s">
        <v>3699</v>
      </c>
      <c r="F2773" s="168">
        <v>3288.46</v>
      </c>
    </row>
    <row r="2774" spans="1:6" x14ac:dyDescent="0.2">
      <c r="A2774" s="163" t="s">
        <v>3724</v>
      </c>
      <c r="B2774" s="164" t="s">
        <v>2345</v>
      </c>
      <c r="C2774" s="164">
        <v>14123925</v>
      </c>
      <c r="D2774" s="164" t="s">
        <v>992</v>
      </c>
      <c r="E2774" s="164" t="s">
        <v>3699</v>
      </c>
      <c r="F2774" s="165">
        <v>3288.46</v>
      </c>
    </row>
    <row r="2775" spans="1:6" x14ac:dyDescent="0.2">
      <c r="A2775" s="166" t="s">
        <v>3724</v>
      </c>
      <c r="B2775" s="167" t="s">
        <v>2345</v>
      </c>
      <c r="C2775" s="167">
        <v>14123919</v>
      </c>
      <c r="D2775" s="167" t="s">
        <v>990</v>
      </c>
      <c r="E2775" s="167" t="s">
        <v>3699</v>
      </c>
      <c r="F2775" s="168">
        <v>3288.46</v>
      </c>
    </row>
    <row r="2776" spans="1:6" x14ac:dyDescent="0.2">
      <c r="A2776" s="163" t="s">
        <v>3724</v>
      </c>
      <c r="B2776" s="164" t="s">
        <v>2345</v>
      </c>
      <c r="C2776" s="164">
        <v>14123894</v>
      </c>
      <c r="D2776" s="164" t="s">
        <v>982</v>
      </c>
      <c r="E2776" s="164" t="s">
        <v>3699</v>
      </c>
      <c r="F2776" s="165">
        <v>3288.46</v>
      </c>
    </row>
    <row r="2777" spans="1:6" x14ac:dyDescent="0.2">
      <c r="A2777" s="166" t="s">
        <v>3724</v>
      </c>
      <c r="B2777" s="167" t="s">
        <v>2345</v>
      </c>
      <c r="C2777" s="167">
        <v>14123893</v>
      </c>
      <c r="D2777" s="167" t="s">
        <v>980</v>
      </c>
      <c r="E2777" s="167" t="s">
        <v>3699</v>
      </c>
      <c r="F2777" s="168">
        <v>3288.46</v>
      </c>
    </row>
    <row r="2778" spans="1:6" x14ac:dyDescent="0.2">
      <c r="A2778" s="163" t="s">
        <v>3724</v>
      </c>
      <c r="B2778" s="164" t="s">
        <v>2345</v>
      </c>
      <c r="C2778" s="164">
        <v>14123885</v>
      </c>
      <c r="D2778" s="164" t="s">
        <v>979</v>
      </c>
      <c r="E2778" s="164" t="s">
        <v>3699</v>
      </c>
      <c r="F2778" s="165">
        <v>3288.46</v>
      </c>
    </row>
    <row r="2779" spans="1:6" x14ac:dyDescent="0.2">
      <c r="A2779" s="166" t="s">
        <v>3724</v>
      </c>
      <c r="B2779" s="167" t="s">
        <v>2345</v>
      </c>
      <c r="C2779" s="167">
        <v>14123884</v>
      </c>
      <c r="D2779" s="167" t="s">
        <v>977</v>
      </c>
      <c r="E2779" s="167" t="s">
        <v>3699</v>
      </c>
      <c r="F2779" s="168">
        <v>3288.46</v>
      </c>
    </row>
    <row r="2780" spans="1:6" x14ac:dyDescent="0.2">
      <c r="A2780" s="163" t="s">
        <v>3724</v>
      </c>
      <c r="B2780" s="164" t="s">
        <v>2345</v>
      </c>
      <c r="C2780" s="164">
        <v>14123868</v>
      </c>
      <c r="D2780" s="164" t="s">
        <v>2386</v>
      </c>
      <c r="E2780" s="164" t="s">
        <v>3699</v>
      </c>
      <c r="F2780" s="165">
        <v>3981.95</v>
      </c>
    </row>
    <row r="2781" spans="1:6" x14ac:dyDescent="0.2">
      <c r="A2781" s="166" t="s">
        <v>3724</v>
      </c>
      <c r="B2781" s="167" t="s">
        <v>2345</v>
      </c>
      <c r="C2781" s="167">
        <v>14123855</v>
      </c>
      <c r="D2781" s="167" t="s">
        <v>976</v>
      </c>
      <c r="E2781" s="167" t="s">
        <v>3699</v>
      </c>
      <c r="F2781" s="168">
        <v>3288.46</v>
      </c>
    </row>
    <row r="2782" spans="1:6" x14ac:dyDescent="0.2">
      <c r="A2782" s="163" t="s">
        <v>3724</v>
      </c>
      <c r="B2782" s="164" t="s">
        <v>2345</v>
      </c>
      <c r="C2782" s="164">
        <v>14123846</v>
      </c>
      <c r="D2782" s="164" t="s">
        <v>975</v>
      </c>
      <c r="E2782" s="164" t="s">
        <v>3699</v>
      </c>
      <c r="F2782" s="165">
        <v>3288.46</v>
      </c>
    </row>
    <row r="2783" spans="1:6" x14ac:dyDescent="0.2">
      <c r="A2783" s="166" t="s">
        <v>3724</v>
      </c>
      <c r="B2783" s="167" t="s">
        <v>2345</v>
      </c>
      <c r="C2783" s="167">
        <v>14123845</v>
      </c>
      <c r="D2783" s="167" t="s">
        <v>974</v>
      </c>
      <c r="E2783" s="167" t="s">
        <v>3699</v>
      </c>
      <c r="F2783" s="168">
        <v>3288.46</v>
      </c>
    </row>
    <row r="2784" spans="1:6" x14ac:dyDescent="0.2">
      <c r="A2784" s="163" t="s">
        <v>3724</v>
      </c>
      <c r="B2784" s="164" t="s">
        <v>2345</v>
      </c>
      <c r="C2784" s="164">
        <v>14123843</v>
      </c>
      <c r="D2784" s="164" t="s">
        <v>971</v>
      </c>
      <c r="E2784" s="164" t="s">
        <v>3699</v>
      </c>
      <c r="F2784" s="165">
        <v>3288.46</v>
      </c>
    </row>
    <row r="2785" spans="1:6" x14ac:dyDescent="0.2">
      <c r="A2785" s="166" t="s">
        <v>3724</v>
      </c>
      <c r="B2785" s="167" t="s">
        <v>2345</v>
      </c>
      <c r="C2785" s="167">
        <v>14123819</v>
      </c>
      <c r="D2785" s="167" t="s">
        <v>968</v>
      </c>
      <c r="E2785" s="167" t="s">
        <v>3699</v>
      </c>
      <c r="F2785" s="168">
        <v>3288.46</v>
      </c>
    </row>
    <row r="2786" spans="1:6" x14ac:dyDescent="0.2">
      <c r="A2786" s="163" t="s">
        <v>3724</v>
      </c>
      <c r="B2786" s="164" t="s">
        <v>2345</v>
      </c>
      <c r="C2786" s="164">
        <v>14123808</v>
      </c>
      <c r="D2786" s="164" t="s">
        <v>966</v>
      </c>
      <c r="E2786" s="164" t="s">
        <v>3699</v>
      </c>
      <c r="F2786" s="165">
        <v>3288.46</v>
      </c>
    </row>
    <row r="2787" spans="1:6" x14ac:dyDescent="0.2">
      <c r="A2787" s="166" t="s">
        <v>3724</v>
      </c>
      <c r="B2787" s="167" t="s">
        <v>2345</v>
      </c>
      <c r="C2787" s="167">
        <v>14123789</v>
      </c>
      <c r="D2787" s="167" t="s">
        <v>965</v>
      </c>
      <c r="E2787" s="167" t="s">
        <v>3699</v>
      </c>
      <c r="F2787" s="168">
        <v>3288.46</v>
      </c>
    </row>
    <row r="2788" spans="1:6" x14ac:dyDescent="0.2">
      <c r="A2788" s="163" t="s">
        <v>3724</v>
      </c>
      <c r="B2788" s="164" t="s">
        <v>2345</v>
      </c>
      <c r="C2788" s="164">
        <v>14123771</v>
      </c>
      <c r="D2788" s="164" t="s">
        <v>962</v>
      </c>
      <c r="E2788" s="164" t="s">
        <v>3699</v>
      </c>
      <c r="F2788" s="165">
        <v>3288.46</v>
      </c>
    </row>
    <row r="2789" spans="1:6" x14ac:dyDescent="0.2">
      <c r="A2789" s="166" t="s">
        <v>3724</v>
      </c>
      <c r="B2789" s="167" t="s">
        <v>2345</v>
      </c>
      <c r="C2789" s="167">
        <v>14123770</v>
      </c>
      <c r="D2789" s="167" t="s">
        <v>961</v>
      </c>
      <c r="E2789" s="167" t="s">
        <v>3699</v>
      </c>
      <c r="F2789" s="168">
        <v>3288.46</v>
      </c>
    </row>
    <row r="2790" spans="1:6" x14ac:dyDescent="0.2">
      <c r="A2790" s="163" t="s">
        <v>3724</v>
      </c>
      <c r="B2790" s="164" t="s">
        <v>2345</v>
      </c>
      <c r="C2790" s="164">
        <v>14123725</v>
      </c>
      <c r="D2790" s="164" t="s">
        <v>958</v>
      </c>
      <c r="E2790" s="164" t="s">
        <v>3699</v>
      </c>
      <c r="F2790" s="165">
        <v>3288.46</v>
      </c>
    </row>
    <row r="2791" spans="1:6" x14ac:dyDescent="0.2">
      <c r="A2791" s="166" t="s">
        <v>3724</v>
      </c>
      <c r="B2791" s="167" t="s">
        <v>2345</v>
      </c>
      <c r="C2791" s="167">
        <v>14123720</v>
      </c>
      <c r="D2791" s="167" t="s">
        <v>957</v>
      </c>
      <c r="E2791" s="167" t="s">
        <v>3699</v>
      </c>
      <c r="F2791" s="168">
        <v>3288.46</v>
      </c>
    </row>
    <row r="2792" spans="1:6" x14ac:dyDescent="0.2">
      <c r="A2792" s="163" t="s">
        <v>3724</v>
      </c>
      <c r="B2792" s="164" t="s">
        <v>2345</v>
      </c>
      <c r="C2792" s="164">
        <v>14123719</v>
      </c>
      <c r="D2792" s="164" t="s">
        <v>955</v>
      </c>
      <c r="E2792" s="164" t="s">
        <v>3699</v>
      </c>
      <c r="F2792" s="165">
        <v>3288.46</v>
      </c>
    </row>
    <row r="2793" spans="1:6" x14ac:dyDescent="0.2">
      <c r="A2793" s="166" t="s">
        <v>3724</v>
      </c>
      <c r="B2793" s="167" t="s">
        <v>2345</v>
      </c>
      <c r="C2793" s="167">
        <v>14123708</v>
      </c>
      <c r="D2793" s="167" t="s">
        <v>949</v>
      </c>
      <c r="E2793" s="167" t="s">
        <v>3699</v>
      </c>
      <c r="F2793" s="168">
        <v>3288.46</v>
      </c>
    </row>
    <row r="2794" spans="1:6" x14ac:dyDescent="0.2">
      <c r="A2794" s="163" t="s">
        <v>3724</v>
      </c>
      <c r="B2794" s="164" t="s">
        <v>2345</v>
      </c>
      <c r="C2794" s="164">
        <v>14123704</v>
      </c>
      <c r="D2794" s="164" t="s">
        <v>946</v>
      </c>
      <c r="E2794" s="164" t="s">
        <v>3699</v>
      </c>
      <c r="F2794" s="165">
        <v>3288.46</v>
      </c>
    </row>
    <row r="2795" spans="1:6" x14ac:dyDescent="0.2">
      <c r="A2795" s="166" t="s">
        <v>3724</v>
      </c>
      <c r="B2795" s="167" t="s">
        <v>2345</v>
      </c>
      <c r="C2795" s="167">
        <v>14123702</v>
      </c>
      <c r="D2795" s="167" t="s">
        <v>944</v>
      </c>
      <c r="E2795" s="167" t="s">
        <v>3699</v>
      </c>
      <c r="F2795" s="168">
        <v>3288.46</v>
      </c>
    </row>
    <row r="2796" spans="1:6" x14ac:dyDescent="0.2">
      <c r="A2796" s="163" t="s">
        <v>3724</v>
      </c>
      <c r="B2796" s="164" t="s">
        <v>2345</v>
      </c>
      <c r="C2796" s="164">
        <v>14123657</v>
      </c>
      <c r="D2796" s="164" t="s">
        <v>941</v>
      </c>
      <c r="E2796" s="164" t="s">
        <v>3699</v>
      </c>
      <c r="F2796" s="165">
        <v>3288.46</v>
      </c>
    </row>
    <row r="2797" spans="1:6" x14ac:dyDescent="0.2">
      <c r="A2797" s="166" t="s">
        <v>3724</v>
      </c>
      <c r="B2797" s="167" t="s">
        <v>2345</v>
      </c>
      <c r="C2797" s="167">
        <v>14123656</v>
      </c>
      <c r="D2797" s="167" t="s">
        <v>940</v>
      </c>
      <c r="E2797" s="167" t="s">
        <v>3699</v>
      </c>
      <c r="F2797" s="168">
        <v>3288.46</v>
      </c>
    </row>
    <row r="2798" spans="1:6" x14ac:dyDescent="0.2">
      <c r="A2798" s="163" t="s">
        <v>3724</v>
      </c>
      <c r="B2798" s="164" t="s">
        <v>2345</v>
      </c>
      <c r="C2798" s="164">
        <v>14123654</v>
      </c>
      <c r="D2798" s="164" t="s">
        <v>938</v>
      </c>
      <c r="E2798" s="164" t="s">
        <v>3699</v>
      </c>
      <c r="F2798" s="165">
        <v>3288.46</v>
      </c>
    </row>
    <row r="2799" spans="1:6" x14ac:dyDescent="0.2">
      <c r="A2799" s="166" t="s">
        <v>3724</v>
      </c>
      <c r="B2799" s="167" t="s">
        <v>2345</v>
      </c>
      <c r="C2799" s="167">
        <v>14123652</v>
      </c>
      <c r="D2799" s="167" t="s">
        <v>910</v>
      </c>
      <c r="E2799" s="167" t="s">
        <v>3699</v>
      </c>
      <c r="F2799" s="168">
        <v>3288.46</v>
      </c>
    </row>
    <row r="2800" spans="1:6" x14ac:dyDescent="0.2">
      <c r="A2800" s="163" t="s">
        <v>3724</v>
      </c>
      <c r="B2800" s="164" t="s">
        <v>2345</v>
      </c>
      <c r="C2800" s="164">
        <v>14123651</v>
      </c>
      <c r="D2800" s="164" t="s">
        <v>909</v>
      </c>
      <c r="E2800" s="164" t="s">
        <v>3699</v>
      </c>
      <c r="F2800" s="165">
        <v>3288.46</v>
      </c>
    </row>
    <row r="2801" spans="1:6" x14ac:dyDescent="0.2">
      <c r="A2801" s="166" t="s">
        <v>3724</v>
      </c>
      <c r="B2801" s="167" t="s">
        <v>2345</v>
      </c>
      <c r="C2801" s="167">
        <v>14123649</v>
      </c>
      <c r="D2801" s="167" t="s">
        <v>907</v>
      </c>
      <c r="E2801" s="167" t="s">
        <v>3699</v>
      </c>
      <c r="F2801" s="168">
        <v>3288.46</v>
      </c>
    </row>
    <row r="2802" spans="1:6" x14ac:dyDescent="0.2">
      <c r="A2802" s="163" t="s">
        <v>3724</v>
      </c>
      <c r="B2802" s="164" t="s">
        <v>2345</v>
      </c>
      <c r="C2802" s="164">
        <v>14123642</v>
      </c>
      <c r="D2802" s="164" t="s">
        <v>906</v>
      </c>
      <c r="E2802" s="164" t="s">
        <v>3699</v>
      </c>
      <c r="F2802" s="165">
        <v>3288.46</v>
      </c>
    </row>
    <row r="2803" spans="1:6" x14ac:dyDescent="0.2">
      <c r="A2803" s="166" t="s">
        <v>3724</v>
      </c>
      <c r="B2803" s="167" t="s">
        <v>2345</v>
      </c>
      <c r="C2803" s="167">
        <v>14123640</v>
      </c>
      <c r="D2803" s="167" t="s">
        <v>905</v>
      </c>
      <c r="E2803" s="167" t="s">
        <v>3699</v>
      </c>
      <c r="F2803" s="168">
        <v>3288.46</v>
      </c>
    </row>
    <row r="2804" spans="1:6" x14ac:dyDescent="0.2">
      <c r="A2804" s="163" t="s">
        <v>3724</v>
      </c>
      <c r="B2804" s="164" t="s">
        <v>2345</v>
      </c>
      <c r="C2804" s="164">
        <v>14123635</v>
      </c>
      <c r="D2804" s="164" t="s">
        <v>904</v>
      </c>
      <c r="E2804" s="164" t="s">
        <v>3699</v>
      </c>
      <c r="F2804" s="165">
        <v>3288.46</v>
      </c>
    </row>
    <row r="2805" spans="1:6" x14ac:dyDescent="0.2">
      <c r="A2805" s="166" t="s">
        <v>3724</v>
      </c>
      <c r="B2805" s="167" t="s">
        <v>2345</v>
      </c>
      <c r="C2805" s="167">
        <v>14123634</v>
      </c>
      <c r="D2805" s="167" t="s">
        <v>902</v>
      </c>
      <c r="E2805" s="167" t="s">
        <v>3699</v>
      </c>
      <c r="F2805" s="168">
        <v>3288.46</v>
      </c>
    </row>
    <row r="2806" spans="1:6" x14ac:dyDescent="0.2">
      <c r="A2806" s="163" t="s">
        <v>3724</v>
      </c>
      <c r="B2806" s="164" t="s">
        <v>2345</v>
      </c>
      <c r="C2806" s="164">
        <v>14123599</v>
      </c>
      <c r="D2806" s="164" t="s">
        <v>555</v>
      </c>
      <c r="E2806" s="164" t="s">
        <v>3699</v>
      </c>
      <c r="F2806" s="165">
        <v>3288.46</v>
      </c>
    </row>
    <row r="2807" spans="1:6" x14ac:dyDescent="0.2">
      <c r="A2807" s="166" t="s">
        <v>3724</v>
      </c>
      <c r="B2807" s="167" t="s">
        <v>2345</v>
      </c>
      <c r="C2807" s="167">
        <v>14123591</v>
      </c>
      <c r="D2807" s="167" t="s">
        <v>554</v>
      </c>
      <c r="E2807" s="167" t="s">
        <v>3699</v>
      </c>
      <c r="F2807" s="168">
        <v>2740.38</v>
      </c>
    </row>
    <row r="2808" spans="1:6" x14ac:dyDescent="0.2">
      <c r="A2808" s="163" t="s">
        <v>3724</v>
      </c>
      <c r="B2808" s="164" t="s">
        <v>2345</v>
      </c>
      <c r="C2808" s="164">
        <v>14123573</v>
      </c>
      <c r="D2808" s="164" t="s">
        <v>552</v>
      </c>
      <c r="E2808" s="164" t="s">
        <v>3699</v>
      </c>
      <c r="F2808" s="165">
        <v>3288.46</v>
      </c>
    </row>
    <row r="2809" spans="1:6" x14ac:dyDescent="0.2">
      <c r="A2809" s="166" t="s">
        <v>3724</v>
      </c>
      <c r="B2809" s="167" t="s">
        <v>2345</v>
      </c>
      <c r="C2809" s="167">
        <v>14123572</v>
      </c>
      <c r="D2809" s="167" t="s">
        <v>551</v>
      </c>
      <c r="E2809" s="167" t="s">
        <v>3699</v>
      </c>
      <c r="F2809" s="168">
        <v>3288.46</v>
      </c>
    </row>
    <row r="2810" spans="1:6" x14ac:dyDescent="0.2">
      <c r="A2810" s="163" t="s">
        <v>3724</v>
      </c>
      <c r="B2810" s="164" t="s">
        <v>2345</v>
      </c>
      <c r="C2810" s="164">
        <v>14123570</v>
      </c>
      <c r="D2810" s="164" t="s">
        <v>549</v>
      </c>
      <c r="E2810" s="164" t="s">
        <v>3699</v>
      </c>
      <c r="F2810" s="165">
        <v>3288.46</v>
      </c>
    </row>
    <row r="2811" spans="1:6" x14ac:dyDescent="0.2">
      <c r="A2811" s="166" t="s">
        <v>3724</v>
      </c>
      <c r="B2811" s="167" t="s">
        <v>2345</v>
      </c>
      <c r="C2811" s="167">
        <v>14123569</v>
      </c>
      <c r="D2811" s="167" t="s">
        <v>548</v>
      </c>
      <c r="E2811" s="167" t="s">
        <v>3699</v>
      </c>
      <c r="F2811" s="168">
        <v>3288.46</v>
      </c>
    </row>
    <row r="2812" spans="1:6" x14ac:dyDescent="0.2">
      <c r="A2812" s="163" t="s">
        <v>3724</v>
      </c>
      <c r="B2812" s="164" t="s">
        <v>2345</v>
      </c>
      <c r="C2812" s="164">
        <v>14123568</v>
      </c>
      <c r="D2812" s="164" t="s">
        <v>547</v>
      </c>
      <c r="E2812" s="164" t="s">
        <v>3699</v>
      </c>
      <c r="F2812" s="165">
        <v>3288.46</v>
      </c>
    </row>
    <row r="2813" spans="1:6" x14ac:dyDescent="0.2">
      <c r="A2813" s="166" t="s">
        <v>3724</v>
      </c>
      <c r="B2813" s="167" t="s">
        <v>2345</v>
      </c>
      <c r="C2813" s="167">
        <v>14123562</v>
      </c>
      <c r="D2813" s="167" t="s">
        <v>546</v>
      </c>
      <c r="E2813" s="167" t="s">
        <v>3699</v>
      </c>
      <c r="F2813" s="168">
        <v>3288.46</v>
      </c>
    </row>
    <row r="2814" spans="1:6" x14ac:dyDescent="0.2">
      <c r="A2814" s="163" t="s">
        <v>3724</v>
      </c>
      <c r="B2814" s="164" t="s">
        <v>2345</v>
      </c>
      <c r="C2814" s="164">
        <v>14123559</v>
      </c>
      <c r="D2814" s="164" t="s">
        <v>545</v>
      </c>
      <c r="E2814" s="164" t="s">
        <v>3699</v>
      </c>
      <c r="F2814" s="165">
        <v>3288.46</v>
      </c>
    </row>
    <row r="2815" spans="1:6" x14ac:dyDescent="0.2">
      <c r="A2815" s="166" t="s">
        <v>3724</v>
      </c>
      <c r="B2815" s="167" t="s">
        <v>2345</v>
      </c>
      <c r="C2815" s="167">
        <v>14123541</v>
      </c>
      <c r="D2815" s="167" t="s">
        <v>543</v>
      </c>
      <c r="E2815" s="167" t="s">
        <v>3699</v>
      </c>
      <c r="F2815" s="168">
        <v>3288.46</v>
      </c>
    </row>
    <row r="2816" spans="1:6" x14ac:dyDescent="0.2">
      <c r="A2816" s="163" t="s">
        <v>3724</v>
      </c>
      <c r="B2816" s="164" t="s">
        <v>2345</v>
      </c>
      <c r="C2816" s="164">
        <v>14123536</v>
      </c>
      <c r="D2816" s="164" t="s">
        <v>542</v>
      </c>
      <c r="E2816" s="164" t="s">
        <v>3699</v>
      </c>
      <c r="F2816" s="165">
        <v>3288.46</v>
      </c>
    </row>
    <row r="2817" spans="1:6" x14ac:dyDescent="0.2">
      <c r="A2817" s="166" t="s">
        <v>3724</v>
      </c>
      <c r="B2817" s="167" t="s">
        <v>2345</v>
      </c>
      <c r="C2817" s="167">
        <v>14123530</v>
      </c>
      <c r="D2817" s="167" t="s">
        <v>541</v>
      </c>
      <c r="E2817" s="167" t="s">
        <v>3699</v>
      </c>
      <c r="F2817" s="168">
        <v>3288.46</v>
      </c>
    </row>
    <row r="2818" spans="1:6" x14ac:dyDescent="0.2">
      <c r="A2818" s="163" t="s">
        <v>3724</v>
      </c>
      <c r="B2818" s="164" t="s">
        <v>2345</v>
      </c>
      <c r="C2818" s="164">
        <v>14123528</v>
      </c>
      <c r="D2818" s="164" t="s">
        <v>540</v>
      </c>
      <c r="E2818" s="164" t="s">
        <v>3699</v>
      </c>
      <c r="F2818" s="165">
        <v>3288.46</v>
      </c>
    </row>
    <row r="2819" spans="1:6" x14ac:dyDescent="0.2">
      <c r="A2819" s="166" t="s">
        <v>3724</v>
      </c>
      <c r="B2819" s="167" t="s">
        <v>2345</v>
      </c>
      <c r="C2819" s="167">
        <v>14123527</v>
      </c>
      <c r="D2819" s="167" t="s">
        <v>539</v>
      </c>
      <c r="E2819" s="167" t="s">
        <v>3699</v>
      </c>
      <c r="F2819" s="168">
        <v>3288.46</v>
      </c>
    </row>
    <row r="2820" spans="1:6" x14ac:dyDescent="0.2">
      <c r="A2820" s="163" t="s">
        <v>3724</v>
      </c>
      <c r="B2820" s="164" t="s">
        <v>2345</v>
      </c>
      <c r="C2820" s="164">
        <v>14123526</v>
      </c>
      <c r="D2820" s="164" t="s">
        <v>538</v>
      </c>
      <c r="E2820" s="164" t="s">
        <v>3699</v>
      </c>
      <c r="F2820" s="165">
        <v>3288.46</v>
      </c>
    </row>
    <row r="2821" spans="1:6" x14ac:dyDescent="0.2">
      <c r="A2821" s="166" t="s">
        <v>3724</v>
      </c>
      <c r="B2821" s="167" t="s">
        <v>2345</v>
      </c>
      <c r="C2821" s="167">
        <v>14123523</v>
      </c>
      <c r="D2821" s="167" t="s">
        <v>537</v>
      </c>
      <c r="E2821" s="167" t="s">
        <v>3699</v>
      </c>
      <c r="F2821" s="168">
        <v>3288.46</v>
      </c>
    </row>
    <row r="2822" spans="1:6" x14ac:dyDescent="0.2">
      <c r="A2822" s="163" t="s">
        <v>3724</v>
      </c>
      <c r="B2822" s="164" t="s">
        <v>2345</v>
      </c>
      <c r="C2822" s="164">
        <v>14123522</v>
      </c>
      <c r="D2822" s="164" t="s">
        <v>536</v>
      </c>
      <c r="E2822" s="164" t="s">
        <v>3699</v>
      </c>
      <c r="F2822" s="165">
        <v>1879.12</v>
      </c>
    </row>
    <row r="2823" spans="1:6" x14ac:dyDescent="0.2">
      <c r="A2823" s="166" t="s">
        <v>3724</v>
      </c>
      <c r="B2823" s="167" t="s">
        <v>2345</v>
      </c>
      <c r="C2823" s="167">
        <v>14123519</v>
      </c>
      <c r="D2823" s="167" t="s">
        <v>535</v>
      </c>
      <c r="E2823" s="167" t="s">
        <v>3699</v>
      </c>
      <c r="F2823" s="168">
        <v>3288.46</v>
      </c>
    </row>
    <row r="2824" spans="1:6" x14ac:dyDescent="0.2">
      <c r="A2824" s="163" t="s">
        <v>3724</v>
      </c>
      <c r="B2824" s="164" t="s">
        <v>2345</v>
      </c>
      <c r="C2824" s="164">
        <v>14123516</v>
      </c>
      <c r="D2824" s="164" t="s">
        <v>534</v>
      </c>
      <c r="E2824" s="164" t="s">
        <v>3699</v>
      </c>
      <c r="F2824" s="165">
        <v>3288.46</v>
      </c>
    </row>
    <row r="2825" spans="1:6" x14ac:dyDescent="0.2">
      <c r="A2825" s="166" t="s">
        <v>3724</v>
      </c>
      <c r="B2825" s="167" t="s">
        <v>2345</v>
      </c>
      <c r="C2825" s="167">
        <v>14123514</v>
      </c>
      <c r="D2825" s="167" t="s">
        <v>533</v>
      </c>
      <c r="E2825" s="167" t="s">
        <v>3699</v>
      </c>
      <c r="F2825" s="168">
        <v>3288.46</v>
      </c>
    </row>
    <row r="2826" spans="1:6" x14ac:dyDescent="0.2">
      <c r="A2826" s="163" t="s">
        <v>3724</v>
      </c>
      <c r="B2826" s="164" t="s">
        <v>2345</v>
      </c>
      <c r="C2826" s="164">
        <v>14123489</v>
      </c>
      <c r="D2826" s="164" t="s">
        <v>528</v>
      </c>
      <c r="E2826" s="164" t="s">
        <v>3699</v>
      </c>
      <c r="F2826" s="165">
        <v>3288.46</v>
      </c>
    </row>
    <row r="2827" spans="1:6" x14ac:dyDescent="0.2">
      <c r="A2827" s="166" t="s">
        <v>3724</v>
      </c>
      <c r="B2827" s="167" t="s">
        <v>2345</v>
      </c>
      <c r="C2827" s="167">
        <v>14123488</v>
      </c>
      <c r="D2827" s="167" t="s">
        <v>527</v>
      </c>
      <c r="E2827" s="167" t="s">
        <v>3699</v>
      </c>
      <c r="F2827" s="168">
        <v>3288.46</v>
      </c>
    </row>
    <row r="2828" spans="1:6" x14ac:dyDescent="0.2">
      <c r="A2828" s="163" t="s">
        <v>3724</v>
      </c>
      <c r="B2828" s="164" t="s">
        <v>2345</v>
      </c>
      <c r="C2828" s="164">
        <v>14123473</v>
      </c>
      <c r="D2828" s="164" t="s">
        <v>526</v>
      </c>
      <c r="E2828" s="164" t="s">
        <v>3699</v>
      </c>
      <c r="F2828" s="165">
        <v>3288.46</v>
      </c>
    </row>
    <row r="2829" spans="1:6" x14ac:dyDescent="0.2">
      <c r="A2829" s="166" t="s">
        <v>3724</v>
      </c>
      <c r="B2829" s="167" t="s">
        <v>2345</v>
      </c>
      <c r="C2829" s="167">
        <v>14123471</v>
      </c>
      <c r="D2829" s="167" t="s">
        <v>525</v>
      </c>
      <c r="E2829" s="167" t="s">
        <v>3699</v>
      </c>
      <c r="F2829" s="168">
        <v>3288.46</v>
      </c>
    </row>
    <row r="2830" spans="1:6" x14ac:dyDescent="0.2">
      <c r="A2830" s="163" t="s">
        <v>3724</v>
      </c>
      <c r="B2830" s="164" t="s">
        <v>2345</v>
      </c>
      <c r="C2830" s="164">
        <v>14123461</v>
      </c>
      <c r="D2830" s="164" t="s">
        <v>523</v>
      </c>
      <c r="E2830" s="164" t="s">
        <v>3699</v>
      </c>
      <c r="F2830" s="165">
        <v>3288.46</v>
      </c>
    </row>
    <row r="2831" spans="1:6" x14ac:dyDescent="0.2">
      <c r="A2831" s="166" t="s">
        <v>3724</v>
      </c>
      <c r="B2831" s="167" t="s">
        <v>2345</v>
      </c>
      <c r="C2831" s="167">
        <v>14123460</v>
      </c>
      <c r="D2831" s="167" t="s">
        <v>522</v>
      </c>
      <c r="E2831" s="167" t="s">
        <v>3699</v>
      </c>
      <c r="F2831" s="168">
        <v>3288.46</v>
      </c>
    </row>
    <row r="2832" spans="1:6" x14ac:dyDescent="0.2">
      <c r="A2832" s="163" t="s">
        <v>3724</v>
      </c>
      <c r="B2832" s="164" t="s">
        <v>2345</v>
      </c>
      <c r="C2832" s="164">
        <v>14123447</v>
      </c>
      <c r="D2832" s="164" t="s">
        <v>520</v>
      </c>
      <c r="E2832" s="164" t="s">
        <v>3699</v>
      </c>
      <c r="F2832" s="165">
        <v>3288.46</v>
      </c>
    </row>
    <row r="2833" spans="1:6" x14ac:dyDescent="0.2">
      <c r="A2833" s="166" t="s">
        <v>3724</v>
      </c>
      <c r="B2833" s="167" t="s">
        <v>2345</v>
      </c>
      <c r="C2833" s="167">
        <v>14123445</v>
      </c>
      <c r="D2833" s="167" t="s">
        <v>518</v>
      </c>
      <c r="E2833" s="167" t="s">
        <v>3699</v>
      </c>
      <c r="F2833" s="168">
        <v>3288.46</v>
      </c>
    </row>
    <row r="2834" spans="1:6" x14ac:dyDescent="0.2">
      <c r="A2834" s="163" t="s">
        <v>3724</v>
      </c>
      <c r="B2834" s="164" t="s">
        <v>2345</v>
      </c>
      <c r="C2834" s="164">
        <v>14123377</v>
      </c>
      <c r="D2834" s="164" t="s">
        <v>516</v>
      </c>
      <c r="E2834" s="164" t="s">
        <v>3699</v>
      </c>
      <c r="F2834" s="165">
        <v>3288.46</v>
      </c>
    </row>
    <row r="2835" spans="1:6" x14ac:dyDescent="0.2">
      <c r="A2835" s="166" t="s">
        <v>3724</v>
      </c>
      <c r="B2835" s="167" t="s">
        <v>2345</v>
      </c>
      <c r="C2835" s="167">
        <v>14123375</v>
      </c>
      <c r="D2835" s="167" t="s">
        <v>515</v>
      </c>
      <c r="E2835" s="167" t="s">
        <v>3699</v>
      </c>
      <c r="F2835" s="168">
        <v>3288.46</v>
      </c>
    </row>
    <row r="2836" spans="1:6" x14ac:dyDescent="0.2">
      <c r="A2836" s="163" t="s">
        <v>3724</v>
      </c>
      <c r="B2836" s="164" t="s">
        <v>2345</v>
      </c>
      <c r="C2836" s="164">
        <v>14123336</v>
      </c>
      <c r="D2836" s="164" t="s">
        <v>514</v>
      </c>
      <c r="E2836" s="164" t="s">
        <v>3699</v>
      </c>
      <c r="F2836" s="165">
        <v>3288.46</v>
      </c>
    </row>
    <row r="2837" spans="1:6" x14ac:dyDescent="0.2">
      <c r="A2837" s="166" t="s">
        <v>3724</v>
      </c>
      <c r="B2837" s="167" t="s">
        <v>2345</v>
      </c>
      <c r="C2837" s="167">
        <v>14123334</v>
      </c>
      <c r="D2837" s="167" t="s">
        <v>513</v>
      </c>
      <c r="E2837" s="167" t="s">
        <v>3699</v>
      </c>
      <c r="F2837" s="168">
        <v>3288.46</v>
      </c>
    </row>
    <row r="2838" spans="1:6" x14ac:dyDescent="0.2">
      <c r="A2838" s="163" t="s">
        <v>3724</v>
      </c>
      <c r="B2838" s="164" t="s">
        <v>2345</v>
      </c>
      <c r="C2838" s="164">
        <v>14123332</v>
      </c>
      <c r="D2838" s="164" t="s">
        <v>512</v>
      </c>
      <c r="E2838" s="164" t="s">
        <v>3699</v>
      </c>
      <c r="F2838" s="165">
        <v>3103.52</v>
      </c>
    </row>
    <row r="2839" spans="1:6" x14ac:dyDescent="0.2">
      <c r="A2839" s="166" t="s">
        <v>3724</v>
      </c>
      <c r="B2839" s="167" t="s">
        <v>2345</v>
      </c>
      <c r="C2839" s="167">
        <v>14123331</v>
      </c>
      <c r="D2839" s="167" t="s">
        <v>511</v>
      </c>
      <c r="E2839" s="167" t="s">
        <v>3699</v>
      </c>
      <c r="F2839" s="168">
        <v>3288.46</v>
      </c>
    </row>
    <row r="2840" spans="1:6" x14ac:dyDescent="0.2">
      <c r="A2840" s="163" t="s">
        <v>3724</v>
      </c>
      <c r="B2840" s="164" t="s">
        <v>2345</v>
      </c>
      <c r="C2840" s="164">
        <v>14123312</v>
      </c>
      <c r="D2840" s="164" t="s">
        <v>507</v>
      </c>
      <c r="E2840" s="164" t="s">
        <v>3699</v>
      </c>
      <c r="F2840" s="165">
        <v>3288.46</v>
      </c>
    </row>
    <row r="2841" spans="1:6" x14ac:dyDescent="0.2">
      <c r="A2841" s="166" t="s">
        <v>3724</v>
      </c>
      <c r="B2841" s="167" t="s">
        <v>2345</v>
      </c>
      <c r="C2841" s="167">
        <v>14123306</v>
      </c>
      <c r="D2841" s="167" t="s">
        <v>506</v>
      </c>
      <c r="E2841" s="167" t="s">
        <v>3699</v>
      </c>
      <c r="F2841" s="168">
        <v>3981.95</v>
      </c>
    </row>
    <row r="2842" spans="1:6" x14ac:dyDescent="0.2">
      <c r="A2842" s="163" t="s">
        <v>3724</v>
      </c>
      <c r="B2842" s="164" t="s">
        <v>2345</v>
      </c>
      <c r="C2842" s="164">
        <v>14123277</v>
      </c>
      <c r="D2842" s="164" t="s">
        <v>505</v>
      </c>
      <c r="E2842" s="164" t="s">
        <v>3699</v>
      </c>
      <c r="F2842" s="165">
        <v>3288.46</v>
      </c>
    </row>
    <row r="2843" spans="1:6" x14ac:dyDescent="0.2">
      <c r="A2843" s="166" t="s">
        <v>3724</v>
      </c>
      <c r="B2843" s="167" t="s">
        <v>2345</v>
      </c>
      <c r="C2843" s="167">
        <v>14123275</v>
      </c>
      <c r="D2843" s="167" t="s">
        <v>503</v>
      </c>
      <c r="E2843" s="167" t="s">
        <v>3699</v>
      </c>
      <c r="F2843" s="168">
        <v>3288.46</v>
      </c>
    </row>
    <row r="2844" spans="1:6" x14ac:dyDescent="0.2">
      <c r="A2844" s="163" t="s">
        <v>3724</v>
      </c>
      <c r="B2844" s="164" t="s">
        <v>2345</v>
      </c>
      <c r="C2844" s="164">
        <v>14123273</v>
      </c>
      <c r="D2844" s="164" t="s">
        <v>501</v>
      </c>
      <c r="E2844" s="164" t="s">
        <v>3699</v>
      </c>
      <c r="F2844" s="165">
        <v>3288.46</v>
      </c>
    </row>
    <row r="2845" spans="1:6" x14ac:dyDescent="0.2">
      <c r="A2845" s="166" t="s">
        <v>3724</v>
      </c>
      <c r="B2845" s="167" t="s">
        <v>2345</v>
      </c>
      <c r="C2845" s="167">
        <v>14123271</v>
      </c>
      <c r="D2845" s="167" t="s">
        <v>500</v>
      </c>
      <c r="E2845" s="167" t="s">
        <v>3699</v>
      </c>
      <c r="F2845" s="168">
        <v>4350.7299999999996</v>
      </c>
    </row>
    <row r="2846" spans="1:6" x14ac:dyDescent="0.2">
      <c r="A2846" s="163" t="s">
        <v>3724</v>
      </c>
      <c r="B2846" s="164" t="s">
        <v>2345</v>
      </c>
      <c r="C2846" s="164">
        <v>14123254</v>
      </c>
      <c r="D2846" s="164" t="s">
        <v>499</v>
      </c>
      <c r="E2846" s="164" t="s">
        <v>3699</v>
      </c>
      <c r="F2846" s="165">
        <v>3288.46</v>
      </c>
    </row>
    <row r="2847" spans="1:6" x14ac:dyDescent="0.2">
      <c r="A2847" s="166" t="s">
        <v>3724</v>
      </c>
      <c r="B2847" s="167" t="s">
        <v>2345</v>
      </c>
      <c r="C2847" s="167">
        <v>14123246</v>
      </c>
      <c r="D2847" s="167" t="s">
        <v>497</v>
      </c>
      <c r="E2847" s="167" t="s">
        <v>3699</v>
      </c>
      <c r="F2847" s="168">
        <v>3288.46</v>
      </c>
    </row>
    <row r="2848" spans="1:6" x14ac:dyDescent="0.2">
      <c r="A2848" s="163" t="s">
        <v>3724</v>
      </c>
      <c r="B2848" s="164" t="s">
        <v>2345</v>
      </c>
      <c r="C2848" s="164">
        <v>14123238</v>
      </c>
      <c r="D2848" s="164" t="s">
        <v>495</v>
      </c>
      <c r="E2848" s="164" t="s">
        <v>3699</v>
      </c>
      <c r="F2848" s="165">
        <v>3288.46</v>
      </c>
    </row>
    <row r="2849" spans="1:6" x14ac:dyDescent="0.2">
      <c r="A2849" s="166" t="s">
        <v>3724</v>
      </c>
      <c r="B2849" s="167" t="s">
        <v>2345</v>
      </c>
      <c r="C2849" s="167">
        <v>14123228</v>
      </c>
      <c r="D2849" s="167" t="s">
        <v>494</v>
      </c>
      <c r="E2849" s="167" t="s">
        <v>3699</v>
      </c>
      <c r="F2849" s="168">
        <v>3288.46</v>
      </c>
    </row>
    <row r="2850" spans="1:6" x14ac:dyDescent="0.2">
      <c r="A2850" s="163" t="s">
        <v>3724</v>
      </c>
      <c r="B2850" s="164" t="s">
        <v>2345</v>
      </c>
      <c r="C2850" s="164">
        <v>14123193</v>
      </c>
      <c r="D2850" s="164" t="s">
        <v>492</v>
      </c>
      <c r="E2850" s="164" t="s">
        <v>3699</v>
      </c>
      <c r="F2850" s="165">
        <v>3288.46</v>
      </c>
    </row>
    <row r="2851" spans="1:6" x14ac:dyDescent="0.2">
      <c r="A2851" s="166" t="s">
        <v>3724</v>
      </c>
      <c r="B2851" s="167" t="s">
        <v>2345</v>
      </c>
      <c r="C2851" s="167">
        <v>14123145</v>
      </c>
      <c r="D2851" s="167" t="s">
        <v>490</v>
      </c>
      <c r="E2851" s="167" t="s">
        <v>3699</v>
      </c>
      <c r="F2851" s="168">
        <v>3103.52</v>
      </c>
    </row>
    <row r="2852" spans="1:6" x14ac:dyDescent="0.2">
      <c r="A2852" s="163" t="s">
        <v>3724</v>
      </c>
      <c r="B2852" s="164" t="s">
        <v>2345</v>
      </c>
      <c r="C2852" s="164">
        <v>14123107</v>
      </c>
      <c r="D2852" s="164" t="s">
        <v>487</v>
      </c>
      <c r="E2852" s="164" t="s">
        <v>3699</v>
      </c>
      <c r="F2852" s="165">
        <v>3288.46</v>
      </c>
    </row>
    <row r="2853" spans="1:6" x14ac:dyDescent="0.2">
      <c r="A2853" s="166" t="s">
        <v>3724</v>
      </c>
      <c r="B2853" s="167" t="s">
        <v>2345</v>
      </c>
      <c r="C2853" s="167">
        <v>14123082</v>
      </c>
      <c r="D2853" s="167" t="s">
        <v>484</v>
      </c>
      <c r="E2853" s="167" t="s">
        <v>3699</v>
      </c>
      <c r="F2853" s="168">
        <v>3103.52</v>
      </c>
    </row>
    <row r="2854" spans="1:6" x14ac:dyDescent="0.2">
      <c r="A2854" s="163" t="s">
        <v>3724</v>
      </c>
      <c r="B2854" s="164" t="s">
        <v>2345</v>
      </c>
      <c r="C2854" s="164">
        <v>14123081</v>
      </c>
      <c r="D2854" s="164" t="s">
        <v>483</v>
      </c>
      <c r="E2854" s="164" t="s">
        <v>3699</v>
      </c>
      <c r="F2854" s="165">
        <v>3288.46</v>
      </c>
    </row>
    <row r="2855" spans="1:6" x14ac:dyDescent="0.2">
      <c r="A2855" s="166" t="s">
        <v>3724</v>
      </c>
      <c r="B2855" s="167" t="s">
        <v>2345</v>
      </c>
      <c r="C2855" s="167">
        <v>14123080</v>
      </c>
      <c r="D2855" s="167" t="s">
        <v>482</v>
      </c>
      <c r="E2855" s="167" t="s">
        <v>3699</v>
      </c>
      <c r="F2855" s="168">
        <v>3288.46</v>
      </c>
    </row>
    <row r="2856" spans="1:6" x14ac:dyDescent="0.2">
      <c r="A2856" s="163" t="s">
        <v>3724</v>
      </c>
      <c r="B2856" s="164" t="s">
        <v>2345</v>
      </c>
      <c r="C2856" s="164">
        <v>14123066</v>
      </c>
      <c r="D2856" s="164" t="s">
        <v>481</v>
      </c>
      <c r="E2856" s="164" t="s">
        <v>3699</v>
      </c>
      <c r="F2856" s="165">
        <v>3288.46</v>
      </c>
    </row>
    <row r="2857" spans="1:6" x14ac:dyDescent="0.2">
      <c r="A2857" s="166" t="s">
        <v>3724</v>
      </c>
      <c r="B2857" s="167" t="s">
        <v>2345</v>
      </c>
      <c r="C2857" s="167">
        <v>14123063</v>
      </c>
      <c r="D2857" s="167" t="s">
        <v>479</v>
      </c>
      <c r="E2857" s="167" t="s">
        <v>3699</v>
      </c>
      <c r="F2857" s="168">
        <v>3288.46</v>
      </c>
    </row>
    <row r="2858" spans="1:6" x14ac:dyDescent="0.2">
      <c r="A2858" s="163" t="s">
        <v>3724</v>
      </c>
      <c r="B2858" s="164" t="s">
        <v>2345</v>
      </c>
      <c r="C2858" s="164">
        <v>14123010</v>
      </c>
      <c r="D2858" s="164" t="s">
        <v>477</v>
      </c>
      <c r="E2858" s="164" t="s">
        <v>3699</v>
      </c>
      <c r="F2858" s="165">
        <v>3288.46</v>
      </c>
    </row>
    <row r="2859" spans="1:6" x14ac:dyDescent="0.2">
      <c r="A2859" s="166" t="s">
        <v>3724</v>
      </c>
      <c r="B2859" s="167" t="s">
        <v>2345</v>
      </c>
      <c r="C2859" s="167">
        <v>14123008</v>
      </c>
      <c r="D2859" s="167" t="s">
        <v>476</v>
      </c>
      <c r="E2859" s="167" t="s">
        <v>3699</v>
      </c>
      <c r="F2859" s="168">
        <v>3288.46</v>
      </c>
    </row>
    <row r="2860" spans="1:6" x14ac:dyDescent="0.2">
      <c r="A2860" s="163" t="s">
        <v>3724</v>
      </c>
      <c r="B2860" s="164" t="s">
        <v>2345</v>
      </c>
      <c r="C2860" s="164">
        <v>14122994</v>
      </c>
      <c r="D2860" s="164" t="s">
        <v>474</v>
      </c>
      <c r="E2860" s="164" t="s">
        <v>3699</v>
      </c>
      <c r="F2860" s="165">
        <v>3103.52</v>
      </c>
    </row>
    <row r="2861" spans="1:6" x14ac:dyDescent="0.2">
      <c r="A2861" s="166" t="s">
        <v>3724</v>
      </c>
      <c r="B2861" s="167" t="s">
        <v>2345</v>
      </c>
      <c r="C2861" s="167">
        <v>14122993</v>
      </c>
      <c r="D2861" s="167" t="s">
        <v>473</v>
      </c>
      <c r="E2861" s="167" t="s">
        <v>3699</v>
      </c>
      <c r="F2861" s="168">
        <v>3288.46</v>
      </c>
    </row>
    <row r="2862" spans="1:6" x14ac:dyDescent="0.2">
      <c r="A2862" s="163" t="s">
        <v>3724</v>
      </c>
      <c r="B2862" s="164" t="s">
        <v>2345</v>
      </c>
      <c r="C2862" s="164">
        <v>14122992</v>
      </c>
      <c r="D2862" s="164" t="s">
        <v>472</v>
      </c>
      <c r="E2862" s="164" t="s">
        <v>3699</v>
      </c>
      <c r="F2862" s="165">
        <v>3288.46</v>
      </c>
    </row>
    <row r="2863" spans="1:6" x14ac:dyDescent="0.2">
      <c r="A2863" s="166" t="s">
        <v>3724</v>
      </c>
      <c r="B2863" s="167" t="s">
        <v>2345</v>
      </c>
      <c r="C2863" s="167">
        <v>14122929</v>
      </c>
      <c r="D2863" s="167" t="s">
        <v>470</v>
      </c>
      <c r="E2863" s="167" t="s">
        <v>3699</v>
      </c>
      <c r="F2863" s="168">
        <v>3288.46</v>
      </c>
    </row>
    <row r="2864" spans="1:6" x14ac:dyDescent="0.2">
      <c r="A2864" s="163" t="s">
        <v>3724</v>
      </c>
      <c r="B2864" s="164" t="s">
        <v>2345</v>
      </c>
      <c r="C2864" s="164">
        <v>14122928</v>
      </c>
      <c r="D2864" s="164" t="s">
        <v>469</v>
      </c>
      <c r="E2864" s="164" t="s">
        <v>3699</v>
      </c>
      <c r="F2864" s="165">
        <v>3288.46</v>
      </c>
    </row>
    <row r="2865" spans="1:6" x14ac:dyDescent="0.2">
      <c r="A2865" s="166" t="s">
        <v>3724</v>
      </c>
      <c r="B2865" s="167" t="s">
        <v>2345</v>
      </c>
      <c r="C2865" s="167">
        <v>14122927</v>
      </c>
      <c r="D2865" s="167" t="s">
        <v>468</v>
      </c>
      <c r="E2865" s="167" t="s">
        <v>3699</v>
      </c>
      <c r="F2865" s="168">
        <v>3288.46</v>
      </c>
    </row>
    <row r="2866" spans="1:6" x14ac:dyDescent="0.2">
      <c r="A2866" s="163" t="s">
        <v>3724</v>
      </c>
      <c r="B2866" s="164" t="s">
        <v>2345</v>
      </c>
      <c r="C2866" s="164">
        <v>14122925</v>
      </c>
      <c r="D2866" s="164" t="s">
        <v>467</v>
      </c>
      <c r="E2866" s="164" t="s">
        <v>3699</v>
      </c>
      <c r="F2866" s="165">
        <v>3288.46</v>
      </c>
    </row>
    <row r="2867" spans="1:6" x14ac:dyDescent="0.2">
      <c r="A2867" s="166" t="s">
        <v>3724</v>
      </c>
      <c r="B2867" s="167" t="s">
        <v>2345</v>
      </c>
      <c r="C2867" s="167">
        <v>14122923</v>
      </c>
      <c r="D2867" s="167" t="s">
        <v>466</v>
      </c>
      <c r="E2867" s="167" t="s">
        <v>3699</v>
      </c>
      <c r="F2867" s="168">
        <v>3288.46</v>
      </c>
    </row>
    <row r="2868" spans="1:6" x14ac:dyDescent="0.2">
      <c r="A2868" s="163" t="s">
        <v>3724</v>
      </c>
      <c r="B2868" s="164" t="s">
        <v>2345</v>
      </c>
      <c r="C2868" s="164">
        <v>14122922</v>
      </c>
      <c r="D2868" s="164" t="s">
        <v>465</v>
      </c>
      <c r="E2868" s="164" t="s">
        <v>3699</v>
      </c>
      <c r="F2868" s="165">
        <v>1644.23</v>
      </c>
    </row>
    <row r="2869" spans="1:6" x14ac:dyDescent="0.2">
      <c r="A2869" s="166" t="s">
        <v>3724</v>
      </c>
      <c r="B2869" s="167" t="s">
        <v>2345</v>
      </c>
      <c r="C2869" s="167">
        <v>14122904</v>
      </c>
      <c r="D2869" s="167" t="s">
        <v>464</v>
      </c>
      <c r="E2869" s="167" t="s">
        <v>3699</v>
      </c>
      <c r="F2869" s="168">
        <v>3288.46</v>
      </c>
    </row>
    <row r="2870" spans="1:6" x14ac:dyDescent="0.2">
      <c r="A2870" s="163" t="s">
        <v>3724</v>
      </c>
      <c r="B2870" s="164" t="s">
        <v>2345</v>
      </c>
      <c r="C2870" s="164">
        <v>14122873</v>
      </c>
      <c r="D2870" s="164" t="s">
        <v>460</v>
      </c>
      <c r="E2870" s="164" t="s">
        <v>3699</v>
      </c>
      <c r="F2870" s="165">
        <v>3288.46</v>
      </c>
    </row>
    <row r="2871" spans="1:6" x14ac:dyDescent="0.2">
      <c r="A2871" s="166" t="s">
        <v>3724</v>
      </c>
      <c r="B2871" s="167" t="s">
        <v>2345</v>
      </c>
      <c r="C2871" s="167">
        <v>14122871</v>
      </c>
      <c r="D2871" s="167" t="s">
        <v>459</v>
      </c>
      <c r="E2871" s="167" t="s">
        <v>3699</v>
      </c>
      <c r="F2871" s="168">
        <v>3288.46</v>
      </c>
    </row>
    <row r="2872" spans="1:6" x14ac:dyDescent="0.2">
      <c r="A2872" s="163" t="s">
        <v>3724</v>
      </c>
      <c r="B2872" s="164" t="s">
        <v>2345</v>
      </c>
      <c r="C2872" s="164">
        <v>14122856</v>
      </c>
      <c r="D2872" s="164" t="s">
        <v>458</v>
      </c>
      <c r="E2872" s="164" t="s">
        <v>3699</v>
      </c>
      <c r="F2872" s="165">
        <v>3288.46</v>
      </c>
    </row>
    <row r="2873" spans="1:6" x14ac:dyDescent="0.2">
      <c r="A2873" s="166" t="s">
        <v>3724</v>
      </c>
      <c r="B2873" s="167" t="s">
        <v>2345</v>
      </c>
      <c r="C2873" s="167">
        <v>14122855</v>
      </c>
      <c r="D2873" s="167" t="s">
        <v>457</v>
      </c>
      <c r="E2873" s="167" t="s">
        <v>3699</v>
      </c>
      <c r="F2873" s="168">
        <v>3288.46</v>
      </c>
    </row>
    <row r="2874" spans="1:6" x14ac:dyDescent="0.2">
      <c r="A2874" s="163" t="s">
        <v>3724</v>
      </c>
      <c r="B2874" s="164" t="s">
        <v>2345</v>
      </c>
      <c r="C2874" s="164">
        <v>14122854</v>
      </c>
      <c r="D2874" s="164" t="s">
        <v>456</v>
      </c>
      <c r="E2874" s="164" t="s">
        <v>3699</v>
      </c>
      <c r="F2874" s="165">
        <v>3288.46</v>
      </c>
    </row>
    <row r="2875" spans="1:6" x14ac:dyDescent="0.2">
      <c r="A2875" s="166" t="s">
        <v>3724</v>
      </c>
      <c r="B2875" s="167" t="s">
        <v>2345</v>
      </c>
      <c r="C2875" s="167">
        <v>14122852</v>
      </c>
      <c r="D2875" s="167" t="s">
        <v>455</v>
      </c>
      <c r="E2875" s="167" t="s">
        <v>3699</v>
      </c>
      <c r="F2875" s="168">
        <v>3288.46</v>
      </c>
    </row>
    <row r="2876" spans="1:6" x14ac:dyDescent="0.2">
      <c r="A2876" s="163" t="s">
        <v>3724</v>
      </c>
      <c r="B2876" s="164" t="s">
        <v>2345</v>
      </c>
      <c r="C2876" s="164">
        <v>14122833</v>
      </c>
      <c r="D2876" s="164" t="s">
        <v>454</v>
      </c>
      <c r="E2876" s="164" t="s">
        <v>3699</v>
      </c>
      <c r="F2876" s="165">
        <v>3981.95</v>
      </c>
    </row>
    <row r="2877" spans="1:6" x14ac:dyDescent="0.2">
      <c r="A2877" s="166" t="s">
        <v>3724</v>
      </c>
      <c r="B2877" s="167" t="s">
        <v>2345</v>
      </c>
      <c r="C2877" s="167">
        <v>14122832</v>
      </c>
      <c r="D2877" s="167" t="s">
        <v>453</v>
      </c>
      <c r="E2877" s="167" t="s">
        <v>3699</v>
      </c>
      <c r="F2877" s="168">
        <v>3288.46</v>
      </c>
    </row>
    <row r="2878" spans="1:6" x14ac:dyDescent="0.2">
      <c r="A2878" s="163" t="s">
        <v>3724</v>
      </c>
      <c r="B2878" s="164" t="s">
        <v>2345</v>
      </c>
      <c r="C2878" s="164">
        <v>14122831</v>
      </c>
      <c r="D2878" s="164" t="s">
        <v>452</v>
      </c>
      <c r="E2878" s="164" t="s">
        <v>3699</v>
      </c>
      <c r="F2878" s="165">
        <v>3288.46</v>
      </c>
    </row>
    <row r="2879" spans="1:6" x14ac:dyDescent="0.2">
      <c r="A2879" s="166" t="s">
        <v>3724</v>
      </c>
      <c r="B2879" s="167" t="s">
        <v>2345</v>
      </c>
      <c r="C2879" s="167">
        <v>14122809</v>
      </c>
      <c r="D2879" s="167" t="s">
        <v>451</v>
      </c>
      <c r="E2879" s="167" t="s">
        <v>3699</v>
      </c>
      <c r="F2879" s="168">
        <v>3288.46</v>
      </c>
    </row>
    <row r="2880" spans="1:6" x14ac:dyDescent="0.2">
      <c r="A2880" s="163" t="s">
        <v>3724</v>
      </c>
      <c r="B2880" s="164" t="s">
        <v>2345</v>
      </c>
      <c r="C2880" s="164">
        <v>14122775</v>
      </c>
      <c r="D2880" s="164" t="s">
        <v>450</v>
      </c>
      <c r="E2880" s="164" t="s">
        <v>3699</v>
      </c>
      <c r="F2880" s="165">
        <v>3288.46</v>
      </c>
    </row>
    <row r="2881" spans="1:6" x14ac:dyDescent="0.2">
      <c r="A2881" s="166" t="s">
        <v>3724</v>
      </c>
      <c r="B2881" s="167" t="s">
        <v>2345</v>
      </c>
      <c r="C2881" s="167">
        <v>14122773</v>
      </c>
      <c r="D2881" s="167" t="s">
        <v>449</v>
      </c>
      <c r="E2881" s="167" t="s">
        <v>3699</v>
      </c>
      <c r="F2881" s="168">
        <v>3288.46</v>
      </c>
    </row>
    <row r="2882" spans="1:6" x14ac:dyDescent="0.2">
      <c r="A2882" s="163" t="s">
        <v>3724</v>
      </c>
      <c r="B2882" s="164" t="s">
        <v>2345</v>
      </c>
      <c r="C2882" s="164">
        <v>14122772</v>
      </c>
      <c r="D2882" s="164" t="s">
        <v>448</v>
      </c>
      <c r="E2882" s="164" t="s">
        <v>3699</v>
      </c>
      <c r="F2882" s="165">
        <v>3288.46</v>
      </c>
    </row>
    <row r="2883" spans="1:6" x14ac:dyDescent="0.2">
      <c r="A2883" s="166" t="s">
        <v>3724</v>
      </c>
      <c r="B2883" s="167" t="s">
        <v>2345</v>
      </c>
      <c r="C2883" s="167">
        <v>14122758</v>
      </c>
      <c r="D2883" s="167" t="s">
        <v>447</v>
      </c>
      <c r="E2883" s="167" t="s">
        <v>3699</v>
      </c>
      <c r="F2883" s="168">
        <v>3288.46</v>
      </c>
    </row>
    <row r="2884" spans="1:6" x14ac:dyDescent="0.2">
      <c r="A2884" s="163" t="s">
        <v>3724</v>
      </c>
      <c r="B2884" s="164" t="s">
        <v>2345</v>
      </c>
      <c r="C2884" s="164">
        <v>14122709</v>
      </c>
      <c r="D2884" s="164" t="s">
        <v>446</v>
      </c>
      <c r="E2884" s="164" t="s">
        <v>3699</v>
      </c>
      <c r="F2884" s="165">
        <v>3288.46</v>
      </c>
    </row>
    <row r="2885" spans="1:6" x14ac:dyDescent="0.2">
      <c r="A2885" s="166" t="s">
        <v>3724</v>
      </c>
      <c r="B2885" s="167" t="s">
        <v>2345</v>
      </c>
      <c r="C2885" s="167">
        <v>14122708</v>
      </c>
      <c r="D2885" s="167" t="s">
        <v>445</v>
      </c>
      <c r="E2885" s="167" t="s">
        <v>3699</v>
      </c>
      <c r="F2885" s="168">
        <v>3103.52</v>
      </c>
    </row>
    <row r="2886" spans="1:6" x14ac:dyDescent="0.2">
      <c r="A2886" s="163" t="s">
        <v>3724</v>
      </c>
      <c r="B2886" s="164" t="s">
        <v>2345</v>
      </c>
      <c r="C2886" s="164">
        <v>14122706</v>
      </c>
      <c r="D2886" s="164" t="s">
        <v>444</v>
      </c>
      <c r="E2886" s="164" t="s">
        <v>3699</v>
      </c>
      <c r="F2886" s="165">
        <v>3103.52</v>
      </c>
    </row>
    <row r="2887" spans="1:6" x14ac:dyDescent="0.2">
      <c r="A2887" s="166" t="s">
        <v>3724</v>
      </c>
      <c r="B2887" s="167" t="s">
        <v>2345</v>
      </c>
      <c r="C2887" s="167">
        <v>14122687</v>
      </c>
      <c r="D2887" s="167" t="s">
        <v>443</v>
      </c>
      <c r="E2887" s="167" t="s">
        <v>3699</v>
      </c>
      <c r="F2887" s="168">
        <v>3288.46</v>
      </c>
    </row>
    <row r="2888" spans="1:6" x14ac:dyDescent="0.2">
      <c r="A2888" s="163" t="s">
        <v>3724</v>
      </c>
      <c r="B2888" s="164" t="s">
        <v>2345</v>
      </c>
      <c r="C2888" s="164">
        <v>14122685</v>
      </c>
      <c r="D2888" s="164" t="s">
        <v>442</v>
      </c>
      <c r="E2888" s="164" t="s">
        <v>3699</v>
      </c>
      <c r="F2888" s="165">
        <v>3288.46</v>
      </c>
    </row>
    <row r="2889" spans="1:6" x14ac:dyDescent="0.2">
      <c r="A2889" s="166" t="s">
        <v>3724</v>
      </c>
      <c r="B2889" s="167" t="s">
        <v>2345</v>
      </c>
      <c r="C2889" s="167">
        <v>14122683</v>
      </c>
      <c r="D2889" s="167" t="s">
        <v>441</v>
      </c>
      <c r="E2889" s="167" t="s">
        <v>3699</v>
      </c>
      <c r="F2889" s="168">
        <v>3288.46</v>
      </c>
    </row>
    <row r="2890" spans="1:6" x14ac:dyDescent="0.2">
      <c r="A2890" s="163" t="s">
        <v>3724</v>
      </c>
      <c r="B2890" s="164" t="s">
        <v>2345</v>
      </c>
      <c r="C2890" s="164">
        <v>14122681</v>
      </c>
      <c r="D2890" s="164" t="s">
        <v>439</v>
      </c>
      <c r="E2890" s="164" t="s">
        <v>3699</v>
      </c>
      <c r="F2890" s="165">
        <v>3103.52</v>
      </c>
    </row>
    <row r="2891" spans="1:6" x14ac:dyDescent="0.2">
      <c r="A2891" s="166" t="s">
        <v>3724</v>
      </c>
      <c r="B2891" s="167" t="s">
        <v>2345</v>
      </c>
      <c r="C2891" s="167">
        <v>14122672</v>
      </c>
      <c r="D2891" s="167" t="s">
        <v>3709</v>
      </c>
      <c r="E2891" s="167" t="s">
        <v>3699</v>
      </c>
      <c r="F2891" s="168">
        <v>3318.29</v>
      </c>
    </row>
    <row r="2892" spans="1:6" x14ac:dyDescent="0.2">
      <c r="A2892" s="163" t="s">
        <v>3724</v>
      </c>
      <c r="B2892" s="164" t="s">
        <v>2345</v>
      </c>
      <c r="C2892" s="164">
        <v>14122618</v>
      </c>
      <c r="D2892" s="164" t="s">
        <v>436</v>
      </c>
      <c r="E2892" s="164" t="s">
        <v>3699</v>
      </c>
      <c r="F2892" s="165">
        <v>3288.46</v>
      </c>
    </row>
    <row r="2893" spans="1:6" x14ac:dyDescent="0.2">
      <c r="A2893" s="166" t="s">
        <v>3724</v>
      </c>
      <c r="B2893" s="167" t="s">
        <v>2345</v>
      </c>
      <c r="C2893" s="167">
        <v>14122617</v>
      </c>
      <c r="D2893" s="167" t="s">
        <v>435</v>
      </c>
      <c r="E2893" s="167" t="s">
        <v>3699</v>
      </c>
      <c r="F2893" s="168">
        <v>3288.46</v>
      </c>
    </row>
    <row r="2894" spans="1:6" x14ac:dyDescent="0.2">
      <c r="A2894" s="163" t="s">
        <v>3724</v>
      </c>
      <c r="B2894" s="164" t="s">
        <v>2345</v>
      </c>
      <c r="C2894" s="164">
        <v>14122543</v>
      </c>
      <c r="D2894" s="164" t="s">
        <v>433</v>
      </c>
      <c r="E2894" s="164" t="s">
        <v>3699</v>
      </c>
      <c r="F2894" s="165">
        <v>3288.46</v>
      </c>
    </row>
    <row r="2895" spans="1:6" x14ac:dyDescent="0.2">
      <c r="A2895" s="166" t="s">
        <v>3724</v>
      </c>
      <c r="B2895" s="167" t="s">
        <v>2345</v>
      </c>
      <c r="C2895" s="167">
        <v>14122510</v>
      </c>
      <c r="D2895" s="167" t="s">
        <v>430</v>
      </c>
      <c r="E2895" s="167" t="s">
        <v>3699</v>
      </c>
      <c r="F2895" s="168">
        <v>3288.46</v>
      </c>
    </row>
    <row r="2896" spans="1:6" x14ac:dyDescent="0.2">
      <c r="A2896" s="163" t="s">
        <v>3724</v>
      </c>
      <c r="B2896" s="164" t="s">
        <v>2345</v>
      </c>
      <c r="C2896" s="164">
        <v>14122481</v>
      </c>
      <c r="D2896" s="164" t="s">
        <v>426</v>
      </c>
      <c r="E2896" s="164" t="s">
        <v>3699</v>
      </c>
      <c r="F2896" s="165">
        <v>3288.46</v>
      </c>
    </row>
    <row r="2897" spans="1:6" x14ac:dyDescent="0.2">
      <c r="A2897" s="166" t="s">
        <v>3724</v>
      </c>
      <c r="B2897" s="167" t="s">
        <v>2345</v>
      </c>
      <c r="C2897" s="167">
        <v>14122431</v>
      </c>
      <c r="D2897" s="167" t="s">
        <v>425</v>
      </c>
      <c r="E2897" s="167" t="s">
        <v>3699</v>
      </c>
      <c r="F2897" s="168">
        <v>3381.07</v>
      </c>
    </row>
    <row r="2898" spans="1:6" x14ac:dyDescent="0.2">
      <c r="A2898" s="163" t="s">
        <v>3724</v>
      </c>
      <c r="B2898" s="164" t="s">
        <v>2345</v>
      </c>
      <c r="C2898" s="164">
        <v>14122429</v>
      </c>
      <c r="D2898" s="164" t="s">
        <v>424</v>
      </c>
      <c r="E2898" s="164" t="s">
        <v>3699</v>
      </c>
      <c r="F2898" s="165">
        <v>3381.07</v>
      </c>
    </row>
    <row r="2899" spans="1:6" x14ac:dyDescent="0.2">
      <c r="A2899" s="166" t="s">
        <v>3724</v>
      </c>
      <c r="B2899" s="167" t="s">
        <v>2345</v>
      </c>
      <c r="C2899" s="167">
        <v>14122419</v>
      </c>
      <c r="D2899" s="167" t="s">
        <v>422</v>
      </c>
      <c r="E2899" s="167" t="s">
        <v>3699</v>
      </c>
      <c r="F2899" s="168">
        <v>3381.07</v>
      </c>
    </row>
    <row r="2900" spans="1:6" x14ac:dyDescent="0.2">
      <c r="A2900" s="163" t="s">
        <v>3724</v>
      </c>
      <c r="B2900" s="164" t="s">
        <v>2345</v>
      </c>
      <c r="C2900" s="164">
        <v>14122417</v>
      </c>
      <c r="D2900" s="164" t="s">
        <v>421</v>
      </c>
      <c r="E2900" s="164" t="s">
        <v>3699</v>
      </c>
      <c r="F2900" s="165">
        <v>3381.07</v>
      </c>
    </row>
    <row r="2901" spans="1:6" x14ac:dyDescent="0.2">
      <c r="A2901" s="166" t="s">
        <v>3724</v>
      </c>
      <c r="B2901" s="167" t="s">
        <v>2345</v>
      </c>
      <c r="C2901" s="167">
        <v>14122416</v>
      </c>
      <c r="D2901" s="167" t="s">
        <v>420</v>
      </c>
      <c r="E2901" s="167" t="s">
        <v>3699</v>
      </c>
      <c r="F2901" s="168">
        <v>3381.07</v>
      </c>
    </row>
    <row r="2902" spans="1:6" x14ac:dyDescent="0.2">
      <c r="A2902" s="163" t="s">
        <v>3724</v>
      </c>
      <c r="B2902" s="164" t="s">
        <v>2345</v>
      </c>
      <c r="C2902" s="164">
        <v>14122394</v>
      </c>
      <c r="D2902" s="164" t="s">
        <v>419</v>
      </c>
      <c r="E2902" s="164" t="s">
        <v>3699</v>
      </c>
      <c r="F2902" s="165">
        <v>3381.07</v>
      </c>
    </row>
    <row r="2903" spans="1:6" x14ac:dyDescent="0.2">
      <c r="A2903" s="166" t="s">
        <v>3724</v>
      </c>
      <c r="B2903" s="167" t="s">
        <v>2345</v>
      </c>
      <c r="C2903" s="167">
        <v>14122377</v>
      </c>
      <c r="D2903" s="167" t="s">
        <v>418</v>
      </c>
      <c r="E2903" s="167" t="s">
        <v>3699</v>
      </c>
      <c r="F2903" s="168">
        <v>3381.07</v>
      </c>
    </row>
    <row r="2904" spans="1:6" x14ac:dyDescent="0.2">
      <c r="A2904" s="163" t="s">
        <v>3724</v>
      </c>
      <c r="B2904" s="164" t="s">
        <v>2345</v>
      </c>
      <c r="C2904" s="164">
        <v>14122355</v>
      </c>
      <c r="D2904" s="164" t="s">
        <v>417</v>
      </c>
      <c r="E2904" s="164" t="s">
        <v>3699</v>
      </c>
      <c r="F2904" s="165">
        <v>3381.07</v>
      </c>
    </row>
    <row r="2905" spans="1:6" x14ac:dyDescent="0.2">
      <c r="A2905" s="166" t="s">
        <v>3724</v>
      </c>
      <c r="B2905" s="167" t="s">
        <v>2345</v>
      </c>
      <c r="C2905" s="167">
        <v>14122353</v>
      </c>
      <c r="D2905" s="167" t="s">
        <v>415</v>
      </c>
      <c r="E2905" s="167" t="s">
        <v>3699</v>
      </c>
      <c r="F2905" s="168">
        <v>3381.07</v>
      </c>
    </row>
    <row r="2906" spans="1:6" x14ac:dyDescent="0.2">
      <c r="A2906" s="163" t="s">
        <v>3724</v>
      </c>
      <c r="B2906" s="164" t="s">
        <v>2345</v>
      </c>
      <c r="C2906" s="164">
        <v>14122331</v>
      </c>
      <c r="D2906" s="164" t="s">
        <v>414</v>
      </c>
      <c r="E2906" s="164" t="s">
        <v>3699</v>
      </c>
      <c r="F2906" s="165">
        <v>3381.07</v>
      </c>
    </row>
    <row r="2907" spans="1:6" x14ac:dyDescent="0.2">
      <c r="A2907" s="166" t="s">
        <v>3724</v>
      </c>
      <c r="B2907" s="167" t="s">
        <v>2345</v>
      </c>
      <c r="C2907" s="167">
        <v>14122330</v>
      </c>
      <c r="D2907" s="167" t="s">
        <v>413</v>
      </c>
      <c r="E2907" s="167" t="s">
        <v>3699</v>
      </c>
      <c r="F2907" s="168">
        <v>3381.07</v>
      </c>
    </row>
    <row r="2908" spans="1:6" x14ac:dyDescent="0.2">
      <c r="A2908" s="163" t="s">
        <v>3724</v>
      </c>
      <c r="B2908" s="164" t="s">
        <v>2345</v>
      </c>
      <c r="C2908" s="164">
        <v>14122320</v>
      </c>
      <c r="D2908" s="164" t="s">
        <v>411</v>
      </c>
      <c r="E2908" s="164" t="s">
        <v>3699</v>
      </c>
      <c r="F2908" s="165">
        <v>3381.07</v>
      </c>
    </row>
    <row r="2909" spans="1:6" x14ac:dyDescent="0.2">
      <c r="A2909" s="166" t="s">
        <v>3724</v>
      </c>
      <c r="B2909" s="167" t="s">
        <v>2345</v>
      </c>
      <c r="C2909" s="167">
        <v>14122294</v>
      </c>
      <c r="D2909" s="167" t="s">
        <v>410</v>
      </c>
      <c r="E2909" s="167" t="s">
        <v>3699</v>
      </c>
      <c r="F2909" s="168">
        <v>3381.07</v>
      </c>
    </row>
    <row r="2910" spans="1:6" x14ac:dyDescent="0.2">
      <c r="A2910" s="163" t="s">
        <v>3724</v>
      </c>
      <c r="B2910" s="164" t="s">
        <v>2345</v>
      </c>
      <c r="C2910" s="164">
        <v>14122293</v>
      </c>
      <c r="D2910" s="164" t="s">
        <v>409</v>
      </c>
      <c r="E2910" s="164" t="s">
        <v>3699</v>
      </c>
      <c r="F2910" s="165">
        <v>3381.07</v>
      </c>
    </row>
    <row r="2911" spans="1:6" x14ac:dyDescent="0.2">
      <c r="A2911" s="166" t="s">
        <v>3724</v>
      </c>
      <c r="B2911" s="167" t="s">
        <v>2345</v>
      </c>
      <c r="C2911" s="167">
        <v>14122291</v>
      </c>
      <c r="D2911" s="167" t="s">
        <v>408</v>
      </c>
      <c r="E2911" s="167" t="s">
        <v>3699</v>
      </c>
      <c r="F2911" s="168">
        <v>3381.07</v>
      </c>
    </row>
    <row r="2912" spans="1:6" x14ac:dyDescent="0.2">
      <c r="A2912" s="163" t="s">
        <v>3724</v>
      </c>
      <c r="B2912" s="164" t="s">
        <v>2345</v>
      </c>
      <c r="C2912" s="164">
        <v>14122263</v>
      </c>
      <c r="D2912" s="164" t="s">
        <v>407</v>
      </c>
      <c r="E2912" s="164" t="s">
        <v>3699</v>
      </c>
      <c r="F2912" s="165">
        <v>3381.07</v>
      </c>
    </row>
    <row r="2913" spans="1:6" x14ac:dyDescent="0.2">
      <c r="A2913" s="166" t="s">
        <v>3724</v>
      </c>
      <c r="B2913" s="167" t="s">
        <v>2345</v>
      </c>
      <c r="C2913" s="167">
        <v>14122230</v>
      </c>
      <c r="D2913" s="167" t="s">
        <v>403</v>
      </c>
      <c r="E2913" s="167" t="s">
        <v>3699</v>
      </c>
      <c r="F2913" s="168">
        <v>3381.07</v>
      </c>
    </row>
    <row r="2914" spans="1:6" x14ac:dyDescent="0.2">
      <c r="A2914" s="163" t="s">
        <v>3724</v>
      </c>
      <c r="B2914" s="164" t="s">
        <v>2345</v>
      </c>
      <c r="C2914" s="164">
        <v>14122221</v>
      </c>
      <c r="D2914" s="164" t="s">
        <v>402</v>
      </c>
      <c r="E2914" s="164" t="s">
        <v>3699</v>
      </c>
      <c r="F2914" s="165">
        <v>3381.07</v>
      </c>
    </row>
    <row r="2915" spans="1:6" x14ac:dyDescent="0.2">
      <c r="A2915" s="166" t="s">
        <v>3724</v>
      </c>
      <c r="B2915" s="167" t="s">
        <v>2345</v>
      </c>
      <c r="C2915" s="167">
        <v>14122194</v>
      </c>
      <c r="D2915" s="167" t="s">
        <v>401</v>
      </c>
      <c r="E2915" s="167" t="s">
        <v>3699</v>
      </c>
      <c r="F2915" s="168">
        <v>3381.07</v>
      </c>
    </row>
    <row r="2916" spans="1:6" x14ac:dyDescent="0.2">
      <c r="A2916" s="163" t="s">
        <v>3724</v>
      </c>
      <c r="B2916" s="164" t="s">
        <v>2345</v>
      </c>
      <c r="C2916" s="164">
        <v>14122191</v>
      </c>
      <c r="D2916" s="164" t="s">
        <v>400</v>
      </c>
      <c r="E2916" s="164" t="s">
        <v>3699</v>
      </c>
      <c r="F2916" s="165">
        <v>3381.07</v>
      </c>
    </row>
    <row r="2917" spans="1:6" x14ac:dyDescent="0.2">
      <c r="A2917" s="166" t="s">
        <v>3724</v>
      </c>
      <c r="B2917" s="167" t="s">
        <v>2345</v>
      </c>
      <c r="C2917" s="167">
        <v>14122158</v>
      </c>
      <c r="D2917" s="167" t="s">
        <v>396</v>
      </c>
      <c r="E2917" s="167" t="s">
        <v>3699</v>
      </c>
      <c r="F2917" s="168">
        <v>3381.07</v>
      </c>
    </row>
    <row r="2918" spans="1:6" x14ac:dyDescent="0.2">
      <c r="A2918" s="163" t="s">
        <v>3724</v>
      </c>
      <c r="B2918" s="164" t="s">
        <v>2345</v>
      </c>
      <c r="C2918" s="164">
        <v>14122149</v>
      </c>
      <c r="D2918" s="164" t="s">
        <v>395</v>
      </c>
      <c r="E2918" s="164" t="s">
        <v>3699</v>
      </c>
      <c r="F2918" s="165">
        <v>3381.07</v>
      </c>
    </row>
    <row r="2919" spans="1:6" x14ac:dyDescent="0.2">
      <c r="A2919" s="166" t="s">
        <v>3724</v>
      </c>
      <c r="B2919" s="167" t="s">
        <v>2345</v>
      </c>
      <c r="C2919" s="167">
        <v>14122148</v>
      </c>
      <c r="D2919" s="167" t="s">
        <v>394</v>
      </c>
      <c r="E2919" s="167" t="s">
        <v>3699</v>
      </c>
      <c r="F2919" s="168">
        <v>3381.07</v>
      </c>
    </row>
    <row r="2920" spans="1:6" x14ac:dyDescent="0.2">
      <c r="A2920" s="163" t="s">
        <v>3724</v>
      </c>
      <c r="B2920" s="164" t="s">
        <v>2345</v>
      </c>
      <c r="C2920" s="164">
        <v>14122137</v>
      </c>
      <c r="D2920" s="164" t="s">
        <v>393</v>
      </c>
      <c r="E2920" s="164" t="s">
        <v>3699</v>
      </c>
      <c r="F2920" s="165">
        <v>3381.07</v>
      </c>
    </row>
    <row r="2921" spans="1:6" x14ac:dyDescent="0.2">
      <c r="A2921" s="166" t="s">
        <v>3724</v>
      </c>
      <c r="B2921" s="167" t="s">
        <v>2345</v>
      </c>
      <c r="C2921" s="167">
        <v>14122136</v>
      </c>
      <c r="D2921" s="167" t="s">
        <v>392</v>
      </c>
      <c r="E2921" s="167" t="s">
        <v>3699</v>
      </c>
      <c r="F2921" s="168">
        <v>3381.07</v>
      </c>
    </row>
    <row r="2922" spans="1:6" x14ac:dyDescent="0.2">
      <c r="A2922" s="163" t="s">
        <v>3724</v>
      </c>
      <c r="B2922" s="164" t="s">
        <v>2345</v>
      </c>
      <c r="C2922" s="164">
        <v>14122133</v>
      </c>
      <c r="D2922" s="164" t="s">
        <v>391</v>
      </c>
      <c r="E2922" s="164" t="s">
        <v>3699</v>
      </c>
      <c r="F2922" s="165">
        <v>3381.07</v>
      </c>
    </row>
    <row r="2923" spans="1:6" x14ac:dyDescent="0.2">
      <c r="A2923" s="166" t="s">
        <v>3724</v>
      </c>
      <c r="B2923" s="167" t="s">
        <v>2345</v>
      </c>
      <c r="C2923" s="167">
        <v>14122113</v>
      </c>
      <c r="D2923" s="167" t="s">
        <v>390</v>
      </c>
      <c r="E2923" s="167" t="s">
        <v>3699</v>
      </c>
      <c r="F2923" s="168">
        <v>3381.07</v>
      </c>
    </row>
    <row r="2924" spans="1:6" x14ac:dyDescent="0.2">
      <c r="A2924" s="163" t="s">
        <v>3724</v>
      </c>
      <c r="B2924" s="164" t="s">
        <v>2345</v>
      </c>
      <c r="C2924" s="164">
        <v>14122103</v>
      </c>
      <c r="D2924" s="164" t="s">
        <v>389</v>
      </c>
      <c r="E2924" s="164" t="s">
        <v>3699</v>
      </c>
      <c r="F2924" s="165">
        <v>3381.07</v>
      </c>
    </row>
    <row r="2925" spans="1:6" x14ac:dyDescent="0.2">
      <c r="A2925" s="166" t="s">
        <v>3724</v>
      </c>
      <c r="B2925" s="167" t="s">
        <v>2345</v>
      </c>
      <c r="C2925" s="167">
        <v>14122096</v>
      </c>
      <c r="D2925" s="167" t="s">
        <v>388</v>
      </c>
      <c r="E2925" s="167" t="s">
        <v>3699</v>
      </c>
      <c r="F2925" s="168">
        <v>3381.07</v>
      </c>
    </row>
    <row r="2926" spans="1:6" x14ac:dyDescent="0.2">
      <c r="A2926" s="163" t="s">
        <v>3724</v>
      </c>
      <c r="B2926" s="164" t="s">
        <v>2345</v>
      </c>
      <c r="C2926" s="164">
        <v>14122095</v>
      </c>
      <c r="D2926" s="164" t="s">
        <v>387</v>
      </c>
      <c r="E2926" s="164" t="s">
        <v>3699</v>
      </c>
      <c r="F2926" s="165">
        <v>3381.07</v>
      </c>
    </row>
    <row r="2927" spans="1:6" x14ac:dyDescent="0.2">
      <c r="A2927" s="166" t="s">
        <v>3724</v>
      </c>
      <c r="B2927" s="167" t="s">
        <v>2345</v>
      </c>
      <c r="C2927" s="167">
        <v>14122094</v>
      </c>
      <c r="D2927" s="167" t="s">
        <v>386</v>
      </c>
      <c r="E2927" s="167" t="s">
        <v>3699</v>
      </c>
      <c r="F2927" s="168">
        <v>3649.31</v>
      </c>
    </row>
    <row r="2928" spans="1:6" x14ac:dyDescent="0.2">
      <c r="A2928" s="163" t="s">
        <v>3724</v>
      </c>
      <c r="B2928" s="164" t="s">
        <v>2345</v>
      </c>
      <c r="C2928" s="164">
        <v>14122083</v>
      </c>
      <c r="D2928" s="164" t="s">
        <v>385</v>
      </c>
      <c r="E2928" s="164" t="s">
        <v>3699</v>
      </c>
      <c r="F2928" s="165">
        <v>3649.31</v>
      </c>
    </row>
    <row r="2929" spans="1:6" x14ac:dyDescent="0.2">
      <c r="A2929" s="166" t="s">
        <v>3724</v>
      </c>
      <c r="B2929" s="167" t="s">
        <v>2345</v>
      </c>
      <c r="C2929" s="167">
        <v>14122073</v>
      </c>
      <c r="D2929" s="167" t="s">
        <v>383</v>
      </c>
      <c r="E2929" s="167" t="s">
        <v>3699</v>
      </c>
      <c r="F2929" s="168">
        <v>3381.07</v>
      </c>
    </row>
    <row r="2930" spans="1:6" x14ac:dyDescent="0.2">
      <c r="A2930" s="163" t="s">
        <v>3724</v>
      </c>
      <c r="B2930" s="164" t="s">
        <v>2345</v>
      </c>
      <c r="C2930" s="164">
        <v>14122072</v>
      </c>
      <c r="D2930" s="164" t="s">
        <v>382</v>
      </c>
      <c r="E2930" s="164" t="s">
        <v>3699</v>
      </c>
      <c r="F2930" s="165">
        <v>3381.07</v>
      </c>
    </row>
    <row r="2931" spans="1:6" x14ac:dyDescent="0.2">
      <c r="A2931" s="166" t="s">
        <v>3724</v>
      </c>
      <c r="B2931" s="167" t="s">
        <v>2345</v>
      </c>
      <c r="C2931" s="167">
        <v>14122067</v>
      </c>
      <c r="D2931" s="167" t="s">
        <v>381</v>
      </c>
      <c r="E2931" s="167" t="s">
        <v>3699</v>
      </c>
      <c r="F2931" s="168">
        <v>3381.07</v>
      </c>
    </row>
    <row r="2932" spans="1:6" x14ac:dyDescent="0.2">
      <c r="A2932" s="163" t="s">
        <v>3724</v>
      </c>
      <c r="B2932" s="164" t="s">
        <v>2345</v>
      </c>
      <c r="C2932" s="164">
        <v>14122035</v>
      </c>
      <c r="D2932" s="164" t="s">
        <v>380</v>
      </c>
      <c r="E2932" s="164" t="s">
        <v>3699</v>
      </c>
      <c r="F2932" s="165">
        <v>3381.07</v>
      </c>
    </row>
    <row r="2933" spans="1:6" x14ac:dyDescent="0.2">
      <c r="A2933" s="166" t="s">
        <v>3724</v>
      </c>
      <c r="B2933" s="167" t="s">
        <v>2345</v>
      </c>
      <c r="C2933" s="167">
        <v>14122034</v>
      </c>
      <c r="D2933" s="167" t="s">
        <v>379</v>
      </c>
      <c r="E2933" s="167" t="s">
        <v>3699</v>
      </c>
      <c r="F2933" s="168">
        <v>3649.31</v>
      </c>
    </row>
    <row r="2934" spans="1:6" x14ac:dyDescent="0.2">
      <c r="A2934" s="163" t="s">
        <v>3724</v>
      </c>
      <c r="B2934" s="164" t="s">
        <v>2345</v>
      </c>
      <c r="C2934" s="164">
        <v>14122033</v>
      </c>
      <c r="D2934" s="164" t="s">
        <v>378</v>
      </c>
      <c r="E2934" s="164" t="s">
        <v>3699</v>
      </c>
      <c r="F2934" s="165">
        <v>3381.07</v>
      </c>
    </row>
    <row r="2935" spans="1:6" x14ac:dyDescent="0.2">
      <c r="A2935" s="166" t="s">
        <v>3724</v>
      </c>
      <c r="B2935" s="167" t="s">
        <v>2345</v>
      </c>
      <c r="C2935" s="167">
        <v>14121985</v>
      </c>
      <c r="D2935" s="167" t="s">
        <v>376</v>
      </c>
      <c r="E2935" s="167" t="s">
        <v>3699</v>
      </c>
      <c r="F2935" s="168">
        <v>3381.07</v>
      </c>
    </row>
    <row r="2936" spans="1:6" x14ac:dyDescent="0.2">
      <c r="A2936" s="163" t="s">
        <v>3724</v>
      </c>
      <c r="B2936" s="164" t="s">
        <v>2345</v>
      </c>
      <c r="C2936" s="164">
        <v>14121964</v>
      </c>
      <c r="D2936" s="164" t="s">
        <v>375</v>
      </c>
      <c r="E2936" s="164" t="s">
        <v>3699</v>
      </c>
      <c r="F2936" s="165">
        <v>3381.07</v>
      </c>
    </row>
    <row r="2937" spans="1:6" x14ac:dyDescent="0.2">
      <c r="A2937" s="166" t="s">
        <v>3724</v>
      </c>
      <c r="B2937" s="167" t="s">
        <v>2345</v>
      </c>
      <c r="C2937" s="167">
        <v>14121917</v>
      </c>
      <c r="D2937" s="167" t="s">
        <v>370</v>
      </c>
      <c r="E2937" s="167" t="s">
        <v>3699</v>
      </c>
      <c r="F2937" s="168">
        <v>3649.31</v>
      </c>
    </row>
    <row r="2938" spans="1:6" x14ac:dyDescent="0.2">
      <c r="A2938" s="163" t="s">
        <v>3724</v>
      </c>
      <c r="B2938" s="164" t="s">
        <v>2345</v>
      </c>
      <c r="C2938" s="164">
        <v>14121896</v>
      </c>
      <c r="D2938" s="164" t="s">
        <v>369</v>
      </c>
      <c r="E2938" s="164" t="s">
        <v>3699</v>
      </c>
      <c r="F2938" s="165">
        <v>3649.31</v>
      </c>
    </row>
    <row r="2939" spans="1:6" x14ac:dyDescent="0.2">
      <c r="A2939" s="166" t="s">
        <v>3724</v>
      </c>
      <c r="B2939" s="167" t="s">
        <v>2345</v>
      </c>
      <c r="C2939" s="167">
        <v>14121860</v>
      </c>
      <c r="D2939" s="167" t="s">
        <v>367</v>
      </c>
      <c r="E2939" s="167" t="s">
        <v>3699</v>
      </c>
      <c r="F2939" s="168">
        <v>3381.07</v>
      </c>
    </row>
    <row r="2940" spans="1:6" x14ac:dyDescent="0.2">
      <c r="A2940" s="163" t="s">
        <v>3724</v>
      </c>
      <c r="B2940" s="164" t="s">
        <v>2345</v>
      </c>
      <c r="C2940" s="164">
        <v>14121859</v>
      </c>
      <c r="D2940" s="164" t="s">
        <v>366</v>
      </c>
      <c r="E2940" s="164" t="s">
        <v>3699</v>
      </c>
      <c r="F2940" s="165">
        <v>3381.07</v>
      </c>
    </row>
    <row r="2941" spans="1:6" x14ac:dyDescent="0.2">
      <c r="A2941" s="166" t="s">
        <v>3724</v>
      </c>
      <c r="B2941" s="167" t="s">
        <v>2345</v>
      </c>
      <c r="C2941" s="167">
        <v>14121856</v>
      </c>
      <c r="D2941" s="167" t="s">
        <v>365</v>
      </c>
      <c r="E2941" s="167" t="s">
        <v>3699</v>
      </c>
      <c r="F2941" s="168">
        <v>3381.07</v>
      </c>
    </row>
    <row r="2942" spans="1:6" x14ac:dyDescent="0.2">
      <c r="A2942" s="163" t="s">
        <v>3724</v>
      </c>
      <c r="B2942" s="164" t="s">
        <v>2345</v>
      </c>
      <c r="C2942" s="164">
        <v>14121821</v>
      </c>
      <c r="D2942" s="164" t="s">
        <v>364</v>
      </c>
      <c r="E2942" s="164" t="s">
        <v>3699</v>
      </c>
      <c r="F2942" s="165">
        <v>3381.07</v>
      </c>
    </row>
    <row r="2943" spans="1:6" x14ac:dyDescent="0.2">
      <c r="A2943" s="166" t="s">
        <v>3724</v>
      </c>
      <c r="B2943" s="167" t="s">
        <v>2345</v>
      </c>
      <c r="C2943" s="167">
        <v>14121811</v>
      </c>
      <c r="D2943" s="167" t="s">
        <v>363</v>
      </c>
      <c r="E2943" s="167" t="s">
        <v>3699</v>
      </c>
      <c r="F2943" s="168">
        <v>3381.07</v>
      </c>
    </row>
    <row r="2944" spans="1:6" x14ac:dyDescent="0.2">
      <c r="A2944" s="163" t="s">
        <v>3724</v>
      </c>
      <c r="B2944" s="164" t="s">
        <v>2345</v>
      </c>
      <c r="C2944" s="164">
        <v>14121809</v>
      </c>
      <c r="D2944" s="164" t="s">
        <v>362</v>
      </c>
      <c r="E2944" s="164" t="s">
        <v>3699</v>
      </c>
      <c r="F2944" s="165">
        <v>3381.07</v>
      </c>
    </row>
    <row r="2945" spans="1:6" x14ac:dyDescent="0.2">
      <c r="A2945" s="166" t="s">
        <v>3724</v>
      </c>
      <c r="B2945" s="167" t="s">
        <v>2345</v>
      </c>
      <c r="C2945" s="167">
        <v>14121791</v>
      </c>
      <c r="D2945" s="167" t="s">
        <v>361</v>
      </c>
      <c r="E2945" s="167" t="s">
        <v>3699</v>
      </c>
      <c r="F2945" s="168">
        <v>3381.07</v>
      </c>
    </row>
    <row r="2946" spans="1:6" x14ac:dyDescent="0.2">
      <c r="A2946" s="163" t="s">
        <v>3724</v>
      </c>
      <c r="B2946" s="164" t="s">
        <v>2345</v>
      </c>
      <c r="C2946" s="164">
        <v>14121785</v>
      </c>
      <c r="D2946" s="164" t="s">
        <v>360</v>
      </c>
      <c r="E2946" s="164" t="s">
        <v>3699</v>
      </c>
      <c r="F2946" s="165">
        <v>3381.07</v>
      </c>
    </row>
    <row r="2947" spans="1:6" x14ac:dyDescent="0.2">
      <c r="A2947" s="166" t="s">
        <v>3724</v>
      </c>
      <c r="B2947" s="167" t="s">
        <v>2345</v>
      </c>
      <c r="C2947" s="167">
        <v>14121784</v>
      </c>
      <c r="D2947" s="167" t="s">
        <v>359</v>
      </c>
      <c r="E2947" s="167" t="s">
        <v>3699</v>
      </c>
      <c r="F2947" s="168">
        <v>3381.07</v>
      </c>
    </row>
    <row r="2948" spans="1:6" x14ac:dyDescent="0.2">
      <c r="A2948" s="163" t="s">
        <v>3724</v>
      </c>
      <c r="B2948" s="164" t="s">
        <v>2345</v>
      </c>
      <c r="C2948" s="164">
        <v>14121766</v>
      </c>
      <c r="D2948" s="164" t="s">
        <v>358</v>
      </c>
      <c r="E2948" s="164" t="s">
        <v>3699</v>
      </c>
      <c r="F2948" s="165">
        <v>3649.31</v>
      </c>
    </row>
    <row r="2949" spans="1:6" x14ac:dyDescent="0.2">
      <c r="A2949" s="166" t="s">
        <v>3724</v>
      </c>
      <c r="B2949" s="167" t="s">
        <v>2345</v>
      </c>
      <c r="C2949" s="167">
        <v>14121756</v>
      </c>
      <c r="D2949" s="167" t="s">
        <v>357</v>
      </c>
      <c r="E2949" s="167" t="s">
        <v>3699</v>
      </c>
      <c r="F2949" s="168">
        <v>3381.07</v>
      </c>
    </row>
    <row r="2950" spans="1:6" x14ac:dyDescent="0.2">
      <c r="A2950" s="163" t="s">
        <v>3724</v>
      </c>
      <c r="B2950" s="164" t="s">
        <v>2345</v>
      </c>
      <c r="C2950" s="164">
        <v>14121733</v>
      </c>
      <c r="D2950" s="164" t="s">
        <v>353</v>
      </c>
      <c r="E2950" s="164" t="s">
        <v>3699</v>
      </c>
      <c r="F2950" s="165">
        <v>3381.07</v>
      </c>
    </row>
    <row r="2951" spans="1:6" x14ac:dyDescent="0.2">
      <c r="A2951" s="166" t="s">
        <v>3724</v>
      </c>
      <c r="B2951" s="167" t="s">
        <v>2345</v>
      </c>
      <c r="C2951" s="167">
        <v>14121728</v>
      </c>
      <c r="D2951" s="167" t="s">
        <v>352</v>
      </c>
      <c r="E2951" s="167" t="s">
        <v>3699</v>
      </c>
      <c r="F2951" s="168">
        <v>3381.07</v>
      </c>
    </row>
    <row r="2952" spans="1:6" x14ac:dyDescent="0.2">
      <c r="A2952" s="163" t="s">
        <v>3724</v>
      </c>
      <c r="B2952" s="164" t="s">
        <v>2345</v>
      </c>
      <c r="C2952" s="164">
        <v>14121677</v>
      </c>
      <c r="D2952" s="164" t="s">
        <v>350</v>
      </c>
      <c r="E2952" s="164" t="s">
        <v>3699</v>
      </c>
      <c r="F2952" s="165">
        <v>3381.07</v>
      </c>
    </row>
    <row r="2953" spans="1:6" x14ac:dyDescent="0.2">
      <c r="A2953" s="166" t="s">
        <v>3724</v>
      </c>
      <c r="B2953" s="167" t="s">
        <v>2345</v>
      </c>
      <c r="C2953" s="167">
        <v>14121672</v>
      </c>
      <c r="D2953" s="167" t="s">
        <v>349</v>
      </c>
      <c r="E2953" s="167" t="s">
        <v>3699</v>
      </c>
      <c r="F2953" s="168">
        <v>3649.31</v>
      </c>
    </row>
    <row r="2954" spans="1:6" x14ac:dyDescent="0.2">
      <c r="A2954" s="163" t="s">
        <v>3724</v>
      </c>
      <c r="B2954" s="164" t="s">
        <v>2345</v>
      </c>
      <c r="C2954" s="164">
        <v>14121600</v>
      </c>
      <c r="D2954" s="164" t="s">
        <v>346</v>
      </c>
      <c r="E2954" s="164" t="s">
        <v>3699</v>
      </c>
      <c r="F2954" s="165">
        <v>3381.07</v>
      </c>
    </row>
    <row r="2955" spans="1:6" x14ac:dyDescent="0.2">
      <c r="A2955" s="166" t="s">
        <v>3724</v>
      </c>
      <c r="B2955" s="167" t="s">
        <v>2345</v>
      </c>
      <c r="C2955" s="167">
        <v>14121598</v>
      </c>
      <c r="D2955" s="167" t="s">
        <v>345</v>
      </c>
      <c r="E2955" s="167" t="s">
        <v>3699</v>
      </c>
      <c r="F2955" s="168">
        <v>3381.07</v>
      </c>
    </row>
    <row r="2956" spans="1:6" x14ac:dyDescent="0.2">
      <c r="A2956" s="163" t="s">
        <v>3724</v>
      </c>
      <c r="B2956" s="164" t="s">
        <v>2345</v>
      </c>
      <c r="C2956" s="164">
        <v>14121582</v>
      </c>
      <c r="D2956" s="164" t="s">
        <v>343</v>
      </c>
      <c r="E2956" s="164" t="s">
        <v>3699</v>
      </c>
      <c r="F2956" s="165">
        <v>3649.31</v>
      </c>
    </row>
    <row r="2957" spans="1:6" x14ac:dyDescent="0.2">
      <c r="A2957" s="166" t="s">
        <v>3724</v>
      </c>
      <c r="B2957" s="167" t="s">
        <v>2345</v>
      </c>
      <c r="C2957" s="167">
        <v>14121571</v>
      </c>
      <c r="D2957" s="167" t="s">
        <v>342</v>
      </c>
      <c r="E2957" s="167" t="s">
        <v>3699</v>
      </c>
      <c r="F2957" s="168">
        <v>3649.31</v>
      </c>
    </row>
    <row r="2958" spans="1:6" x14ac:dyDescent="0.2">
      <c r="A2958" s="163" t="s">
        <v>3724</v>
      </c>
      <c r="B2958" s="164" t="s">
        <v>2345</v>
      </c>
      <c r="C2958" s="164">
        <v>14121545</v>
      </c>
      <c r="D2958" s="164" t="s">
        <v>340</v>
      </c>
      <c r="E2958" s="164" t="s">
        <v>3699</v>
      </c>
      <c r="F2958" s="165">
        <v>3381.07</v>
      </c>
    </row>
    <row r="2959" spans="1:6" x14ac:dyDescent="0.2">
      <c r="A2959" s="166" t="s">
        <v>3724</v>
      </c>
      <c r="B2959" s="167" t="s">
        <v>2345</v>
      </c>
      <c r="C2959" s="167">
        <v>14121543</v>
      </c>
      <c r="D2959" s="167" t="s">
        <v>339</v>
      </c>
      <c r="E2959" s="167" t="s">
        <v>3699</v>
      </c>
      <c r="F2959" s="168">
        <v>3381.07</v>
      </c>
    </row>
    <row r="2960" spans="1:6" x14ac:dyDescent="0.2">
      <c r="A2960" s="163" t="s">
        <v>3724</v>
      </c>
      <c r="B2960" s="164" t="s">
        <v>2345</v>
      </c>
      <c r="C2960" s="164">
        <v>14121523</v>
      </c>
      <c r="D2960" s="164" t="s">
        <v>338</v>
      </c>
      <c r="E2960" s="164" t="s">
        <v>3699</v>
      </c>
      <c r="F2960" s="165">
        <v>3381.07</v>
      </c>
    </row>
    <row r="2961" spans="1:6" x14ac:dyDescent="0.2">
      <c r="A2961" s="166" t="s">
        <v>3724</v>
      </c>
      <c r="B2961" s="167" t="s">
        <v>2345</v>
      </c>
      <c r="C2961" s="167">
        <v>14121522</v>
      </c>
      <c r="D2961" s="167" t="s">
        <v>337</v>
      </c>
      <c r="E2961" s="167" t="s">
        <v>3699</v>
      </c>
      <c r="F2961" s="168">
        <v>3381.07</v>
      </c>
    </row>
    <row r="2962" spans="1:6" x14ac:dyDescent="0.2">
      <c r="A2962" s="163" t="s">
        <v>3724</v>
      </c>
      <c r="B2962" s="164" t="s">
        <v>2345</v>
      </c>
      <c r="C2962" s="164">
        <v>14121398</v>
      </c>
      <c r="D2962" s="164" t="s">
        <v>333</v>
      </c>
      <c r="E2962" s="164" t="s">
        <v>3699</v>
      </c>
      <c r="F2962" s="165">
        <v>3381.07</v>
      </c>
    </row>
    <row r="2963" spans="1:6" x14ac:dyDescent="0.2">
      <c r="A2963" s="166" t="s">
        <v>3724</v>
      </c>
      <c r="B2963" s="167" t="s">
        <v>2345</v>
      </c>
      <c r="C2963" s="167">
        <v>14121331</v>
      </c>
      <c r="D2963" s="167" t="s">
        <v>332</v>
      </c>
      <c r="E2963" s="167" t="s">
        <v>3699</v>
      </c>
      <c r="F2963" s="168">
        <v>4482.38</v>
      </c>
    </row>
    <row r="2964" spans="1:6" x14ac:dyDescent="0.2">
      <c r="A2964" s="163" t="s">
        <v>3724</v>
      </c>
      <c r="B2964" s="164" t="s">
        <v>2345</v>
      </c>
      <c r="C2964" s="164">
        <v>14121328</v>
      </c>
      <c r="D2964" s="164" t="s">
        <v>331</v>
      </c>
      <c r="E2964" s="164" t="s">
        <v>3699</v>
      </c>
      <c r="F2964" s="165">
        <v>3381.07</v>
      </c>
    </row>
    <row r="2965" spans="1:6" x14ac:dyDescent="0.2">
      <c r="A2965" s="166" t="s">
        <v>3724</v>
      </c>
      <c r="B2965" s="167" t="s">
        <v>2345</v>
      </c>
      <c r="C2965" s="167">
        <v>14121271</v>
      </c>
      <c r="D2965" s="167" t="s">
        <v>330</v>
      </c>
      <c r="E2965" s="167" t="s">
        <v>3699</v>
      </c>
      <c r="F2965" s="168">
        <v>3381.07</v>
      </c>
    </row>
    <row r="2966" spans="1:6" x14ac:dyDescent="0.2">
      <c r="A2966" s="163" t="s">
        <v>3724</v>
      </c>
      <c r="B2966" s="164" t="s">
        <v>2345</v>
      </c>
      <c r="C2966" s="164">
        <v>14121266</v>
      </c>
      <c r="D2966" s="164" t="s">
        <v>329</v>
      </c>
      <c r="E2966" s="164" t="s">
        <v>3699</v>
      </c>
      <c r="F2966" s="165">
        <v>3381.07</v>
      </c>
    </row>
    <row r="2967" spans="1:6" x14ac:dyDescent="0.2">
      <c r="A2967" s="166" t="s">
        <v>3724</v>
      </c>
      <c r="B2967" s="167" t="s">
        <v>2345</v>
      </c>
      <c r="C2967" s="167">
        <v>14121239</v>
      </c>
      <c r="D2967" s="167" t="s">
        <v>328</v>
      </c>
      <c r="E2967" s="167" t="s">
        <v>3699</v>
      </c>
      <c r="F2967" s="168">
        <v>3381.07</v>
      </c>
    </row>
    <row r="2968" spans="1:6" x14ac:dyDescent="0.2">
      <c r="A2968" s="163" t="s">
        <v>3724</v>
      </c>
      <c r="B2968" s="164" t="s">
        <v>2345</v>
      </c>
      <c r="C2968" s="164">
        <v>14121238</v>
      </c>
      <c r="D2968" s="164" t="s">
        <v>327</v>
      </c>
      <c r="E2968" s="164" t="s">
        <v>3699</v>
      </c>
      <c r="F2968" s="165">
        <v>3381.07</v>
      </c>
    </row>
    <row r="2969" spans="1:6" x14ac:dyDescent="0.2">
      <c r="A2969" s="166" t="s">
        <v>3724</v>
      </c>
      <c r="B2969" s="167" t="s">
        <v>2345</v>
      </c>
      <c r="C2969" s="167">
        <v>14121235</v>
      </c>
      <c r="D2969" s="167" t="s">
        <v>326</v>
      </c>
      <c r="E2969" s="167" t="s">
        <v>3699</v>
      </c>
      <c r="F2969" s="168">
        <v>3381.07</v>
      </c>
    </row>
    <row r="2970" spans="1:6" x14ac:dyDescent="0.2">
      <c r="A2970" s="163" t="s">
        <v>3724</v>
      </c>
      <c r="B2970" s="164" t="s">
        <v>2345</v>
      </c>
      <c r="C2970" s="164">
        <v>14121193</v>
      </c>
      <c r="D2970" s="164" t="s">
        <v>324</v>
      </c>
      <c r="E2970" s="164" t="s">
        <v>3699</v>
      </c>
      <c r="F2970" s="165">
        <v>3381.07</v>
      </c>
    </row>
    <row r="2971" spans="1:6" x14ac:dyDescent="0.2">
      <c r="A2971" s="166" t="s">
        <v>3724</v>
      </c>
      <c r="B2971" s="167" t="s">
        <v>2345</v>
      </c>
      <c r="C2971" s="167">
        <v>14121159</v>
      </c>
      <c r="D2971" s="167" t="s">
        <v>323</v>
      </c>
      <c r="E2971" s="167" t="s">
        <v>3699</v>
      </c>
      <c r="F2971" s="168">
        <v>3381.07</v>
      </c>
    </row>
    <row r="2972" spans="1:6" x14ac:dyDescent="0.2">
      <c r="A2972" s="163" t="s">
        <v>3724</v>
      </c>
      <c r="B2972" s="164" t="s">
        <v>2345</v>
      </c>
      <c r="C2972" s="164">
        <v>14121158</v>
      </c>
      <c r="D2972" s="164" t="s">
        <v>322</v>
      </c>
      <c r="E2972" s="164" t="s">
        <v>3699</v>
      </c>
      <c r="F2972" s="165">
        <v>3381.07</v>
      </c>
    </row>
    <row r="2973" spans="1:6" x14ac:dyDescent="0.2">
      <c r="A2973" s="166" t="s">
        <v>3724</v>
      </c>
      <c r="B2973" s="167" t="s">
        <v>2345</v>
      </c>
      <c r="C2973" s="167">
        <v>14121153</v>
      </c>
      <c r="D2973" s="167" t="s">
        <v>321</v>
      </c>
      <c r="E2973" s="167" t="s">
        <v>3699</v>
      </c>
      <c r="F2973" s="168">
        <v>3381.07</v>
      </c>
    </row>
    <row r="2974" spans="1:6" x14ac:dyDescent="0.2">
      <c r="A2974" s="163" t="s">
        <v>3724</v>
      </c>
      <c r="B2974" s="164" t="s">
        <v>2345</v>
      </c>
      <c r="C2974" s="164">
        <v>14121152</v>
      </c>
      <c r="D2974" s="164" t="s">
        <v>320</v>
      </c>
      <c r="E2974" s="164" t="s">
        <v>3699</v>
      </c>
      <c r="F2974" s="165">
        <v>3381.07</v>
      </c>
    </row>
    <row r="2975" spans="1:6" x14ac:dyDescent="0.2">
      <c r="A2975" s="166" t="s">
        <v>3724</v>
      </c>
      <c r="B2975" s="167" t="s">
        <v>2345</v>
      </c>
      <c r="C2975" s="167">
        <v>14121116</v>
      </c>
      <c r="D2975" s="167" t="s">
        <v>319</v>
      </c>
      <c r="E2975" s="167" t="s">
        <v>3699</v>
      </c>
      <c r="F2975" s="168">
        <v>3381.07</v>
      </c>
    </row>
    <row r="2976" spans="1:6" x14ac:dyDescent="0.2">
      <c r="A2976" s="163" t="s">
        <v>3724</v>
      </c>
      <c r="B2976" s="164" t="s">
        <v>2345</v>
      </c>
      <c r="C2976" s="164">
        <v>14121104</v>
      </c>
      <c r="D2976" s="164" t="s">
        <v>313</v>
      </c>
      <c r="E2976" s="164" t="s">
        <v>3699</v>
      </c>
      <c r="F2976" s="165">
        <v>3381.07</v>
      </c>
    </row>
    <row r="2977" spans="1:6" x14ac:dyDescent="0.2">
      <c r="A2977" s="166" t="s">
        <v>3724</v>
      </c>
      <c r="B2977" s="167" t="s">
        <v>2345</v>
      </c>
      <c r="C2977" s="167">
        <v>14121103</v>
      </c>
      <c r="D2977" s="167" t="s">
        <v>312</v>
      </c>
      <c r="E2977" s="167" t="s">
        <v>3699</v>
      </c>
      <c r="F2977" s="168">
        <v>3381.07</v>
      </c>
    </row>
    <row r="2978" spans="1:6" x14ac:dyDescent="0.2">
      <c r="A2978" s="163" t="s">
        <v>3724</v>
      </c>
      <c r="B2978" s="164" t="s">
        <v>2345</v>
      </c>
      <c r="C2978" s="164">
        <v>14121015</v>
      </c>
      <c r="D2978" s="164" t="s">
        <v>311</v>
      </c>
      <c r="E2978" s="164" t="s">
        <v>3699</v>
      </c>
      <c r="F2978" s="165">
        <v>3381.07</v>
      </c>
    </row>
    <row r="2979" spans="1:6" x14ac:dyDescent="0.2">
      <c r="A2979" s="166" t="s">
        <v>3724</v>
      </c>
      <c r="B2979" s="167" t="s">
        <v>2345</v>
      </c>
      <c r="C2979" s="167">
        <v>14121013</v>
      </c>
      <c r="D2979" s="167" t="s">
        <v>310</v>
      </c>
      <c r="E2979" s="167" t="s">
        <v>3699</v>
      </c>
      <c r="F2979" s="168">
        <v>3381.07</v>
      </c>
    </row>
    <row r="2980" spans="1:6" x14ac:dyDescent="0.2">
      <c r="A2980" s="163" t="s">
        <v>3724</v>
      </c>
      <c r="B2980" s="164" t="s">
        <v>2345</v>
      </c>
      <c r="C2980" s="164">
        <v>14120925</v>
      </c>
      <c r="D2980" s="164" t="s">
        <v>309</v>
      </c>
      <c r="E2980" s="164" t="s">
        <v>3699</v>
      </c>
      <c r="F2980" s="165">
        <v>3381.07</v>
      </c>
    </row>
    <row r="2981" spans="1:6" x14ac:dyDescent="0.2">
      <c r="A2981" s="166" t="s">
        <v>3724</v>
      </c>
      <c r="B2981" s="167" t="s">
        <v>2345</v>
      </c>
      <c r="C2981" s="167">
        <v>14120885</v>
      </c>
      <c r="D2981" s="167" t="s">
        <v>307</v>
      </c>
      <c r="E2981" s="167" t="s">
        <v>3699</v>
      </c>
      <c r="F2981" s="168">
        <v>3381.07</v>
      </c>
    </row>
    <row r="2982" spans="1:6" x14ac:dyDescent="0.2">
      <c r="A2982" s="163" t="s">
        <v>3724</v>
      </c>
      <c r="B2982" s="164" t="s">
        <v>2345</v>
      </c>
      <c r="C2982" s="164">
        <v>14120850</v>
      </c>
      <c r="D2982" s="164" t="s">
        <v>306</v>
      </c>
      <c r="E2982" s="164" t="s">
        <v>3699</v>
      </c>
      <c r="F2982" s="165">
        <v>3381.07</v>
      </c>
    </row>
    <row r="2983" spans="1:6" x14ac:dyDescent="0.2">
      <c r="A2983" s="166" t="s">
        <v>3724</v>
      </c>
      <c r="B2983" s="167" t="s">
        <v>2345</v>
      </c>
      <c r="C2983" s="167">
        <v>14120848</v>
      </c>
      <c r="D2983" s="167" t="s">
        <v>305</v>
      </c>
      <c r="E2983" s="167" t="s">
        <v>3699</v>
      </c>
      <c r="F2983" s="168">
        <v>4482.38</v>
      </c>
    </row>
    <row r="2984" spans="1:6" x14ac:dyDescent="0.2">
      <c r="A2984" s="163" t="s">
        <v>3724</v>
      </c>
      <c r="B2984" s="164" t="s">
        <v>2345</v>
      </c>
      <c r="C2984" s="164">
        <v>14120807</v>
      </c>
      <c r="D2984" s="164" t="s">
        <v>304</v>
      </c>
      <c r="E2984" s="164" t="s">
        <v>3699</v>
      </c>
      <c r="F2984" s="165">
        <v>3381.07</v>
      </c>
    </row>
    <row r="2985" spans="1:6" x14ac:dyDescent="0.2">
      <c r="A2985" s="166" t="s">
        <v>3724</v>
      </c>
      <c r="B2985" s="167" t="s">
        <v>2345</v>
      </c>
      <c r="C2985" s="167">
        <v>14120806</v>
      </c>
      <c r="D2985" s="167" t="s">
        <v>303</v>
      </c>
      <c r="E2985" s="167" t="s">
        <v>3699</v>
      </c>
      <c r="F2985" s="168">
        <v>3381.07</v>
      </c>
    </row>
    <row r="2986" spans="1:6" x14ac:dyDescent="0.2">
      <c r="A2986" s="163" t="s">
        <v>3724</v>
      </c>
      <c r="B2986" s="164" t="s">
        <v>2345</v>
      </c>
      <c r="C2986" s="164">
        <v>14120789</v>
      </c>
      <c r="D2986" s="164" t="s">
        <v>302</v>
      </c>
      <c r="E2986" s="164" t="s">
        <v>3699</v>
      </c>
      <c r="F2986" s="165">
        <v>3504.41</v>
      </c>
    </row>
    <row r="2987" spans="1:6" x14ac:dyDescent="0.2">
      <c r="A2987" s="166" t="s">
        <v>3724</v>
      </c>
      <c r="B2987" s="167" t="s">
        <v>2345</v>
      </c>
      <c r="C2987" s="167">
        <v>14120788</v>
      </c>
      <c r="D2987" s="167" t="s">
        <v>301</v>
      </c>
      <c r="E2987" s="167" t="s">
        <v>3699</v>
      </c>
      <c r="F2987" s="168">
        <v>3504.41</v>
      </c>
    </row>
    <row r="2988" spans="1:6" x14ac:dyDescent="0.2">
      <c r="A2988" s="163" t="s">
        <v>3724</v>
      </c>
      <c r="B2988" s="164" t="s">
        <v>2345</v>
      </c>
      <c r="C2988" s="164">
        <v>14120778</v>
      </c>
      <c r="D2988" s="164" t="s">
        <v>300</v>
      </c>
      <c r="E2988" s="164" t="s">
        <v>3699</v>
      </c>
      <c r="F2988" s="165">
        <v>4482.38</v>
      </c>
    </row>
    <row r="2989" spans="1:6" x14ac:dyDescent="0.2">
      <c r="A2989" s="166" t="s">
        <v>3724</v>
      </c>
      <c r="B2989" s="167" t="s">
        <v>2345</v>
      </c>
      <c r="C2989" s="167">
        <v>14120715</v>
      </c>
      <c r="D2989" s="167" t="s">
        <v>298</v>
      </c>
      <c r="E2989" s="167" t="s">
        <v>3699</v>
      </c>
      <c r="F2989" s="168">
        <v>3381.07</v>
      </c>
    </row>
    <row r="2990" spans="1:6" x14ac:dyDescent="0.2">
      <c r="A2990" s="163" t="s">
        <v>3724</v>
      </c>
      <c r="B2990" s="164" t="s">
        <v>2345</v>
      </c>
      <c r="C2990" s="164">
        <v>14120668</v>
      </c>
      <c r="D2990" s="164" t="s">
        <v>297</v>
      </c>
      <c r="E2990" s="164" t="s">
        <v>3699</v>
      </c>
      <c r="F2990" s="165">
        <v>3504.41</v>
      </c>
    </row>
    <row r="2991" spans="1:6" x14ac:dyDescent="0.2">
      <c r="A2991" s="166" t="s">
        <v>3724</v>
      </c>
      <c r="B2991" s="167" t="s">
        <v>2345</v>
      </c>
      <c r="C2991" s="167">
        <v>14120655</v>
      </c>
      <c r="D2991" s="167" t="s">
        <v>296</v>
      </c>
      <c r="E2991" s="167" t="s">
        <v>3699</v>
      </c>
      <c r="F2991" s="168">
        <v>3504.41</v>
      </c>
    </row>
    <row r="2992" spans="1:6" x14ac:dyDescent="0.2">
      <c r="A2992" s="163" t="s">
        <v>3724</v>
      </c>
      <c r="B2992" s="164" t="s">
        <v>2345</v>
      </c>
      <c r="C2992" s="164">
        <v>14120613</v>
      </c>
      <c r="D2992" s="164" t="s">
        <v>293</v>
      </c>
      <c r="E2992" s="164" t="s">
        <v>3699</v>
      </c>
      <c r="F2992" s="165">
        <v>3504.41</v>
      </c>
    </row>
    <row r="2993" spans="1:6" x14ac:dyDescent="0.2">
      <c r="A2993" s="166" t="s">
        <v>3724</v>
      </c>
      <c r="B2993" s="167" t="s">
        <v>2345</v>
      </c>
      <c r="C2993" s="167">
        <v>14120611</v>
      </c>
      <c r="D2993" s="167" t="s">
        <v>292</v>
      </c>
      <c r="E2993" s="167" t="s">
        <v>3699</v>
      </c>
      <c r="F2993" s="168">
        <v>3504.41</v>
      </c>
    </row>
    <row r="2994" spans="1:6" x14ac:dyDescent="0.2">
      <c r="A2994" s="163" t="s">
        <v>3724</v>
      </c>
      <c r="B2994" s="164" t="s">
        <v>2345</v>
      </c>
      <c r="C2994" s="164">
        <v>14120489</v>
      </c>
      <c r="D2994" s="164" t="s">
        <v>291</v>
      </c>
      <c r="E2994" s="164" t="s">
        <v>3699</v>
      </c>
      <c r="F2994" s="165">
        <v>1501.89</v>
      </c>
    </row>
    <row r="2995" spans="1:6" x14ac:dyDescent="0.2">
      <c r="A2995" s="166" t="s">
        <v>3724</v>
      </c>
      <c r="B2995" s="167" t="s">
        <v>2345</v>
      </c>
      <c r="C2995" s="167">
        <v>14120455</v>
      </c>
      <c r="D2995" s="167" t="s">
        <v>290</v>
      </c>
      <c r="E2995" s="167" t="s">
        <v>3699</v>
      </c>
      <c r="F2995" s="168">
        <v>3381.07</v>
      </c>
    </row>
    <row r="2996" spans="1:6" x14ac:dyDescent="0.2">
      <c r="A2996" s="163" t="s">
        <v>3724</v>
      </c>
      <c r="B2996" s="164" t="s">
        <v>2345</v>
      </c>
      <c r="C2996" s="164">
        <v>14120415</v>
      </c>
      <c r="D2996" s="164" t="s">
        <v>287</v>
      </c>
      <c r="E2996" s="164" t="s">
        <v>3699</v>
      </c>
      <c r="F2996" s="165">
        <v>3504.41</v>
      </c>
    </row>
    <row r="2997" spans="1:6" x14ac:dyDescent="0.2">
      <c r="A2997" s="166" t="s">
        <v>3724</v>
      </c>
      <c r="B2997" s="167" t="s">
        <v>2345</v>
      </c>
      <c r="C2997" s="167">
        <v>14120351</v>
      </c>
      <c r="D2997" s="167" t="s">
        <v>286</v>
      </c>
      <c r="E2997" s="167" t="s">
        <v>3699</v>
      </c>
      <c r="F2997" s="168">
        <v>3504.41</v>
      </c>
    </row>
    <row r="2998" spans="1:6" x14ac:dyDescent="0.2">
      <c r="A2998" s="163" t="s">
        <v>3724</v>
      </c>
      <c r="B2998" s="164" t="s">
        <v>2345</v>
      </c>
      <c r="C2998" s="164">
        <v>14120349</v>
      </c>
      <c r="D2998" s="164" t="s">
        <v>285</v>
      </c>
      <c r="E2998" s="164" t="s">
        <v>3699</v>
      </c>
      <c r="F2998" s="165">
        <v>3504.41</v>
      </c>
    </row>
    <row r="2999" spans="1:6" x14ac:dyDescent="0.2">
      <c r="A2999" s="166" t="s">
        <v>3724</v>
      </c>
      <c r="B2999" s="167" t="s">
        <v>2345</v>
      </c>
      <c r="C2999" s="167">
        <v>14120276</v>
      </c>
      <c r="D2999" s="167" t="s">
        <v>283</v>
      </c>
      <c r="E2999" s="167" t="s">
        <v>3699</v>
      </c>
      <c r="F2999" s="168">
        <v>3504.41</v>
      </c>
    </row>
    <row r="3000" spans="1:6" x14ac:dyDescent="0.2">
      <c r="A3000" s="163" t="s">
        <v>3724</v>
      </c>
      <c r="B3000" s="164" t="s">
        <v>2345</v>
      </c>
      <c r="C3000" s="164">
        <v>14120270</v>
      </c>
      <c r="D3000" s="164" t="s">
        <v>282</v>
      </c>
      <c r="E3000" s="164" t="s">
        <v>3699</v>
      </c>
      <c r="F3000" s="165">
        <v>3504.41</v>
      </c>
    </row>
    <row r="3001" spans="1:6" x14ac:dyDescent="0.2">
      <c r="A3001" s="166" t="s">
        <v>3724</v>
      </c>
      <c r="B3001" s="167" t="s">
        <v>2345</v>
      </c>
      <c r="C3001" s="167">
        <v>14120199</v>
      </c>
      <c r="D3001" s="167" t="s">
        <v>406</v>
      </c>
      <c r="E3001" s="167" t="s">
        <v>3699</v>
      </c>
      <c r="F3001" s="168">
        <v>3381.07</v>
      </c>
    </row>
    <row r="3002" spans="1:6" x14ac:dyDescent="0.2">
      <c r="A3002" s="163" t="s">
        <v>3724</v>
      </c>
      <c r="B3002" s="164" t="s">
        <v>2345</v>
      </c>
      <c r="C3002" s="164">
        <v>14120196</v>
      </c>
      <c r="D3002" s="164" t="s">
        <v>280</v>
      </c>
      <c r="E3002" s="164" t="s">
        <v>3699</v>
      </c>
      <c r="F3002" s="165">
        <v>3504.41</v>
      </c>
    </row>
    <row r="3003" spans="1:6" x14ac:dyDescent="0.2">
      <c r="A3003" s="166" t="s">
        <v>3724</v>
      </c>
      <c r="B3003" s="167" t="s">
        <v>2345</v>
      </c>
      <c r="C3003" s="167">
        <v>14120121</v>
      </c>
      <c r="D3003" s="167" t="s">
        <v>279</v>
      </c>
      <c r="E3003" s="167" t="s">
        <v>3699</v>
      </c>
      <c r="F3003" s="168">
        <v>3504.41</v>
      </c>
    </row>
    <row r="3004" spans="1:6" x14ac:dyDescent="0.2">
      <c r="A3004" s="163" t="s">
        <v>3724</v>
      </c>
      <c r="B3004" s="164" t="s">
        <v>2345</v>
      </c>
      <c r="C3004" s="164">
        <v>14120106</v>
      </c>
      <c r="D3004" s="164" t="s">
        <v>278</v>
      </c>
      <c r="E3004" s="164" t="s">
        <v>3699</v>
      </c>
      <c r="F3004" s="165">
        <v>1001.26</v>
      </c>
    </row>
    <row r="3005" spans="1:6" x14ac:dyDescent="0.2">
      <c r="A3005" s="166" t="s">
        <v>3724</v>
      </c>
      <c r="B3005" s="167" t="s">
        <v>2345</v>
      </c>
      <c r="C3005" s="167">
        <v>14120104</v>
      </c>
      <c r="D3005" s="167" t="s">
        <v>277</v>
      </c>
      <c r="E3005" s="167" t="s">
        <v>3699</v>
      </c>
      <c r="F3005" s="168">
        <v>3381.07</v>
      </c>
    </row>
    <row r="3006" spans="1:6" x14ac:dyDescent="0.2">
      <c r="A3006" s="163" t="s">
        <v>3724</v>
      </c>
      <c r="B3006" s="164" t="s">
        <v>2345</v>
      </c>
      <c r="C3006" s="164">
        <v>14120091</v>
      </c>
      <c r="D3006" s="164" t="s">
        <v>276</v>
      </c>
      <c r="E3006" s="164" t="s">
        <v>3699</v>
      </c>
      <c r="F3006" s="165">
        <v>3504.41</v>
      </c>
    </row>
    <row r="3007" spans="1:6" x14ac:dyDescent="0.2">
      <c r="A3007" s="166" t="s">
        <v>3724</v>
      </c>
      <c r="B3007" s="167" t="s">
        <v>2345</v>
      </c>
      <c r="C3007" s="167">
        <v>14120041</v>
      </c>
      <c r="D3007" s="167" t="s">
        <v>273</v>
      </c>
      <c r="E3007" s="167" t="s">
        <v>3699</v>
      </c>
      <c r="F3007" s="168">
        <v>3504.41</v>
      </c>
    </row>
    <row r="3008" spans="1:6" x14ac:dyDescent="0.2">
      <c r="A3008" s="163" t="s">
        <v>3724</v>
      </c>
      <c r="B3008" s="164" t="s">
        <v>2345</v>
      </c>
      <c r="C3008" s="164">
        <v>14120016</v>
      </c>
      <c r="D3008" s="164" t="s">
        <v>531</v>
      </c>
      <c r="E3008" s="164" t="s">
        <v>3699</v>
      </c>
      <c r="F3008" s="165">
        <v>5220.88</v>
      </c>
    </row>
    <row r="3009" spans="1:6" x14ac:dyDescent="0.2">
      <c r="A3009" s="166" t="s">
        <v>3724</v>
      </c>
      <c r="B3009" s="167" t="s">
        <v>2345</v>
      </c>
      <c r="C3009" s="167">
        <v>14119958</v>
      </c>
      <c r="D3009" s="167" t="s">
        <v>271</v>
      </c>
      <c r="E3009" s="167" t="s">
        <v>3699</v>
      </c>
      <c r="F3009" s="168">
        <v>3381.07</v>
      </c>
    </row>
    <row r="3010" spans="1:6" x14ac:dyDescent="0.2">
      <c r="A3010" s="163" t="s">
        <v>3724</v>
      </c>
      <c r="B3010" s="164" t="s">
        <v>2345</v>
      </c>
      <c r="C3010" s="164">
        <v>14119956</v>
      </c>
      <c r="D3010" s="164" t="s">
        <v>270</v>
      </c>
      <c r="E3010" s="164" t="s">
        <v>3699</v>
      </c>
      <c r="F3010" s="165">
        <v>3504.41</v>
      </c>
    </row>
    <row r="3011" spans="1:6" x14ac:dyDescent="0.2">
      <c r="A3011" s="166" t="s">
        <v>3724</v>
      </c>
      <c r="B3011" s="167" t="s">
        <v>2345</v>
      </c>
      <c r="C3011" s="167">
        <v>14119890</v>
      </c>
      <c r="D3011" s="167" t="s">
        <v>267</v>
      </c>
      <c r="E3011" s="167" t="s">
        <v>3699</v>
      </c>
      <c r="F3011" s="168">
        <v>3504.41</v>
      </c>
    </row>
    <row r="3012" spans="1:6" x14ac:dyDescent="0.2">
      <c r="A3012" s="163" t="s">
        <v>3724</v>
      </c>
      <c r="B3012" s="164" t="s">
        <v>2345</v>
      </c>
      <c r="C3012" s="164">
        <v>14119839</v>
      </c>
      <c r="D3012" s="164" t="s">
        <v>266</v>
      </c>
      <c r="E3012" s="164" t="s">
        <v>3699</v>
      </c>
      <c r="F3012" s="165">
        <v>3504.41</v>
      </c>
    </row>
    <row r="3013" spans="1:6" x14ac:dyDescent="0.2">
      <c r="A3013" s="166" t="s">
        <v>3724</v>
      </c>
      <c r="B3013" s="167" t="s">
        <v>2345</v>
      </c>
      <c r="C3013" s="167">
        <v>14119838</v>
      </c>
      <c r="D3013" s="167" t="s">
        <v>509</v>
      </c>
      <c r="E3013" s="167" t="s">
        <v>3699</v>
      </c>
      <c r="F3013" s="168">
        <v>3288.46</v>
      </c>
    </row>
    <row r="3014" spans="1:6" x14ac:dyDescent="0.2">
      <c r="A3014" s="163" t="s">
        <v>3724</v>
      </c>
      <c r="B3014" s="164" t="s">
        <v>2345</v>
      </c>
      <c r="C3014" s="164">
        <v>14119837</v>
      </c>
      <c r="D3014" s="164" t="s">
        <v>265</v>
      </c>
      <c r="E3014" s="164" t="s">
        <v>3699</v>
      </c>
      <c r="F3014" s="165">
        <v>3504.41</v>
      </c>
    </row>
    <row r="3015" spans="1:6" x14ac:dyDescent="0.2">
      <c r="A3015" s="166" t="s">
        <v>3724</v>
      </c>
      <c r="B3015" s="167" t="s">
        <v>2345</v>
      </c>
      <c r="C3015" s="167">
        <v>14119787</v>
      </c>
      <c r="D3015" s="167" t="s">
        <v>261</v>
      </c>
      <c r="E3015" s="167" t="s">
        <v>3699</v>
      </c>
      <c r="F3015" s="168">
        <v>3504.41</v>
      </c>
    </row>
    <row r="3016" spans="1:6" x14ac:dyDescent="0.2">
      <c r="A3016" s="163" t="s">
        <v>3724</v>
      </c>
      <c r="B3016" s="164" t="s">
        <v>2345</v>
      </c>
      <c r="C3016" s="164">
        <v>14119785</v>
      </c>
      <c r="D3016" s="164" t="s">
        <v>259</v>
      </c>
      <c r="E3016" s="164" t="s">
        <v>3699</v>
      </c>
      <c r="F3016" s="165">
        <v>3504.41</v>
      </c>
    </row>
    <row r="3017" spans="1:6" x14ac:dyDescent="0.2">
      <c r="A3017" s="166" t="s">
        <v>3724</v>
      </c>
      <c r="B3017" s="167" t="s">
        <v>2345</v>
      </c>
      <c r="C3017" s="167">
        <v>14119751</v>
      </c>
      <c r="D3017" s="167" t="s">
        <v>258</v>
      </c>
      <c r="E3017" s="167" t="s">
        <v>3699</v>
      </c>
      <c r="F3017" s="168">
        <v>3504.41</v>
      </c>
    </row>
    <row r="3018" spans="1:6" x14ac:dyDescent="0.2">
      <c r="A3018" s="163" t="s">
        <v>3724</v>
      </c>
      <c r="B3018" s="164" t="s">
        <v>2345</v>
      </c>
      <c r="C3018" s="164">
        <v>14119701</v>
      </c>
      <c r="D3018" s="164" t="s">
        <v>257</v>
      </c>
      <c r="E3018" s="164" t="s">
        <v>3699</v>
      </c>
      <c r="F3018" s="165">
        <v>3504.41</v>
      </c>
    </row>
    <row r="3019" spans="1:6" x14ac:dyDescent="0.2">
      <c r="A3019" s="166" t="s">
        <v>3724</v>
      </c>
      <c r="B3019" s="167" t="s">
        <v>2345</v>
      </c>
      <c r="C3019" s="167">
        <v>14119598</v>
      </c>
      <c r="D3019" s="167" t="s">
        <v>255</v>
      </c>
      <c r="E3019" s="167" t="s">
        <v>3699</v>
      </c>
      <c r="F3019" s="168">
        <v>3504.41</v>
      </c>
    </row>
    <row r="3020" spans="1:6" x14ac:dyDescent="0.2">
      <c r="A3020" s="163" t="s">
        <v>3724</v>
      </c>
      <c r="B3020" s="164" t="s">
        <v>2345</v>
      </c>
      <c r="C3020" s="164">
        <v>14119540</v>
      </c>
      <c r="D3020" s="164" t="s">
        <v>254</v>
      </c>
      <c r="E3020" s="164" t="s">
        <v>3699</v>
      </c>
      <c r="F3020" s="165">
        <v>3504.41</v>
      </c>
    </row>
    <row r="3021" spans="1:6" x14ac:dyDescent="0.2">
      <c r="A3021" s="166" t="s">
        <v>3724</v>
      </c>
      <c r="B3021" s="167" t="s">
        <v>2345</v>
      </c>
      <c r="C3021" s="167">
        <v>14119539</v>
      </c>
      <c r="D3021" s="167" t="s">
        <v>253</v>
      </c>
      <c r="E3021" s="167" t="s">
        <v>3699</v>
      </c>
      <c r="F3021" s="168">
        <v>3504.41</v>
      </c>
    </row>
    <row r="3022" spans="1:6" x14ac:dyDescent="0.2">
      <c r="A3022" s="163" t="s">
        <v>3724</v>
      </c>
      <c r="B3022" s="164" t="s">
        <v>2345</v>
      </c>
      <c r="C3022" s="164">
        <v>14119517</v>
      </c>
      <c r="D3022" s="164" t="s">
        <v>252</v>
      </c>
      <c r="E3022" s="164" t="s">
        <v>3699</v>
      </c>
      <c r="F3022" s="165">
        <v>3504.41</v>
      </c>
    </row>
    <row r="3023" spans="1:6" x14ac:dyDescent="0.2">
      <c r="A3023" s="166" t="s">
        <v>3724</v>
      </c>
      <c r="B3023" s="167" t="s">
        <v>2345</v>
      </c>
      <c r="C3023" s="167">
        <v>14119481</v>
      </c>
      <c r="D3023" s="167" t="s">
        <v>248</v>
      </c>
      <c r="E3023" s="167" t="s">
        <v>3699</v>
      </c>
      <c r="F3023" s="168">
        <v>3504.41</v>
      </c>
    </row>
    <row r="3024" spans="1:6" x14ac:dyDescent="0.2">
      <c r="A3024" s="163" t="s">
        <v>3724</v>
      </c>
      <c r="B3024" s="164" t="s">
        <v>2345</v>
      </c>
      <c r="C3024" s="164">
        <v>14119437</v>
      </c>
      <c r="D3024" s="164" t="s">
        <v>247</v>
      </c>
      <c r="E3024" s="164" t="s">
        <v>3699</v>
      </c>
      <c r="F3024" s="165">
        <v>3504.41</v>
      </c>
    </row>
    <row r="3025" spans="1:6" x14ac:dyDescent="0.2">
      <c r="A3025" s="166" t="s">
        <v>3724</v>
      </c>
      <c r="B3025" s="167" t="s">
        <v>2345</v>
      </c>
      <c r="C3025" s="167">
        <v>14119357</v>
      </c>
      <c r="D3025" s="167" t="s">
        <v>245</v>
      </c>
      <c r="E3025" s="167" t="s">
        <v>3699</v>
      </c>
      <c r="F3025" s="168">
        <v>3504.41</v>
      </c>
    </row>
    <row r="3026" spans="1:6" x14ac:dyDescent="0.2">
      <c r="A3026" s="163" t="s">
        <v>3724</v>
      </c>
      <c r="B3026" s="164" t="s">
        <v>2345</v>
      </c>
      <c r="C3026" s="164">
        <v>14119324</v>
      </c>
      <c r="D3026" s="164" t="s">
        <v>243</v>
      </c>
      <c r="E3026" s="164" t="s">
        <v>3699</v>
      </c>
      <c r="F3026" s="165">
        <v>3504.41</v>
      </c>
    </row>
    <row r="3027" spans="1:6" x14ac:dyDescent="0.2">
      <c r="A3027" s="166" t="s">
        <v>3724</v>
      </c>
      <c r="B3027" s="167" t="s">
        <v>2345</v>
      </c>
      <c r="C3027" s="167">
        <v>14119323</v>
      </c>
      <c r="D3027" s="167" t="s">
        <v>242</v>
      </c>
      <c r="E3027" s="167" t="s">
        <v>3699</v>
      </c>
      <c r="F3027" s="168">
        <v>3504.41</v>
      </c>
    </row>
    <row r="3028" spans="1:6" x14ac:dyDescent="0.2">
      <c r="A3028" s="163" t="s">
        <v>3724</v>
      </c>
      <c r="B3028" s="164" t="s">
        <v>2345</v>
      </c>
      <c r="C3028" s="164">
        <v>14119271</v>
      </c>
      <c r="D3028" s="164" t="s">
        <v>240</v>
      </c>
      <c r="E3028" s="164" t="s">
        <v>3699</v>
      </c>
      <c r="F3028" s="165">
        <v>3504.41</v>
      </c>
    </row>
    <row r="3029" spans="1:6" x14ac:dyDescent="0.2">
      <c r="A3029" s="166" t="s">
        <v>3724</v>
      </c>
      <c r="B3029" s="167" t="s">
        <v>2345</v>
      </c>
      <c r="C3029" s="167">
        <v>14119175</v>
      </c>
      <c r="D3029" s="167" t="s">
        <v>238</v>
      </c>
      <c r="E3029" s="167" t="s">
        <v>3699</v>
      </c>
      <c r="F3029" s="168">
        <v>3504.41</v>
      </c>
    </row>
    <row r="3030" spans="1:6" x14ac:dyDescent="0.2">
      <c r="A3030" s="163" t="s">
        <v>3724</v>
      </c>
      <c r="B3030" s="164" t="s">
        <v>2345</v>
      </c>
      <c r="C3030" s="164">
        <v>14119155</v>
      </c>
      <c r="D3030" s="164" t="s">
        <v>235</v>
      </c>
      <c r="E3030" s="164" t="s">
        <v>3699</v>
      </c>
      <c r="F3030" s="165">
        <v>3504.41</v>
      </c>
    </row>
    <row r="3031" spans="1:6" x14ac:dyDescent="0.2">
      <c r="A3031" s="166" t="s">
        <v>3724</v>
      </c>
      <c r="B3031" s="167" t="s">
        <v>2345</v>
      </c>
      <c r="C3031" s="167">
        <v>14119154</v>
      </c>
      <c r="D3031" s="167" t="s">
        <v>234</v>
      </c>
      <c r="E3031" s="167" t="s">
        <v>3699</v>
      </c>
      <c r="F3031" s="168">
        <v>3504.41</v>
      </c>
    </row>
    <row r="3032" spans="1:6" x14ac:dyDescent="0.2">
      <c r="A3032" s="163" t="s">
        <v>3724</v>
      </c>
      <c r="B3032" s="164" t="s">
        <v>2345</v>
      </c>
      <c r="C3032" s="164">
        <v>14119153</v>
      </c>
      <c r="D3032" s="164" t="s">
        <v>233</v>
      </c>
      <c r="E3032" s="164" t="s">
        <v>3699</v>
      </c>
      <c r="F3032" s="165">
        <v>3504.41</v>
      </c>
    </row>
    <row r="3033" spans="1:6" x14ac:dyDescent="0.2">
      <c r="A3033" s="166" t="s">
        <v>3724</v>
      </c>
      <c r="B3033" s="167" t="s">
        <v>2345</v>
      </c>
      <c r="C3033" s="167">
        <v>14119076</v>
      </c>
      <c r="D3033" s="167" t="s">
        <v>232</v>
      </c>
      <c r="E3033" s="167" t="s">
        <v>3699</v>
      </c>
      <c r="F3033" s="168">
        <v>3504.41</v>
      </c>
    </row>
    <row r="3034" spans="1:6" x14ac:dyDescent="0.2">
      <c r="A3034" s="163" t="s">
        <v>3724</v>
      </c>
      <c r="B3034" s="164" t="s">
        <v>2345</v>
      </c>
      <c r="C3034" s="164">
        <v>14119057</v>
      </c>
      <c r="D3034" s="164" t="s">
        <v>231</v>
      </c>
      <c r="E3034" s="164" t="s">
        <v>3699</v>
      </c>
      <c r="F3034" s="165">
        <v>3504.41</v>
      </c>
    </row>
    <row r="3035" spans="1:6" x14ac:dyDescent="0.2">
      <c r="A3035" s="166" t="s">
        <v>3724</v>
      </c>
      <c r="B3035" s="167" t="s">
        <v>2345</v>
      </c>
      <c r="C3035" s="167">
        <v>14119018</v>
      </c>
      <c r="D3035" s="167" t="s">
        <v>230</v>
      </c>
      <c r="E3035" s="167" t="s">
        <v>3699</v>
      </c>
      <c r="F3035" s="168">
        <v>3504.41</v>
      </c>
    </row>
    <row r="3036" spans="1:6" x14ac:dyDescent="0.2">
      <c r="A3036" s="163" t="s">
        <v>3724</v>
      </c>
      <c r="B3036" s="164" t="s">
        <v>2345</v>
      </c>
      <c r="C3036" s="164">
        <v>14119017</v>
      </c>
      <c r="D3036" s="164" t="s">
        <v>229</v>
      </c>
      <c r="E3036" s="164" t="s">
        <v>3699</v>
      </c>
      <c r="F3036" s="165">
        <v>1001.26</v>
      </c>
    </row>
    <row r="3037" spans="1:6" x14ac:dyDescent="0.2">
      <c r="A3037" s="166" t="s">
        <v>3724</v>
      </c>
      <c r="B3037" s="167" t="s">
        <v>2345</v>
      </c>
      <c r="C3037" s="167">
        <v>14118958</v>
      </c>
      <c r="D3037" s="167" t="s">
        <v>374</v>
      </c>
      <c r="E3037" s="167" t="s">
        <v>3699</v>
      </c>
      <c r="F3037" s="168">
        <v>2898.06</v>
      </c>
    </row>
    <row r="3038" spans="1:6" x14ac:dyDescent="0.2">
      <c r="A3038" s="163" t="s">
        <v>3724</v>
      </c>
      <c r="B3038" s="164" t="s">
        <v>2345</v>
      </c>
      <c r="C3038" s="164">
        <v>14118957</v>
      </c>
      <c r="D3038" s="164" t="s">
        <v>225</v>
      </c>
      <c r="E3038" s="164" t="s">
        <v>3699</v>
      </c>
      <c r="F3038" s="165">
        <v>3504.41</v>
      </c>
    </row>
    <row r="3039" spans="1:6" x14ac:dyDescent="0.2">
      <c r="A3039" s="166" t="s">
        <v>3724</v>
      </c>
      <c r="B3039" s="167" t="s">
        <v>2345</v>
      </c>
      <c r="C3039" s="167">
        <v>14118956</v>
      </c>
      <c r="D3039" s="167" t="s">
        <v>224</v>
      </c>
      <c r="E3039" s="167" t="s">
        <v>3699</v>
      </c>
      <c r="F3039" s="168">
        <v>3504.41</v>
      </c>
    </row>
    <row r="3040" spans="1:6" x14ac:dyDescent="0.2">
      <c r="A3040" s="163" t="s">
        <v>3724</v>
      </c>
      <c r="B3040" s="164" t="s">
        <v>2345</v>
      </c>
      <c r="C3040" s="164">
        <v>14118892</v>
      </c>
      <c r="D3040" s="164" t="s">
        <v>222</v>
      </c>
      <c r="E3040" s="164" t="s">
        <v>3699</v>
      </c>
      <c r="F3040" s="165">
        <v>3504.41</v>
      </c>
    </row>
    <row r="3041" spans="1:6" x14ac:dyDescent="0.2">
      <c r="A3041" s="166" t="s">
        <v>3724</v>
      </c>
      <c r="B3041" s="167" t="s">
        <v>2345</v>
      </c>
      <c r="C3041" s="167">
        <v>14118889</v>
      </c>
      <c r="D3041" s="167" t="s">
        <v>221</v>
      </c>
      <c r="E3041" s="167" t="s">
        <v>3699</v>
      </c>
      <c r="F3041" s="168">
        <v>3504.41</v>
      </c>
    </row>
    <row r="3042" spans="1:6" x14ac:dyDescent="0.2">
      <c r="A3042" s="163" t="s">
        <v>3724</v>
      </c>
      <c r="B3042" s="164" t="s">
        <v>2345</v>
      </c>
      <c r="C3042" s="164">
        <v>14118887</v>
      </c>
      <c r="D3042" s="164" t="s">
        <v>220</v>
      </c>
      <c r="E3042" s="164" t="s">
        <v>3699</v>
      </c>
      <c r="F3042" s="165">
        <v>3504.41</v>
      </c>
    </row>
    <row r="3043" spans="1:6" x14ac:dyDescent="0.2">
      <c r="A3043" s="166" t="s">
        <v>3724</v>
      </c>
      <c r="B3043" s="167" t="s">
        <v>2345</v>
      </c>
      <c r="C3043" s="167">
        <v>14118849</v>
      </c>
      <c r="D3043" s="167" t="s">
        <v>219</v>
      </c>
      <c r="E3043" s="167" t="s">
        <v>3699</v>
      </c>
      <c r="F3043" s="168">
        <v>3649.31</v>
      </c>
    </row>
    <row r="3044" spans="1:6" x14ac:dyDescent="0.2">
      <c r="A3044" s="163" t="s">
        <v>3724</v>
      </c>
      <c r="B3044" s="164" t="s">
        <v>2345</v>
      </c>
      <c r="C3044" s="164">
        <v>14118811</v>
      </c>
      <c r="D3044" s="164" t="s">
        <v>217</v>
      </c>
      <c r="E3044" s="164" t="s">
        <v>3699</v>
      </c>
      <c r="F3044" s="165">
        <v>3649.31</v>
      </c>
    </row>
    <row r="3045" spans="1:6" x14ac:dyDescent="0.2">
      <c r="A3045" s="166" t="s">
        <v>3724</v>
      </c>
      <c r="B3045" s="167" t="s">
        <v>2345</v>
      </c>
      <c r="C3045" s="167">
        <v>14118809</v>
      </c>
      <c r="D3045" s="167" t="s">
        <v>216</v>
      </c>
      <c r="E3045" s="167" t="s">
        <v>3699</v>
      </c>
      <c r="F3045" s="168">
        <v>3649.31</v>
      </c>
    </row>
    <row r="3046" spans="1:6" x14ac:dyDescent="0.2">
      <c r="A3046" s="163" t="s">
        <v>3724</v>
      </c>
      <c r="B3046" s="164" t="s">
        <v>2345</v>
      </c>
      <c r="C3046" s="164">
        <v>14118773</v>
      </c>
      <c r="D3046" s="164" t="s">
        <v>213</v>
      </c>
      <c r="E3046" s="164" t="s">
        <v>3699</v>
      </c>
      <c r="F3046" s="165">
        <v>3504.41</v>
      </c>
    </row>
    <row r="3047" spans="1:6" x14ac:dyDescent="0.2">
      <c r="A3047" s="166" t="s">
        <v>3724</v>
      </c>
      <c r="B3047" s="167" t="s">
        <v>2345</v>
      </c>
      <c r="C3047" s="167">
        <v>14118745</v>
      </c>
      <c r="D3047" s="167" t="s">
        <v>212</v>
      </c>
      <c r="E3047" s="167" t="s">
        <v>3699</v>
      </c>
      <c r="F3047" s="168">
        <v>3649.31</v>
      </c>
    </row>
    <row r="3048" spans="1:6" x14ac:dyDescent="0.2">
      <c r="A3048" s="163" t="s">
        <v>3724</v>
      </c>
      <c r="B3048" s="164" t="s">
        <v>2345</v>
      </c>
      <c r="C3048" s="164">
        <v>14118663</v>
      </c>
      <c r="D3048" s="164" t="s">
        <v>211</v>
      </c>
      <c r="E3048" s="164" t="s">
        <v>3699</v>
      </c>
      <c r="F3048" s="165">
        <v>3649.31</v>
      </c>
    </row>
    <row r="3049" spans="1:6" x14ac:dyDescent="0.2">
      <c r="A3049" s="166" t="s">
        <v>3724</v>
      </c>
      <c r="B3049" s="167" t="s">
        <v>2345</v>
      </c>
      <c r="C3049" s="167">
        <v>14118660</v>
      </c>
      <c r="D3049" s="167" t="s">
        <v>210</v>
      </c>
      <c r="E3049" s="167" t="s">
        <v>3699</v>
      </c>
      <c r="F3049" s="168">
        <v>3649.31</v>
      </c>
    </row>
    <row r="3050" spans="1:6" x14ac:dyDescent="0.2">
      <c r="A3050" s="163" t="s">
        <v>3724</v>
      </c>
      <c r="B3050" s="164" t="s">
        <v>2345</v>
      </c>
      <c r="C3050" s="164">
        <v>14118640</v>
      </c>
      <c r="D3050" s="164" t="s">
        <v>209</v>
      </c>
      <c r="E3050" s="164" t="s">
        <v>3699</v>
      </c>
      <c r="F3050" s="165">
        <v>3649.31</v>
      </c>
    </row>
    <row r="3051" spans="1:6" x14ac:dyDescent="0.2">
      <c r="A3051" s="166" t="s">
        <v>3724</v>
      </c>
      <c r="B3051" s="167" t="s">
        <v>2345</v>
      </c>
      <c r="C3051" s="167">
        <v>14118625</v>
      </c>
      <c r="D3051" s="167" t="s">
        <v>428</v>
      </c>
      <c r="E3051" s="167" t="s">
        <v>3699</v>
      </c>
      <c r="F3051" s="168">
        <v>3103.52</v>
      </c>
    </row>
    <row r="3052" spans="1:6" x14ac:dyDescent="0.2">
      <c r="A3052" s="163" t="s">
        <v>3724</v>
      </c>
      <c r="B3052" s="164" t="s">
        <v>2345</v>
      </c>
      <c r="C3052" s="164">
        <v>14118622</v>
      </c>
      <c r="D3052" s="164" t="s">
        <v>207</v>
      </c>
      <c r="E3052" s="164" t="s">
        <v>3699</v>
      </c>
      <c r="F3052" s="165">
        <v>3649.31</v>
      </c>
    </row>
    <row r="3053" spans="1:6" x14ac:dyDescent="0.2">
      <c r="A3053" s="166" t="s">
        <v>3724</v>
      </c>
      <c r="B3053" s="167" t="s">
        <v>2345</v>
      </c>
      <c r="C3053" s="167">
        <v>14118621</v>
      </c>
      <c r="D3053" s="167" t="s">
        <v>206</v>
      </c>
      <c r="E3053" s="167" t="s">
        <v>3699</v>
      </c>
      <c r="F3053" s="168">
        <v>3649.31</v>
      </c>
    </row>
    <row r="3054" spans="1:6" x14ac:dyDescent="0.2">
      <c r="A3054" s="163" t="s">
        <v>3724</v>
      </c>
      <c r="B3054" s="164" t="s">
        <v>2345</v>
      </c>
      <c r="C3054" s="164">
        <v>14118620</v>
      </c>
      <c r="D3054" s="164" t="s">
        <v>205</v>
      </c>
      <c r="E3054" s="164" t="s">
        <v>3699</v>
      </c>
      <c r="F3054" s="165">
        <v>3649.31</v>
      </c>
    </row>
    <row r="3055" spans="1:6" x14ac:dyDescent="0.2">
      <c r="A3055" s="166" t="s">
        <v>3724</v>
      </c>
      <c r="B3055" s="167" t="s">
        <v>2345</v>
      </c>
      <c r="C3055" s="167">
        <v>14118579</v>
      </c>
      <c r="D3055" s="167" t="s">
        <v>471</v>
      </c>
      <c r="E3055" s="167" t="s">
        <v>3699</v>
      </c>
      <c r="F3055" s="168">
        <v>3288.46</v>
      </c>
    </row>
    <row r="3056" spans="1:6" x14ac:dyDescent="0.2">
      <c r="A3056" s="163" t="s">
        <v>3724</v>
      </c>
      <c r="B3056" s="164" t="s">
        <v>2345</v>
      </c>
      <c r="C3056" s="164">
        <v>14118505</v>
      </c>
      <c r="D3056" s="164" t="s">
        <v>356</v>
      </c>
      <c r="E3056" s="164" t="s">
        <v>3699</v>
      </c>
      <c r="F3056" s="165">
        <v>3381.07</v>
      </c>
    </row>
    <row r="3057" spans="1:6" x14ac:dyDescent="0.2">
      <c r="A3057" s="166" t="s">
        <v>3724</v>
      </c>
      <c r="B3057" s="167" t="s">
        <v>2345</v>
      </c>
      <c r="C3057" s="167">
        <v>14118501</v>
      </c>
      <c r="D3057" s="167" t="s">
        <v>203</v>
      </c>
      <c r="E3057" s="167" t="s">
        <v>3699</v>
      </c>
      <c r="F3057" s="168">
        <v>3381.07</v>
      </c>
    </row>
    <row r="3058" spans="1:6" x14ac:dyDescent="0.2">
      <c r="A3058" s="163" t="s">
        <v>3724</v>
      </c>
      <c r="B3058" s="164" t="s">
        <v>2345</v>
      </c>
      <c r="C3058" s="164">
        <v>14118499</v>
      </c>
      <c r="D3058" s="164" t="s">
        <v>202</v>
      </c>
      <c r="E3058" s="164" t="s">
        <v>3699</v>
      </c>
      <c r="F3058" s="165">
        <v>3649.31</v>
      </c>
    </row>
    <row r="3059" spans="1:6" x14ac:dyDescent="0.2">
      <c r="A3059" s="166" t="s">
        <v>3724</v>
      </c>
      <c r="B3059" s="167" t="s">
        <v>2345</v>
      </c>
      <c r="C3059" s="167">
        <v>14118440</v>
      </c>
      <c r="D3059" s="167" t="s">
        <v>201</v>
      </c>
      <c r="E3059" s="167" t="s">
        <v>3699</v>
      </c>
      <c r="F3059" s="168">
        <v>3649.31</v>
      </c>
    </row>
    <row r="3060" spans="1:6" x14ac:dyDescent="0.2">
      <c r="A3060" s="163" t="s">
        <v>3724</v>
      </c>
      <c r="B3060" s="164" t="s">
        <v>2345</v>
      </c>
      <c r="C3060" s="164">
        <v>14118397</v>
      </c>
      <c r="D3060" s="164" t="s">
        <v>200</v>
      </c>
      <c r="E3060" s="164" t="s">
        <v>3699</v>
      </c>
      <c r="F3060" s="165">
        <v>3649.31</v>
      </c>
    </row>
    <row r="3061" spans="1:6" x14ac:dyDescent="0.2">
      <c r="A3061" s="166" t="s">
        <v>3724</v>
      </c>
      <c r="B3061" s="167" t="s">
        <v>2345</v>
      </c>
      <c r="C3061" s="167">
        <v>14118341</v>
      </c>
      <c r="D3061" s="167" t="s">
        <v>199</v>
      </c>
      <c r="E3061" s="167" t="s">
        <v>3699</v>
      </c>
      <c r="F3061" s="168">
        <v>3381.07</v>
      </c>
    </row>
    <row r="3062" spans="1:6" x14ac:dyDescent="0.2">
      <c r="A3062" s="163" t="s">
        <v>3724</v>
      </c>
      <c r="B3062" s="164" t="s">
        <v>2345</v>
      </c>
      <c r="C3062" s="164">
        <v>14118225</v>
      </c>
      <c r="D3062" s="164" t="s">
        <v>272</v>
      </c>
      <c r="E3062" s="164" t="s">
        <v>3699</v>
      </c>
      <c r="F3062" s="165">
        <v>3504.41</v>
      </c>
    </row>
    <row r="3063" spans="1:6" x14ac:dyDescent="0.2">
      <c r="A3063" s="166" t="s">
        <v>3724</v>
      </c>
      <c r="B3063" s="167" t="s">
        <v>2345</v>
      </c>
      <c r="C3063" s="167">
        <v>14118210</v>
      </c>
      <c r="D3063" s="167" t="s">
        <v>194</v>
      </c>
      <c r="E3063" s="167" t="s">
        <v>3699</v>
      </c>
      <c r="F3063" s="168">
        <v>3649.31</v>
      </c>
    </row>
    <row r="3064" spans="1:6" x14ac:dyDescent="0.2">
      <c r="A3064" s="163" t="s">
        <v>3724</v>
      </c>
      <c r="B3064" s="164" t="s">
        <v>2345</v>
      </c>
      <c r="C3064" s="164">
        <v>14118196</v>
      </c>
      <c r="D3064" s="164" t="s">
        <v>193</v>
      </c>
      <c r="E3064" s="164" t="s">
        <v>3699</v>
      </c>
      <c r="F3064" s="165">
        <v>3649.31</v>
      </c>
    </row>
    <row r="3065" spans="1:6" x14ac:dyDescent="0.2">
      <c r="A3065" s="166" t="s">
        <v>3724</v>
      </c>
      <c r="B3065" s="167" t="s">
        <v>2345</v>
      </c>
      <c r="C3065" s="167">
        <v>14118186</v>
      </c>
      <c r="D3065" s="167" t="s">
        <v>192</v>
      </c>
      <c r="E3065" s="167" t="s">
        <v>3699</v>
      </c>
      <c r="F3065" s="168">
        <v>3649.31</v>
      </c>
    </row>
    <row r="3066" spans="1:6" x14ac:dyDescent="0.2">
      <c r="A3066" s="163" t="s">
        <v>3724</v>
      </c>
      <c r="B3066" s="164" t="s">
        <v>2345</v>
      </c>
      <c r="C3066" s="164">
        <v>14118184</v>
      </c>
      <c r="D3066" s="164" t="s">
        <v>239</v>
      </c>
      <c r="E3066" s="164" t="s">
        <v>3699</v>
      </c>
      <c r="F3066" s="165">
        <v>3504.41</v>
      </c>
    </row>
    <row r="3067" spans="1:6" x14ac:dyDescent="0.2">
      <c r="A3067" s="166" t="s">
        <v>3724</v>
      </c>
      <c r="B3067" s="167" t="s">
        <v>2345</v>
      </c>
      <c r="C3067" s="167">
        <v>14118065</v>
      </c>
      <c r="D3067" s="167" t="s">
        <v>191</v>
      </c>
      <c r="E3067" s="167" t="s">
        <v>3699</v>
      </c>
      <c r="F3067" s="168">
        <v>3504.41</v>
      </c>
    </row>
    <row r="3068" spans="1:6" x14ac:dyDescent="0.2">
      <c r="A3068" s="163" t="s">
        <v>3724</v>
      </c>
      <c r="B3068" s="164" t="s">
        <v>2345</v>
      </c>
      <c r="C3068" s="164">
        <v>14118028</v>
      </c>
      <c r="D3068" s="164" t="s">
        <v>189</v>
      </c>
      <c r="E3068" s="164" t="s">
        <v>3699</v>
      </c>
      <c r="F3068" s="165">
        <v>3504.41</v>
      </c>
    </row>
    <row r="3069" spans="1:6" x14ac:dyDescent="0.2">
      <c r="A3069" s="166" t="s">
        <v>3724</v>
      </c>
      <c r="B3069" s="167" t="s">
        <v>2345</v>
      </c>
      <c r="C3069" s="167">
        <v>14117986</v>
      </c>
      <c r="D3069" s="167" t="s">
        <v>188</v>
      </c>
      <c r="E3069" s="167" t="s">
        <v>3699</v>
      </c>
      <c r="F3069" s="168">
        <v>3649.31</v>
      </c>
    </row>
    <row r="3070" spans="1:6" x14ac:dyDescent="0.2">
      <c r="A3070" s="163" t="s">
        <v>3724</v>
      </c>
      <c r="B3070" s="164" t="s">
        <v>2345</v>
      </c>
      <c r="C3070" s="164">
        <v>14117970</v>
      </c>
      <c r="D3070" s="164" t="s">
        <v>190</v>
      </c>
      <c r="E3070" s="164" t="s">
        <v>3699</v>
      </c>
      <c r="F3070" s="165">
        <v>4265.03</v>
      </c>
    </row>
    <row r="3071" spans="1:6" x14ac:dyDescent="0.2">
      <c r="A3071" s="166" t="s">
        <v>3724</v>
      </c>
      <c r="B3071" s="167" t="s">
        <v>2345</v>
      </c>
      <c r="C3071" s="167">
        <v>14117969</v>
      </c>
      <c r="D3071" s="167" t="s">
        <v>405</v>
      </c>
      <c r="E3071" s="167" t="s">
        <v>3699</v>
      </c>
      <c r="F3071" s="168">
        <v>3381.07</v>
      </c>
    </row>
    <row r="3072" spans="1:6" x14ac:dyDescent="0.2">
      <c r="A3072" s="163" t="s">
        <v>3724</v>
      </c>
      <c r="B3072" s="164" t="s">
        <v>2345</v>
      </c>
      <c r="C3072" s="164">
        <v>14117967</v>
      </c>
      <c r="D3072" s="164" t="s">
        <v>186</v>
      </c>
      <c r="E3072" s="164" t="s">
        <v>3699</v>
      </c>
      <c r="F3072" s="165">
        <v>3649.31</v>
      </c>
    </row>
    <row r="3073" spans="1:6" x14ac:dyDescent="0.2">
      <c r="A3073" s="166" t="s">
        <v>3724</v>
      </c>
      <c r="B3073" s="167" t="s">
        <v>2345</v>
      </c>
      <c r="C3073" s="167">
        <v>14117542</v>
      </c>
      <c r="D3073" s="167" t="s">
        <v>180</v>
      </c>
      <c r="E3073" s="167" t="s">
        <v>3699</v>
      </c>
      <c r="F3073" s="168">
        <v>3649.31</v>
      </c>
    </row>
    <row r="3074" spans="1:6" x14ac:dyDescent="0.2">
      <c r="A3074" s="163" t="s">
        <v>3724</v>
      </c>
      <c r="B3074" s="164" t="s">
        <v>2345</v>
      </c>
      <c r="C3074" s="164">
        <v>14117509</v>
      </c>
      <c r="D3074" s="164" t="s">
        <v>237</v>
      </c>
      <c r="E3074" s="164" t="s">
        <v>3699</v>
      </c>
      <c r="F3074" s="165">
        <v>3504.41</v>
      </c>
    </row>
    <row r="3075" spans="1:6" x14ac:dyDescent="0.2">
      <c r="A3075" s="166" t="s">
        <v>3724</v>
      </c>
      <c r="B3075" s="167" t="s">
        <v>2345</v>
      </c>
      <c r="C3075" s="167">
        <v>14117508</v>
      </c>
      <c r="D3075" s="167" t="s">
        <v>318</v>
      </c>
      <c r="E3075" s="167" t="s">
        <v>3699</v>
      </c>
      <c r="F3075" s="168">
        <v>3381.07</v>
      </c>
    </row>
    <row r="3076" spans="1:6" x14ac:dyDescent="0.2">
      <c r="A3076" s="163" t="s">
        <v>3724</v>
      </c>
      <c r="B3076" s="164" t="s">
        <v>2345</v>
      </c>
      <c r="C3076" s="164">
        <v>14117400</v>
      </c>
      <c r="D3076" s="164" t="s">
        <v>179</v>
      </c>
      <c r="E3076" s="164" t="s">
        <v>3699</v>
      </c>
      <c r="F3076" s="165">
        <v>3649.31</v>
      </c>
    </row>
    <row r="3077" spans="1:6" x14ac:dyDescent="0.2">
      <c r="A3077" s="166" t="s">
        <v>3724</v>
      </c>
      <c r="B3077" s="167" t="s">
        <v>2345</v>
      </c>
      <c r="C3077" s="167">
        <v>14117297</v>
      </c>
      <c r="D3077" s="167" t="s">
        <v>178</v>
      </c>
      <c r="E3077" s="167" t="s">
        <v>3699</v>
      </c>
      <c r="F3077" s="168">
        <v>3649.31</v>
      </c>
    </row>
    <row r="3078" spans="1:6" x14ac:dyDescent="0.2">
      <c r="A3078" s="163" t="s">
        <v>3724</v>
      </c>
      <c r="B3078" s="164" t="s">
        <v>2345</v>
      </c>
      <c r="C3078" s="164">
        <v>14117160</v>
      </c>
      <c r="D3078" s="164" t="s">
        <v>177</v>
      </c>
      <c r="E3078" s="164" t="s">
        <v>3699</v>
      </c>
      <c r="F3078" s="165">
        <v>3649.31</v>
      </c>
    </row>
    <row r="3079" spans="1:6" x14ac:dyDescent="0.2">
      <c r="A3079" s="166" t="s">
        <v>3724</v>
      </c>
      <c r="B3079" s="167" t="s">
        <v>2345</v>
      </c>
      <c r="C3079" s="167">
        <v>14117158</v>
      </c>
      <c r="D3079" s="167" t="s">
        <v>176</v>
      </c>
      <c r="E3079" s="167" t="s">
        <v>3699</v>
      </c>
      <c r="F3079" s="168">
        <v>3381.07</v>
      </c>
    </row>
    <row r="3080" spans="1:6" x14ac:dyDescent="0.2">
      <c r="A3080" s="163" t="s">
        <v>3724</v>
      </c>
      <c r="B3080" s="164" t="s">
        <v>2345</v>
      </c>
      <c r="C3080" s="164">
        <v>14117157</v>
      </c>
      <c r="D3080" s="164" t="s">
        <v>246</v>
      </c>
      <c r="E3080" s="164" t="s">
        <v>3699</v>
      </c>
      <c r="F3080" s="165">
        <v>3504.41</v>
      </c>
    </row>
    <row r="3081" spans="1:6" x14ac:dyDescent="0.2">
      <c r="A3081" s="166" t="s">
        <v>3724</v>
      </c>
      <c r="B3081" s="167" t="s">
        <v>2345</v>
      </c>
      <c r="C3081" s="167">
        <v>14117156</v>
      </c>
      <c r="D3081" s="167" t="s">
        <v>241</v>
      </c>
      <c r="E3081" s="167" t="s">
        <v>3699</v>
      </c>
      <c r="F3081" s="168">
        <v>3504.41</v>
      </c>
    </row>
    <row r="3082" spans="1:6" x14ac:dyDescent="0.2">
      <c r="A3082" s="163" t="s">
        <v>3724</v>
      </c>
      <c r="B3082" s="164" t="s">
        <v>2345</v>
      </c>
      <c r="C3082" s="164">
        <v>14116958</v>
      </c>
      <c r="D3082" s="164" t="s">
        <v>175</v>
      </c>
      <c r="E3082" s="164" t="s">
        <v>3699</v>
      </c>
      <c r="F3082" s="165">
        <v>3885.7</v>
      </c>
    </row>
    <row r="3083" spans="1:6" x14ac:dyDescent="0.2">
      <c r="A3083" s="166" t="s">
        <v>3724</v>
      </c>
      <c r="B3083" s="167" t="s">
        <v>2345</v>
      </c>
      <c r="C3083" s="167">
        <v>14116929</v>
      </c>
      <c r="D3083" s="167" t="s">
        <v>373</v>
      </c>
      <c r="E3083" s="167" t="s">
        <v>3699</v>
      </c>
      <c r="F3083" s="168">
        <v>3649.31</v>
      </c>
    </row>
    <row r="3084" spans="1:6" x14ac:dyDescent="0.2">
      <c r="A3084" s="163" t="s">
        <v>3724</v>
      </c>
      <c r="B3084" s="164" t="s">
        <v>2345</v>
      </c>
      <c r="C3084" s="164">
        <v>14116917</v>
      </c>
      <c r="D3084" s="164" t="s">
        <v>174</v>
      </c>
      <c r="E3084" s="164" t="s">
        <v>3699</v>
      </c>
      <c r="F3084" s="165">
        <v>3649.31</v>
      </c>
    </row>
    <row r="3085" spans="1:6" x14ac:dyDescent="0.2">
      <c r="A3085" s="166" t="s">
        <v>3724</v>
      </c>
      <c r="B3085" s="167" t="s">
        <v>2345</v>
      </c>
      <c r="C3085" s="167">
        <v>14116900</v>
      </c>
      <c r="D3085" s="167" t="s">
        <v>173</v>
      </c>
      <c r="E3085" s="167" t="s">
        <v>3699</v>
      </c>
      <c r="F3085" s="168">
        <v>3981.95</v>
      </c>
    </row>
    <row r="3086" spans="1:6" x14ac:dyDescent="0.2">
      <c r="A3086" s="163" t="s">
        <v>3724</v>
      </c>
      <c r="B3086" s="164" t="s">
        <v>2345</v>
      </c>
      <c r="C3086" s="164">
        <v>14116860</v>
      </c>
      <c r="D3086" s="164" t="s">
        <v>172</v>
      </c>
      <c r="E3086" s="164" t="s">
        <v>3699</v>
      </c>
      <c r="F3086" s="165">
        <v>3381.07</v>
      </c>
    </row>
    <row r="3087" spans="1:6" x14ac:dyDescent="0.2">
      <c r="A3087" s="166" t="s">
        <v>3724</v>
      </c>
      <c r="B3087" s="167" t="s">
        <v>2345</v>
      </c>
      <c r="C3087" s="167">
        <v>14116855</v>
      </c>
      <c r="D3087" s="167" t="s">
        <v>171</v>
      </c>
      <c r="E3087" s="167" t="s">
        <v>3699</v>
      </c>
      <c r="F3087" s="168">
        <v>3649.31</v>
      </c>
    </row>
    <row r="3088" spans="1:6" x14ac:dyDescent="0.2">
      <c r="A3088" s="163" t="s">
        <v>3724</v>
      </c>
      <c r="B3088" s="164" t="s">
        <v>2345</v>
      </c>
      <c r="C3088" s="164">
        <v>14116853</v>
      </c>
      <c r="D3088" s="164" t="s">
        <v>256</v>
      </c>
      <c r="E3088" s="164" t="s">
        <v>3699</v>
      </c>
      <c r="F3088" s="165">
        <v>3504.41</v>
      </c>
    </row>
    <row r="3089" spans="1:6" x14ac:dyDescent="0.2">
      <c r="A3089" s="166" t="s">
        <v>3724</v>
      </c>
      <c r="B3089" s="167" t="s">
        <v>2345</v>
      </c>
      <c r="C3089" s="167">
        <v>14116723</v>
      </c>
      <c r="D3089" s="167" t="s">
        <v>170</v>
      </c>
      <c r="E3089" s="167" t="s">
        <v>3699</v>
      </c>
      <c r="F3089" s="168">
        <v>3649.31</v>
      </c>
    </row>
    <row r="3090" spans="1:6" x14ac:dyDescent="0.2">
      <c r="A3090" s="163" t="s">
        <v>3724</v>
      </c>
      <c r="B3090" s="164" t="s">
        <v>2345</v>
      </c>
      <c r="C3090" s="164">
        <v>14116643</v>
      </c>
      <c r="D3090" s="164" t="s">
        <v>295</v>
      </c>
      <c r="E3090" s="164" t="s">
        <v>3699</v>
      </c>
      <c r="F3090" s="165">
        <v>3504.41</v>
      </c>
    </row>
    <row r="3091" spans="1:6" x14ac:dyDescent="0.2">
      <c r="A3091" s="166" t="s">
        <v>3724</v>
      </c>
      <c r="B3091" s="167" t="s">
        <v>2345</v>
      </c>
      <c r="C3091" s="167">
        <v>14116577</v>
      </c>
      <c r="D3091" s="167" t="s">
        <v>168</v>
      </c>
      <c r="E3091" s="167" t="s">
        <v>3699</v>
      </c>
      <c r="F3091" s="168">
        <v>4662.84</v>
      </c>
    </row>
    <row r="3092" spans="1:6" x14ac:dyDescent="0.2">
      <c r="A3092" s="163" t="s">
        <v>3724</v>
      </c>
      <c r="B3092" s="164" t="s">
        <v>2345</v>
      </c>
      <c r="C3092" s="164">
        <v>14116565</v>
      </c>
      <c r="D3092" s="164" t="s">
        <v>463</v>
      </c>
      <c r="E3092" s="164" t="s">
        <v>3699</v>
      </c>
      <c r="F3092" s="165">
        <v>3288.46</v>
      </c>
    </row>
    <row r="3093" spans="1:6" x14ac:dyDescent="0.2">
      <c r="A3093" s="166" t="s">
        <v>3724</v>
      </c>
      <c r="B3093" s="167" t="s">
        <v>2345</v>
      </c>
      <c r="C3093" s="167">
        <v>14116564</v>
      </c>
      <c r="D3093" s="167" t="s">
        <v>167</v>
      </c>
      <c r="E3093" s="167" t="s">
        <v>3699</v>
      </c>
      <c r="F3093" s="168">
        <v>3649.31</v>
      </c>
    </row>
    <row r="3094" spans="1:6" x14ac:dyDescent="0.2">
      <c r="A3094" s="163" t="s">
        <v>3724</v>
      </c>
      <c r="B3094" s="164" t="s">
        <v>2345</v>
      </c>
      <c r="C3094" s="164">
        <v>14116504</v>
      </c>
      <c r="D3094" s="164" t="s">
        <v>165</v>
      </c>
      <c r="E3094" s="164" t="s">
        <v>3699</v>
      </c>
      <c r="F3094" s="165">
        <v>3649.31</v>
      </c>
    </row>
    <row r="3095" spans="1:6" x14ac:dyDescent="0.2">
      <c r="A3095" s="166" t="s">
        <v>3724</v>
      </c>
      <c r="B3095" s="167" t="s">
        <v>2345</v>
      </c>
      <c r="C3095" s="167">
        <v>14116433</v>
      </c>
      <c r="D3095" s="167" t="s">
        <v>164</v>
      </c>
      <c r="E3095" s="167" t="s">
        <v>3699</v>
      </c>
      <c r="F3095" s="168">
        <v>3649.31</v>
      </c>
    </row>
    <row r="3096" spans="1:6" x14ac:dyDescent="0.2">
      <c r="A3096" s="163" t="s">
        <v>3724</v>
      </c>
      <c r="B3096" s="164" t="s">
        <v>2345</v>
      </c>
      <c r="C3096" s="164">
        <v>14116431</v>
      </c>
      <c r="D3096" s="164" t="s">
        <v>163</v>
      </c>
      <c r="E3096" s="164" t="s">
        <v>3699</v>
      </c>
      <c r="F3096" s="165">
        <v>3649.31</v>
      </c>
    </row>
    <row r="3097" spans="1:6" x14ac:dyDescent="0.2">
      <c r="A3097" s="166" t="s">
        <v>3724</v>
      </c>
      <c r="B3097" s="167" t="s">
        <v>2345</v>
      </c>
      <c r="C3097" s="167">
        <v>14116373</v>
      </c>
      <c r="D3097" s="167" t="s">
        <v>162</v>
      </c>
      <c r="E3097" s="167" t="s">
        <v>3699</v>
      </c>
      <c r="F3097" s="168">
        <v>3649.31</v>
      </c>
    </row>
    <row r="3098" spans="1:6" x14ac:dyDescent="0.2">
      <c r="A3098" s="163" t="s">
        <v>3724</v>
      </c>
      <c r="B3098" s="164" t="s">
        <v>2345</v>
      </c>
      <c r="C3098" s="164">
        <v>14116352</v>
      </c>
      <c r="D3098" s="164" t="s">
        <v>160</v>
      </c>
      <c r="E3098" s="164" t="s">
        <v>3699</v>
      </c>
      <c r="F3098" s="165">
        <v>3381.07</v>
      </c>
    </row>
    <row r="3099" spans="1:6" x14ac:dyDescent="0.2">
      <c r="A3099" s="166" t="s">
        <v>3724</v>
      </c>
      <c r="B3099" s="167" t="s">
        <v>2345</v>
      </c>
      <c r="C3099" s="167">
        <v>14116295</v>
      </c>
      <c r="D3099" s="167" t="s">
        <v>159</v>
      </c>
      <c r="E3099" s="167" t="s">
        <v>3699</v>
      </c>
      <c r="F3099" s="168">
        <v>3649.31</v>
      </c>
    </row>
    <row r="3100" spans="1:6" x14ac:dyDescent="0.2">
      <c r="A3100" s="163" t="s">
        <v>3724</v>
      </c>
      <c r="B3100" s="164" t="s">
        <v>2345</v>
      </c>
      <c r="C3100" s="164">
        <v>14116262</v>
      </c>
      <c r="D3100" s="164" t="s">
        <v>158</v>
      </c>
      <c r="E3100" s="164" t="s">
        <v>3699</v>
      </c>
      <c r="F3100" s="165">
        <v>3649.31</v>
      </c>
    </row>
    <row r="3101" spans="1:6" x14ac:dyDescent="0.2">
      <c r="A3101" s="166" t="s">
        <v>3724</v>
      </c>
      <c r="B3101" s="167" t="s">
        <v>2345</v>
      </c>
      <c r="C3101" s="167">
        <v>14116250</v>
      </c>
      <c r="D3101" s="167" t="s">
        <v>431</v>
      </c>
      <c r="E3101" s="167" t="s">
        <v>3699</v>
      </c>
      <c r="F3101" s="168">
        <v>3288.46</v>
      </c>
    </row>
    <row r="3102" spans="1:6" x14ac:dyDescent="0.2">
      <c r="A3102" s="163" t="s">
        <v>3724</v>
      </c>
      <c r="B3102" s="164" t="s">
        <v>2345</v>
      </c>
      <c r="C3102" s="164">
        <v>14116134</v>
      </c>
      <c r="D3102" s="164" t="s">
        <v>157</v>
      </c>
      <c r="E3102" s="164" t="s">
        <v>3699</v>
      </c>
      <c r="F3102" s="165">
        <v>3381.07</v>
      </c>
    </row>
    <row r="3103" spans="1:6" x14ac:dyDescent="0.2">
      <c r="A3103" s="166" t="s">
        <v>3724</v>
      </c>
      <c r="B3103" s="167" t="s">
        <v>2345</v>
      </c>
      <c r="C3103" s="167">
        <v>14116097</v>
      </c>
      <c r="D3103" s="167" t="s">
        <v>155</v>
      </c>
      <c r="E3103" s="167" t="s">
        <v>3699</v>
      </c>
      <c r="F3103" s="168">
        <v>5220.88</v>
      </c>
    </row>
    <row r="3104" spans="1:6" x14ac:dyDescent="0.2">
      <c r="A3104" s="163" t="s">
        <v>3724</v>
      </c>
      <c r="B3104" s="164" t="s">
        <v>2345</v>
      </c>
      <c r="C3104" s="164">
        <v>14116058</v>
      </c>
      <c r="D3104" s="164" t="s">
        <v>154</v>
      </c>
      <c r="E3104" s="164" t="s">
        <v>3699</v>
      </c>
      <c r="F3104" s="165">
        <v>3649.31</v>
      </c>
    </row>
    <row r="3105" spans="1:6" x14ac:dyDescent="0.2">
      <c r="A3105" s="166" t="s">
        <v>3724</v>
      </c>
      <c r="B3105" s="167" t="s">
        <v>2345</v>
      </c>
      <c r="C3105" s="167">
        <v>14116046</v>
      </c>
      <c r="D3105" s="167" t="s">
        <v>153</v>
      </c>
      <c r="E3105" s="167" t="s">
        <v>3699</v>
      </c>
      <c r="F3105" s="168">
        <v>3649.31</v>
      </c>
    </row>
    <row r="3106" spans="1:6" x14ac:dyDescent="0.2">
      <c r="A3106" s="163" t="s">
        <v>3724</v>
      </c>
      <c r="B3106" s="164" t="s">
        <v>2345</v>
      </c>
      <c r="C3106" s="164">
        <v>14116000</v>
      </c>
      <c r="D3106" s="164" t="s">
        <v>152</v>
      </c>
      <c r="E3106" s="164" t="s">
        <v>3699</v>
      </c>
      <c r="F3106" s="165">
        <v>3649.31</v>
      </c>
    </row>
    <row r="3107" spans="1:6" x14ac:dyDescent="0.2">
      <c r="A3107" s="166" t="s">
        <v>3724</v>
      </c>
      <c r="B3107" s="167" t="s">
        <v>2345</v>
      </c>
      <c r="C3107" s="167">
        <v>14115917</v>
      </c>
      <c r="D3107" s="167" t="s">
        <v>151</v>
      </c>
      <c r="E3107" s="167" t="s">
        <v>3699</v>
      </c>
      <c r="F3107" s="168">
        <v>3649.31</v>
      </c>
    </row>
    <row r="3108" spans="1:6" x14ac:dyDescent="0.2">
      <c r="A3108" s="163" t="s">
        <v>3724</v>
      </c>
      <c r="B3108" s="164" t="s">
        <v>2345</v>
      </c>
      <c r="C3108" s="164">
        <v>14115909</v>
      </c>
      <c r="D3108" s="164" t="s">
        <v>341</v>
      </c>
      <c r="E3108" s="164" t="s">
        <v>3699</v>
      </c>
      <c r="F3108" s="165">
        <v>3649.31</v>
      </c>
    </row>
    <row r="3109" spans="1:6" x14ac:dyDescent="0.2">
      <c r="A3109" s="166" t="s">
        <v>3724</v>
      </c>
      <c r="B3109" s="167" t="s">
        <v>2345</v>
      </c>
      <c r="C3109" s="167">
        <v>14115908</v>
      </c>
      <c r="D3109" s="167" t="s">
        <v>150</v>
      </c>
      <c r="E3109" s="167" t="s">
        <v>3699</v>
      </c>
      <c r="F3109" s="168">
        <v>3649.31</v>
      </c>
    </row>
    <row r="3110" spans="1:6" x14ac:dyDescent="0.2">
      <c r="A3110" s="163" t="s">
        <v>3724</v>
      </c>
      <c r="B3110" s="164" t="s">
        <v>2345</v>
      </c>
      <c r="C3110" s="164">
        <v>14115830</v>
      </c>
      <c r="D3110" s="164" t="s">
        <v>149</v>
      </c>
      <c r="E3110" s="164" t="s">
        <v>3699</v>
      </c>
      <c r="F3110" s="165">
        <v>3649.31</v>
      </c>
    </row>
    <row r="3111" spans="1:6" x14ac:dyDescent="0.2">
      <c r="A3111" s="166" t="s">
        <v>3724</v>
      </c>
      <c r="B3111" s="167" t="s">
        <v>2345</v>
      </c>
      <c r="C3111" s="167">
        <v>14115820</v>
      </c>
      <c r="D3111" s="167" t="s">
        <v>148</v>
      </c>
      <c r="E3111" s="167" t="s">
        <v>3699</v>
      </c>
      <c r="F3111" s="168">
        <v>3381.07</v>
      </c>
    </row>
    <row r="3112" spans="1:6" x14ac:dyDescent="0.2">
      <c r="A3112" s="163" t="s">
        <v>3724</v>
      </c>
      <c r="B3112" s="164" t="s">
        <v>2345</v>
      </c>
      <c r="C3112" s="164">
        <v>14115630</v>
      </c>
      <c r="D3112" s="164" t="s">
        <v>146</v>
      </c>
      <c r="E3112" s="164" t="s">
        <v>3699</v>
      </c>
      <c r="F3112" s="165">
        <v>3649.31</v>
      </c>
    </row>
    <row r="3113" spans="1:6" x14ac:dyDescent="0.2">
      <c r="A3113" s="166" t="s">
        <v>3724</v>
      </c>
      <c r="B3113" s="167" t="s">
        <v>2345</v>
      </c>
      <c r="C3113" s="167">
        <v>14115536</v>
      </c>
      <c r="D3113" s="167" t="s">
        <v>144</v>
      </c>
      <c r="E3113" s="167" t="s">
        <v>3699</v>
      </c>
      <c r="F3113" s="168">
        <v>3649.31</v>
      </c>
    </row>
    <row r="3114" spans="1:6" x14ac:dyDescent="0.2">
      <c r="A3114" s="163" t="s">
        <v>3724</v>
      </c>
      <c r="B3114" s="164" t="s">
        <v>2345</v>
      </c>
      <c r="C3114" s="164">
        <v>14115535</v>
      </c>
      <c r="D3114" s="164" t="s">
        <v>289</v>
      </c>
      <c r="E3114" s="164" t="s">
        <v>3699</v>
      </c>
      <c r="F3114" s="165">
        <v>3288.46</v>
      </c>
    </row>
    <row r="3115" spans="1:6" x14ac:dyDescent="0.2">
      <c r="A3115" s="166" t="s">
        <v>3724</v>
      </c>
      <c r="B3115" s="167" t="s">
        <v>2345</v>
      </c>
      <c r="C3115" s="167">
        <v>14115435</v>
      </c>
      <c r="D3115" s="167" t="s">
        <v>143</v>
      </c>
      <c r="E3115" s="167" t="s">
        <v>3699</v>
      </c>
      <c r="F3115" s="168">
        <v>3381.07</v>
      </c>
    </row>
    <row r="3116" spans="1:6" x14ac:dyDescent="0.2">
      <c r="A3116" s="163" t="s">
        <v>3724</v>
      </c>
      <c r="B3116" s="164" t="s">
        <v>2345</v>
      </c>
      <c r="C3116" s="164">
        <v>14115244</v>
      </c>
      <c r="D3116" s="164" t="s">
        <v>141</v>
      </c>
      <c r="E3116" s="164" t="s">
        <v>3699</v>
      </c>
      <c r="F3116" s="165">
        <v>3381.07</v>
      </c>
    </row>
    <row r="3117" spans="1:6" x14ac:dyDescent="0.2">
      <c r="A3117" s="166" t="s">
        <v>3724</v>
      </c>
      <c r="B3117" s="167" t="s">
        <v>2345</v>
      </c>
      <c r="C3117" s="167">
        <v>14115136</v>
      </c>
      <c r="D3117" s="167" t="s">
        <v>140</v>
      </c>
      <c r="E3117" s="167" t="s">
        <v>3699</v>
      </c>
      <c r="F3117" s="168">
        <v>3649.31</v>
      </c>
    </row>
    <row r="3118" spans="1:6" x14ac:dyDescent="0.2">
      <c r="A3118" s="163" t="s">
        <v>3724</v>
      </c>
      <c r="B3118" s="164" t="s">
        <v>2345</v>
      </c>
      <c r="C3118" s="164">
        <v>14114789</v>
      </c>
      <c r="D3118" s="164" t="s">
        <v>288</v>
      </c>
      <c r="E3118" s="164" t="s">
        <v>3699</v>
      </c>
      <c r="F3118" s="165">
        <v>4662.84</v>
      </c>
    </row>
    <row r="3119" spans="1:6" x14ac:dyDescent="0.2">
      <c r="A3119" s="166" t="s">
        <v>3724</v>
      </c>
      <c r="B3119" s="167" t="s">
        <v>2345</v>
      </c>
      <c r="C3119" s="167">
        <v>14114709</v>
      </c>
      <c r="D3119" s="167" t="s">
        <v>139</v>
      </c>
      <c r="E3119" s="167" t="s">
        <v>3699</v>
      </c>
      <c r="F3119" s="168">
        <v>3649.31</v>
      </c>
    </row>
    <row r="3120" spans="1:6" x14ac:dyDescent="0.2">
      <c r="A3120" s="163" t="s">
        <v>3724</v>
      </c>
      <c r="B3120" s="164" t="s">
        <v>2345</v>
      </c>
      <c r="C3120" s="164">
        <v>14114667</v>
      </c>
      <c r="D3120" s="164" t="s">
        <v>138</v>
      </c>
      <c r="E3120" s="164" t="s">
        <v>3699</v>
      </c>
      <c r="F3120" s="165">
        <v>3649.31</v>
      </c>
    </row>
    <row r="3121" spans="1:6" x14ac:dyDescent="0.2">
      <c r="A3121" s="166" t="s">
        <v>3724</v>
      </c>
      <c r="B3121" s="167" t="s">
        <v>2345</v>
      </c>
      <c r="C3121" s="167">
        <v>14114665</v>
      </c>
      <c r="D3121" s="167" t="s">
        <v>137</v>
      </c>
      <c r="E3121" s="167" t="s">
        <v>3699</v>
      </c>
      <c r="F3121" s="168">
        <v>3649.31</v>
      </c>
    </row>
    <row r="3122" spans="1:6" x14ac:dyDescent="0.2">
      <c r="A3122" s="163" t="s">
        <v>3724</v>
      </c>
      <c r="B3122" s="164" t="s">
        <v>2345</v>
      </c>
      <c r="C3122" s="164">
        <v>14114431</v>
      </c>
      <c r="D3122" s="164" t="s">
        <v>136</v>
      </c>
      <c r="E3122" s="164" t="s">
        <v>3699</v>
      </c>
      <c r="F3122" s="165">
        <v>3649.31</v>
      </c>
    </row>
    <row r="3123" spans="1:6" x14ac:dyDescent="0.2">
      <c r="A3123" s="166" t="s">
        <v>3724</v>
      </c>
      <c r="B3123" s="167" t="s">
        <v>2345</v>
      </c>
      <c r="C3123" s="167">
        <v>14114330</v>
      </c>
      <c r="D3123" s="167" t="s">
        <v>135</v>
      </c>
      <c r="E3123" s="167" t="s">
        <v>3699</v>
      </c>
      <c r="F3123" s="168">
        <v>3649.31</v>
      </c>
    </row>
    <row r="3124" spans="1:6" x14ac:dyDescent="0.2">
      <c r="A3124" s="163" t="s">
        <v>3724</v>
      </c>
      <c r="B3124" s="164" t="s">
        <v>2345</v>
      </c>
      <c r="C3124" s="164">
        <v>14114324</v>
      </c>
      <c r="D3124" s="164" t="s">
        <v>348</v>
      </c>
      <c r="E3124" s="164" t="s">
        <v>3699</v>
      </c>
      <c r="F3124" s="165">
        <v>3649.31</v>
      </c>
    </row>
    <row r="3125" spans="1:6" x14ac:dyDescent="0.2">
      <c r="A3125" s="166" t="s">
        <v>3724</v>
      </c>
      <c r="B3125" s="167" t="s">
        <v>2345</v>
      </c>
      <c r="C3125" s="167">
        <v>14114320</v>
      </c>
      <c r="D3125" s="167" t="s">
        <v>317</v>
      </c>
      <c r="E3125" s="167" t="s">
        <v>3699</v>
      </c>
      <c r="F3125" s="168">
        <v>3381.07</v>
      </c>
    </row>
    <row r="3126" spans="1:6" x14ac:dyDescent="0.2">
      <c r="A3126" s="163" t="s">
        <v>3724</v>
      </c>
      <c r="B3126" s="164" t="s">
        <v>2345</v>
      </c>
      <c r="C3126" s="164">
        <v>14114062</v>
      </c>
      <c r="D3126" s="164" t="s">
        <v>134</v>
      </c>
      <c r="E3126" s="164" t="s">
        <v>3699</v>
      </c>
      <c r="F3126" s="165">
        <v>3649.31</v>
      </c>
    </row>
    <row r="3127" spans="1:6" x14ac:dyDescent="0.2">
      <c r="A3127" s="166" t="s">
        <v>3724</v>
      </c>
      <c r="B3127" s="167" t="s">
        <v>2345</v>
      </c>
      <c r="C3127" s="167">
        <v>14114037</v>
      </c>
      <c r="D3127" s="167" t="s">
        <v>184</v>
      </c>
      <c r="E3127" s="167" t="s">
        <v>3699</v>
      </c>
      <c r="F3127" s="168">
        <v>3649.31</v>
      </c>
    </row>
    <row r="3128" spans="1:6" x14ac:dyDescent="0.2">
      <c r="A3128" s="163" t="s">
        <v>3724</v>
      </c>
      <c r="B3128" s="164" t="s">
        <v>2345</v>
      </c>
      <c r="C3128" s="164">
        <v>14114030</v>
      </c>
      <c r="D3128" s="164" t="s">
        <v>133</v>
      </c>
      <c r="E3128" s="164" t="s">
        <v>3699</v>
      </c>
      <c r="F3128" s="165">
        <v>3649.31</v>
      </c>
    </row>
    <row r="3129" spans="1:6" x14ac:dyDescent="0.2">
      <c r="A3129" s="166" t="s">
        <v>3724</v>
      </c>
      <c r="B3129" s="167" t="s">
        <v>2345</v>
      </c>
      <c r="C3129" s="167">
        <v>14113837</v>
      </c>
      <c r="D3129" s="167" t="s">
        <v>132</v>
      </c>
      <c r="E3129" s="167" t="s">
        <v>3699</v>
      </c>
      <c r="F3129" s="168">
        <v>3649.31</v>
      </c>
    </row>
    <row r="3130" spans="1:6" x14ac:dyDescent="0.2">
      <c r="A3130" s="163" t="s">
        <v>3724</v>
      </c>
      <c r="B3130" s="164" t="s">
        <v>2345</v>
      </c>
      <c r="C3130" s="164">
        <v>14113803</v>
      </c>
      <c r="D3130" s="164" t="s">
        <v>299</v>
      </c>
      <c r="E3130" s="164" t="s">
        <v>3699</v>
      </c>
      <c r="F3130" s="165">
        <v>3504.41</v>
      </c>
    </row>
    <row r="3131" spans="1:6" x14ac:dyDescent="0.2">
      <c r="A3131" s="166" t="s">
        <v>3724</v>
      </c>
      <c r="B3131" s="167" t="s">
        <v>2345</v>
      </c>
      <c r="C3131" s="167">
        <v>14113619</v>
      </c>
      <c r="D3131" s="167" t="s">
        <v>131</v>
      </c>
      <c r="E3131" s="167" t="s">
        <v>3699</v>
      </c>
      <c r="F3131" s="168">
        <v>3649.31</v>
      </c>
    </row>
    <row r="3132" spans="1:6" x14ac:dyDescent="0.2">
      <c r="A3132" s="163" t="s">
        <v>3724</v>
      </c>
      <c r="B3132" s="164" t="s">
        <v>2345</v>
      </c>
      <c r="C3132" s="164">
        <v>14113565</v>
      </c>
      <c r="D3132" s="164" t="s">
        <v>130</v>
      </c>
      <c r="E3132" s="164" t="s">
        <v>3699</v>
      </c>
      <c r="F3132" s="165">
        <v>3381.07</v>
      </c>
    </row>
    <row r="3133" spans="1:6" x14ac:dyDescent="0.2">
      <c r="A3133" s="166" t="s">
        <v>3724</v>
      </c>
      <c r="B3133" s="167" t="s">
        <v>2345</v>
      </c>
      <c r="C3133" s="167">
        <v>14113349</v>
      </c>
      <c r="D3133" s="167" t="s">
        <v>129</v>
      </c>
      <c r="E3133" s="167" t="s">
        <v>3699</v>
      </c>
      <c r="F3133" s="168">
        <v>3649.31</v>
      </c>
    </row>
    <row r="3134" spans="1:6" x14ac:dyDescent="0.2">
      <c r="A3134" s="163" t="s">
        <v>3724</v>
      </c>
      <c r="B3134" s="164" t="s">
        <v>2345</v>
      </c>
      <c r="C3134" s="164">
        <v>14113320</v>
      </c>
      <c r="D3134" s="164" t="s">
        <v>128</v>
      </c>
      <c r="E3134" s="164" t="s">
        <v>3699</v>
      </c>
      <c r="F3134" s="165">
        <v>3649.31</v>
      </c>
    </row>
    <row r="3135" spans="1:6" x14ac:dyDescent="0.2">
      <c r="A3135" s="166" t="s">
        <v>3724</v>
      </c>
      <c r="B3135" s="167" t="s">
        <v>2345</v>
      </c>
      <c r="C3135" s="167">
        <v>14113311</v>
      </c>
      <c r="D3135" s="167" t="s">
        <v>127</v>
      </c>
      <c r="E3135" s="167" t="s">
        <v>3699</v>
      </c>
      <c r="F3135" s="168">
        <v>3649.31</v>
      </c>
    </row>
    <row r="3136" spans="1:6" x14ac:dyDescent="0.2">
      <c r="A3136" s="163" t="s">
        <v>3724</v>
      </c>
      <c r="B3136" s="164" t="s">
        <v>2345</v>
      </c>
      <c r="C3136" s="164">
        <v>14113200</v>
      </c>
      <c r="D3136" s="164" t="s">
        <v>126</v>
      </c>
      <c r="E3136" s="164" t="s">
        <v>3699</v>
      </c>
      <c r="F3136" s="165">
        <v>3649.31</v>
      </c>
    </row>
    <row r="3137" spans="1:6" x14ac:dyDescent="0.2">
      <c r="A3137" s="166" t="s">
        <v>3724</v>
      </c>
      <c r="B3137" s="167" t="s">
        <v>2345</v>
      </c>
      <c r="C3137" s="167">
        <v>14113198</v>
      </c>
      <c r="D3137" s="167" t="s">
        <v>215</v>
      </c>
      <c r="E3137" s="167" t="s">
        <v>3699</v>
      </c>
      <c r="F3137" s="168">
        <v>3649.31</v>
      </c>
    </row>
    <row r="3138" spans="1:6" x14ac:dyDescent="0.2">
      <c r="A3138" s="163" t="s">
        <v>3724</v>
      </c>
      <c r="B3138" s="164" t="s">
        <v>2345</v>
      </c>
      <c r="C3138" s="164">
        <v>14113146</v>
      </c>
      <c r="D3138" s="164" t="s">
        <v>125</v>
      </c>
      <c r="E3138" s="164" t="s">
        <v>3699</v>
      </c>
      <c r="F3138" s="165">
        <v>3381.07</v>
      </c>
    </row>
    <row r="3139" spans="1:6" x14ac:dyDescent="0.2">
      <c r="A3139" s="166" t="s">
        <v>3724</v>
      </c>
      <c r="B3139" s="167" t="s">
        <v>2345</v>
      </c>
      <c r="C3139" s="167">
        <v>14113140</v>
      </c>
      <c r="D3139" s="167" t="s">
        <v>124</v>
      </c>
      <c r="E3139" s="167" t="s">
        <v>3699</v>
      </c>
      <c r="F3139" s="168">
        <v>3649.31</v>
      </c>
    </row>
    <row r="3140" spans="1:6" x14ac:dyDescent="0.2">
      <c r="A3140" s="163" t="s">
        <v>3724</v>
      </c>
      <c r="B3140" s="164" t="s">
        <v>2345</v>
      </c>
      <c r="C3140" s="164">
        <v>14113056</v>
      </c>
      <c r="D3140" s="164" t="s">
        <v>236</v>
      </c>
      <c r="E3140" s="164" t="s">
        <v>3699</v>
      </c>
      <c r="F3140" s="165">
        <v>3504.41</v>
      </c>
    </row>
    <row r="3141" spans="1:6" x14ac:dyDescent="0.2">
      <c r="A3141" s="166" t="s">
        <v>3724</v>
      </c>
      <c r="B3141" s="167" t="s">
        <v>2345</v>
      </c>
      <c r="C3141" s="167">
        <v>14113054</v>
      </c>
      <c r="D3141" s="167" t="s">
        <v>123</v>
      </c>
      <c r="E3141" s="167" t="s">
        <v>3699</v>
      </c>
      <c r="F3141" s="168">
        <v>3649.31</v>
      </c>
    </row>
    <row r="3142" spans="1:6" x14ac:dyDescent="0.2">
      <c r="A3142" s="163" t="s">
        <v>3724</v>
      </c>
      <c r="B3142" s="164" t="s">
        <v>2345</v>
      </c>
      <c r="C3142" s="164">
        <v>14112757</v>
      </c>
      <c r="D3142" s="164" t="s">
        <v>355</v>
      </c>
      <c r="E3142" s="164" t="s">
        <v>3699</v>
      </c>
      <c r="F3142" s="165">
        <v>3649.31</v>
      </c>
    </row>
    <row r="3143" spans="1:6" x14ac:dyDescent="0.2">
      <c r="A3143" s="166" t="s">
        <v>3724</v>
      </c>
      <c r="B3143" s="167" t="s">
        <v>2345</v>
      </c>
      <c r="C3143" s="167">
        <v>14112730</v>
      </c>
      <c r="D3143" s="167" t="s">
        <v>281</v>
      </c>
      <c r="E3143" s="167" t="s">
        <v>3699</v>
      </c>
      <c r="F3143" s="168">
        <v>3504.41</v>
      </c>
    </row>
    <row r="3144" spans="1:6" x14ac:dyDescent="0.2">
      <c r="A3144" s="163" t="s">
        <v>3724</v>
      </c>
      <c r="B3144" s="164" t="s">
        <v>2345</v>
      </c>
      <c r="C3144" s="164">
        <v>14112635</v>
      </c>
      <c r="D3144" s="164" t="s">
        <v>985</v>
      </c>
      <c r="E3144" s="164" t="s">
        <v>3699</v>
      </c>
      <c r="F3144" s="165">
        <v>3288.46</v>
      </c>
    </row>
    <row r="3145" spans="1:6" x14ac:dyDescent="0.2">
      <c r="A3145" s="166" t="s">
        <v>3724</v>
      </c>
      <c r="B3145" s="167" t="s">
        <v>2345</v>
      </c>
      <c r="C3145" s="167">
        <v>14112630</v>
      </c>
      <c r="D3145" s="167" t="s">
        <v>122</v>
      </c>
      <c r="E3145" s="167" t="s">
        <v>3699</v>
      </c>
      <c r="F3145" s="168">
        <v>3649.31</v>
      </c>
    </row>
    <row r="3146" spans="1:6" x14ac:dyDescent="0.2">
      <c r="A3146" s="163" t="s">
        <v>3724</v>
      </c>
      <c r="B3146" s="164" t="s">
        <v>2345</v>
      </c>
      <c r="C3146" s="164">
        <v>14112605</v>
      </c>
      <c r="D3146" s="164" t="s">
        <v>121</v>
      </c>
      <c r="E3146" s="164" t="s">
        <v>3699</v>
      </c>
      <c r="F3146" s="165">
        <v>3649.31</v>
      </c>
    </row>
    <row r="3147" spans="1:6" x14ac:dyDescent="0.2">
      <c r="A3147" s="166" t="s">
        <v>3724</v>
      </c>
      <c r="B3147" s="167" t="s">
        <v>2345</v>
      </c>
      <c r="C3147" s="167">
        <v>14112603</v>
      </c>
      <c r="D3147" s="167" t="s">
        <v>120</v>
      </c>
      <c r="E3147" s="167" t="s">
        <v>3699</v>
      </c>
      <c r="F3147" s="168">
        <v>3649.31</v>
      </c>
    </row>
    <row r="3148" spans="1:6" x14ac:dyDescent="0.2">
      <c r="A3148" s="163" t="s">
        <v>3724</v>
      </c>
      <c r="B3148" s="164" t="s">
        <v>2345</v>
      </c>
      <c r="C3148" s="164">
        <v>14112602</v>
      </c>
      <c r="D3148" s="164" t="s">
        <v>119</v>
      </c>
      <c r="E3148" s="164" t="s">
        <v>3699</v>
      </c>
      <c r="F3148" s="165">
        <v>3649.31</v>
      </c>
    </row>
    <row r="3149" spans="1:6" x14ac:dyDescent="0.2">
      <c r="A3149" s="166" t="s">
        <v>3724</v>
      </c>
      <c r="B3149" s="167" t="s">
        <v>2345</v>
      </c>
      <c r="C3149" s="167">
        <v>14112597</v>
      </c>
      <c r="D3149" s="167" t="s">
        <v>118</v>
      </c>
      <c r="E3149" s="167" t="s">
        <v>3699</v>
      </c>
      <c r="F3149" s="168">
        <v>3649.31</v>
      </c>
    </row>
    <row r="3150" spans="1:6" x14ac:dyDescent="0.2">
      <c r="A3150" s="163" t="s">
        <v>3724</v>
      </c>
      <c r="B3150" s="164" t="s">
        <v>2345</v>
      </c>
      <c r="C3150" s="164">
        <v>14112595</v>
      </c>
      <c r="D3150" s="164" t="s">
        <v>372</v>
      </c>
      <c r="E3150" s="164" t="s">
        <v>3699</v>
      </c>
      <c r="F3150" s="165">
        <v>3649.31</v>
      </c>
    </row>
    <row r="3151" spans="1:6" x14ac:dyDescent="0.2">
      <c r="A3151" s="166" t="s">
        <v>3724</v>
      </c>
      <c r="B3151" s="167" t="s">
        <v>2345</v>
      </c>
      <c r="C3151" s="167">
        <v>14112592</v>
      </c>
      <c r="D3151" s="167" t="s">
        <v>117</v>
      </c>
      <c r="E3151" s="167" t="s">
        <v>3699</v>
      </c>
      <c r="F3151" s="168">
        <v>3649.31</v>
      </c>
    </row>
    <row r="3152" spans="1:6" x14ac:dyDescent="0.2">
      <c r="A3152" s="163" t="s">
        <v>3724</v>
      </c>
      <c r="B3152" s="164" t="s">
        <v>2345</v>
      </c>
      <c r="C3152" s="164">
        <v>14112591</v>
      </c>
      <c r="D3152" s="164" t="s">
        <v>116</v>
      </c>
      <c r="E3152" s="164" t="s">
        <v>3699</v>
      </c>
      <c r="F3152" s="165">
        <v>3649.31</v>
      </c>
    </row>
    <row r="3153" spans="1:6" x14ac:dyDescent="0.2">
      <c r="A3153" s="166" t="s">
        <v>3724</v>
      </c>
      <c r="B3153" s="167" t="s">
        <v>2345</v>
      </c>
      <c r="C3153" s="167">
        <v>14112588</v>
      </c>
      <c r="D3153" s="167" t="s">
        <v>935</v>
      </c>
      <c r="E3153" s="167" t="s">
        <v>3699</v>
      </c>
      <c r="F3153" s="168">
        <v>3288.46</v>
      </c>
    </row>
    <row r="3154" spans="1:6" x14ac:dyDescent="0.2">
      <c r="A3154" s="163" t="s">
        <v>3724</v>
      </c>
      <c r="B3154" s="164" t="s">
        <v>2345</v>
      </c>
      <c r="C3154" s="164">
        <v>14112449</v>
      </c>
      <c r="D3154" s="164" t="s">
        <v>197</v>
      </c>
      <c r="E3154" s="164" t="s">
        <v>3699</v>
      </c>
      <c r="F3154" s="165">
        <v>3649.31</v>
      </c>
    </row>
    <row r="3155" spans="1:6" x14ac:dyDescent="0.2">
      <c r="A3155" s="166" t="s">
        <v>3724</v>
      </c>
      <c r="B3155" s="167" t="s">
        <v>2345</v>
      </c>
      <c r="C3155" s="167">
        <v>14112292</v>
      </c>
      <c r="D3155" s="167" t="s">
        <v>195</v>
      </c>
      <c r="E3155" s="167" t="s">
        <v>3699</v>
      </c>
      <c r="F3155" s="168">
        <v>3649.31</v>
      </c>
    </row>
    <row r="3156" spans="1:6" x14ac:dyDescent="0.2">
      <c r="A3156" s="163" t="s">
        <v>3724</v>
      </c>
      <c r="B3156" s="164" t="s">
        <v>2345</v>
      </c>
      <c r="C3156" s="164">
        <v>14112197</v>
      </c>
      <c r="D3156" s="164" t="s">
        <v>244</v>
      </c>
      <c r="E3156" s="164" t="s">
        <v>3699</v>
      </c>
      <c r="F3156" s="165">
        <v>3504.41</v>
      </c>
    </row>
    <row r="3157" spans="1:6" x14ac:dyDescent="0.2">
      <c r="A3157" s="166" t="s">
        <v>3724</v>
      </c>
      <c r="B3157" s="167" t="s">
        <v>2345</v>
      </c>
      <c r="C3157" s="167">
        <v>14112174</v>
      </c>
      <c r="D3157" s="167" t="s">
        <v>115</v>
      </c>
      <c r="E3157" s="167" t="s">
        <v>3699</v>
      </c>
      <c r="F3157" s="168">
        <v>3649.31</v>
      </c>
    </row>
    <row r="3158" spans="1:6" x14ac:dyDescent="0.2">
      <c r="A3158" s="163" t="s">
        <v>3724</v>
      </c>
      <c r="B3158" s="164" t="s">
        <v>2345</v>
      </c>
      <c r="C3158" s="164">
        <v>14112124</v>
      </c>
      <c r="D3158" s="164" t="s">
        <v>251</v>
      </c>
      <c r="E3158" s="164" t="s">
        <v>3699</v>
      </c>
      <c r="F3158" s="165">
        <v>3504.41</v>
      </c>
    </row>
    <row r="3159" spans="1:6" x14ac:dyDescent="0.2">
      <c r="A3159" s="166" t="s">
        <v>3724</v>
      </c>
      <c r="B3159" s="167" t="s">
        <v>2345</v>
      </c>
      <c r="C3159" s="167">
        <v>14112026</v>
      </c>
      <c r="D3159" s="167" t="s">
        <v>114</v>
      </c>
      <c r="E3159" s="167" t="s">
        <v>3699</v>
      </c>
      <c r="F3159" s="168">
        <v>3649.31</v>
      </c>
    </row>
    <row r="3160" spans="1:6" x14ac:dyDescent="0.2">
      <c r="A3160" s="163" t="s">
        <v>3724</v>
      </c>
      <c r="B3160" s="164" t="s">
        <v>2345</v>
      </c>
      <c r="C3160" s="164">
        <v>14111754</v>
      </c>
      <c r="D3160" s="164" t="s">
        <v>316</v>
      </c>
      <c r="E3160" s="164" t="s">
        <v>3699</v>
      </c>
      <c r="F3160" s="165">
        <v>3649.31</v>
      </c>
    </row>
    <row r="3161" spans="1:6" x14ac:dyDescent="0.2">
      <c r="A3161" s="166" t="s">
        <v>3724</v>
      </c>
      <c r="B3161" s="167" t="s">
        <v>2345</v>
      </c>
      <c r="C3161" s="167">
        <v>14111678</v>
      </c>
      <c r="D3161" s="167" t="s">
        <v>284</v>
      </c>
      <c r="E3161" s="167" t="s">
        <v>3699</v>
      </c>
      <c r="F3161" s="168">
        <v>3504.41</v>
      </c>
    </row>
    <row r="3162" spans="1:6" x14ac:dyDescent="0.2">
      <c r="A3162" s="163" t="s">
        <v>3724</v>
      </c>
      <c r="B3162" s="164" t="s">
        <v>2345</v>
      </c>
      <c r="C3162" s="164">
        <v>14111675</v>
      </c>
      <c r="D3162" s="164" t="s">
        <v>113</v>
      </c>
      <c r="E3162" s="164" t="s">
        <v>3699</v>
      </c>
      <c r="F3162" s="165">
        <v>3381.07</v>
      </c>
    </row>
    <row r="3163" spans="1:6" x14ac:dyDescent="0.2">
      <c r="A3163" s="166" t="s">
        <v>3724</v>
      </c>
      <c r="B3163" s="167" t="s">
        <v>2345</v>
      </c>
      <c r="C3163" s="167">
        <v>14111557</v>
      </c>
      <c r="D3163" s="167" t="s">
        <v>112</v>
      </c>
      <c r="E3163" s="167" t="s">
        <v>3699</v>
      </c>
      <c r="F3163" s="168">
        <v>3649.31</v>
      </c>
    </row>
    <row r="3164" spans="1:6" x14ac:dyDescent="0.2">
      <c r="A3164" s="163" t="s">
        <v>3724</v>
      </c>
      <c r="B3164" s="164" t="s">
        <v>2345</v>
      </c>
      <c r="C3164" s="164">
        <v>14111266</v>
      </c>
      <c r="D3164" s="164" t="s">
        <v>111</v>
      </c>
      <c r="E3164" s="164" t="s">
        <v>3699</v>
      </c>
      <c r="F3164" s="165">
        <v>3649.31</v>
      </c>
    </row>
    <row r="3165" spans="1:6" x14ac:dyDescent="0.2">
      <c r="A3165" s="166" t="s">
        <v>3724</v>
      </c>
      <c r="B3165" s="167" t="s">
        <v>2345</v>
      </c>
      <c r="C3165" s="167">
        <v>14111143</v>
      </c>
      <c r="D3165" s="167" t="s">
        <v>110</v>
      </c>
      <c r="E3165" s="167" t="s">
        <v>3699</v>
      </c>
      <c r="F3165" s="168">
        <v>3649.31</v>
      </c>
    </row>
    <row r="3166" spans="1:6" x14ac:dyDescent="0.2">
      <c r="A3166" s="163" t="s">
        <v>3724</v>
      </c>
      <c r="B3166" s="164" t="s">
        <v>2345</v>
      </c>
      <c r="C3166" s="164">
        <v>14110978</v>
      </c>
      <c r="D3166" s="164" t="s">
        <v>109</v>
      </c>
      <c r="E3166" s="164" t="s">
        <v>3699</v>
      </c>
      <c r="F3166" s="165">
        <v>3649.31</v>
      </c>
    </row>
    <row r="3167" spans="1:6" x14ac:dyDescent="0.2">
      <c r="A3167" s="166" t="s">
        <v>3724</v>
      </c>
      <c r="B3167" s="167" t="s">
        <v>2345</v>
      </c>
      <c r="C3167" s="167">
        <v>14110974</v>
      </c>
      <c r="D3167" s="167" t="s">
        <v>108</v>
      </c>
      <c r="E3167" s="167" t="s">
        <v>3699</v>
      </c>
      <c r="F3167" s="168">
        <v>3381.07</v>
      </c>
    </row>
    <row r="3168" spans="1:6" x14ac:dyDescent="0.2">
      <c r="A3168" s="163" t="s">
        <v>3724</v>
      </c>
      <c r="B3168" s="164" t="s">
        <v>2345</v>
      </c>
      <c r="C3168" s="164">
        <v>14110973</v>
      </c>
      <c r="D3168" s="164" t="s">
        <v>107</v>
      </c>
      <c r="E3168" s="164" t="s">
        <v>3699</v>
      </c>
      <c r="F3168" s="165">
        <v>3649.31</v>
      </c>
    </row>
    <row r="3169" spans="1:6" x14ac:dyDescent="0.2">
      <c r="A3169" s="166" t="s">
        <v>3724</v>
      </c>
      <c r="B3169" s="167" t="s">
        <v>2345</v>
      </c>
      <c r="C3169" s="167">
        <v>14110929</v>
      </c>
      <c r="D3169" s="167" t="s">
        <v>183</v>
      </c>
      <c r="E3169" s="167" t="s">
        <v>3699</v>
      </c>
      <c r="F3169" s="168">
        <v>3649.31</v>
      </c>
    </row>
    <row r="3170" spans="1:6" x14ac:dyDescent="0.2">
      <c r="A3170" s="163" t="s">
        <v>3724</v>
      </c>
      <c r="B3170" s="164" t="s">
        <v>2345</v>
      </c>
      <c r="C3170" s="164">
        <v>14110799</v>
      </c>
      <c r="D3170" s="164" t="s">
        <v>462</v>
      </c>
      <c r="E3170" s="164" t="s">
        <v>3699</v>
      </c>
      <c r="F3170" s="165">
        <v>3288.46</v>
      </c>
    </row>
    <row r="3171" spans="1:6" x14ac:dyDescent="0.2">
      <c r="A3171" s="166" t="s">
        <v>3724</v>
      </c>
      <c r="B3171" s="167" t="s">
        <v>2345</v>
      </c>
      <c r="C3171" s="167">
        <v>14110765</v>
      </c>
      <c r="D3171" s="167" t="s">
        <v>106</v>
      </c>
      <c r="E3171" s="167" t="s">
        <v>3699</v>
      </c>
      <c r="F3171" s="168">
        <v>3381.07</v>
      </c>
    </row>
    <row r="3172" spans="1:6" x14ac:dyDescent="0.2">
      <c r="A3172" s="163" t="s">
        <v>3724</v>
      </c>
      <c r="B3172" s="164" t="s">
        <v>2345</v>
      </c>
      <c r="C3172" s="164">
        <v>14110761</v>
      </c>
      <c r="D3172" s="164" t="s">
        <v>105</v>
      </c>
      <c r="E3172" s="164" t="s">
        <v>3699</v>
      </c>
      <c r="F3172" s="165">
        <v>3649.31</v>
      </c>
    </row>
    <row r="3173" spans="1:6" x14ac:dyDescent="0.2">
      <c r="A3173" s="166" t="s">
        <v>3724</v>
      </c>
      <c r="B3173" s="167" t="s">
        <v>2345</v>
      </c>
      <c r="C3173" s="167">
        <v>14110707</v>
      </c>
      <c r="D3173" s="167" t="s">
        <v>268</v>
      </c>
      <c r="E3173" s="167" t="s">
        <v>3699</v>
      </c>
      <c r="F3173" s="168">
        <v>3381.07</v>
      </c>
    </row>
    <row r="3174" spans="1:6" x14ac:dyDescent="0.2">
      <c r="A3174" s="163" t="s">
        <v>3724</v>
      </c>
      <c r="B3174" s="164" t="s">
        <v>2345</v>
      </c>
      <c r="C3174" s="164">
        <v>14110604</v>
      </c>
      <c r="D3174" s="164" t="s">
        <v>336</v>
      </c>
      <c r="E3174" s="164" t="s">
        <v>3699</v>
      </c>
      <c r="F3174" s="165">
        <v>3288.46</v>
      </c>
    </row>
    <row r="3175" spans="1:6" x14ac:dyDescent="0.2">
      <c r="A3175" s="166" t="s">
        <v>3724</v>
      </c>
      <c r="B3175" s="167" t="s">
        <v>2345</v>
      </c>
      <c r="C3175" s="167">
        <v>14110550</v>
      </c>
      <c r="D3175" s="167" t="s">
        <v>104</v>
      </c>
      <c r="E3175" s="167" t="s">
        <v>3699</v>
      </c>
      <c r="F3175" s="168">
        <v>3381.07</v>
      </c>
    </row>
    <row r="3176" spans="1:6" x14ac:dyDescent="0.2">
      <c r="A3176" s="163" t="s">
        <v>3724</v>
      </c>
      <c r="B3176" s="164" t="s">
        <v>2345</v>
      </c>
      <c r="C3176" s="164">
        <v>14110512</v>
      </c>
      <c r="D3176" s="164" t="s">
        <v>187</v>
      </c>
      <c r="E3176" s="164" t="s">
        <v>3699</v>
      </c>
      <c r="F3176" s="165">
        <v>3649.31</v>
      </c>
    </row>
    <row r="3177" spans="1:6" x14ac:dyDescent="0.2">
      <c r="A3177" s="166" t="s">
        <v>3724</v>
      </c>
      <c r="B3177" s="167" t="s">
        <v>2345</v>
      </c>
      <c r="C3177" s="167">
        <v>14110506</v>
      </c>
      <c r="D3177" s="167" t="s">
        <v>427</v>
      </c>
      <c r="E3177" s="167" t="s">
        <v>3699</v>
      </c>
      <c r="F3177" s="168">
        <v>3288.46</v>
      </c>
    </row>
    <row r="3178" spans="1:6" x14ac:dyDescent="0.2">
      <c r="A3178" s="163" t="s">
        <v>3724</v>
      </c>
      <c r="B3178" s="164" t="s">
        <v>2345</v>
      </c>
      <c r="C3178" s="164">
        <v>14110465</v>
      </c>
      <c r="D3178" s="164" t="s">
        <v>103</v>
      </c>
      <c r="E3178" s="164" t="s">
        <v>3699</v>
      </c>
      <c r="F3178" s="165">
        <v>3649.31</v>
      </c>
    </row>
    <row r="3179" spans="1:6" x14ac:dyDescent="0.2">
      <c r="A3179" s="166" t="s">
        <v>3724</v>
      </c>
      <c r="B3179" s="167" t="s">
        <v>2345</v>
      </c>
      <c r="C3179" s="167">
        <v>14110339</v>
      </c>
      <c r="D3179" s="167" t="s">
        <v>102</v>
      </c>
      <c r="E3179" s="167" t="s">
        <v>3699</v>
      </c>
      <c r="F3179" s="168">
        <v>3649.31</v>
      </c>
    </row>
    <row r="3180" spans="1:6" x14ac:dyDescent="0.2">
      <c r="A3180" s="163" t="s">
        <v>3724</v>
      </c>
      <c r="B3180" s="164" t="s">
        <v>2345</v>
      </c>
      <c r="C3180" s="164">
        <v>14110336</v>
      </c>
      <c r="D3180" s="164" t="s">
        <v>983</v>
      </c>
      <c r="E3180" s="164" t="s">
        <v>3699</v>
      </c>
      <c r="F3180" s="165">
        <v>3288.46</v>
      </c>
    </row>
    <row r="3181" spans="1:6" x14ac:dyDescent="0.2">
      <c r="A3181" s="166" t="s">
        <v>3724</v>
      </c>
      <c r="B3181" s="167" t="s">
        <v>2345</v>
      </c>
      <c r="C3181" s="167">
        <v>14110292</v>
      </c>
      <c r="D3181" s="167" t="s">
        <v>101</v>
      </c>
      <c r="E3181" s="167" t="s">
        <v>3699</v>
      </c>
      <c r="F3181" s="168">
        <v>3649.31</v>
      </c>
    </row>
    <row r="3182" spans="1:6" x14ac:dyDescent="0.2">
      <c r="A3182" s="163" t="s">
        <v>3724</v>
      </c>
      <c r="B3182" s="164" t="s">
        <v>2345</v>
      </c>
      <c r="C3182" s="164">
        <v>14110044</v>
      </c>
      <c r="D3182" s="164" t="s">
        <v>145</v>
      </c>
      <c r="E3182" s="164" t="s">
        <v>3699</v>
      </c>
      <c r="F3182" s="165">
        <v>3649.31</v>
      </c>
    </row>
    <row r="3183" spans="1:6" x14ac:dyDescent="0.2">
      <c r="A3183" s="166" t="s">
        <v>3724</v>
      </c>
      <c r="B3183" s="167" t="s">
        <v>2345</v>
      </c>
      <c r="C3183" s="167">
        <v>14110042</v>
      </c>
      <c r="D3183" s="167" t="s">
        <v>335</v>
      </c>
      <c r="E3183" s="167" t="s">
        <v>3699</v>
      </c>
      <c r="F3183" s="168">
        <v>3649.31</v>
      </c>
    </row>
    <row r="3184" spans="1:6" x14ac:dyDescent="0.2">
      <c r="A3184" s="163" t="s">
        <v>3724</v>
      </c>
      <c r="B3184" s="164" t="s">
        <v>2345</v>
      </c>
      <c r="C3184" s="164">
        <v>14110040</v>
      </c>
      <c r="D3184" s="164" t="s">
        <v>100</v>
      </c>
      <c r="E3184" s="164" t="s">
        <v>3699</v>
      </c>
      <c r="F3184" s="165">
        <v>3649.31</v>
      </c>
    </row>
    <row r="3185" spans="1:6" x14ac:dyDescent="0.2">
      <c r="A3185" s="166" t="s">
        <v>3724</v>
      </c>
      <c r="B3185" s="167" t="s">
        <v>2345</v>
      </c>
      <c r="C3185" s="167">
        <v>14109948</v>
      </c>
      <c r="D3185" s="167" t="s">
        <v>166</v>
      </c>
      <c r="E3185" s="167" t="s">
        <v>3699</v>
      </c>
      <c r="F3185" s="168">
        <v>3649.31</v>
      </c>
    </row>
    <row r="3186" spans="1:6" x14ac:dyDescent="0.2">
      <c r="A3186" s="163" t="s">
        <v>3724</v>
      </c>
      <c r="B3186" s="164" t="s">
        <v>2345</v>
      </c>
      <c r="C3186" s="164">
        <v>14109874</v>
      </c>
      <c r="D3186" s="164" t="s">
        <v>98</v>
      </c>
      <c r="E3186" s="164" t="s">
        <v>3699</v>
      </c>
      <c r="F3186" s="165">
        <v>3381.07</v>
      </c>
    </row>
    <row r="3187" spans="1:6" x14ac:dyDescent="0.2">
      <c r="A3187" s="166" t="s">
        <v>3724</v>
      </c>
      <c r="B3187" s="167" t="s">
        <v>2345</v>
      </c>
      <c r="C3187" s="167">
        <v>14109808</v>
      </c>
      <c r="D3187" s="167" t="s">
        <v>97</v>
      </c>
      <c r="E3187" s="167" t="s">
        <v>3699</v>
      </c>
      <c r="F3187" s="168">
        <v>3649.31</v>
      </c>
    </row>
    <row r="3188" spans="1:6" x14ac:dyDescent="0.2">
      <c r="A3188" s="163" t="s">
        <v>3724</v>
      </c>
      <c r="B3188" s="164" t="s">
        <v>2345</v>
      </c>
      <c r="C3188" s="164">
        <v>14109802</v>
      </c>
      <c r="D3188" s="164" t="s">
        <v>96</v>
      </c>
      <c r="E3188" s="164" t="s">
        <v>3699</v>
      </c>
      <c r="F3188" s="165">
        <v>3381.07</v>
      </c>
    </row>
    <row r="3189" spans="1:6" x14ac:dyDescent="0.2">
      <c r="A3189" s="166" t="s">
        <v>3724</v>
      </c>
      <c r="B3189" s="167" t="s">
        <v>2345</v>
      </c>
      <c r="C3189" s="167">
        <v>14109748</v>
      </c>
      <c r="D3189" s="167" t="s">
        <v>95</v>
      </c>
      <c r="E3189" s="167" t="s">
        <v>3699</v>
      </c>
      <c r="F3189" s="168">
        <v>966.02</v>
      </c>
    </row>
    <row r="3190" spans="1:6" x14ac:dyDescent="0.2">
      <c r="A3190" s="163" t="s">
        <v>3724</v>
      </c>
      <c r="B3190" s="164" t="s">
        <v>2345</v>
      </c>
      <c r="C3190" s="164">
        <v>14109738</v>
      </c>
      <c r="D3190" s="164" t="s">
        <v>94</v>
      </c>
      <c r="E3190" s="164" t="s">
        <v>3699</v>
      </c>
      <c r="F3190" s="165">
        <v>3381.07</v>
      </c>
    </row>
    <row r="3191" spans="1:6" x14ac:dyDescent="0.2">
      <c r="A3191" s="166" t="s">
        <v>3724</v>
      </c>
      <c r="B3191" s="167" t="s">
        <v>2345</v>
      </c>
      <c r="C3191" s="167">
        <v>14109707</v>
      </c>
      <c r="D3191" s="167" t="s">
        <v>93</v>
      </c>
      <c r="E3191" s="167" t="s">
        <v>3699</v>
      </c>
      <c r="F3191" s="168">
        <v>3649.31</v>
      </c>
    </row>
    <row r="3192" spans="1:6" x14ac:dyDescent="0.2">
      <c r="A3192" s="163" t="s">
        <v>3724</v>
      </c>
      <c r="B3192" s="164" t="s">
        <v>2345</v>
      </c>
      <c r="C3192" s="164">
        <v>14109674</v>
      </c>
      <c r="D3192" s="164" t="s">
        <v>91</v>
      </c>
      <c r="E3192" s="164" t="s">
        <v>3699</v>
      </c>
      <c r="F3192" s="165">
        <v>3649.31</v>
      </c>
    </row>
    <row r="3193" spans="1:6" x14ac:dyDescent="0.2">
      <c r="A3193" s="166" t="s">
        <v>3724</v>
      </c>
      <c r="B3193" s="167" t="s">
        <v>2345</v>
      </c>
      <c r="C3193" s="167">
        <v>14109648</v>
      </c>
      <c r="D3193" s="167" t="s">
        <v>214</v>
      </c>
      <c r="E3193" s="167" t="s">
        <v>3699</v>
      </c>
      <c r="F3193" s="168">
        <v>3649.31</v>
      </c>
    </row>
    <row r="3194" spans="1:6" x14ac:dyDescent="0.2">
      <c r="A3194" s="163" t="s">
        <v>3724</v>
      </c>
      <c r="B3194" s="164" t="s">
        <v>2345</v>
      </c>
      <c r="C3194" s="164">
        <v>14109436</v>
      </c>
      <c r="D3194" s="164" t="s">
        <v>371</v>
      </c>
      <c r="E3194" s="164" t="s">
        <v>3699</v>
      </c>
      <c r="F3194" s="165">
        <v>3649.31</v>
      </c>
    </row>
    <row r="3195" spans="1:6" x14ac:dyDescent="0.2">
      <c r="A3195" s="166" t="s">
        <v>3724</v>
      </c>
      <c r="B3195" s="167" t="s">
        <v>2345</v>
      </c>
      <c r="C3195" s="167">
        <v>14109435</v>
      </c>
      <c r="D3195" s="167" t="s">
        <v>89</v>
      </c>
      <c r="E3195" s="167" t="s">
        <v>3699</v>
      </c>
      <c r="F3195" s="168">
        <v>3649.31</v>
      </c>
    </row>
    <row r="3196" spans="1:6" x14ac:dyDescent="0.2">
      <c r="A3196" s="163" t="s">
        <v>3724</v>
      </c>
      <c r="B3196" s="164" t="s">
        <v>2345</v>
      </c>
      <c r="C3196" s="164">
        <v>14109408</v>
      </c>
      <c r="D3196" s="164" t="s">
        <v>87</v>
      </c>
      <c r="E3196" s="164" t="s">
        <v>3699</v>
      </c>
      <c r="F3196" s="165">
        <v>3649.31</v>
      </c>
    </row>
    <row r="3197" spans="1:6" x14ac:dyDescent="0.2">
      <c r="A3197" s="166" t="s">
        <v>3724</v>
      </c>
      <c r="B3197" s="167" t="s">
        <v>2345</v>
      </c>
      <c r="C3197" s="167">
        <v>14109378</v>
      </c>
      <c r="D3197" s="167" t="s">
        <v>86</v>
      </c>
      <c r="E3197" s="167" t="s">
        <v>3699</v>
      </c>
      <c r="F3197" s="168">
        <v>3649.31</v>
      </c>
    </row>
    <row r="3198" spans="1:6" x14ac:dyDescent="0.2">
      <c r="A3198" s="163" t="s">
        <v>3724</v>
      </c>
      <c r="B3198" s="164" t="s">
        <v>2345</v>
      </c>
      <c r="C3198" s="164">
        <v>14109134</v>
      </c>
      <c r="D3198" s="164" t="s">
        <v>85</v>
      </c>
      <c r="E3198" s="164" t="s">
        <v>3699</v>
      </c>
      <c r="F3198" s="165">
        <v>3649.31</v>
      </c>
    </row>
    <row r="3199" spans="1:6" x14ac:dyDescent="0.2">
      <c r="A3199" s="166" t="s">
        <v>3724</v>
      </c>
      <c r="B3199" s="167" t="s">
        <v>2345</v>
      </c>
      <c r="C3199" s="167">
        <v>14109133</v>
      </c>
      <c r="D3199" s="167" t="s">
        <v>84</v>
      </c>
      <c r="E3199" s="167" t="s">
        <v>3699</v>
      </c>
      <c r="F3199" s="168">
        <v>3649.31</v>
      </c>
    </row>
    <row r="3200" spans="1:6" x14ac:dyDescent="0.2">
      <c r="A3200" s="163" t="s">
        <v>3724</v>
      </c>
      <c r="B3200" s="164" t="s">
        <v>2345</v>
      </c>
      <c r="C3200" s="164">
        <v>14109131</v>
      </c>
      <c r="D3200" s="164" t="s">
        <v>83</v>
      </c>
      <c r="E3200" s="164" t="s">
        <v>3699</v>
      </c>
      <c r="F3200" s="165">
        <v>3649.31</v>
      </c>
    </row>
    <row r="3201" spans="1:6" x14ac:dyDescent="0.2">
      <c r="A3201" s="166" t="s">
        <v>3724</v>
      </c>
      <c r="B3201" s="167" t="s">
        <v>2345</v>
      </c>
      <c r="C3201" s="167">
        <v>14109097</v>
      </c>
      <c r="D3201" s="167" t="s">
        <v>82</v>
      </c>
      <c r="E3201" s="167" t="s">
        <v>3699</v>
      </c>
      <c r="F3201" s="168">
        <v>3649.31</v>
      </c>
    </row>
    <row r="3202" spans="1:6" x14ac:dyDescent="0.2">
      <c r="A3202" s="163" t="s">
        <v>3724</v>
      </c>
      <c r="B3202" s="164" t="s">
        <v>2345</v>
      </c>
      <c r="C3202" s="164">
        <v>14109032</v>
      </c>
      <c r="D3202" s="164" t="s">
        <v>81</v>
      </c>
      <c r="E3202" s="164" t="s">
        <v>3699</v>
      </c>
      <c r="F3202" s="165">
        <v>3649.31</v>
      </c>
    </row>
    <row r="3203" spans="1:6" x14ac:dyDescent="0.2">
      <c r="A3203" s="166" t="s">
        <v>3724</v>
      </c>
      <c r="B3203" s="167" t="s">
        <v>2345</v>
      </c>
      <c r="C3203" s="167">
        <v>14108916</v>
      </c>
      <c r="D3203" s="167" t="s">
        <v>80</v>
      </c>
      <c r="E3203" s="167" t="s">
        <v>3699</v>
      </c>
      <c r="F3203" s="168">
        <v>3649.31</v>
      </c>
    </row>
    <row r="3204" spans="1:6" x14ac:dyDescent="0.2">
      <c r="A3204" s="163" t="s">
        <v>3724</v>
      </c>
      <c r="B3204" s="164" t="s">
        <v>2345</v>
      </c>
      <c r="C3204" s="164">
        <v>14108828</v>
      </c>
      <c r="D3204" s="164" t="s">
        <v>227</v>
      </c>
      <c r="E3204" s="164" t="s">
        <v>3699</v>
      </c>
      <c r="F3204" s="165">
        <v>3504.41</v>
      </c>
    </row>
    <row r="3205" spans="1:6" x14ac:dyDescent="0.2">
      <c r="A3205" s="166" t="s">
        <v>3724</v>
      </c>
      <c r="B3205" s="167" t="s">
        <v>2345</v>
      </c>
      <c r="C3205" s="167">
        <v>14108775</v>
      </c>
      <c r="D3205" s="167" t="s">
        <v>182</v>
      </c>
      <c r="E3205" s="167" t="s">
        <v>3699</v>
      </c>
      <c r="F3205" s="168">
        <v>3504.41</v>
      </c>
    </row>
    <row r="3206" spans="1:6" x14ac:dyDescent="0.2">
      <c r="A3206" s="163" t="s">
        <v>3724</v>
      </c>
      <c r="B3206" s="164" t="s">
        <v>2345</v>
      </c>
      <c r="C3206" s="164">
        <v>14108571</v>
      </c>
      <c r="D3206" s="164" t="s">
        <v>78</v>
      </c>
      <c r="E3206" s="164" t="s">
        <v>3699</v>
      </c>
      <c r="F3206" s="165">
        <v>3649.31</v>
      </c>
    </row>
    <row r="3207" spans="1:6" x14ac:dyDescent="0.2">
      <c r="A3207" s="166" t="s">
        <v>3724</v>
      </c>
      <c r="B3207" s="167" t="s">
        <v>2345</v>
      </c>
      <c r="C3207" s="167">
        <v>14108552</v>
      </c>
      <c r="D3207" s="167" t="s">
        <v>314</v>
      </c>
      <c r="E3207" s="167" t="s">
        <v>3699</v>
      </c>
      <c r="F3207" s="168">
        <v>3649.31</v>
      </c>
    </row>
    <row r="3208" spans="1:6" x14ac:dyDescent="0.2">
      <c r="A3208" s="163" t="s">
        <v>3724</v>
      </c>
      <c r="B3208" s="164" t="s">
        <v>2345</v>
      </c>
      <c r="C3208" s="164">
        <v>14108483</v>
      </c>
      <c r="D3208" s="164" t="s">
        <v>77</v>
      </c>
      <c r="E3208" s="164" t="s">
        <v>3699</v>
      </c>
      <c r="F3208" s="165">
        <v>3649.31</v>
      </c>
    </row>
    <row r="3209" spans="1:6" x14ac:dyDescent="0.2">
      <c r="A3209" s="166" t="s">
        <v>3724</v>
      </c>
      <c r="B3209" s="167" t="s">
        <v>2345</v>
      </c>
      <c r="C3209" s="167">
        <v>14108382</v>
      </c>
      <c r="D3209" s="167" t="s">
        <v>76</v>
      </c>
      <c r="E3209" s="167" t="s">
        <v>3699</v>
      </c>
      <c r="F3209" s="168">
        <v>1042.6600000000001</v>
      </c>
    </row>
    <row r="3210" spans="1:6" x14ac:dyDescent="0.2">
      <c r="A3210" s="163" t="s">
        <v>3724</v>
      </c>
      <c r="B3210" s="164" t="s">
        <v>2345</v>
      </c>
      <c r="C3210" s="164">
        <v>14108361</v>
      </c>
      <c r="D3210" s="164" t="s">
        <v>75</v>
      </c>
      <c r="E3210" s="164" t="s">
        <v>3699</v>
      </c>
      <c r="F3210" s="165">
        <v>3649.31</v>
      </c>
    </row>
    <row r="3211" spans="1:6" x14ac:dyDescent="0.2">
      <c r="A3211" s="166" t="s">
        <v>3724</v>
      </c>
      <c r="B3211" s="167" t="s">
        <v>2345</v>
      </c>
      <c r="C3211" s="167">
        <v>14108271</v>
      </c>
      <c r="D3211" s="167" t="s">
        <v>74</v>
      </c>
      <c r="E3211" s="167" t="s">
        <v>3699</v>
      </c>
      <c r="F3211" s="168">
        <v>3649.31</v>
      </c>
    </row>
    <row r="3212" spans="1:6" x14ac:dyDescent="0.2">
      <c r="A3212" s="163" t="s">
        <v>3724</v>
      </c>
      <c r="B3212" s="164" t="s">
        <v>2345</v>
      </c>
      <c r="C3212" s="164">
        <v>14108267</v>
      </c>
      <c r="D3212" s="164" t="s">
        <v>73</v>
      </c>
      <c r="E3212" s="164" t="s">
        <v>3699</v>
      </c>
      <c r="F3212" s="165">
        <v>3649.31</v>
      </c>
    </row>
    <row r="3213" spans="1:6" x14ac:dyDescent="0.2">
      <c r="A3213" s="166" t="s">
        <v>3724</v>
      </c>
      <c r="B3213" s="167" t="s">
        <v>2345</v>
      </c>
      <c r="C3213" s="167">
        <v>14108222</v>
      </c>
      <c r="D3213" s="167" t="s">
        <v>72</v>
      </c>
      <c r="E3213" s="167" t="s">
        <v>3699</v>
      </c>
      <c r="F3213" s="168">
        <v>3649.31</v>
      </c>
    </row>
    <row r="3214" spans="1:6" x14ac:dyDescent="0.2">
      <c r="A3214" s="163" t="s">
        <v>3724</v>
      </c>
      <c r="B3214" s="164" t="s">
        <v>2345</v>
      </c>
      <c r="C3214" s="164">
        <v>14108150</v>
      </c>
      <c r="D3214" s="164" t="s">
        <v>71</v>
      </c>
      <c r="E3214" s="164" t="s">
        <v>3699</v>
      </c>
      <c r="F3214" s="165">
        <v>3649.31</v>
      </c>
    </row>
    <row r="3215" spans="1:6" x14ac:dyDescent="0.2">
      <c r="A3215" s="166" t="s">
        <v>3724</v>
      </c>
      <c r="B3215" s="167" t="s">
        <v>2345</v>
      </c>
      <c r="C3215" s="167">
        <v>14108111</v>
      </c>
      <c r="D3215" s="167" t="s">
        <v>70</v>
      </c>
      <c r="E3215" s="167" t="s">
        <v>3699</v>
      </c>
      <c r="F3215" s="168">
        <v>3649.31</v>
      </c>
    </row>
    <row r="3216" spans="1:6" x14ac:dyDescent="0.2">
      <c r="A3216" s="163" t="s">
        <v>3724</v>
      </c>
      <c r="B3216" s="164" t="s">
        <v>2345</v>
      </c>
      <c r="C3216" s="164">
        <v>14107978</v>
      </c>
      <c r="D3216" s="164" t="s">
        <v>69</v>
      </c>
      <c r="E3216" s="164" t="s">
        <v>3699</v>
      </c>
      <c r="F3216" s="165">
        <v>3649.31</v>
      </c>
    </row>
    <row r="3217" spans="1:6" x14ac:dyDescent="0.2">
      <c r="A3217" s="166" t="s">
        <v>3724</v>
      </c>
      <c r="B3217" s="167" t="s">
        <v>2345</v>
      </c>
      <c r="C3217" s="167">
        <v>14107967</v>
      </c>
      <c r="D3217" s="167" t="s">
        <v>68</v>
      </c>
      <c r="E3217" s="167" t="s">
        <v>3699</v>
      </c>
      <c r="F3217" s="168">
        <v>2606.65</v>
      </c>
    </row>
    <row r="3218" spans="1:6" x14ac:dyDescent="0.2">
      <c r="A3218" s="163" t="s">
        <v>3724</v>
      </c>
      <c r="B3218" s="164" t="s">
        <v>2345</v>
      </c>
      <c r="C3218" s="164">
        <v>14107840</v>
      </c>
      <c r="D3218" s="164" t="s">
        <v>67</v>
      </c>
      <c r="E3218" s="164" t="s">
        <v>3699</v>
      </c>
      <c r="F3218" s="165">
        <v>3649.31</v>
      </c>
    </row>
    <row r="3219" spans="1:6" x14ac:dyDescent="0.2">
      <c r="A3219" s="166" t="s">
        <v>3724</v>
      </c>
      <c r="B3219" s="167" t="s">
        <v>2345</v>
      </c>
      <c r="C3219" s="167">
        <v>14107754</v>
      </c>
      <c r="D3219" s="167" t="s">
        <v>66</v>
      </c>
      <c r="E3219" s="167" t="s">
        <v>3699</v>
      </c>
      <c r="F3219" s="168">
        <v>3649.31</v>
      </c>
    </row>
    <row r="3220" spans="1:6" x14ac:dyDescent="0.2">
      <c r="A3220" s="163" t="s">
        <v>3724</v>
      </c>
      <c r="B3220" s="164" t="s">
        <v>2345</v>
      </c>
      <c r="C3220" s="164">
        <v>14107735</v>
      </c>
      <c r="D3220" s="164" t="s">
        <v>65</v>
      </c>
      <c r="E3220" s="164" t="s">
        <v>3699</v>
      </c>
      <c r="F3220" s="165">
        <v>3649.31</v>
      </c>
    </row>
    <row r="3221" spans="1:6" x14ac:dyDescent="0.2">
      <c r="A3221" s="166" t="s">
        <v>3724</v>
      </c>
      <c r="B3221" s="167" t="s">
        <v>2345</v>
      </c>
      <c r="C3221" s="167">
        <v>14107552</v>
      </c>
      <c r="D3221" s="167" t="s">
        <v>64</v>
      </c>
      <c r="E3221" s="167" t="s">
        <v>3699</v>
      </c>
      <c r="F3221" s="168">
        <v>3649.31</v>
      </c>
    </row>
    <row r="3222" spans="1:6" x14ac:dyDescent="0.2">
      <c r="A3222" s="163" t="s">
        <v>3724</v>
      </c>
      <c r="B3222" s="164" t="s">
        <v>2345</v>
      </c>
      <c r="C3222" s="164">
        <v>14107484</v>
      </c>
      <c r="D3222" s="164" t="s">
        <v>63</v>
      </c>
      <c r="E3222" s="164" t="s">
        <v>3699</v>
      </c>
      <c r="F3222" s="165">
        <v>3649.31</v>
      </c>
    </row>
    <row r="3223" spans="1:6" x14ac:dyDescent="0.2">
      <c r="A3223" s="166" t="s">
        <v>3724</v>
      </c>
      <c r="B3223" s="167" t="s">
        <v>2345</v>
      </c>
      <c r="C3223" s="167">
        <v>14107393</v>
      </c>
      <c r="D3223" s="167" t="s">
        <v>62</v>
      </c>
      <c r="E3223" s="167" t="s">
        <v>3699</v>
      </c>
      <c r="F3223" s="168">
        <v>3649.31</v>
      </c>
    </row>
    <row r="3224" spans="1:6" x14ac:dyDescent="0.2">
      <c r="A3224" s="163" t="s">
        <v>3724</v>
      </c>
      <c r="B3224" s="164" t="s">
        <v>2345</v>
      </c>
      <c r="C3224" s="164">
        <v>14107271</v>
      </c>
      <c r="D3224" s="164" t="s">
        <v>61</v>
      </c>
      <c r="E3224" s="164" t="s">
        <v>3699</v>
      </c>
      <c r="F3224" s="165">
        <v>3381.07</v>
      </c>
    </row>
    <row r="3225" spans="1:6" x14ac:dyDescent="0.2">
      <c r="A3225" s="166" t="s">
        <v>3724</v>
      </c>
      <c r="B3225" s="167" t="s">
        <v>2345</v>
      </c>
      <c r="C3225" s="167">
        <v>14107206</v>
      </c>
      <c r="D3225" s="167" t="s">
        <v>59</v>
      </c>
      <c r="E3225" s="167" t="s">
        <v>3699</v>
      </c>
      <c r="F3225" s="168">
        <v>3649.31</v>
      </c>
    </row>
    <row r="3226" spans="1:6" x14ac:dyDescent="0.2">
      <c r="A3226" s="163" t="s">
        <v>3724</v>
      </c>
      <c r="B3226" s="164" t="s">
        <v>2345</v>
      </c>
      <c r="C3226" s="164">
        <v>14107202</v>
      </c>
      <c r="D3226" s="164" t="s">
        <v>58</v>
      </c>
      <c r="E3226" s="164" t="s">
        <v>3699</v>
      </c>
      <c r="F3226" s="165">
        <v>3649.31</v>
      </c>
    </row>
    <row r="3227" spans="1:6" x14ac:dyDescent="0.2">
      <c r="A3227" s="166" t="s">
        <v>3724</v>
      </c>
      <c r="B3227" s="167" t="s">
        <v>2345</v>
      </c>
      <c r="C3227" s="167">
        <v>14107167</v>
      </c>
      <c r="D3227" s="167" t="s">
        <v>57</v>
      </c>
      <c r="E3227" s="167" t="s">
        <v>3699</v>
      </c>
      <c r="F3227" s="168">
        <v>3649.31</v>
      </c>
    </row>
    <row r="3228" spans="1:6" x14ac:dyDescent="0.2">
      <c r="A3228" s="163" t="s">
        <v>3724</v>
      </c>
      <c r="B3228" s="164" t="s">
        <v>2345</v>
      </c>
      <c r="C3228" s="164">
        <v>14107081</v>
      </c>
      <c r="D3228" s="164" t="s">
        <v>56</v>
      </c>
      <c r="E3228" s="164" t="s">
        <v>3699</v>
      </c>
      <c r="F3228" s="165">
        <v>1563.99</v>
      </c>
    </row>
    <row r="3229" spans="1:6" x14ac:dyDescent="0.2">
      <c r="A3229" s="166" t="s">
        <v>3724</v>
      </c>
      <c r="B3229" s="167" t="s">
        <v>2345</v>
      </c>
      <c r="C3229" s="167">
        <v>14106980</v>
      </c>
      <c r="D3229" s="167" t="s">
        <v>55</v>
      </c>
      <c r="E3229" s="167" t="s">
        <v>3699</v>
      </c>
      <c r="F3229" s="168">
        <v>3649.31</v>
      </c>
    </row>
    <row r="3230" spans="1:6" x14ac:dyDescent="0.2">
      <c r="A3230" s="163" t="s">
        <v>3724</v>
      </c>
      <c r="B3230" s="164" t="s">
        <v>2345</v>
      </c>
      <c r="C3230" s="164">
        <v>14106949</v>
      </c>
      <c r="D3230" s="164" t="s">
        <v>54</v>
      </c>
      <c r="E3230" s="164" t="s">
        <v>3699</v>
      </c>
      <c r="F3230" s="165">
        <v>3649.31</v>
      </c>
    </row>
    <row r="3231" spans="1:6" x14ac:dyDescent="0.2">
      <c r="A3231" s="166" t="s">
        <v>3724</v>
      </c>
      <c r="B3231" s="167" t="s">
        <v>2345</v>
      </c>
      <c r="C3231" s="167">
        <v>14106778</v>
      </c>
      <c r="D3231" s="167" t="s">
        <v>53</v>
      </c>
      <c r="E3231" s="167" t="s">
        <v>3699</v>
      </c>
      <c r="F3231" s="168">
        <v>3649.31</v>
      </c>
    </row>
    <row r="3232" spans="1:6" x14ac:dyDescent="0.2">
      <c r="A3232" s="163" t="s">
        <v>3724</v>
      </c>
      <c r="B3232" s="164" t="s">
        <v>2345</v>
      </c>
      <c r="C3232" s="164">
        <v>14106438</v>
      </c>
      <c r="D3232" s="164" t="s">
        <v>52</v>
      </c>
      <c r="E3232" s="164" t="s">
        <v>3699</v>
      </c>
      <c r="F3232" s="165">
        <v>3649.31</v>
      </c>
    </row>
    <row r="3233" spans="1:6" x14ac:dyDescent="0.2">
      <c r="A3233" s="166" t="s">
        <v>3724</v>
      </c>
      <c r="B3233" s="167" t="s">
        <v>2345</v>
      </c>
      <c r="C3233" s="167">
        <v>14106368</v>
      </c>
      <c r="D3233" s="167" t="s">
        <v>51</v>
      </c>
      <c r="E3233" s="167" t="s">
        <v>3699</v>
      </c>
      <c r="F3233" s="168">
        <v>3649.31</v>
      </c>
    </row>
    <row r="3234" spans="1:6" x14ac:dyDescent="0.2">
      <c r="A3234" s="163" t="s">
        <v>3724</v>
      </c>
      <c r="B3234" s="164" t="s">
        <v>2345</v>
      </c>
      <c r="C3234" s="164">
        <v>14106233</v>
      </c>
      <c r="D3234" s="164" t="s">
        <v>347</v>
      </c>
      <c r="E3234" s="164" t="s">
        <v>3699</v>
      </c>
      <c r="F3234" s="165">
        <v>3649.31</v>
      </c>
    </row>
    <row r="3235" spans="1:6" x14ac:dyDescent="0.2">
      <c r="A3235" s="166" t="s">
        <v>3724</v>
      </c>
      <c r="B3235" s="167" t="s">
        <v>2345</v>
      </c>
      <c r="C3235" s="167">
        <v>14106066</v>
      </c>
      <c r="D3235" s="167" t="s">
        <v>50</v>
      </c>
      <c r="E3235" s="167" t="s">
        <v>3699</v>
      </c>
      <c r="F3235" s="168">
        <v>3381.07</v>
      </c>
    </row>
    <row r="3236" spans="1:6" x14ac:dyDescent="0.2">
      <c r="A3236" s="163" t="s">
        <v>3724</v>
      </c>
      <c r="B3236" s="164" t="s">
        <v>2345</v>
      </c>
      <c r="C3236" s="164">
        <v>14106035</v>
      </c>
      <c r="D3236" s="164" t="s">
        <v>49</v>
      </c>
      <c r="E3236" s="164" t="s">
        <v>3699</v>
      </c>
      <c r="F3236" s="165">
        <v>4374.72</v>
      </c>
    </row>
    <row r="3237" spans="1:6" x14ac:dyDescent="0.2">
      <c r="A3237" s="166" t="s">
        <v>3724</v>
      </c>
      <c r="B3237" s="167" t="s">
        <v>2345</v>
      </c>
      <c r="C3237" s="167">
        <v>14106033</v>
      </c>
      <c r="D3237" s="167" t="s">
        <v>48</v>
      </c>
      <c r="E3237" s="167" t="s">
        <v>3699</v>
      </c>
      <c r="F3237" s="168">
        <v>3649.31</v>
      </c>
    </row>
    <row r="3238" spans="1:6" x14ac:dyDescent="0.2">
      <c r="A3238" s="163" t="s">
        <v>3724</v>
      </c>
      <c r="B3238" s="164" t="s">
        <v>2345</v>
      </c>
      <c r="C3238" s="164">
        <v>14105645</v>
      </c>
      <c r="D3238" s="164" t="s">
        <v>161</v>
      </c>
      <c r="E3238" s="164" t="s">
        <v>3699</v>
      </c>
      <c r="F3238" s="165">
        <v>3649.31</v>
      </c>
    </row>
    <row r="3239" spans="1:6" x14ac:dyDescent="0.2">
      <c r="A3239" s="166" t="s">
        <v>3724</v>
      </c>
      <c r="B3239" s="167" t="s">
        <v>2345</v>
      </c>
      <c r="C3239" s="167">
        <v>14105586</v>
      </c>
      <c r="D3239" s="167" t="s">
        <v>47</v>
      </c>
      <c r="E3239" s="167" t="s">
        <v>3699</v>
      </c>
      <c r="F3239" s="168">
        <v>3649.31</v>
      </c>
    </row>
    <row r="3240" spans="1:6" x14ac:dyDescent="0.2">
      <c r="A3240" s="163" t="s">
        <v>3724</v>
      </c>
      <c r="B3240" s="164" t="s">
        <v>2345</v>
      </c>
      <c r="C3240" s="164">
        <v>14105531</v>
      </c>
      <c r="D3240" s="164" t="s">
        <v>46</v>
      </c>
      <c r="E3240" s="164" t="s">
        <v>3699</v>
      </c>
      <c r="F3240" s="165">
        <v>3649.31</v>
      </c>
    </row>
    <row r="3241" spans="1:6" x14ac:dyDescent="0.2">
      <c r="A3241" s="166" t="s">
        <v>3724</v>
      </c>
      <c r="B3241" s="167" t="s">
        <v>2345</v>
      </c>
      <c r="C3241" s="167">
        <v>14105437</v>
      </c>
      <c r="D3241" s="167" t="s">
        <v>45</v>
      </c>
      <c r="E3241" s="167" t="s">
        <v>3699</v>
      </c>
      <c r="F3241" s="168">
        <v>3649.31</v>
      </c>
    </row>
    <row r="3242" spans="1:6" x14ac:dyDescent="0.2">
      <c r="A3242" s="163" t="s">
        <v>3724</v>
      </c>
      <c r="B3242" s="164" t="s">
        <v>2345</v>
      </c>
      <c r="C3242" s="164">
        <v>14104957</v>
      </c>
      <c r="D3242" s="164" t="s">
        <v>308</v>
      </c>
      <c r="E3242" s="164" t="s">
        <v>3699</v>
      </c>
      <c r="F3242" s="165">
        <v>3381.07</v>
      </c>
    </row>
    <row r="3243" spans="1:6" x14ac:dyDescent="0.2">
      <c r="A3243" s="166" t="s">
        <v>3724</v>
      </c>
      <c r="B3243" s="167" t="s">
        <v>2345</v>
      </c>
      <c r="C3243" s="167">
        <v>14104932</v>
      </c>
      <c r="D3243" s="167" t="s">
        <v>43</v>
      </c>
      <c r="E3243" s="167" t="s">
        <v>3699</v>
      </c>
      <c r="F3243" s="168">
        <v>3649.31</v>
      </c>
    </row>
    <row r="3244" spans="1:6" x14ac:dyDescent="0.2">
      <c r="A3244" s="163" t="s">
        <v>3724</v>
      </c>
      <c r="B3244" s="164" t="s">
        <v>2345</v>
      </c>
      <c r="C3244" s="164">
        <v>14104853</v>
      </c>
      <c r="D3244" s="164" t="s">
        <v>185</v>
      </c>
      <c r="E3244" s="164" t="s">
        <v>3699</v>
      </c>
      <c r="F3244" s="165">
        <v>3381.07</v>
      </c>
    </row>
    <row r="3245" spans="1:6" x14ac:dyDescent="0.2">
      <c r="A3245" s="166" t="s">
        <v>3724</v>
      </c>
      <c r="B3245" s="167" t="s">
        <v>2345</v>
      </c>
      <c r="C3245" s="167">
        <v>14104839</v>
      </c>
      <c r="D3245" s="167" t="s">
        <v>226</v>
      </c>
      <c r="E3245" s="167" t="s">
        <v>3699</v>
      </c>
      <c r="F3245" s="168">
        <v>3504.41</v>
      </c>
    </row>
    <row r="3246" spans="1:6" x14ac:dyDescent="0.2">
      <c r="A3246" s="163" t="s">
        <v>3724</v>
      </c>
      <c r="B3246" s="164" t="s">
        <v>2345</v>
      </c>
      <c r="C3246" s="164">
        <v>14104822</v>
      </c>
      <c r="D3246" s="164" t="s">
        <v>42</v>
      </c>
      <c r="E3246" s="164" t="s">
        <v>3699</v>
      </c>
      <c r="F3246" s="165">
        <v>3649.31</v>
      </c>
    </row>
    <row r="3247" spans="1:6" x14ac:dyDescent="0.2">
      <c r="A3247" s="166" t="s">
        <v>3724</v>
      </c>
      <c r="B3247" s="167" t="s">
        <v>2345</v>
      </c>
      <c r="C3247" s="167">
        <v>14104599</v>
      </c>
      <c r="D3247" s="167" t="s">
        <v>41</v>
      </c>
      <c r="E3247" s="167" t="s">
        <v>3699</v>
      </c>
      <c r="F3247" s="168">
        <v>3649.31</v>
      </c>
    </row>
    <row r="3248" spans="1:6" x14ac:dyDescent="0.2">
      <c r="A3248" s="163" t="s">
        <v>3724</v>
      </c>
      <c r="B3248" s="164" t="s">
        <v>2345</v>
      </c>
      <c r="C3248" s="164">
        <v>14104316</v>
      </c>
      <c r="D3248" s="164" t="s">
        <v>40</v>
      </c>
      <c r="E3248" s="164" t="s">
        <v>3699</v>
      </c>
      <c r="F3248" s="165">
        <v>3649.31</v>
      </c>
    </row>
    <row r="3249" spans="1:6" x14ac:dyDescent="0.2">
      <c r="A3249" s="166" t="s">
        <v>3724</v>
      </c>
      <c r="B3249" s="167" t="s">
        <v>2345</v>
      </c>
      <c r="C3249" s="167">
        <v>14104315</v>
      </c>
      <c r="D3249" s="167" t="s">
        <v>334</v>
      </c>
      <c r="E3249" s="167" t="s">
        <v>3699</v>
      </c>
      <c r="F3249" s="168">
        <v>3649.31</v>
      </c>
    </row>
    <row r="3250" spans="1:6" x14ac:dyDescent="0.2">
      <c r="A3250" s="163" t="s">
        <v>3724</v>
      </c>
      <c r="B3250" s="164" t="s">
        <v>2345</v>
      </c>
      <c r="C3250" s="164">
        <v>14103936</v>
      </c>
      <c r="D3250" s="164" t="s">
        <v>294</v>
      </c>
      <c r="E3250" s="164" t="s">
        <v>3699</v>
      </c>
      <c r="F3250" s="165">
        <v>3504.41</v>
      </c>
    </row>
    <row r="3251" spans="1:6" x14ac:dyDescent="0.2">
      <c r="A3251" s="166" t="s">
        <v>3724</v>
      </c>
      <c r="B3251" s="167" t="s">
        <v>2345</v>
      </c>
      <c r="C3251" s="167">
        <v>14103679</v>
      </c>
      <c r="D3251" s="167" t="s">
        <v>38</v>
      </c>
      <c r="E3251" s="167" t="s">
        <v>3699</v>
      </c>
      <c r="F3251" s="168">
        <v>3649.31</v>
      </c>
    </row>
    <row r="3252" spans="1:6" x14ac:dyDescent="0.2">
      <c r="A3252" s="163" t="s">
        <v>3724</v>
      </c>
      <c r="B3252" s="164" t="s">
        <v>2345</v>
      </c>
      <c r="C3252" s="164">
        <v>14103335</v>
      </c>
      <c r="D3252" s="164" t="s">
        <v>37</v>
      </c>
      <c r="E3252" s="164" t="s">
        <v>3699</v>
      </c>
      <c r="F3252" s="165">
        <v>3649.31</v>
      </c>
    </row>
    <row r="3253" spans="1:6" x14ac:dyDescent="0.2">
      <c r="A3253" s="166" t="s">
        <v>3724</v>
      </c>
      <c r="B3253" s="167" t="s">
        <v>2345</v>
      </c>
      <c r="C3253" s="167">
        <v>14103183</v>
      </c>
      <c r="D3253" s="167" t="s">
        <v>36</v>
      </c>
      <c r="E3253" s="167" t="s">
        <v>3699</v>
      </c>
      <c r="F3253" s="168">
        <v>3649.31</v>
      </c>
    </row>
    <row r="3254" spans="1:6" x14ac:dyDescent="0.2">
      <c r="A3254" s="163" t="s">
        <v>3724</v>
      </c>
      <c r="B3254" s="164" t="s">
        <v>2345</v>
      </c>
      <c r="C3254" s="164">
        <v>14103106</v>
      </c>
      <c r="D3254" s="164" t="s">
        <v>35</v>
      </c>
      <c r="E3254" s="164" t="s">
        <v>3699</v>
      </c>
      <c r="F3254" s="165">
        <v>3649.31</v>
      </c>
    </row>
    <row r="3255" spans="1:6" x14ac:dyDescent="0.2">
      <c r="A3255" s="166" t="s">
        <v>3724</v>
      </c>
      <c r="B3255" s="167" t="s">
        <v>2345</v>
      </c>
      <c r="C3255" s="167">
        <v>14103061</v>
      </c>
      <c r="D3255" s="167" t="s">
        <v>398</v>
      </c>
      <c r="E3255" s="167" t="s">
        <v>3699</v>
      </c>
      <c r="F3255" s="168">
        <v>3127.98</v>
      </c>
    </row>
    <row r="3256" spans="1:6" x14ac:dyDescent="0.2">
      <c r="A3256" s="163" t="s">
        <v>3724</v>
      </c>
      <c r="B3256" s="164" t="s">
        <v>2345</v>
      </c>
      <c r="C3256" s="164">
        <v>14102890</v>
      </c>
      <c r="D3256" s="164" t="s">
        <v>34</v>
      </c>
      <c r="E3256" s="164" t="s">
        <v>3699</v>
      </c>
      <c r="F3256" s="165">
        <v>1563.99</v>
      </c>
    </row>
    <row r="3257" spans="1:6" x14ac:dyDescent="0.2">
      <c r="A3257" s="166" t="s">
        <v>3724</v>
      </c>
      <c r="B3257" s="167" t="s">
        <v>2345</v>
      </c>
      <c r="C3257" s="167">
        <v>14102875</v>
      </c>
      <c r="D3257" s="167" t="s">
        <v>33</v>
      </c>
      <c r="E3257" s="167" t="s">
        <v>3699</v>
      </c>
      <c r="F3257" s="168">
        <v>3649.31</v>
      </c>
    </row>
    <row r="3258" spans="1:6" x14ac:dyDescent="0.2">
      <c r="A3258" s="163" t="s">
        <v>3724</v>
      </c>
      <c r="B3258" s="164" t="s">
        <v>2345</v>
      </c>
      <c r="C3258" s="164">
        <v>14102730</v>
      </c>
      <c r="D3258" s="164" t="s">
        <v>32</v>
      </c>
      <c r="E3258" s="164" t="s">
        <v>3699</v>
      </c>
      <c r="F3258" s="165">
        <v>3649.31</v>
      </c>
    </row>
    <row r="3259" spans="1:6" x14ac:dyDescent="0.2">
      <c r="A3259" s="166" t="s">
        <v>3724</v>
      </c>
      <c r="B3259" s="167" t="s">
        <v>2345</v>
      </c>
      <c r="C3259" s="167">
        <v>14102701</v>
      </c>
      <c r="D3259" s="167" t="s">
        <v>31</v>
      </c>
      <c r="E3259" s="167" t="s">
        <v>3699</v>
      </c>
      <c r="F3259" s="168">
        <v>3649.31</v>
      </c>
    </row>
    <row r="3260" spans="1:6" x14ac:dyDescent="0.2">
      <c r="A3260" s="163" t="s">
        <v>3724</v>
      </c>
      <c r="B3260" s="164" t="s">
        <v>2345</v>
      </c>
      <c r="C3260" s="164">
        <v>14102288</v>
      </c>
      <c r="D3260" s="164" t="s">
        <v>30</v>
      </c>
      <c r="E3260" s="164" t="s">
        <v>3699</v>
      </c>
      <c r="F3260" s="165">
        <v>3649.31</v>
      </c>
    </row>
    <row r="3261" spans="1:6" x14ac:dyDescent="0.2">
      <c r="A3261" s="166" t="s">
        <v>3724</v>
      </c>
      <c r="B3261" s="167" t="s">
        <v>2345</v>
      </c>
      <c r="C3261" s="167">
        <v>14102081</v>
      </c>
      <c r="D3261" s="167" t="s">
        <v>29</v>
      </c>
      <c r="E3261" s="167" t="s">
        <v>3699</v>
      </c>
      <c r="F3261" s="168">
        <v>3381.07</v>
      </c>
    </row>
    <row r="3262" spans="1:6" x14ac:dyDescent="0.2">
      <c r="A3262" s="163" t="s">
        <v>3724</v>
      </c>
      <c r="B3262" s="164" t="s">
        <v>2345</v>
      </c>
      <c r="C3262" s="164">
        <v>14101984</v>
      </c>
      <c r="D3262" s="164" t="s">
        <v>28</v>
      </c>
      <c r="E3262" s="164" t="s">
        <v>3699</v>
      </c>
      <c r="F3262" s="165">
        <v>3649.31</v>
      </c>
    </row>
    <row r="3263" spans="1:6" x14ac:dyDescent="0.2">
      <c r="A3263" s="166" t="s">
        <v>3724</v>
      </c>
      <c r="B3263" s="167" t="s">
        <v>2345</v>
      </c>
      <c r="C3263" s="167">
        <v>14101881</v>
      </c>
      <c r="D3263" s="167" t="s">
        <v>27</v>
      </c>
      <c r="E3263" s="167" t="s">
        <v>3699</v>
      </c>
      <c r="F3263" s="168">
        <v>3649.31</v>
      </c>
    </row>
    <row r="3264" spans="1:6" x14ac:dyDescent="0.2">
      <c r="A3264" s="163" t="s">
        <v>3724</v>
      </c>
      <c r="B3264" s="164" t="s">
        <v>2345</v>
      </c>
      <c r="C3264" s="164">
        <v>14100902</v>
      </c>
      <c r="D3264" s="164" t="s">
        <v>354</v>
      </c>
      <c r="E3264" s="164" t="s">
        <v>3699</v>
      </c>
      <c r="F3264" s="165">
        <v>3649.31</v>
      </c>
    </row>
    <row r="3265" spans="1:6" x14ac:dyDescent="0.2">
      <c r="A3265" s="166" t="s">
        <v>3724</v>
      </c>
      <c r="B3265" s="167" t="s">
        <v>2345</v>
      </c>
      <c r="C3265" s="167">
        <v>14100863</v>
      </c>
      <c r="D3265" s="167" t="s">
        <v>26</v>
      </c>
      <c r="E3265" s="167" t="s">
        <v>3699</v>
      </c>
      <c r="F3265" s="168">
        <v>3649.31</v>
      </c>
    </row>
    <row r="3266" spans="1:6" x14ac:dyDescent="0.2">
      <c r="A3266" s="163" t="s">
        <v>3724</v>
      </c>
      <c r="B3266" s="164" t="s">
        <v>2345</v>
      </c>
      <c r="C3266" s="164">
        <v>14100858</v>
      </c>
      <c r="D3266" s="164" t="s">
        <v>262</v>
      </c>
      <c r="E3266" s="164" t="s">
        <v>3699</v>
      </c>
      <c r="F3266" s="165">
        <v>3504.41</v>
      </c>
    </row>
    <row r="3267" spans="1:6" x14ac:dyDescent="0.2">
      <c r="A3267" s="166" t="s">
        <v>3724</v>
      </c>
      <c r="B3267" s="167" t="s">
        <v>2345</v>
      </c>
      <c r="C3267" s="167">
        <v>14100843</v>
      </c>
      <c r="D3267" s="167" t="s">
        <v>223</v>
      </c>
      <c r="E3267" s="167" t="s">
        <v>3699</v>
      </c>
      <c r="F3267" s="168">
        <v>3504.41</v>
      </c>
    </row>
    <row r="3268" spans="1:6" x14ac:dyDescent="0.2">
      <c r="A3268" s="163" t="s">
        <v>3724</v>
      </c>
      <c r="B3268" s="164" t="s">
        <v>2345</v>
      </c>
      <c r="C3268" s="164">
        <v>14100842</v>
      </c>
      <c r="D3268" s="164" t="s">
        <v>25</v>
      </c>
      <c r="E3268" s="164" t="s">
        <v>3699</v>
      </c>
      <c r="F3268" s="165">
        <v>3649.31</v>
      </c>
    </row>
    <row r="3269" spans="1:6" x14ac:dyDescent="0.2">
      <c r="A3269" s="166" t="s">
        <v>3724</v>
      </c>
      <c r="B3269" s="167" t="s">
        <v>2345</v>
      </c>
      <c r="C3269" s="167">
        <v>14100823</v>
      </c>
      <c r="D3269" s="167" t="s">
        <v>275</v>
      </c>
      <c r="E3269" s="167" t="s">
        <v>3699</v>
      </c>
      <c r="F3269" s="168">
        <v>3649.31</v>
      </c>
    </row>
    <row r="3270" spans="1:6" x14ac:dyDescent="0.2">
      <c r="A3270" s="163" t="s">
        <v>3724</v>
      </c>
      <c r="B3270" s="164" t="s">
        <v>2345</v>
      </c>
      <c r="C3270" s="164">
        <v>14100807</v>
      </c>
      <c r="D3270" s="164" t="s">
        <v>24</v>
      </c>
      <c r="E3270" s="164" t="s">
        <v>3699</v>
      </c>
      <c r="F3270" s="165">
        <v>3649.31</v>
      </c>
    </row>
    <row r="3271" spans="1:6" x14ac:dyDescent="0.2">
      <c r="A3271" s="166" t="s">
        <v>3724</v>
      </c>
      <c r="B3271" s="167" t="s">
        <v>2345</v>
      </c>
      <c r="C3271" s="167">
        <v>14100798</v>
      </c>
      <c r="D3271" s="167" t="s">
        <v>23</v>
      </c>
      <c r="E3271" s="167" t="s">
        <v>3699</v>
      </c>
      <c r="F3271" s="168">
        <v>3649.31</v>
      </c>
    </row>
    <row r="3272" spans="1:6" x14ac:dyDescent="0.2">
      <c r="A3272" s="163" t="s">
        <v>3724</v>
      </c>
      <c r="B3272" s="164" t="s">
        <v>2345</v>
      </c>
      <c r="C3272" s="164">
        <v>14100795</v>
      </c>
      <c r="D3272" s="164" t="s">
        <v>22</v>
      </c>
      <c r="E3272" s="164" t="s">
        <v>3699</v>
      </c>
      <c r="F3272" s="165">
        <v>3649.31</v>
      </c>
    </row>
    <row r="3273" spans="1:6" x14ac:dyDescent="0.2">
      <c r="A3273" s="166" t="s">
        <v>3724</v>
      </c>
      <c r="B3273" s="167" t="s">
        <v>2345</v>
      </c>
      <c r="C3273" s="167">
        <v>14100787</v>
      </c>
      <c r="D3273" s="167" t="s">
        <v>21</v>
      </c>
      <c r="E3273" s="167" t="s">
        <v>3699</v>
      </c>
      <c r="F3273" s="168">
        <v>3649.31</v>
      </c>
    </row>
    <row r="3274" spans="1:6" x14ac:dyDescent="0.2">
      <c r="A3274" s="163" t="s">
        <v>3724</v>
      </c>
      <c r="B3274" s="164" t="s">
        <v>2345</v>
      </c>
      <c r="C3274" s="164">
        <v>14100751</v>
      </c>
      <c r="D3274" s="164" t="s">
        <v>325</v>
      </c>
      <c r="E3274" s="164" t="s">
        <v>3699</v>
      </c>
      <c r="F3274" s="165">
        <v>3381.07</v>
      </c>
    </row>
    <row r="3275" spans="1:6" x14ac:dyDescent="0.2">
      <c r="A3275" s="166" t="s">
        <v>3724</v>
      </c>
      <c r="B3275" s="167" t="s">
        <v>2345</v>
      </c>
      <c r="C3275" s="167">
        <v>14100740</v>
      </c>
      <c r="D3275" s="167" t="s">
        <v>19</v>
      </c>
      <c r="E3275" s="167" t="s">
        <v>3699</v>
      </c>
      <c r="F3275" s="168">
        <v>3649.31</v>
      </c>
    </row>
    <row r="3276" spans="1:6" x14ac:dyDescent="0.2">
      <c r="A3276" s="163" t="s">
        <v>3724</v>
      </c>
      <c r="B3276" s="164" t="s">
        <v>2345</v>
      </c>
      <c r="C3276" s="164">
        <v>14100733</v>
      </c>
      <c r="D3276" s="164" t="s">
        <v>18</v>
      </c>
      <c r="E3276" s="164" t="s">
        <v>3699</v>
      </c>
      <c r="F3276" s="165">
        <v>3649.31</v>
      </c>
    </row>
    <row r="3277" spans="1:6" x14ac:dyDescent="0.2">
      <c r="A3277" s="166" t="s">
        <v>3724</v>
      </c>
      <c r="B3277" s="167" t="s">
        <v>2345</v>
      </c>
      <c r="C3277" s="167">
        <v>14100732</v>
      </c>
      <c r="D3277" s="167" t="s">
        <v>17</v>
      </c>
      <c r="E3277" s="167" t="s">
        <v>3699</v>
      </c>
      <c r="F3277" s="168">
        <v>3649.31</v>
      </c>
    </row>
    <row r="3278" spans="1:6" x14ac:dyDescent="0.2">
      <c r="A3278" s="163" t="s">
        <v>3724</v>
      </c>
      <c r="B3278" s="164" t="s">
        <v>2345</v>
      </c>
      <c r="C3278" s="164">
        <v>14100731</v>
      </c>
      <c r="D3278" s="164" t="s">
        <v>16</v>
      </c>
      <c r="E3278" s="164" t="s">
        <v>3699</v>
      </c>
      <c r="F3278" s="165">
        <v>1563.99</v>
      </c>
    </row>
    <row r="3279" spans="1:6" x14ac:dyDescent="0.2">
      <c r="A3279" s="166" t="s">
        <v>3724</v>
      </c>
      <c r="B3279" s="167" t="s">
        <v>2345</v>
      </c>
      <c r="C3279" s="167">
        <v>14100729</v>
      </c>
      <c r="D3279" s="167" t="s">
        <v>15</v>
      </c>
      <c r="E3279" s="167" t="s">
        <v>3699</v>
      </c>
      <c r="F3279" s="168">
        <v>3649.31</v>
      </c>
    </row>
    <row r="3280" spans="1:6" x14ac:dyDescent="0.2">
      <c r="A3280" s="163" t="s">
        <v>3724</v>
      </c>
      <c r="B3280" s="164" t="s">
        <v>2345</v>
      </c>
      <c r="C3280" s="164">
        <v>14100727</v>
      </c>
      <c r="D3280" s="164" t="s">
        <v>14</v>
      </c>
      <c r="E3280" s="164" t="s">
        <v>3699</v>
      </c>
      <c r="F3280" s="165">
        <v>3649.31</v>
      </c>
    </row>
    <row r="3281" spans="1:6" x14ac:dyDescent="0.2">
      <c r="A3281" s="166" t="s">
        <v>3724</v>
      </c>
      <c r="B3281" s="167" t="s">
        <v>2345</v>
      </c>
      <c r="C3281" s="167">
        <v>14100726</v>
      </c>
      <c r="D3281" s="167" t="s">
        <v>13</v>
      </c>
      <c r="E3281" s="167" t="s">
        <v>3699</v>
      </c>
      <c r="F3281" s="168">
        <v>3649.31</v>
      </c>
    </row>
    <row r="3282" spans="1:6" x14ac:dyDescent="0.2">
      <c r="A3282" s="163" t="s">
        <v>3724</v>
      </c>
      <c r="B3282" s="164" t="s">
        <v>2345</v>
      </c>
      <c r="C3282" s="164">
        <v>14100724</v>
      </c>
      <c r="D3282" s="164" t="s">
        <v>11</v>
      </c>
      <c r="E3282" s="164" t="s">
        <v>3699</v>
      </c>
      <c r="F3282" s="165">
        <v>3649.31</v>
      </c>
    </row>
    <row r="3283" spans="1:6" x14ac:dyDescent="0.2">
      <c r="A3283" s="166" t="s">
        <v>3724</v>
      </c>
      <c r="B3283" s="167" t="s">
        <v>2345</v>
      </c>
      <c r="C3283" s="167">
        <v>14100721</v>
      </c>
      <c r="D3283" s="167" t="s">
        <v>10</v>
      </c>
      <c r="E3283" s="167" t="s">
        <v>3699</v>
      </c>
      <c r="F3283" s="168">
        <v>3649.31</v>
      </c>
    </row>
    <row r="3284" spans="1:6" x14ac:dyDescent="0.2">
      <c r="A3284" s="163" t="s">
        <v>3724</v>
      </c>
      <c r="B3284" s="164" t="s">
        <v>2345</v>
      </c>
      <c r="C3284" s="164">
        <v>14100718</v>
      </c>
      <c r="D3284" s="164" t="s">
        <v>9</v>
      </c>
      <c r="E3284" s="164" t="s">
        <v>3699</v>
      </c>
      <c r="F3284" s="165">
        <v>3649.31</v>
      </c>
    </row>
    <row r="3285" spans="1:6" x14ac:dyDescent="0.2">
      <c r="A3285" s="166" t="s">
        <v>3724</v>
      </c>
      <c r="B3285" s="167" t="s">
        <v>2345</v>
      </c>
      <c r="C3285" s="167">
        <v>14100716</v>
      </c>
      <c r="D3285" s="167" t="s">
        <v>8</v>
      </c>
      <c r="E3285" s="167" t="s">
        <v>3699</v>
      </c>
      <c r="F3285" s="168">
        <v>4374.72</v>
      </c>
    </row>
    <row r="3286" spans="1:6" x14ac:dyDescent="0.2">
      <c r="A3286" s="163" t="s">
        <v>3724</v>
      </c>
      <c r="B3286" s="164" t="s">
        <v>2345</v>
      </c>
      <c r="C3286" s="164">
        <v>14100713</v>
      </c>
      <c r="D3286" s="164" t="s">
        <v>6</v>
      </c>
      <c r="E3286" s="164" t="s">
        <v>3699</v>
      </c>
      <c r="F3286" s="165">
        <v>4482.38</v>
      </c>
    </row>
    <row r="3287" spans="1:6" x14ac:dyDescent="0.2">
      <c r="A3287" s="166" t="s">
        <v>3724</v>
      </c>
      <c r="B3287" s="167" t="s">
        <v>2345</v>
      </c>
      <c r="C3287" s="167">
        <v>14224259</v>
      </c>
      <c r="D3287" s="167" t="s">
        <v>2385</v>
      </c>
      <c r="E3287" s="167" t="s">
        <v>3699</v>
      </c>
      <c r="F3287" s="168">
        <v>3052.84</v>
      </c>
    </row>
    <row r="3288" spans="1:6" x14ac:dyDescent="0.2">
      <c r="A3288" s="163" t="s">
        <v>3724</v>
      </c>
      <c r="B3288" s="164" t="s">
        <v>2345</v>
      </c>
      <c r="C3288" s="164">
        <v>14223827</v>
      </c>
      <c r="D3288" s="164" t="s">
        <v>2384</v>
      </c>
      <c r="E3288" s="164" t="s">
        <v>3699</v>
      </c>
      <c r="F3288" s="165">
        <v>1017.61</v>
      </c>
    </row>
    <row r="3289" spans="1:6" x14ac:dyDescent="0.2">
      <c r="A3289" s="166" t="s">
        <v>3724</v>
      </c>
      <c r="B3289" s="167" t="s">
        <v>2345</v>
      </c>
      <c r="C3289" s="167">
        <v>14223826</v>
      </c>
      <c r="D3289" s="167" t="s">
        <v>2383</v>
      </c>
      <c r="E3289" s="167" t="s">
        <v>3699</v>
      </c>
      <c r="F3289" s="168">
        <v>3052.84</v>
      </c>
    </row>
    <row r="3290" spans="1:6" x14ac:dyDescent="0.2">
      <c r="A3290" s="163" t="s">
        <v>3724</v>
      </c>
      <c r="B3290" s="164" t="s">
        <v>2345</v>
      </c>
      <c r="C3290" s="164">
        <v>14223825</v>
      </c>
      <c r="D3290" s="164" t="s">
        <v>2382</v>
      </c>
      <c r="E3290" s="164" t="s">
        <v>3699</v>
      </c>
      <c r="F3290" s="165">
        <v>3052.84</v>
      </c>
    </row>
    <row r="3291" spans="1:6" x14ac:dyDescent="0.2">
      <c r="A3291" s="166" t="s">
        <v>3724</v>
      </c>
      <c r="B3291" s="167" t="s">
        <v>2345</v>
      </c>
      <c r="C3291" s="167">
        <v>14223662</v>
      </c>
      <c r="D3291" s="167" t="s">
        <v>2381</v>
      </c>
      <c r="E3291" s="167" t="s">
        <v>3699</v>
      </c>
      <c r="F3291" s="168">
        <v>3052.84</v>
      </c>
    </row>
    <row r="3292" spans="1:6" x14ac:dyDescent="0.2">
      <c r="A3292" s="163" t="s">
        <v>3724</v>
      </c>
      <c r="B3292" s="164" t="s">
        <v>2345</v>
      </c>
      <c r="C3292" s="164">
        <v>14223659</v>
      </c>
      <c r="D3292" s="164" t="s">
        <v>2380</v>
      </c>
      <c r="E3292" s="164" t="s">
        <v>3699</v>
      </c>
      <c r="F3292" s="165">
        <v>3052.84</v>
      </c>
    </row>
    <row r="3293" spans="1:6" x14ac:dyDescent="0.2">
      <c r="A3293" s="166" t="s">
        <v>3724</v>
      </c>
      <c r="B3293" s="167" t="s">
        <v>2345</v>
      </c>
      <c r="C3293" s="167">
        <v>14223590</v>
      </c>
      <c r="D3293" s="167" t="s">
        <v>2379</v>
      </c>
      <c r="E3293" s="167" t="s">
        <v>3699</v>
      </c>
      <c r="F3293" s="168">
        <v>3052.84</v>
      </c>
    </row>
    <row r="3294" spans="1:6" x14ac:dyDescent="0.2">
      <c r="A3294" s="163" t="s">
        <v>3724</v>
      </c>
      <c r="B3294" s="164" t="s">
        <v>2345</v>
      </c>
      <c r="C3294" s="164">
        <v>14223379</v>
      </c>
      <c r="D3294" s="164" t="s">
        <v>2378</v>
      </c>
      <c r="E3294" s="164" t="s">
        <v>3699</v>
      </c>
      <c r="F3294" s="165">
        <v>3052.84</v>
      </c>
    </row>
    <row r="3295" spans="1:6" x14ac:dyDescent="0.2">
      <c r="A3295" s="166" t="s">
        <v>3724</v>
      </c>
      <c r="B3295" s="167" t="s">
        <v>2345</v>
      </c>
      <c r="C3295" s="167">
        <v>14223279</v>
      </c>
      <c r="D3295" s="167" t="s">
        <v>2377</v>
      </c>
      <c r="E3295" s="167" t="s">
        <v>3699</v>
      </c>
      <c r="F3295" s="168">
        <v>3052.84</v>
      </c>
    </row>
    <row r="3296" spans="1:6" x14ac:dyDescent="0.2">
      <c r="A3296" s="163" t="s">
        <v>3724</v>
      </c>
      <c r="B3296" s="164" t="s">
        <v>2345</v>
      </c>
      <c r="C3296" s="164">
        <v>14222997</v>
      </c>
      <c r="D3296" s="164" t="s">
        <v>2376</v>
      </c>
      <c r="E3296" s="164" t="s">
        <v>3699</v>
      </c>
      <c r="F3296" s="165">
        <v>3052.84</v>
      </c>
    </row>
    <row r="3297" spans="1:6" x14ac:dyDescent="0.2">
      <c r="A3297" s="166" t="s">
        <v>3724</v>
      </c>
      <c r="B3297" s="167" t="s">
        <v>2345</v>
      </c>
      <c r="C3297" s="167">
        <v>14222576</v>
      </c>
      <c r="D3297" s="167" t="s">
        <v>2375</v>
      </c>
      <c r="E3297" s="167" t="s">
        <v>3699</v>
      </c>
      <c r="F3297" s="168">
        <v>3052.84</v>
      </c>
    </row>
    <row r="3298" spans="1:6" x14ac:dyDescent="0.2">
      <c r="A3298" s="163" t="s">
        <v>3724</v>
      </c>
      <c r="B3298" s="164" t="s">
        <v>2345</v>
      </c>
      <c r="C3298" s="164">
        <v>14222163</v>
      </c>
      <c r="D3298" s="164" t="s">
        <v>2374</v>
      </c>
      <c r="E3298" s="164" t="s">
        <v>3699</v>
      </c>
      <c r="F3298" s="165">
        <v>3052.84</v>
      </c>
    </row>
    <row r="3299" spans="1:6" x14ac:dyDescent="0.2">
      <c r="A3299" s="166" t="s">
        <v>3724</v>
      </c>
      <c r="B3299" s="167" t="s">
        <v>2345</v>
      </c>
      <c r="C3299" s="167">
        <v>14222082</v>
      </c>
      <c r="D3299" s="167" t="s">
        <v>2373</v>
      </c>
      <c r="E3299" s="167" t="s">
        <v>3699</v>
      </c>
      <c r="F3299" s="168">
        <v>3052.84</v>
      </c>
    </row>
    <row r="3300" spans="1:6" x14ac:dyDescent="0.2">
      <c r="A3300" s="163" t="s">
        <v>3724</v>
      </c>
      <c r="B3300" s="164" t="s">
        <v>2345</v>
      </c>
      <c r="C3300" s="164">
        <v>14221921</v>
      </c>
      <c r="D3300" s="164" t="s">
        <v>2372</v>
      </c>
      <c r="E3300" s="164" t="s">
        <v>3699</v>
      </c>
      <c r="F3300" s="165">
        <v>3052.84</v>
      </c>
    </row>
    <row r="3301" spans="1:6" x14ac:dyDescent="0.2">
      <c r="A3301" s="166" t="s">
        <v>3724</v>
      </c>
      <c r="B3301" s="167" t="s">
        <v>2345</v>
      </c>
      <c r="C3301" s="167">
        <v>14221824</v>
      </c>
      <c r="D3301" s="167" t="s">
        <v>2371</v>
      </c>
      <c r="E3301" s="167" t="s">
        <v>3699</v>
      </c>
      <c r="F3301" s="168">
        <v>5918.29</v>
      </c>
    </row>
    <row r="3302" spans="1:6" x14ac:dyDescent="0.2">
      <c r="A3302" s="163" t="s">
        <v>3724</v>
      </c>
      <c r="B3302" s="164" t="s">
        <v>2345</v>
      </c>
      <c r="C3302" s="164">
        <v>14221253</v>
      </c>
      <c r="D3302" s="164" t="s">
        <v>2370</v>
      </c>
      <c r="E3302" s="164" t="s">
        <v>3699</v>
      </c>
      <c r="F3302" s="165">
        <v>3052.84</v>
      </c>
    </row>
    <row r="3303" spans="1:6" x14ac:dyDescent="0.2">
      <c r="A3303" s="166" t="s">
        <v>3724</v>
      </c>
      <c r="B3303" s="167" t="s">
        <v>2345</v>
      </c>
      <c r="C3303" s="167">
        <v>14221054</v>
      </c>
      <c r="D3303" s="167" t="s">
        <v>2369</v>
      </c>
      <c r="E3303" s="167" t="s">
        <v>3699</v>
      </c>
      <c r="F3303" s="168">
        <v>3052.84</v>
      </c>
    </row>
    <row r="3304" spans="1:6" x14ac:dyDescent="0.2">
      <c r="A3304" s="163" t="s">
        <v>3724</v>
      </c>
      <c r="B3304" s="164" t="s">
        <v>2345</v>
      </c>
      <c r="C3304" s="164">
        <v>14220597</v>
      </c>
      <c r="D3304" s="164" t="s">
        <v>2368</v>
      </c>
      <c r="E3304" s="164" t="s">
        <v>3699</v>
      </c>
      <c r="F3304" s="165">
        <v>3052.84</v>
      </c>
    </row>
    <row r="3305" spans="1:6" x14ac:dyDescent="0.2">
      <c r="A3305" s="166" t="s">
        <v>3724</v>
      </c>
      <c r="B3305" s="167" t="s">
        <v>2345</v>
      </c>
      <c r="C3305" s="167">
        <v>14219234</v>
      </c>
      <c r="D3305" s="167" t="s">
        <v>2367</v>
      </c>
      <c r="E3305" s="167" t="s">
        <v>3699</v>
      </c>
      <c r="F3305" s="168">
        <v>3052.84</v>
      </c>
    </row>
    <row r="3306" spans="1:6" x14ac:dyDescent="0.2">
      <c r="A3306" s="163" t="s">
        <v>3724</v>
      </c>
      <c r="B3306" s="164" t="s">
        <v>2345</v>
      </c>
      <c r="C3306" s="164">
        <v>14217918</v>
      </c>
      <c r="D3306" s="164" t="s">
        <v>2366</v>
      </c>
      <c r="E3306" s="164" t="s">
        <v>3699</v>
      </c>
      <c r="F3306" s="165">
        <v>3052.84</v>
      </c>
    </row>
    <row r="3307" spans="1:6" x14ac:dyDescent="0.2">
      <c r="A3307" s="166" t="s">
        <v>3724</v>
      </c>
      <c r="B3307" s="167" t="s">
        <v>2345</v>
      </c>
      <c r="C3307" s="167">
        <v>14217446</v>
      </c>
      <c r="D3307" s="167" t="s">
        <v>2365</v>
      </c>
      <c r="E3307" s="167" t="s">
        <v>3699</v>
      </c>
      <c r="F3307" s="168">
        <v>3052.84</v>
      </c>
    </row>
    <row r="3308" spans="1:6" x14ac:dyDescent="0.2">
      <c r="A3308" s="163" t="s">
        <v>3724</v>
      </c>
      <c r="B3308" s="164" t="s">
        <v>2345</v>
      </c>
      <c r="C3308" s="164">
        <v>14217374</v>
      </c>
      <c r="D3308" s="164" t="s">
        <v>2364</v>
      </c>
      <c r="E3308" s="164" t="s">
        <v>3699</v>
      </c>
      <c r="F3308" s="165">
        <v>3052.84</v>
      </c>
    </row>
    <row r="3309" spans="1:6" x14ac:dyDescent="0.2">
      <c r="A3309" s="166" t="s">
        <v>3724</v>
      </c>
      <c r="B3309" s="167" t="s">
        <v>2345</v>
      </c>
      <c r="C3309" s="167">
        <v>14216357</v>
      </c>
      <c r="D3309" s="167" t="s">
        <v>2363</v>
      </c>
      <c r="E3309" s="167" t="s">
        <v>3699</v>
      </c>
      <c r="F3309" s="168">
        <v>2616.7199999999998</v>
      </c>
    </row>
    <row r="3310" spans="1:6" x14ac:dyDescent="0.2">
      <c r="A3310" s="163" t="s">
        <v>3724</v>
      </c>
      <c r="B3310" s="164" t="s">
        <v>2345</v>
      </c>
      <c r="C3310" s="164">
        <v>14216184</v>
      </c>
      <c r="D3310" s="164" t="s">
        <v>2362</v>
      </c>
      <c r="E3310" s="164" t="s">
        <v>3699</v>
      </c>
      <c r="F3310" s="165">
        <v>3052.84</v>
      </c>
    </row>
    <row r="3311" spans="1:6" x14ac:dyDescent="0.2">
      <c r="A3311" s="166" t="s">
        <v>3724</v>
      </c>
      <c r="B3311" s="167" t="s">
        <v>2345</v>
      </c>
      <c r="C3311" s="167">
        <v>14213768</v>
      </c>
      <c r="D3311" s="167" t="s">
        <v>2361</v>
      </c>
      <c r="E3311" s="167" t="s">
        <v>3699</v>
      </c>
      <c r="F3311" s="168">
        <v>4841.76</v>
      </c>
    </row>
    <row r="3312" spans="1:6" x14ac:dyDescent="0.2">
      <c r="A3312" s="163" t="s">
        <v>3724</v>
      </c>
      <c r="B3312" s="164" t="s">
        <v>2345</v>
      </c>
      <c r="C3312" s="164">
        <v>14213524</v>
      </c>
      <c r="D3312" s="164" t="s">
        <v>2360</v>
      </c>
      <c r="E3312" s="164" t="s">
        <v>3699</v>
      </c>
      <c r="F3312" s="165">
        <v>3052.84</v>
      </c>
    </row>
    <row r="3313" spans="1:6" x14ac:dyDescent="0.2">
      <c r="A3313" s="166" t="s">
        <v>3724</v>
      </c>
      <c r="B3313" s="167" t="s">
        <v>2345</v>
      </c>
      <c r="C3313" s="167">
        <v>14111999</v>
      </c>
      <c r="D3313" s="167" t="s">
        <v>2359</v>
      </c>
      <c r="E3313" s="167" t="s">
        <v>3699</v>
      </c>
      <c r="F3313" s="168">
        <v>3052.84</v>
      </c>
    </row>
    <row r="3314" spans="1:6" x14ac:dyDescent="0.2">
      <c r="A3314" s="163" t="s">
        <v>3724</v>
      </c>
      <c r="B3314" s="164" t="s">
        <v>2345</v>
      </c>
      <c r="C3314" s="164">
        <v>14111997</v>
      </c>
      <c r="D3314" s="164" t="s">
        <v>2358</v>
      </c>
      <c r="E3314" s="164" t="s">
        <v>3699</v>
      </c>
      <c r="F3314" s="165">
        <v>3052.84</v>
      </c>
    </row>
    <row r="3315" spans="1:6" x14ac:dyDescent="0.2">
      <c r="A3315" s="166" t="s">
        <v>3724</v>
      </c>
      <c r="B3315" s="167" t="s">
        <v>2345</v>
      </c>
      <c r="C3315" s="167">
        <v>14111652</v>
      </c>
      <c r="D3315" s="167" t="s">
        <v>2357</v>
      </c>
      <c r="E3315" s="167" t="s">
        <v>3699</v>
      </c>
      <c r="F3315" s="168">
        <v>3052.84</v>
      </c>
    </row>
    <row r="3316" spans="1:6" x14ac:dyDescent="0.2">
      <c r="A3316" s="163" t="s">
        <v>3724</v>
      </c>
      <c r="B3316" s="164" t="s">
        <v>2345</v>
      </c>
      <c r="C3316" s="164">
        <v>14111633</v>
      </c>
      <c r="D3316" s="164" t="s">
        <v>2356</v>
      </c>
      <c r="E3316" s="164" t="s">
        <v>3699</v>
      </c>
      <c r="F3316" s="165">
        <v>3052.84</v>
      </c>
    </row>
    <row r="3317" spans="1:6" x14ac:dyDescent="0.2">
      <c r="A3317" s="166" t="s">
        <v>3724</v>
      </c>
      <c r="B3317" s="167" t="s">
        <v>2345</v>
      </c>
      <c r="C3317" s="167">
        <v>14111447</v>
      </c>
      <c r="D3317" s="167" t="s">
        <v>2355</v>
      </c>
      <c r="E3317" s="167" t="s">
        <v>3699</v>
      </c>
      <c r="F3317" s="168">
        <v>3052.84</v>
      </c>
    </row>
    <row r="3318" spans="1:6" x14ac:dyDescent="0.2">
      <c r="A3318" s="163" t="s">
        <v>3724</v>
      </c>
      <c r="B3318" s="164" t="s">
        <v>2345</v>
      </c>
      <c r="C3318" s="164">
        <v>14111336</v>
      </c>
      <c r="D3318" s="164" t="s">
        <v>2354</v>
      </c>
      <c r="E3318" s="164" t="s">
        <v>3699</v>
      </c>
      <c r="F3318" s="165">
        <v>3052.84</v>
      </c>
    </row>
    <row r="3319" spans="1:6" x14ac:dyDescent="0.2">
      <c r="A3319" s="166" t="s">
        <v>3724</v>
      </c>
      <c r="B3319" s="167" t="s">
        <v>2345</v>
      </c>
      <c r="C3319" s="167">
        <v>14111261</v>
      </c>
      <c r="D3319" s="167" t="s">
        <v>2353</v>
      </c>
      <c r="E3319" s="167" t="s">
        <v>3699</v>
      </c>
      <c r="F3319" s="168">
        <v>3052.84</v>
      </c>
    </row>
    <row r="3320" spans="1:6" x14ac:dyDescent="0.2">
      <c r="A3320" s="163" t="s">
        <v>3724</v>
      </c>
      <c r="B3320" s="164" t="s">
        <v>2345</v>
      </c>
      <c r="C3320" s="164">
        <v>14108427</v>
      </c>
      <c r="D3320" s="164" t="s">
        <v>2352</v>
      </c>
      <c r="E3320" s="164" t="s">
        <v>3699</v>
      </c>
      <c r="F3320" s="165">
        <v>3052.84</v>
      </c>
    </row>
    <row r="3321" spans="1:6" x14ac:dyDescent="0.2">
      <c r="A3321" s="166" t="s">
        <v>3724</v>
      </c>
      <c r="B3321" s="167" t="s">
        <v>2345</v>
      </c>
      <c r="C3321" s="167">
        <v>14106270</v>
      </c>
      <c r="D3321" s="167" t="s">
        <v>2351</v>
      </c>
      <c r="E3321" s="167" t="s">
        <v>3699</v>
      </c>
      <c r="F3321" s="168">
        <v>3927</v>
      </c>
    </row>
    <row r="3322" spans="1:6" x14ac:dyDescent="0.2">
      <c r="A3322" s="163" t="s">
        <v>3724</v>
      </c>
      <c r="B3322" s="164" t="s">
        <v>2345</v>
      </c>
      <c r="C3322" s="164">
        <v>14104889</v>
      </c>
      <c r="D3322" s="164" t="s">
        <v>2350</v>
      </c>
      <c r="E3322" s="164" t="s">
        <v>3699</v>
      </c>
      <c r="F3322" s="165">
        <v>436.12</v>
      </c>
    </row>
    <row r="3323" spans="1:6" x14ac:dyDescent="0.2">
      <c r="A3323" s="166" t="s">
        <v>3724</v>
      </c>
      <c r="B3323" s="167" t="s">
        <v>2345</v>
      </c>
      <c r="C3323" s="167">
        <v>14103046</v>
      </c>
      <c r="D3323" s="167" t="s">
        <v>2349</v>
      </c>
      <c r="E3323" s="167" t="s">
        <v>3699</v>
      </c>
      <c r="F3323" s="168">
        <v>3052.84</v>
      </c>
    </row>
    <row r="3324" spans="1:6" x14ac:dyDescent="0.2">
      <c r="A3324" s="163" t="s">
        <v>3724</v>
      </c>
      <c r="B3324" s="164" t="s">
        <v>2345</v>
      </c>
      <c r="C3324" s="164">
        <v>14102638</v>
      </c>
      <c r="D3324" s="164" t="s">
        <v>2348</v>
      </c>
      <c r="E3324" s="164" t="s">
        <v>3699</v>
      </c>
      <c r="F3324" s="165">
        <v>3052.84</v>
      </c>
    </row>
    <row r="3325" spans="1:6" x14ac:dyDescent="0.2">
      <c r="A3325" s="166" t="s">
        <v>3724</v>
      </c>
      <c r="B3325" s="167" t="s">
        <v>2345</v>
      </c>
      <c r="C3325" s="167">
        <v>14102637</v>
      </c>
      <c r="D3325" s="167" t="s">
        <v>2347</v>
      </c>
      <c r="E3325" s="167" t="s">
        <v>3699</v>
      </c>
      <c r="F3325" s="168">
        <v>3052.84</v>
      </c>
    </row>
    <row r="3326" spans="1:6" x14ac:dyDescent="0.2">
      <c r="A3326" s="163" t="s">
        <v>3724</v>
      </c>
      <c r="B3326" s="164" t="s">
        <v>2345</v>
      </c>
      <c r="C3326" s="164">
        <v>14100913</v>
      </c>
      <c r="D3326" s="164" t="s">
        <v>2346</v>
      </c>
      <c r="E3326" s="164" t="s">
        <v>3699</v>
      </c>
      <c r="F3326" s="165">
        <v>3052.84</v>
      </c>
    </row>
    <row r="3327" spans="1:6" x14ac:dyDescent="0.2">
      <c r="A3327" s="166"/>
      <c r="B3327" s="167"/>
      <c r="C3327" s="167"/>
      <c r="D3327" s="167"/>
      <c r="E3327" s="167"/>
      <c r="F3327" s="168"/>
    </row>
    <row r="3328" spans="1:6" x14ac:dyDescent="0.2">
      <c r="A3328" s="163"/>
      <c r="B3328" s="164"/>
      <c r="C3328" s="164"/>
      <c r="D3328" s="164"/>
      <c r="E3328" s="164"/>
      <c r="F3328" s="165"/>
    </row>
    <row r="3329" spans="1:6" x14ac:dyDescent="0.2">
      <c r="A3329" s="166"/>
      <c r="B3329" s="167"/>
      <c r="C3329" s="167"/>
      <c r="D3329" s="167"/>
      <c r="E3329" s="167"/>
      <c r="F3329" s="168"/>
    </row>
    <row r="3330" spans="1:6" x14ac:dyDescent="0.2">
      <c r="A3330" s="163"/>
      <c r="B3330" s="164"/>
      <c r="C3330" s="164"/>
      <c r="D3330" s="164"/>
      <c r="E3330" s="164"/>
      <c r="F3330" s="165"/>
    </row>
    <row r="3331" spans="1:6" x14ac:dyDescent="0.2">
      <c r="A3331" s="166"/>
      <c r="B3331" s="167"/>
      <c r="C3331" s="167"/>
      <c r="D3331" s="167"/>
      <c r="E3331" s="167"/>
      <c r="F3331" s="168"/>
    </row>
    <row r="3332" spans="1:6" x14ac:dyDescent="0.2">
      <c r="A3332" s="163"/>
      <c r="B3332" s="164"/>
      <c r="C3332" s="164"/>
      <c r="D3332" s="164"/>
      <c r="E3332" s="164"/>
      <c r="F3332" s="165"/>
    </row>
    <row r="3333" spans="1:6" x14ac:dyDescent="0.2">
      <c r="A3333" s="166"/>
      <c r="B3333" s="167"/>
      <c r="C3333" s="167"/>
      <c r="D3333" s="167"/>
      <c r="E3333" s="167"/>
      <c r="F3333" s="168"/>
    </row>
    <row r="3334" spans="1:6" x14ac:dyDescent="0.2">
      <c r="A3334" s="163"/>
      <c r="B3334" s="164"/>
      <c r="C3334" s="164"/>
      <c r="D3334" s="164"/>
      <c r="E3334" s="164"/>
      <c r="F3334" s="165"/>
    </row>
    <row r="3335" spans="1:6" x14ac:dyDescent="0.2">
      <c r="A3335" s="166"/>
      <c r="B3335" s="167"/>
      <c r="C3335" s="167"/>
      <c r="D3335" s="167"/>
      <c r="E3335" s="167"/>
      <c r="F3335" s="168"/>
    </row>
    <row r="3336" spans="1:6" x14ac:dyDescent="0.2">
      <c r="A3336" s="163"/>
      <c r="B3336" s="164"/>
      <c r="C3336" s="164"/>
      <c r="D3336" s="164"/>
      <c r="E3336" s="164"/>
      <c r="F3336" s="165"/>
    </row>
    <row r="3337" spans="1:6" x14ac:dyDescent="0.2">
      <c r="A3337" s="166"/>
      <c r="B3337" s="167"/>
      <c r="C3337" s="167"/>
      <c r="D3337" s="167"/>
      <c r="E3337" s="167"/>
      <c r="F3337" s="168"/>
    </row>
    <row r="3338" spans="1:6" x14ac:dyDescent="0.2">
      <c r="A3338" s="163"/>
      <c r="B3338" s="164"/>
      <c r="C3338" s="164"/>
      <c r="D3338" s="164"/>
      <c r="E3338" s="164"/>
      <c r="F3338" s="165"/>
    </row>
    <row r="3339" spans="1:6" x14ac:dyDescent="0.2">
      <c r="A3339" s="166"/>
      <c r="B3339" s="167"/>
      <c r="C3339" s="167"/>
      <c r="D3339" s="167"/>
      <c r="E3339" s="167"/>
      <c r="F3339" s="168"/>
    </row>
    <row r="3340" spans="1:6" x14ac:dyDescent="0.2">
      <c r="A3340" s="163"/>
      <c r="B3340" s="164"/>
      <c r="C3340" s="164"/>
      <c r="D3340" s="164"/>
      <c r="E3340" s="164"/>
      <c r="F3340" s="165"/>
    </row>
    <row r="3341" spans="1:6" x14ac:dyDescent="0.2">
      <c r="A3341" s="166"/>
      <c r="B3341" s="167"/>
      <c r="C3341" s="167"/>
      <c r="D3341" s="167"/>
      <c r="E3341" s="167"/>
      <c r="F3341" s="168"/>
    </row>
    <row r="3342" spans="1:6" x14ac:dyDescent="0.2">
      <c r="A3342" s="163"/>
      <c r="B3342" s="164"/>
      <c r="C3342" s="164"/>
      <c r="D3342" s="164"/>
      <c r="E3342" s="164"/>
      <c r="F3342" s="165"/>
    </row>
    <row r="3343" spans="1:6" x14ac:dyDescent="0.2">
      <c r="A3343" s="166"/>
      <c r="B3343" s="167"/>
      <c r="C3343" s="167"/>
      <c r="D3343" s="167"/>
      <c r="E3343" s="167"/>
      <c r="F3343" s="168"/>
    </row>
    <row r="3344" spans="1:6" x14ac:dyDescent="0.2">
      <c r="A3344" s="163"/>
      <c r="B3344" s="164"/>
      <c r="C3344" s="164"/>
      <c r="D3344" s="164"/>
      <c r="E3344" s="164"/>
      <c r="F3344" s="165"/>
    </row>
    <row r="3345" spans="1:6" x14ac:dyDescent="0.2">
      <c r="A3345" s="166"/>
      <c r="B3345" s="167"/>
      <c r="C3345" s="167"/>
      <c r="D3345" s="167"/>
      <c r="E3345" s="167"/>
      <c r="F3345" s="168"/>
    </row>
    <row r="3346" spans="1:6" x14ac:dyDescent="0.2">
      <c r="A3346" s="163"/>
      <c r="B3346" s="164"/>
      <c r="C3346" s="164"/>
      <c r="D3346" s="164"/>
      <c r="E3346" s="164"/>
      <c r="F3346" s="165"/>
    </row>
    <row r="3347" spans="1:6" x14ac:dyDescent="0.2">
      <c r="A3347" s="166"/>
      <c r="B3347" s="167"/>
      <c r="C3347" s="167"/>
      <c r="D3347" s="167"/>
      <c r="E3347" s="167"/>
      <c r="F3347" s="168"/>
    </row>
    <row r="3348" spans="1:6" x14ac:dyDescent="0.2">
      <c r="A3348" s="163"/>
      <c r="B3348" s="164"/>
      <c r="C3348" s="164"/>
      <c r="D3348" s="164"/>
      <c r="E3348" s="164"/>
      <c r="F3348" s="165"/>
    </row>
    <row r="3349" spans="1:6" x14ac:dyDescent="0.2">
      <c r="A3349" s="166"/>
      <c r="B3349" s="167"/>
      <c r="C3349" s="167"/>
      <c r="D3349" s="167"/>
      <c r="E3349" s="167"/>
      <c r="F3349" s="168"/>
    </row>
    <row r="3350" spans="1:6" x14ac:dyDescent="0.2">
      <c r="A3350" s="163"/>
      <c r="B3350" s="164"/>
      <c r="C3350" s="164"/>
      <c r="D3350" s="164"/>
      <c r="E3350" s="164"/>
      <c r="F3350" s="165"/>
    </row>
    <row r="3351" spans="1:6" x14ac:dyDescent="0.2">
      <c r="A3351" s="166"/>
      <c r="B3351" s="167"/>
      <c r="C3351" s="167"/>
      <c r="D3351" s="167"/>
      <c r="E3351" s="167"/>
      <c r="F3351" s="168"/>
    </row>
    <row r="3352" spans="1:6" x14ac:dyDescent="0.2">
      <c r="A3352" s="163"/>
      <c r="B3352" s="164"/>
      <c r="C3352" s="164"/>
      <c r="D3352" s="164"/>
      <c r="E3352" s="164"/>
      <c r="F3352" s="165"/>
    </row>
    <row r="3353" spans="1:6" x14ac:dyDescent="0.2">
      <c r="A3353" s="166"/>
      <c r="B3353" s="167"/>
      <c r="C3353" s="167"/>
      <c r="D3353" s="167"/>
      <c r="E3353" s="167"/>
      <c r="F3353" s="168"/>
    </row>
    <row r="3354" spans="1:6" x14ac:dyDescent="0.2">
      <c r="A3354" s="163"/>
      <c r="B3354" s="164"/>
      <c r="C3354" s="164"/>
      <c r="D3354" s="164"/>
      <c r="E3354" s="164"/>
      <c r="F3354" s="165"/>
    </row>
    <row r="3355" spans="1:6" x14ac:dyDescent="0.2">
      <c r="A3355" s="166"/>
      <c r="B3355" s="167"/>
      <c r="C3355" s="167"/>
      <c r="D3355" s="167"/>
      <c r="E3355" s="167"/>
      <c r="F3355" s="168"/>
    </row>
    <row r="3356" spans="1:6" x14ac:dyDescent="0.2">
      <c r="A3356" s="163"/>
      <c r="B3356" s="164"/>
      <c r="C3356" s="164"/>
      <c r="D3356" s="164"/>
      <c r="E3356" s="164"/>
      <c r="F3356" s="165"/>
    </row>
    <row r="3357" spans="1:6" x14ac:dyDescent="0.2">
      <c r="A3357" s="166"/>
      <c r="B3357" s="167"/>
      <c r="C3357" s="167"/>
      <c r="D3357" s="167"/>
      <c r="E3357" s="167"/>
      <c r="F3357" s="168"/>
    </row>
    <row r="3358" spans="1:6" x14ac:dyDescent="0.2">
      <c r="A3358" s="163"/>
      <c r="B3358" s="164"/>
      <c r="C3358" s="164"/>
      <c r="D3358" s="164"/>
      <c r="E3358" s="164"/>
      <c r="F3358" s="165"/>
    </row>
    <row r="3359" spans="1:6" x14ac:dyDescent="0.2">
      <c r="A3359" s="166"/>
      <c r="B3359" s="167"/>
      <c r="C3359" s="167"/>
      <c r="D3359" s="167"/>
      <c r="E3359" s="167"/>
      <c r="F3359" s="168"/>
    </row>
    <row r="3360" spans="1:6" x14ac:dyDescent="0.2">
      <c r="A3360" s="163"/>
      <c r="B3360" s="164"/>
      <c r="C3360" s="164"/>
      <c r="D3360" s="164"/>
      <c r="E3360" s="164"/>
      <c r="F3360" s="165"/>
    </row>
    <row r="3361" spans="1:6" x14ac:dyDescent="0.2">
      <c r="A3361" s="166"/>
      <c r="B3361" s="167"/>
      <c r="C3361" s="167"/>
      <c r="D3361" s="167"/>
      <c r="E3361" s="167"/>
      <c r="F3361" s="168"/>
    </row>
    <row r="3362" spans="1:6" x14ac:dyDescent="0.2">
      <c r="A3362" s="163"/>
      <c r="B3362" s="164"/>
      <c r="C3362" s="164"/>
      <c r="D3362" s="164"/>
      <c r="E3362" s="164"/>
      <c r="F3362" s="165"/>
    </row>
    <row r="3363" spans="1:6" x14ac:dyDescent="0.2">
      <c r="A3363" s="166"/>
      <c r="B3363" s="167"/>
      <c r="C3363" s="167"/>
      <c r="D3363" s="167"/>
      <c r="E3363" s="167"/>
      <c r="F3363" s="168"/>
    </row>
    <row r="3364" spans="1:6" x14ac:dyDescent="0.2">
      <c r="A3364" s="163"/>
      <c r="B3364" s="164"/>
      <c r="C3364" s="164"/>
      <c r="D3364" s="164"/>
      <c r="E3364" s="164"/>
      <c r="F3364" s="165"/>
    </row>
    <row r="3365" spans="1:6" x14ac:dyDescent="0.2">
      <c r="A3365" s="166"/>
      <c r="B3365" s="167"/>
      <c r="C3365" s="167"/>
      <c r="D3365" s="167"/>
      <c r="E3365" s="167"/>
      <c r="F3365" s="168"/>
    </row>
    <row r="3366" spans="1:6" x14ac:dyDescent="0.2">
      <c r="A3366" s="163"/>
      <c r="B3366" s="164"/>
      <c r="C3366" s="164"/>
      <c r="D3366" s="164"/>
      <c r="E3366" s="164"/>
      <c r="F3366" s="165"/>
    </row>
    <row r="3367" spans="1:6" x14ac:dyDescent="0.2">
      <c r="A3367" s="166"/>
      <c r="B3367" s="167"/>
      <c r="C3367" s="167"/>
      <c r="D3367" s="167"/>
      <c r="E3367" s="167"/>
      <c r="F3367" s="168"/>
    </row>
    <row r="3368" spans="1:6" x14ac:dyDescent="0.2">
      <c r="A3368" s="163"/>
      <c r="B3368" s="164"/>
      <c r="C3368" s="164"/>
      <c r="D3368" s="164"/>
      <c r="E3368" s="164"/>
      <c r="F3368" s="165"/>
    </row>
    <row r="3369" spans="1:6" x14ac:dyDescent="0.2">
      <c r="A3369" s="166"/>
      <c r="B3369" s="167"/>
      <c r="C3369" s="167"/>
      <c r="D3369" s="167"/>
      <c r="E3369" s="167"/>
      <c r="F3369" s="168"/>
    </row>
    <row r="3370" spans="1:6" x14ac:dyDescent="0.2">
      <c r="A3370" s="163"/>
      <c r="B3370" s="164"/>
      <c r="C3370" s="164"/>
      <c r="D3370" s="164"/>
      <c r="E3370" s="164"/>
      <c r="F3370" s="165"/>
    </row>
    <row r="3371" spans="1:6" x14ac:dyDescent="0.2">
      <c r="A3371" s="166"/>
      <c r="B3371" s="167"/>
      <c r="C3371" s="167"/>
      <c r="D3371" s="167"/>
      <c r="E3371" s="167"/>
      <c r="F3371" s="168"/>
    </row>
    <row r="3372" spans="1:6" x14ac:dyDescent="0.2">
      <c r="A3372" s="163"/>
      <c r="B3372" s="164"/>
      <c r="C3372" s="164"/>
      <c r="D3372" s="164"/>
      <c r="E3372" s="164"/>
      <c r="F3372" s="165"/>
    </row>
    <row r="3373" spans="1:6" x14ac:dyDescent="0.2">
      <c r="A3373" s="166"/>
      <c r="B3373" s="167"/>
      <c r="C3373" s="167"/>
      <c r="D3373" s="167"/>
      <c r="E3373" s="167"/>
      <c r="F3373" s="168"/>
    </row>
    <row r="3374" spans="1:6" x14ac:dyDescent="0.2">
      <c r="A3374" s="163"/>
      <c r="B3374" s="164"/>
      <c r="C3374" s="164"/>
      <c r="D3374" s="164"/>
      <c r="E3374" s="164"/>
      <c r="F3374" s="165"/>
    </row>
    <row r="3375" spans="1:6" x14ac:dyDescent="0.2">
      <c r="A3375" s="166"/>
      <c r="B3375" s="167"/>
      <c r="C3375" s="167"/>
      <c r="D3375" s="167"/>
      <c r="E3375" s="167"/>
      <c r="F3375" s="168"/>
    </row>
    <row r="3376" spans="1:6" x14ac:dyDescent="0.2">
      <c r="A3376" s="163"/>
      <c r="B3376" s="164"/>
      <c r="C3376" s="164"/>
      <c r="D3376" s="164"/>
      <c r="E3376" s="164"/>
      <c r="F3376" s="165"/>
    </row>
    <row r="3377" spans="1:6" x14ac:dyDescent="0.2">
      <c r="A3377" s="166"/>
      <c r="B3377" s="167"/>
      <c r="C3377" s="167"/>
      <c r="D3377" s="167"/>
      <c r="E3377" s="167"/>
      <c r="F3377" s="168"/>
    </row>
    <row r="3378" spans="1:6" x14ac:dyDescent="0.2">
      <c r="A3378" s="163"/>
      <c r="B3378" s="164"/>
      <c r="C3378" s="164"/>
      <c r="D3378" s="164"/>
      <c r="E3378" s="164"/>
      <c r="F3378" s="165"/>
    </row>
    <row r="3379" spans="1:6" x14ac:dyDescent="0.2">
      <c r="A3379" s="166"/>
      <c r="B3379" s="167"/>
      <c r="C3379" s="167"/>
      <c r="D3379" s="167"/>
      <c r="E3379" s="167"/>
      <c r="F3379" s="168"/>
    </row>
    <row r="3380" spans="1:6" x14ac:dyDescent="0.2">
      <c r="A3380" s="163"/>
      <c r="B3380" s="164"/>
      <c r="C3380" s="164"/>
      <c r="D3380" s="164"/>
      <c r="E3380" s="164"/>
      <c r="F3380" s="165"/>
    </row>
    <row r="3381" spans="1:6" x14ac:dyDescent="0.2">
      <c r="A3381" s="166"/>
      <c r="B3381" s="167"/>
      <c r="C3381" s="167"/>
      <c r="D3381" s="167"/>
      <c r="E3381" s="167"/>
      <c r="F3381" s="168"/>
    </row>
    <row r="3382" spans="1:6" x14ac:dyDescent="0.2">
      <c r="A3382" s="163"/>
      <c r="B3382" s="164"/>
      <c r="C3382" s="164"/>
      <c r="D3382" s="164"/>
      <c r="E3382" s="164"/>
      <c r="F3382" s="165"/>
    </row>
    <row r="3383" spans="1:6" x14ac:dyDescent="0.2">
      <c r="A3383" s="166"/>
      <c r="B3383" s="167"/>
      <c r="C3383" s="167"/>
      <c r="D3383" s="167"/>
      <c r="E3383" s="167"/>
      <c r="F3383" s="168"/>
    </row>
    <row r="3384" spans="1:6" x14ac:dyDescent="0.2">
      <c r="A3384" s="163"/>
      <c r="B3384" s="164"/>
      <c r="C3384" s="164"/>
      <c r="D3384" s="164"/>
      <c r="E3384" s="164"/>
      <c r="F3384" s="165"/>
    </row>
    <row r="3385" spans="1:6" x14ac:dyDescent="0.2">
      <c r="A3385" s="166"/>
      <c r="B3385" s="167"/>
      <c r="C3385" s="167"/>
      <c r="D3385" s="167"/>
      <c r="E3385" s="167"/>
      <c r="F3385" s="168"/>
    </row>
    <row r="3386" spans="1:6" x14ac:dyDescent="0.2">
      <c r="A3386" s="163"/>
      <c r="B3386" s="164"/>
      <c r="C3386" s="164"/>
      <c r="D3386" s="164"/>
      <c r="E3386" s="164"/>
      <c r="F3386" s="165"/>
    </row>
    <row r="3387" spans="1:6" x14ac:dyDescent="0.2">
      <c r="A3387" s="166"/>
      <c r="B3387" s="167"/>
      <c r="C3387" s="167"/>
      <c r="D3387" s="167"/>
      <c r="E3387" s="167"/>
      <c r="F3387" s="168"/>
    </row>
    <row r="3388" spans="1:6" x14ac:dyDescent="0.2">
      <c r="A3388" s="163"/>
      <c r="B3388" s="164"/>
      <c r="C3388" s="164"/>
      <c r="D3388" s="164"/>
      <c r="E3388" s="164"/>
      <c r="F3388" s="165"/>
    </row>
    <row r="3389" spans="1:6" x14ac:dyDescent="0.2">
      <c r="A3389" s="166"/>
      <c r="B3389" s="167"/>
      <c r="C3389" s="167"/>
      <c r="D3389" s="167"/>
      <c r="E3389" s="167"/>
      <c r="F3389" s="168"/>
    </row>
    <row r="3390" spans="1:6" x14ac:dyDescent="0.2">
      <c r="A3390" s="163"/>
      <c r="B3390" s="164"/>
      <c r="C3390" s="164"/>
      <c r="D3390" s="164"/>
      <c r="E3390" s="164"/>
      <c r="F3390" s="165"/>
    </row>
    <row r="3391" spans="1:6" x14ac:dyDescent="0.2">
      <c r="A3391" s="166"/>
      <c r="B3391" s="167"/>
      <c r="C3391" s="167"/>
      <c r="D3391" s="167"/>
      <c r="E3391" s="167"/>
      <c r="F3391" s="168"/>
    </row>
    <row r="3392" spans="1:6" x14ac:dyDescent="0.2">
      <c r="A3392" s="163"/>
      <c r="B3392" s="164"/>
      <c r="C3392" s="164"/>
      <c r="D3392" s="164"/>
      <c r="E3392" s="164"/>
      <c r="F3392" s="165"/>
    </row>
    <row r="3393" spans="1:6" x14ac:dyDescent="0.2">
      <c r="A3393" s="166"/>
      <c r="B3393" s="167"/>
      <c r="C3393" s="167"/>
      <c r="D3393" s="167"/>
      <c r="E3393" s="167"/>
      <c r="F3393" s="168"/>
    </row>
    <row r="3394" spans="1:6" x14ac:dyDescent="0.2">
      <c r="A3394" s="163"/>
      <c r="B3394" s="164"/>
      <c r="C3394" s="164"/>
      <c r="D3394" s="164"/>
      <c r="E3394" s="164"/>
      <c r="F3394" s="165"/>
    </row>
    <row r="3395" spans="1:6" x14ac:dyDescent="0.2">
      <c r="A3395" s="166"/>
      <c r="B3395" s="167"/>
      <c r="C3395" s="167"/>
      <c r="D3395" s="167"/>
      <c r="E3395" s="167"/>
      <c r="F3395" s="168"/>
    </row>
    <row r="3396" spans="1:6" x14ac:dyDescent="0.2">
      <c r="A3396" s="163"/>
      <c r="B3396" s="164"/>
      <c r="C3396" s="164"/>
      <c r="D3396" s="164"/>
      <c r="E3396" s="164"/>
      <c r="F3396" s="165"/>
    </row>
    <row r="3397" spans="1:6" x14ac:dyDescent="0.2">
      <c r="A3397" s="166"/>
      <c r="B3397" s="167"/>
      <c r="C3397" s="167"/>
      <c r="D3397" s="167"/>
      <c r="E3397" s="167"/>
      <c r="F3397" s="168"/>
    </row>
    <row r="3398" spans="1:6" x14ac:dyDescent="0.2">
      <c r="A3398" s="163"/>
      <c r="B3398" s="164"/>
      <c r="C3398" s="164"/>
      <c r="D3398" s="164"/>
      <c r="E3398" s="164"/>
      <c r="F3398" s="165"/>
    </row>
    <row r="3399" spans="1:6" x14ac:dyDescent="0.2">
      <c r="A3399" s="166"/>
      <c r="B3399" s="167"/>
      <c r="C3399" s="167"/>
      <c r="D3399" s="167"/>
      <c r="E3399" s="167"/>
      <c r="F3399" s="168"/>
    </row>
    <row r="3400" spans="1:6" x14ac:dyDescent="0.2">
      <c r="A3400" s="163"/>
      <c r="B3400" s="164"/>
      <c r="C3400" s="164"/>
      <c r="D3400" s="164"/>
      <c r="E3400" s="164"/>
      <c r="F3400" s="165"/>
    </row>
    <row r="3401" spans="1:6" x14ac:dyDescent="0.2">
      <c r="A3401" s="166"/>
      <c r="B3401" s="167"/>
      <c r="C3401" s="167"/>
      <c r="D3401" s="167"/>
      <c r="E3401" s="167"/>
      <c r="F3401" s="168"/>
    </row>
    <row r="3402" spans="1:6" x14ac:dyDescent="0.2">
      <c r="A3402" s="163"/>
      <c r="B3402" s="164"/>
      <c r="C3402" s="164"/>
      <c r="D3402" s="164"/>
      <c r="E3402" s="164"/>
      <c r="F3402" s="165"/>
    </row>
    <row r="3403" spans="1:6" x14ac:dyDescent="0.2">
      <c r="A3403" s="166"/>
      <c r="B3403" s="167"/>
      <c r="C3403" s="167"/>
      <c r="D3403" s="167"/>
      <c r="E3403" s="167"/>
      <c r="F3403" s="168"/>
    </row>
    <row r="3404" spans="1:6" x14ac:dyDescent="0.2">
      <c r="A3404" s="163"/>
      <c r="B3404" s="164"/>
      <c r="C3404" s="164"/>
      <c r="D3404" s="164"/>
      <c r="E3404" s="164"/>
      <c r="F3404" s="165"/>
    </row>
    <row r="3405" spans="1:6" x14ac:dyDescent="0.2">
      <c r="A3405" s="166"/>
      <c r="B3405" s="167"/>
      <c r="C3405" s="167"/>
      <c r="D3405" s="167"/>
      <c r="E3405" s="167"/>
      <c r="F3405" s="168"/>
    </row>
    <row r="3406" spans="1:6" x14ac:dyDescent="0.2">
      <c r="A3406" s="163"/>
      <c r="B3406" s="164"/>
      <c r="C3406" s="164"/>
      <c r="D3406" s="164"/>
      <c r="E3406" s="164"/>
      <c r="F3406" s="165"/>
    </row>
    <row r="3407" spans="1:6" x14ac:dyDescent="0.2">
      <c r="A3407" s="166"/>
      <c r="B3407" s="167"/>
      <c r="C3407" s="167"/>
      <c r="D3407" s="167"/>
      <c r="E3407" s="167"/>
      <c r="F3407" s="168"/>
    </row>
    <row r="3408" spans="1:6" x14ac:dyDescent="0.2">
      <c r="A3408" s="163"/>
      <c r="B3408" s="164"/>
      <c r="C3408" s="164"/>
      <c r="D3408" s="164"/>
      <c r="E3408" s="164"/>
      <c r="F3408" s="165"/>
    </row>
    <row r="3409" spans="1:6" x14ac:dyDescent="0.2">
      <c r="A3409" s="166"/>
      <c r="B3409" s="167"/>
      <c r="C3409" s="167"/>
      <c r="D3409" s="167"/>
      <c r="E3409" s="167"/>
      <c r="F3409" s="168"/>
    </row>
    <row r="3410" spans="1:6" x14ac:dyDescent="0.2">
      <c r="A3410" s="163"/>
      <c r="B3410" s="164"/>
      <c r="C3410" s="164"/>
      <c r="D3410" s="164"/>
      <c r="E3410" s="164"/>
      <c r="F3410" s="165"/>
    </row>
    <row r="3411" spans="1:6" x14ac:dyDescent="0.2">
      <c r="A3411" s="166"/>
      <c r="B3411" s="167"/>
      <c r="C3411" s="167"/>
      <c r="D3411" s="167"/>
      <c r="E3411" s="167"/>
      <c r="F3411" s="168"/>
    </row>
    <row r="3412" spans="1:6" x14ac:dyDescent="0.2">
      <c r="A3412" s="163"/>
      <c r="B3412" s="164"/>
      <c r="C3412" s="164"/>
      <c r="D3412" s="164"/>
      <c r="E3412" s="164"/>
      <c r="F3412" s="165"/>
    </row>
    <row r="3413" spans="1:6" x14ac:dyDescent="0.2">
      <c r="A3413" s="166"/>
      <c r="B3413" s="167"/>
      <c r="C3413" s="167"/>
      <c r="D3413" s="167"/>
      <c r="E3413" s="167"/>
      <c r="F3413" s="168"/>
    </row>
    <row r="3414" spans="1:6" x14ac:dyDescent="0.2">
      <c r="A3414" s="163"/>
      <c r="B3414" s="164"/>
      <c r="C3414" s="164"/>
      <c r="D3414" s="164"/>
      <c r="E3414" s="164"/>
      <c r="F3414" s="165"/>
    </row>
    <row r="3415" spans="1:6" x14ac:dyDescent="0.2">
      <c r="A3415" s="166"/>
      <c r="B3415" s="167"/>
      <c r="C3415" s="167"/>
      <c r="D3415" s="167"/>
      <c r="E3415" s="167"/>
      <c r="F3415" s="168"/>
    </row>
    <row r="3416" spans="1:6" x14ac:dyDescent="0.2">
      <c r="A3416" s="163"/>
      <c r="B3416" s="164"/>
      <c r="C3416" s="164"/>
      <c r="D3416" s="164"/>
      <c r="E3416" s="164"/>
      <c r="F3416" s="165"/>
    </row>
    <row r="3417" spans="1:6" x14ac:dyDescent="0.2">
      <c r="A3417" s="166"/>
      <c r="B3417" s="167"/>
      <c r="C3417" s="167"/>
      <c r="D3417" s="167"/>
      <c r="E3417" s="167"/>
      <c r="F3417" s="168"/>
    </row>
    <row r="3418" spans="1:6" x14ac:dyDescent="0.2">
      <c r="A3418" s="163"/>
      <c r="B3418" s="164"/>
      <c r="C3418" s="164"/>
      <c r="D3418" s="164"/>
      <c r="E3418" s="164"/>
      <c r="F3418" s="165"/>
    </row>
    <row r="3419" spans="1:6" x14ac:dyDescent="0.2">
      <c r="A3419" s="166"/>
      <c r="B3419" s="167"/>
      <c r="C3419" s="167"/>
      <c r="D3419" s="167"/>
      <c r="E3419" s="167"/>
      <c r="F3419" s="168"/>
    </row>
    <row r="3420" spans="1:6" x14ac:dyDescent="0.2">
      <c r="A3420" s="163"/>
      <c r="B3420" s="164"/>
      <c r="C3420" s="164"/>
      <c r="D3420" s="164"/>
      <c r="E3420" s="164"/>
      <c r="F3420" s="165"/>
    </row>
    <row r="3421" spans="1:6" x14ac:dyDescent="0.2">
      <c r="A3421" s="166"/>
      <c r="B3421" s="167"/>
      <c r="C3421" s="167"/>
      <c r="D3421" s="167"/>
      <c r="E3421" s="167"/>
      <c r="F3421" s="168"/>
    </row>
    <row r="3422" spans="1:6" x14ac:dyDescent="0.2">
      <c r="A3422" s="163"/>
      <c r="B3422" s="164"/>
      <c r="C3422" s="164"/>
      <c r="D3422" s="164"/>
      <c r="E3422" s="164"/>
      <c r="F3422" s="165"/>
    </row>
    <row r="3423" spans="1:6" x14ac:dyDescent="0.2">
      <c r="A3423" s="166"/>
      <c r="B3423" s="167"/>
      <c r="C3423" s="167"/>
      <c r="D3423" s="167"/>
      <c r="E3423" s="167"/>
      <c r="F3423" s="168"/>
    </row>
    <row r="3424" spans="1:6" x14ac:dyDescent="0.2">
      <c r="A3424" s="163"/>
      <c r="B3424" s="164"/>
      <c r="C3424" s="164"/>
      <c r="D3424" s="164"/>
      <c r="E3424" s="164"/>
      <c r="F3424" s="165"/>
    </row>
    <row r="3425" spans="1:6" x14ac:dyDescent="0.2">
      <c r="A3425" s="166"/>
      <c r="B3425" s="167"/>
      <c r="C3425" s="167"/>
      <c r="D3425" s="167"/>
      <c r="E3425" s="167"/>
      <c r="F3425" s="168"/>
    </row>
    <row r="3426" spans="1:6" x14ac:dyDescent="0.2">
      <c r="A3426" s="163"/>
      <c r="B3426" s="164"/>
      <c r="C3426" s="164"/>
      <c r="D3426" s="164"/>
      <c r="E3426" s="164"/>
      <c r="F3426" s="165"/>
    </row>
    <row r="3427" spans="1:6" x14ac:dyDescent="0.2">
      <c r="A3427" s="166"/>
      <c r="B3427" s="167"/>
      <c r="C3427" s="167"/>
      <c r="D3427" s="167"/>
      <c r="E3427" s="167"/>
      <c r="F3427" s="168"/>
    </row>
    <row r="3428" spans="1:6" x14ac:dyDescent="0.2">
      <c r="A3428" s="163"/>
      <c r="B3428" s="164"/>
      <c r="C3428" s="164"/>
      <c r="D3428" s="164"/>
      <c r="E3428" s="164"/>
      <c r="F3428" s="165"/>
    </row>
    <row r="3429" spans="1:6" x14ac:dyDescent="0.2">
      <c r="A3429" s="166"/>
      <c r="B3429" s="167"/>
      <c r="C3429" s="167"/>
      <c r="D3429" s="167"/>
      <c r="E3429" s="167"/>
      <c r="F3429" s="168"/>
    </row>
    <row r="3430" spans="1:6" x14ac:dyDescent="0.2">
      <c r="A3430" s="163"/>
      <c r="B3430" s="164"/>
      <c r="C3430" s="164"/>
      <c r="D3430" s="164"/>
      <c r="E3430" s="164"/>
      <c r="F3430" s="165"/>
    </row>
    <row r="3431" spans="1:6" x14ac:dyDescent="0.2">
      <c r="A3431" s="166"/>
      <c r="B3431" s="167"/>
      <c r="C3431" s="167"/>
      <c r="D3431" s="167"/>
      <c r="E3431" s="167"/>
      <c r="F3431" s="168"/>
    </row>
    <row r="3432" spans="1:6" x14ac:dyDescent="0.2">
      <c r="A3432" s="163"/>
      <c r="B3432" s="164"/>
      <c r="C3432" s="164"/>
      <c r="D3432" s="164"/>
      <c r="E3432" s="164"/>
      <c r="F3432" s="165"/>
    </row>
    <row r="3433" spans="1:6" x14ac:dyDescent="0.2">
      <c r="A3433" s="166"/>
      <c r="B3433" s="167"/>
      <c r="C3433" s="167"/>
      <c r="D3433" s="167"/>
      <c r="E3433" s="167"/>
      <c r="F3433" s="168"/>
    </row>
    <row r="3434" spans="1:6" x14ac:dyDescent="0.2">
      <c r="A3434" s="163"/>
      <c r="B3434" s="164"/>
      <c r="C3434" s="164"/>
      <c r="D3434" s="164"/>
      <c r="E3434" s="164"/>
      <c r="F3434" s="165"/>
    </row>
    <row r="3435" spans="1:6" x14ac:dyDescent="0.2">
      <c r="A3435" s="166"/>
      <c r="B3435" s="167"/>
      <c r="C3435" s="167"/>
      <c r="D3435" s="167"/>
      <c r="E3435" s="167"/>
      <c r="F3435" s="168"/>
    </row>
    <row r="3436" spans="1:6" x14ac:dyDescent="0.2">
      <c r="A3436" s="163"/>
      <c r="B3436" s="164"/>
      <c r="C3436" s="164"/>
      <c r="D3436" s="164"/>
      <c r="E3436" s="164"/>
      <c r="F3436" s="165"/>
    </row>
    <row r="3437" spans="1:6" x14ac:dyDescent="0.2">
      <c r="A3437" s="166"/>
      <c r="B3437" s="167"/>
      <c r="C3437" s="167"/>
      <c r="D3437" s="167"/>
      <c r="E3437" s="167"/>
      <c r="F3437" s="168"/>
    </row>
    <row r="3438" spans="1:6" x14ac:dyDescent="0.2">
      <c r="A3438" s="163"/>
      <c r="B3438" s="164"/>
      <c r="C3438" s="164"/>
      <c r="D3438" s="164"/>
      <c r="E3438" s="164"/>
      <c r="F3438" s="165"/>
    </row>
    <row r="3439" spans="1:6" x14ac:dyDescent="0.2">
      <c r="A3439" s="166"/>
      <c r="B3439" s="167"/>
      <c r="C3439" s="167"/>
      <c r="D3439" s="167"/>
      <c r="E3439" s="167"/>
      <c r="F3439" s="168"/>
    </row>
    <row r="3440" spans="1:6" x14ac:dyDescent="0.2">
      <c r="A3440" s="163"/>
      <c r="B3440" s="164"/>
      <c r="C3440" s="164"/>
      <c r="D3440" s="164"/>
      <c r="E3440" s="164"/>
      <c r="F3440" s="165"/>
    </row>
    <row r="3441" spans="1:6" x14ac:dyDescent="0.2">
      <c r="A3441" s="166"/>
      <c r="B3441" s="167"/>
      <c r="C3441" s="167"/>
      <c r="D3441" s="167"/>
      <c r="E3441" s="167"/>
      <c r="F3441" s="168"/>
    </row>
    <row r="3442" spans="1:6" x14ac:dyDescent="0.2">
      <c r="A3442" s="163"/>
      <c r="B3442" s="164"/>
      <c r="C3442" s="164"/>
      <c r="D3442" s="164"/>
      <c r="E3442" s="164"/>
      <c r="F3442" s="165"/>
    </row>
    <row r="3443" spans="1:6" x14ac:dyDescent="0.2">
      <c r="A3443" s="166"/>
      <c r="B3443" s="167"/>
      <c r="C3443" s="167"/>
      <c r="D3443" s="167"/>
      <c r="E3443" s="167"/>
      <c r="F3443" s="168"/>
    </row>
    <row r="3444" spans="1:6" x14ac:dyDescent="0.2">
      <c r="A3444" s="163"/>
      <c r="B3444" s="164"/>
      <c r="C3444" s="164"/>
      <c r="D3444" s="164"/>
      <c r="E3444" s="164"/>
      <c r="F3444" s="165"/>
    </row>
    <row r="3445" spans="1:6" x14ac:dyDescent="0.2">
      <c r="A3445" s="166"/>
      <c r="B3445" s="167"/>
      <c r="C3445" s="167"/>
      <c r="D3445" s="167"/>
      <c r="E3445" s="167"/>
      <c r="F3445" s="168"/>
    </row>
    <row r="3446" spans="1:6" x14ac:dyDescent="0.2">
      <c r="A3446" s="163"/>
      <c r="B3446" s="164"/>
      <c r="C3446" s="164"/>
      <c r="D3446" s="164"/>
      <c r="E3446" s="164"/>
      <c r="F3446" s="165"/>
    </row>
    <row r="3447" spans="1:6" x14ac:dyDescent="0.2">
      <c r="A3447" s="166"/>
      <c r="B3447" s="167"/>
      <c r="C3447" s="167"/>
      <c r="D3447" s="167"/>
      <c r="E3447" s="167"/>
      <c r="F3447" s="168"/>
    </row>
    <row r="3448" spans="1:6" x14ac:dyDescent="0.2">
      <c r="A3448" s="163"/>
      <c r="B3448" s="164"/>
      <c r="C3448" s="164"/>
      <c r="D3448" s="164"/>
      <c r="E3448" s="164"/>
      <c r="F3448" s="165"/>
    </row>
    <row r="3449" spans="1:6" x14ac:dyDescent="0.2">
      <c r="A3449" s="166"/>
      <c r="B3449" s="167"/>
      <c r="C3449" s="167"/>
      <c r="D3449" s="167"/>
      <c r="E3449" s="167"/>
      <c r="F3449" s="168"/>
    </row>
    <row r="3450" spans="1:6" x14ac:dyDescent="0.2">
      <c r="A3450" s="163"/>
      <c r="B3450" s="164"/>
      <c r="C3450" s="164"/>
      <c r="D3450" s="164"/>
      <c r="E3450" s="164"/>
      <c r="F3450" s="165"/>
    </row>
    <row r="3451" spans="1:6" x14ac:dyDescent="0.2">
      <c r="A3451" s="166"/>
      <c r="B3451" s="167"/>
      <c r="C3451" s="167"/>
      <c r="D3451" s="167"/>
      <c r="E3451" s="167"/>
      <c r="F3451" s="168"/>
    </row>
    <row r="3452" spans="1:6" x14ac:dyDescent="0.2">
      <c r="A3452" s="163"/>
      <c r="B3452" s="164"/>
      <c r="C3452" s="164"/>
      <c r="D3452" s="164"/>
      <c r="E3452" s="164"/>
      <c r="F3452" s="165"/>
    </row>
    <row r="3453" spans="1:6" x14ac:dyDescent="0.2">
      <c r="A3453" s="166"/>
      <c r="B3453" s="167"/>
      <c r="C3453" s="167"/>
      <c r="D3453" s="167"/>
      <c r="E3453" s="167"/>
      <c r="F3453" s="168"/>
    </row>
    <row r="3454" spans="1:6" x14ac:dyDescent="0.2">
      <c r="A3454" s="163"/>
      <c r="B3454" s="164"/>
      <c r="C3454" s="164"/>
      <c r="D3454" s="164"/>
      <c r="E3454" s="164"/>
      <c r="F3454" s="165"/>
    </row>
    <row r="3455" spans="1:6" x14ac:dyDescent="0.2">
      <c r="A3455" s="166"/>
      <c r="B3455" s="167"/>
      <c r="C3455" s="167"/>
      <c r="D3455" s="167"/>
      <c r="E3455" s="167"/>
      <c r="F3455" s="168"/>
    </row>
    <row r="3456" spans="1:6" x14ac:dyDescent="0.2">
      <c r="A3456" s="163"/>
      <c r="B3456" s="164"/>
      <c r="C3456" s="164"/>
      <c r="D3456" s="164"/>
      <c r="E3456" s="164"/>
      <c r="F3456" s="165"/>
    </row>
    <row r="3457" spans="1:6" x14ac:dyDescent="0.2">
      <c r="A3457" s="166"/>
      <c r="B3457" s="167"/>
      <c r="C3457" s="167"/>
      <c r="D3457" s="167"/>
      <c r="E3457" s="167"/>
      <c r="F3457" s="168"/>
    </row>
    <row r="3458" spans="1:6" x14ac:dyDescent="0.2">
      <c r="A3458" s="163"/>
      <c r="B3458" s="164"/>
      <c r="C3458" s="164"/>
      <c r="D3458" s="164"/>
      <c r="E3458" s="164"/>
      <c r="F3458" s="165"/>
    </row>
    <row r="3459" spans="1:6" x14ac:dyDescent="0.2">
      <c r="A3459" s="166"/>
      <c r="B3459" s="167"/>
      <c r="C3459" s="167"/>
      <c r="D3459" s="167"/>
      <c r="E3459" s="167"/>
      <c r="F3459" s="168"/>
    </row>
    <row r="3460" spans="1:6" x14ac:dyDescent="0.2">
      <c r="A3460" s="163"/>
      <c r="B3460" s="164"/>
      <c r="C3460" s="164"/>
      <c r="D3460" s="164"/>
      <c r="E3460" s="164"/>
      <c r="F3460" s="165"/>
    </row>
    <row r="3461" spans="1:6" x14ac:dyDescent="0.2">
      <c r="A3461" s="166"/>
      <c r="B3461" s="167"/>
      <c r="C3461" s="167"/>
      <c r="D3461" s="167"/>
      <c r="E3461" s="167"/>
      <c r="F3461" s="168"/>
    </row>
    <row r="3462" spans="1:6" x14ac:dyDescent="0.2">
      <c r="A3462" s="163"/>
      <c r="B3462" s="164"/>
      <c r="C3462" s="164"/>
      <c r="D3462" s="164"/>
      <c r="E3462" s="164"/>
      <c r="F3462" s="165"/>
    </row>
    <row r="3463" spans="1:6" x14ac:dyDescent="0.2">
      <c r="A3463" s="166"/>
      <c r="B3463" s="167"/>
      <c r="C3463" s="167"/>
      <c r="D3463" s="167"/>
      <c r="E3463" s="167"/>
      <c r="F3463" s="168"/>
    </row>
    <row r="3464" spans="1:6" x14ac:dyDescent="0.2">
      <c r="A3464" s="163"/>
      <c r="B3464" s="164"/>
      <c r="C3464" s="164"/>
      <c r="D3464" s="164"/>
      <c r="E3464" s="164"/>
      <c r="F3464" s="165"/>
    </row>
    <row r="3465" spans="1:6" x14ac:dyDescent="0.2">
      <c r="A3465" s="166"/>
      <c r="B3465" s="167"/>
      <c r="C3465" s="167"/>
      <c r="D3465" s="167"/>
      <c r="E3465" s="167"/>
      <c r="F3465" s="168"/>
    </row>
    <row r="3466" spans="1:6" x14ac:dyDescent="0.2">
      <c r="A3466" s="163"/>
      <c r="B3466" s="164"/>
      <c r="C3466" s="164"/>
      <c r="D3466" s="164"/>
      <c r="E3466" s="164"/>
      <c r="F3466" s="165"/>
    </row>
    <row r="3467" spans="1:6" x14ac:dyDescent="0.2">
      <c r="A3467" s="166"/>
      <c r="B3467" s="167"/>
      <c r="C3467" s="167"/>
      <c r="D3467" s="167"/>
      <c r="E3467" s="167"/>
      <c r="F3467" s="168"/>
    </row>
    <row r="3468" spans="1:6" x14ac:dyDescent="0.2">
      <c r="A3468" s="163"/>
      <c r="B3468" s="164"/>
      <c r="C3468" s="164"/>
      <c r="D3468" s="164"/>
      <c r="E3468" s="164"/>
      <c r="F3468" s="165"/>
    </row>
    <row r="3469" spans="1:6" x14ac:dyDescent="0.2">
      <c r="A3469" s="166"/>
      <c r="B3469" s="167"/>
      <c r="C3469" s="167"/>
      <c r="D3469" s="167"/>
      <c r="E3469" s="167"/>
      <c r="F3469" s="168"/>
    </row>
    <row r="3470" spans="1:6" x14ac:dyDescent="0.2">
      <c r="A3470" s="163"/>
      <c r="B3470" s="164"/>
      <c r="C3470" s="164"/>
      <c r="D3470" s="164"/>
      <c r="E3470" s="164"/>
      <c r="F3470" s="165"/>
    </row>
    <row r="3471" spans="1:6" x14ac:dyDescent="0.2">
      <c r="A3471" s="166"/>
      <c r="B3471" s="167"/>
      <c r="C3471" s="167"/>
      <c r="D3471" s="167"/>
      <c r="E3471" s="167"/>
      <c r="F3471" s="168"/>
    </row>
    <row r="3472" spans="1:6" x14ac:dyDescent="0.2">
      <c r="A3472" s="163"/>
      <c r="B3472" s="164"/>
      <c r="C3472" s="164"/>
      <c r="D3472" s="164"/>
      <c r="E3472" s="164"/>
      <c r="F3472" s="165"/>
    </row>
    <row r="3473" spans="1:6" x14ac:dyDescent="0.2">
      <c r="A3473" s="166"/>
      <c r="B3473" s="167"/>
      <c r="C3473" s="167"/>
      <c r="D3473" s="167"/>
      <c r="E3473" s="167"/>
      <c r="F3473" s="168"/>
    </row>
    <row r="3474" spans="1:6" x14ac:dyDescent="0.2">
      <c r="A3474" s="163"/>
      <c r="B3474" s="164"/>
      <c r="C3474" s="164"/>
      <c r="D3474" s="164"/>
      <c r="E3474" s="164"/>
      <c r="F3474" s="165"/>
    </row>
    <row r="3475" spans="1:6" x14ac:dyDescent="0.2">
      <c r="A3475" s="166"/>
      <c r="B3475" s="167"/>
      <c r="C3475" s="167"/>
      <c r="D3475" s="167"/>
      <c r="E3475" s="167"/>
      <c r="F3475" s="168"/>
    </row>
    <row r="3476" spans="1:6" x14ac:dyDescent="0.2">
      <c r="A3476" s="163"/>
      <c r="B3476" s="164"/>
      <c r="C3476" s="164"/>
      <c r="D3476" s="164"/>
      <c r="E3476" s="164"/>
      <c r="F3476" s="165"/>
    </row>
    <row r="3477" spans="1:6" x14ac:dyDescent="0.2">
      <c r="A3477" s="166"/>
      <c r="B3477" s="167"/>
      <c r="C3477" s="167"/>
      <c r="D3477" s="167"/>
      <c r="E3477" s="167"/>
      <c r="F3477" s="168"/>
    </row>
    <row r="3478" spans="1:6" x14ac:dyDescent="0.2">
      <c r="A3478" s="163"/>
      <c r="B3478" s="164"/>
      <c r="C3478" s="164"/>
      <c r="D3478" s="164"/>
      <c r="E3478" s="164"/>
      <c r="F3478" s="165"/>
    </row>
    <row r="3479" spans="1:6" x14ac:dyDescent="0.2">
      <c r="A3479" s="166"/>
      <c r="B3479" s="167"/>
      <c r="C3479" s="167"/>
      <c r="D3479" s="167"/>
      <c r="E3479" s="167"/>
      <c r="F3479" s="168"/>
    </row>
    <row r="3480" spans="1:6" x14ac:dyDescent="0.2">
      <c r="A3480" s="163"/>
      <c r="B3480" s="164"/>
      <c r="C3480" s="164"/>
      <c r="D3480" s="164"/>
      <c r="E3480" s="164"/>
      <c r="F3480" s="165"/>
    </row>
    <row r="3481" spans="1:6" x14ac:dyDescent="0.2">
      <c r="A3481" s="166"/>
      <c r="B3481" s="167"/>
      <c r="C3481" s="167"/>
      <c r="D3481" s="167"/>
      <c r="E3481" s="167"/>
      <c r="F3481" s="168"/>
    </row>
    <row r="3482" spans="1:6" x14ac:dyDescent="0.2">
      <c r="A3482" s="163"/>
      <c r="B3482" s="164"/>
      <c r="C3482" s="164"/>
      <c r="D3482" s="164"/>
      <c r="E3482" s="164"/>
      <c r="F3482" s="165"/>
    </row>
    <row r="3483" spans="1:6" x14ac:dyDescent="0.2">
      <c r="A3483" s="166"/>
      <c r="B3483" s="167"/>
      <c r="C3483" s="167"/>
      <c r="D3483" s="167"/>
      <c r="E3483" s="167"/>
      <c r="F3483" s="168"/>
    </row>
    <row r="3484" spans="1:6" x14ac:dyDescent="0.2">
      <c r="A3484" s="163"/>
      <c r="B3484" s="164"/>
      <c r="C3484" s="164"/>
      <c r="D3484" s="164"/>
      <c r="E3484" s="164"/>
      <c r="F3484" s="165"/>
    </row>
    <row r="3485" spans="1:6" x14ac:dyDescent="0.2">
      <c r="A3485" s="166"/>
      <c r="B3485" s="167"/>
      <c r="C3485" s="167"/>
      <c r="D3485" s="167"/>
      <c r="E3485" s="167"/>
      <c r="F3485" s="168"/>
    </row>
    <row r="3486" spans="1:6" x14ac:dyDescent="0.2">
      <c r="A3486" s="163"/>
      <c r="B3486" s="164"/>
      <c r="C3486" s="164"/>
      <c r="D3486" s="164"/>
      <c r="E3486" s="164"/>
      <c r="F3486" s="165"/>
    </row>
    <row r="3487" spans="1:6" x14ac:dyDescent="0.2">
      <c r="A3487" s="166"/>
      <c r="B3487" s="167"/>
      <c r="C3487" s="167"/>
      <c r="D3487" s="167"/>
      <c r="E3487" s="167"/>
      <c r="F3487" s="168"/>
    </row>
    <row r="3488" spans="1:6" x14ac:dyDescent="0.2">
      <c r="A3488" s="163"/>
      <c r="B3488" s="164"/>
      <c r="C3488" s="164"/>
      <c r="D3488" s="164"/>
      <c r="E3488" s="164"/>
      <c r="F3488" s="165"/>
    </row>
    <row r="3489" spans="1:6" x14ac:dyDescent="0.2">
      <c r="A3489" s="166"/>
      <c r="B3489" s="167"/>
      <c r="C3489" s="167"/>
      <c r="D3489" s="167"/>
      <c r="E3489" s="167"/>
      <c r="F3489" s="168"/>
    </row>
    <row r="3490" spans="1:6" x14ac:dyDescent="0.2">
      <c r="A3490" s="163"/>
      <c r="B3490" s="164"/>
      <c r="C3490" s="164"/>
      <c r="D3490" s="164"/>
      <c r="E3490" s="164"/>
      <c r="F3490" s="165"/>
    </row>
    <row r="3491" spans="1:6" x14ac:dyDescent="0.2">
      <c r="A3491" s="166"/>
      <c r="B3491" s="167"/>
      <c r="C3491" s="167"/>
      <c r="D3491" s="167"/>
      <c r="E3491" s="167"/>
      <c r="F3491" s="168"/>
    </row>
    <row r="3492" spans="1:6" x14ac:dyDescent="0.2">
      <c r="A3492" s="163"/>
      <c r="B3492" s="164"/>
      <c r="C3492" s="164"/>
      <c r="D3492" s="164"/>
      <c r="E3492" s="164"/>
      <c r="F3492" s="165"/>
    </row>
    <row r="3493" spans="1:6" x14ac:dyDescent="0.2">
      <c r="A3493" s="166"/>
      <c r="B3493" s="167"/>
      <c r="C3493" s="167"/>
      <c r="D3493" s="167"/>
      <c r="E3493" s="167"/>
      <c r="F3493" s="168"/>
    </row>
    <row r="3494" spans="1:6" x14ac:dyDescent="0.2">
      <c r="A3494" s="163"/>
      <c r="B3494" s="164"/>
      <c r="C3494" s="164"/>
      <c r="D3494" s="164"/>
      <c r="E3494" s="164"/>
      <c r="F3494" s="165"/>
    </row>
    <row r="3495" spans="1:6" x14ac:dyDescent="0.2">
      <c r="A3495" s="166"/>
      <c r="B3495" s="167"/>
      <c r="C3495" s="167"/>
      <c r="D3495" s="167"/>
      <c r="E3495" s="167"/>
      <c r="F3495" s="168"/>
    </row>
    <row r="3496" spans="1:6" x14ac:dyDescent="0.2">
      <c r="A3496" s="163"/>
      <c r="B3496" s="164"/>
      <c r="C3496" s="164"/>
      <c r="D3496" s="164"/>
      <c r="E3496" s="164"/>
      <c r="F3496" s="165"/>
    </row>
    <row r="3497" spans="1:6" x14ac:dyDescent="0.2">
      <c r="A3497" s="166"/>
      <c r="B3497" s="167"/>
      <c r="C3497" s="167"/>
      <c r="D3497" s="167"/>
      <c r="E3497" s="167"/>
      <c r="F3497" s="168"/>
    </row>
    <row r="3498" spans="1:6" x14ac:dyDescent="0.2">
      <c r="A3498" s="163"/>
      <c r="B3498" s="164"/>
      <c r="C3498" s="164"/>
      <c r="D3498" s="164"/>
      <c r="E3498" s="164"/>
      <c r="F3498" s="165"/>
    </row>
    <row r="3499" spans="1:6" x14ac:dyDescent="0.2">
      <c r="A3499" s="166"/>
      <c r="B3499" s="167"/>
      <c r="C3499" s="167"/>
      <c r="D3499" s="167"/>
      <c r="E3499" s="167"/>
      <c r="F3499" s="168"/>
    </row>
    <row r="3500" spans="1:6" x14ac:dyDescent="0.2">
      <c r="A3500" s="163"/>
      <c r="B3500" s="164"/>
      <c r="C3500" s="164"/>
      <c r="D3500" s="164"/>
      <c r="E3500" s="164"/>
      <c r="F3500" s="165"/>
    </row>
    <row r="3501" spans="1:6" x14ac:dyDescent="0.2">
      <c r="A3501" s="166"/>
      <c r="B3501" s="167"/>
      <c r="C3501" s="167"/>
      <c r="D3501" s="167"/>
      <c r="E3501" s="167"/>
      <c r="F3501" s="168"/>
    </row>
    <row r="3502" spans="1:6" x14ac:dyDescent="0.2">
      <c r="A3502" s="163"/>
      <c r="B3502" s="164"/>
      <c r="C3502" s="164"/>
      <c r="D3502" s="164"/>
      <c r="E3502" s="164"/>
      <c r="F3502" s="165"/>
    </row>
    <row r="3503" spans="1:6" x14ac:dyDescent="0.2">
      <c r="A3503" s="166"/>
      <c r="B3503" s="167"/>
      <c r="C3503" s="167"/>
      <c r="D3503" s="167"/>
      <c r="E3503" s="167"/>
      <c r="F3503" s="168"/>
    </row>
    <row r="3504" spans="1:6" x14ac:dyDescent="0.2">
      <c r="A3504" s="163"/>
      <c r="B3504" s="164"/>
      <c r="C3504" s="164"/>
      <c r="D3504" s="164"/>
      <c r="E3504" s="164"/>
      <c r="F3504" s="165"/>
    </row>
    <row r="3505" spans="1:6" x14ac:dyDescent="0.2">
      <c r="A3505" s="166"/>
      <c r="B3505" s="167"/>
      <c r="C3505" s="167"/>
      <c r="D3505" s="167"/>
      <c r="E3505" s="167"/>
      <c r="F3505" s="168"/>
    </row>
    <row r="3506" spans="1:6" x14ac:dyDescent="0.2">
      <c r="A3506" s="163"/>
      <c r="B3506" s="164"/>
      <c r="C3506" s="164"/>
      <c r="D3506" s="164"/>
      <c r="E3506" s="164"/>
      <c r="F3506" s="165"/>
    </row>
    <row r="3507" spans="1:6" x14ac:dyDescent="0.2">
      <c r="A3507" s="166"/>
      <c r="B3507" s="167"/>
      <c r="C3507" s="167"/>
      <c r="D3507" s="167"/>
      <c r="E3507" s="167"/>
      <c r="F3507" s="168"/>
    </row>
    <row r="3508" spans="1:6" x14ac:dyDescent="0.2">
      <c r="A3508" s="163"/>
      <c r="B3508" s="164"/>
      <c r="C3508" s="164"/>
      <c r="D3508" s="164"/>
      <c r="E3508" s="164"/>
      <c r="F3508" s="165"/>
    </row>
    <row r="3509" spans="1:6" x14ac:dyDescent="0.2">
      <c r="A3509" s="166"/>
      <c r="B3509" s="167"/>
      <c r="C3509" s="167"/>
      <c r="D3509" s="167"/>
      <c r="E3509" s="167"/>
      <c r="F3509" s="168"/>
    </row>
    <row r="3510" spans="1:6" x14ac:dyDescent="0.2">
      <c r="A3510" s="163"/>
      <c r="B3510" s="164"/>
      <c r="C3510" s="164"/>
      <c r="D3510" s="164"/>
      <c r="E3510" s="164"/>
      <c r="F3510" s="165"/>
    </row>
    <row r="3511" spans="1:6" x14ac:dyDescent="0.2">
      <c r="A3511" s="166"/>
      <c r="B3511" s="167"/>
      <c r="C3511" s="167"/>
      <c r="D3511" s="167"/>
      <c r="E3511" s="167"/>
      <c r="F3511" s="168"/>
    </row>
    <row r="3512" spans="1:6" x14ac:dyDescent="0.2">
      <c r="A3512" s="163"/>
      <c r="B3512" s="164"/>
      <c r="C3512" s="164"/>
      <c r="D3512" s="164"/>
      <c r="E3512" s="164"/>
      <c r="F3512" s="165"/>
    </row>
    <row r="3513" spans="1:6" x14ac:dyDescent="0.2">
      <c r="A3513" s="166"/>
      <c r="B3513" s="167"/>
      <c r="C3513" s="167"/>
      <c r="D3513" s="167"/>
      <c r="E3513" s="167"/>
      <c r="F3513" s="168"/>
    </row>
    <row r="3514" spans="1:6" x14ac:dyDescent="0.2">
      <c r="A3514" s="163"/>
      <c r="B3514" s="164"/>
      <c r="C3514" s="164"/>
      <c r="D3514" s="164"/>
      <c r="E3514" s="164"/>
      <c r="F3514" s="165"/>
    </row>
    <row r="3515" spans="1:6" x14ac:dyDescent="0.2">
      <c r="A3515" s="166"/>
      <c r="B3515" s="167"/>
      <c r="C3515" s="167"/>
      <c r="D3515" s="167"/>
      <c r="E3515" s="167"/>
      <c r="F3515" s="168"/>
    </row>
    <row r="3516" spans="1:6" x14ac:dyDescent="0.2">
      <c r="A3516" s="163"/>
      <c r="B3516" s="164"/>
      <c r="C3516" s="164"/>
      <c r="D3516" s="164"/>
      <c r="E3516" s="164"/>
      <c r="F3516" s="165"/>
    </row>
    <row r="3517" spans="1:6" x14ac:dyDescent="0.2">
      <c r="A3517" s="166"/>
      <c r="B3517" s="167"/>
      <c r="C3517" s="167"/>
      <c r="D3517" s="167"/>
      <c r="E3517" s="167"/>
      <c r="F3517" s="168"/>
    </row>
    <row r="3518" spans="1:6" x14ac:dyDescent="0.2">
      <c r="A3518" s="163"/>
      <c r="B3518" s="164"/>
      <c r="C3518" s="164"/>
      <c r="D3518" s="164"/>
      <c r="E3518" s="164"/>
      <c r="F3518" s="165"/>
    </row>
    <row r="3519" spans="1:6" x14ac:dyDescent="0.2">
      <c r="A3519" s="166"/>
      <c r="B3519" s="167"/>
      <c r="C3519" s="167"/>
      <c r="D3519" s="167"/>
      <c r="E3519" s="167"/>
      <c r="F3519" s="168"/>
    </row>
    <row r="3520" spans="1:6" x14ac:dyDescent="0.2">
      <c r="A3520" s="163"/>
      <c r="B3520" s="164"/>
      <c r="C3520" s="164"/>
      <c r="D3520" s="164"/>
      <c r="E3520" s="164"/>
      <c r="F3520" s="165"/>
    </row>
    <row r="3521" spans="1:6" x14ac:dyDescent="0.2">
      <c r="A3521" s="166"/>
      <c r="B3521" s="167"/>
      <c r="C3521" s="167"/>
      <c r="D3521" s="167"/>
      <c r="E3521" s="167"/>
      <c r="F3521" s="168"/>
    </row>
    <row r="3522" spans="1:6" x14ac:dyDescent="0.2">
      <c r="A3522" s="163"/>
      <c r="B3522" s="164"/>
      <c r="C3522" s="164"/>
      <c r="D3522" s="164"/>
      <c r="E3522" s="164"/>
      <c r="F3522" s="165"/>
    </row>
    <row r="3523" spans="1:6" x14ac:dyDescent="0.2">
      <c r="A3523" s="166"/>
      <c r="B3523" s="167"/>
      <c r="C3523" s="167"/>
      <c r="D3523" s="167"/>
      <c r="E3523" s="167"/>
      <c r="F3523" s="168"/>
    </row>
    <row r="3524" spans="1:6" x14ac:dyDescent="0.2">
      <c r="A3524" s="163"/>
      <c r="B3524" s="164"/>
      <c r="C3524" s="164"/>
      <c r="D3524" s="164"/>
      <c r="E3524" s="164"/>
      <c r="F3524" s="165"/>
    </row>
    <row r="3525" spans="1:6" x14ac:dyDescent="0.2">
      <c r="A3525" s="166"/>
      <c r="B3525" s="167"/>
      <c r="C3525" s="167"/>
      <c r="D3525" s="167"/>
      <c r="E3525" s="167"/>
      <c r="F3525" s="168"/>
    </row>
    <row r="3526" spans="1:6" x14ac:dyDescent="0.2">
      <c r="A3526" s="163"/>
      <c r="B3526" s="164"/>
      <c r="C3526" s="164"/>
      <c r="D3526" s="164"/>
      <c r="E3526" s="164"/>
      <c r="F3526" s="165"/>
    </row>
    <row r="3527" spans="1:6" x14ac:dyDescent="0.2">
      <c r="A3527" s="166"/>
      <c r="B3527" s="167"/>
      <c r="C3527" s="167"/>
      <c r="D3527" s="167"/>
      <c r="E3527" s="167"/>
      <c r="F3527" s="168"/>
    </row>
    <row r="3528" spans="1:6" x14ac:dyDescent="0.2">
      <c r="A3528" s="163"/>
      <c r="B3528" s="164"/>
      <c r="C3528" s="164"/>
      <c r="D3528" s="164"/>
      <c r="E3528" s="164"/>
      <c r="F3528" s="165"/>
    </row>
    <row r="3529" spans="1:6" x14ac:dyDescent="0.2">
      <c r="A3529" s="166"/>
      <c r="B3529" s="167"/>
      <c r="C3529" s="167"/>
      <c r="D3529" s="167"/>
      <c r="E3529" s="167"/>
      <c r="F3529" s="168"/>
    </row>
    <row r="3530" spans="1:6" x14ac:dyDescent="0.2">
      <c r="A3530" s="163"/>
      <c r="B3530" s="164"/>
      <c r="C3530" s="164"/>
      <c r="D3530" s="164"/>
      <c r="E3530" s="164"/>
      <c r="F3530" s="165"/>
    </row>
    <row r="3531" spans="1:6" x14ac:dyDescent="0.2">
      <c r="A3531" s="166"/>
      <c r="B3531" s="167"/>
      <c r="C3531" s="167"/>
      <c r="D3531" s="167"/>
      <c r="E3531" s="167"/>
      <c r="F3531" s="168"/>
    </row>
    <row r="3532" spans="1:6" x14ac:dyDescent="0.2">
      <c r="A3532" s="163"/>
      <c r="B3532" s="164"/>
      <c r="C3532" s="164"/>
      <c r="D3532" s="164"/>
      <c r="E3532" s="164"/>
      <c r="F3532" s="165"/>
    </row>
    <row r="3533" spans="1:6" x14ac:dyDescent="0.2">
      <c r="A3533" s="166"/>
      <c r="B3533" s="167"/>
      <c r="C3533" s="167"/>
      <c r="D3533" s="167"/>
      <c r="E3533" s="167"/>
      <c r="F3533" s="168"/>
    </row>
    <row r="3534" spans="1:6" x14ac:dyDescent="0.2">
      <c r="A3534" s="163"/>
      <c r="B3534" s="164"/>
      <c r="C3534" s="164"/>
      <c r="D3534" s="164"/>
      <c r="E3534" s="164"/>
      <c r="F3534" s="165"/>
    </row>
    <row r="3535" spans="1:6" x14ac:dyDescent="0.2">
      <c r="A3535" s="166"/>
      <c r="B3535" s="167"/>
      <c r="C3535" s="167"/>
      <c r="D3535" s="167"/>
      <c r="E3535" s="167"/>
      <c r="F3535" s="168"/>
    </row>
    <row r="3536" spans="1:6" x14ac:dyDescent="0.2">
      <c r="A3536" s="163"/>
      <c r="B3536" s="164"/>
      <c r="C3536" s="164"/>
      <c r="D3536" s="164"/>
      <c r="E3536" s="164"/>
      <c r="F3536" s="165"/>
    </row>
    <row r="3537" spans="1:6" x14ac:dyDescent="0.2">
      <c r="A3537" s="166"/>
      <c r="B3537" s="167"/>
      <c r="C3537" s="167"/>
      <c r="D3537" s="167"/>
      <c r="E3537" s="167"/>
      <c r="F3537" s="168"/>
    </row>
    <row r="3538" spans="1:6" x14ac:dyDescent="0.2">
      <c r="A3538" s="163"/>
      <c r="B3538" s="164"/>
      <c r="C3538" s="164"/>
      <c r="D3538" s="164"/>
      <c r="E3538" s="164"/>
      <c r="F3538" s="165"/>
    </row>
    <row r="3539" spans="1:6" x14ac:dyDescent="0.2">
      <c r="A3539" s="166"/>
      <c r="B3539" s="167"/>
      <c r="C3539" s="167"/>
      <c r="D3539" s="167"/>
      <c r="E3539" s="167"/>
      <c r="F3539" s="168"/>
    </row>
    <row r="3540" spans="1:6" x14ac:dyDescent="0.2">
      <c r="A3540" s="163"/>
      <c r="B3540" s="164"/>
      <c r="C3540" s="164"/>
      <c r="D3540" s="164"/>
      <c r="E3540" s="164"/>
      <c r="F3540" s="165"/>
    </row>
    <row r="3541" spans="1:6" x14ac:dyDescent="0.2">
      <c r="A3541" s="166"/>
      <c r="B3541" s="167"/>
      <c r="C3541" s="167"/>
      <c r="D3541" s="167"/>
      <c r="E3541" s="167"/>
      <c r="F3541" s="168"/>
    </row>
    <row r="3542" spans="1:6" x14ac:dyDescent="0.2">
      <c r="A3542" s="163"/>
      <c r="B3542" s="164"/>
      <c r="C3542" s="164"/>
      <c r="D3542" s="164"/>
      <c r="E3542" s="164"/>
      <c r="F3542" s="165"/>
    </row>
    <row r="3543" spans="1:6" x14ac:dyDescent="0.2">
      <c r="A3543" s="166"/>
      <c r="B3543" s="167"/>
      <c r="C3543" s="167"/>
      <c r="D3543" s="167"/>
      <c r="E3543" s="167"/>
      <c r="F3543" s="168"/>
    </row>
    <row r="3544" spans="1:6" x14ac:dyDescent="0.2">
      <c r="A3544" s="163"/>
      <c r="B3544" s="164"/>
      <c r="C3544" s="164"/>
      <c r="D3544" s="164"/>
      <c r="E3544" s="164"/>
      <c r="F3544" s="165"/>
    </row>
    <row r="3545" spans="1:6" x14ac:dyDescent="0.2">
      <c r="A3545" s="166"/>
      <c r="B3545" s="167"/>
      <c r="C3545" s="167"/>
      <c r="D3545" s="167"/>
      <c r="E3545" s="167"/>
      <c r="F3545" s="168"/>
    </row>
    <row r="3546" spans="1:6" x14ac:dyDescent="0.2">
      <c r="A3546" s="163"/>
      <c r="B3546" s="164"/>
      <c r="C3546" s="164"/>
      <c r="D3546" s="164"/>
      <c r="E3546" s="164"/>
      <c r="F3546" s="165"/>
    </row>
    <row r="3547" spans="1:6" x14ac:dyDescent="0.2">
      <c r="A3547" s="166"/>
      <c r="B3547" s="167"/>
      <c r="C3547" s="167"/>
      <c r="D3547" s="167"/>
      <c r="E3547" s="167"/>
      <c r="F3547" s="168"/>
    </row>
    <row r="3548" spans="1:6" x14ac:dyDescent="0.2">
      <c r="A3548" s="163"/>
      <c r="B3548" s="164"/>
      <c r="C3548" s="164"/>
      <c r="D3548" s="164"/>
      <c r="E3548" s="164"/>
      <c r="F3548" s="165"/>
    </row>
    <row r="3549" spans="1:6" x14ac:dyDescent="0.2">
      <c r="A3549" s="166"/>
      <c r="B3549" s="167"/>
      <c r="C3549" s="167"/>
      <c r="D3549" s="167"/>
      <c r="E3549" s="167"/>
      <c r="F3549" s="168"/>
    </row>
    <row r="3550" spans="1:6" x14ac:dyDescent="0.2">
      <c r="A3550" s="163"/>
      <c r="B3550" s="164"/>
      <c r="C3550" s="164"/>
      <c r="D3550" s="164"/>
      <c r="E3550" s="164"/>
      <c r="F3550" s="165"/>
    </row>
    <row r="3551" spans="1:6" x14ac:dyDescent="0.2">
      <c r="A3551" s="166"/>
      <c r="B3551" s="167"/>
      <c r="C3551" s="167"/>
      <c r="D3551" s="167"/>
      <c r="E3551" s="167"/>
      <c r="F3551" s="168"/>
    </row>
    <row r="3552" spans="1:6" x14ac:dyDescent="0.2">
      <c r="A3552" s="163"/>
      <c r="B3552" s="164"/>
      <c r="C3552" s="164"/>
      <c r="D3552" s="164"/>
      <c r="E3552" s="164"/>
      <c r="F3552" s="165"/>
    </row>
    <row r="3553" spans="1:6" x14ac:dyDescent="0.2">
      <c r="A3553" s="166"/>
      <c r="B3553" s="167"/>
      <c r="C3553" s="167"/>
      <c r="D3553" s="167"/>
      <c r="E3553" s="167"/>
      <c r="F3553" s="168"/>
    </row>
    <row r="3554" spans="1:6" x14ac:dyDescent="0.2">
      <c r="A3554" s="163"/>
      <c r="B3554" s="164"/>
      <c r="C3554" s="164"/>
      <c r="D3554" s="164"/>
      <c r="E3554" s="164"/>
      <c r="F3554" s="165"/>
    </row>
    <row r="3555" spans="1:6" x14ac:dyDescent="0.2">
      <c r="A3555" s="166"/>
      <c r="B3555" s="167"/>
      <c r="C3555" s="167"/>
      <c r="D3555" s="167"/>
      <c r="E3555" s="167"/>
      <c r="F3555" s="168"/>
    </row>
    <row r="3556" spans="1:6" x14ac:dyDescent="0.2">
      <c r="A3556" s="163"/>
      <c r="B3556" s="164"/>
      <c r="C3556" s="164"/>
      <c r="D3556" s="164"/>
      <c r="E3556" s="164"/>
      <c r="F3556" s="165"/>
    </row>
    <row r="3557" spans="1:6" x14ac:dyDescent="0.2">
      <c r="A3557" s="166"/>
      <c r="B3557" s="167"/>
      <c r="C3557" s="167"/>
      <c r="D3557" s="167"/>
      <c r="E3557" s="167"/>
      <c r="F3557" s="168"/>
    </row>
    <row r="3558" spans="1:6" x14ac:dyDescent="0.2">
      <c r="A3558" s="163"/>
      <c r="B3558" s="164"/>
      <c r="C3558" s="164"/>
      <c r="D3558" s="164"/>
      <c r="E3558" s="164"/>
      <c r="F3558" s="165"/>
    </row>
    <row r="3559" spans="1:6" x14ac:dyDescent="0.2">
      <c r="A3559" s="166"/>
      <c r="B3559" s="167"/>
      <c r="C3559" s="167"/>
      <c r="D3559" s="167"/>
      <c r="E3559" s="167"/>
      <c r="F3559" s="168"/>
    </row>
    <row r="3560" spans="1:6" x14ac:dyDescent="0.2">
      <c r="A3560" s="163"/>
      <c r="B3560" s="164"/>
      <c r="C3560" s="164"/>
      <c r="D3560" s="164"/>
      <c r="E3560" s="164"/>
      <c r="F3560" s="165"/>
    </row>
    <row r="3561" spans="1:6" x14ac:dyDescent="0.2">
      <c r="A3561" s="166"/>
      <c r="B3561" s="167"/>
      <c r="C3561" s="167"/>
      <c r="D3561" s="167"/>
      <c r="E3561" s="167"/>
      <c r="F3561" s="168"/>
    </row>
    <row r="3562" spans="1:6" x14ac:dyDescent="0.2">
      <c r="A3562" s="163"/>
      <c r="B3562" s="164"/>
      <c r="C3562" s="164"/>
      <c r="D3562" s="164"/>
      <c r="E3562" s="164"/>
      <c r="F3562" s="165"/>
    </row>
    <row r="3563" spans="1:6" x14ac:dyDescent="0.2">
      <c r="A3563" s="166"/>
      <c r="B3563" s="167"/>
      <c r="C3563" s="167"/>
      <c r="D3563" s="167"/>
      <c r="E3563" s="167"/>
      <c r="F3563" s="168"/>
    </row>
    <row r="3564" spans="1:6" x14ac:dyDescent="0.2">
      <c r="A3564" s="163"/>
      <c r="B3564" s="164"/>
      <c r="C3564" s="164"/>
      <c r="D3564" s="164"/>
      <c r="E3564" s="164"/>
      <c r="F3564" s="165"/>
    </row>
    <row r="3565" spans="1:6" x14ac:dyDescent="0.2">
      <c r="A3565" s="166"/>
      <c r="B3565" s="167"/>
      <c r="C3565" s="167"/>
      <c r="D3565" s="167"/>
      <c r="E3565" s="167"/>
      <c r="F3565" s="168"/>
    </row>
    <row r="3566" spans="1:6" x14ac:dyDescent="0.2">
      <c r="A3566" s="163"/>
      <c r="B3566" s="164"/>
      <c r="C3566" s="164"/>
      <c r="D3566" s="164"/>
      <c r="E3566" s="164"/>
      <c r="F3566" s="165"/>
    </row>
    <row r="3567" spans="1:6" x14ac:dyDescent="0.2">
      <c r="A3567" s="166"/>
      <c r="B3567" s="167"/>
      <c r="C3567" s="167"/>
      <c r="D3567" s="167"/>
      <c r="E3567" s="167"/>
      <c r="F3567" s="168"/>
    </row>
    <row r="3568" spans="1:6" x14ac:dyDescent="0.2">
      <c r="A3568" s="163"/>
      <c r="B3568" s="164"/>
      <c r="C3568" s="164"/>
      <c r="D3568" s="164"/>
      <c r="E3568" s="164"/>
      <c r="F3568" s="165"/>
    </row>
    <row r="3569" spans="1:6" x14ac:dyDescent="0.2">
      <c r="A3569" s="166"/>
      <c r="B3569" s="167"/>
      <c r="C3569" s="167"/>
      <c r="D3569" s="167"/>
      <c r="E3569" s="167"/>
      <c r="F3569" s="168"/>
    </row>
    <row r="3570" spans="1:6" x14ac:dyDescent="0.2">
      <c r="A3570" s="163"/>
      <c r="B3570" s="164"/>
      <c r="C3570" s="164"/>
      <c r="D3570" s="164"/>
      <c r="E3570" s="164"/>
      <c r="F3570" s="165"/>
    </row>
    <row r="3571" spans="1:6" x14ac:dyDescent="0.2">
      <c r="A3571" s="166"/>
      <c r="B3571" s="167"/>
      <c r="C3571" s="167"/>
      <c r="D3571" s="167"/>
      <c r="E3571" s="167"/>
      <c r="F3571" s="168"/>
    </row>
    <row r="3572" spans="1:6" x14ac:dyDescent="0.2">
      <c r="A3572" s="163"/>
      <c r="B3572" s="164"/>
      <c r="C3572" s="164"/>
      <c r="D3572" s="164"/>
      <c r="E3572" s="164"/>
      <c r="F3572" s="165"/>
    </row>
    <row r="3573" spans="1:6" x14ac:dyDescent="0.2">
      <c r="A3573" s="166"/>
      <c r="B3573" s="167"/>
      <c r="C3573" s="167"/>
      <c r="D3573" s="167"/>
      <c r="E3573" s="167"/>
      <c r="F3573" s="168"/>
    </row>
    <row r="3574" spans="1:6" x14ac:dyDescent="0.2">
      <c r="A3574" s="163"/>
      <c r="B3574" s="164"/>
      <c r="C3574" s="164"/>
      <c r="D3574" s="164"/>
      <c r="E3574" s="164"/>
      <c r="F3574" s="165"/>
    </row>
    <row r="3575" spans="1:6" x14ac:dyDescent="0.2">
      <c r="A3575" s="166"/>
      <c r="B3575" s="167"/>
      <c r="C3575" s="167"/>
      <c r="D3575" s="167"/>
      <c r="E3575" s="167"/>
      <c r="F3575" s="168"/>
    </row>
    <row r="3576" spans="1:6" x14ac:dyDescent="0.2">
      <c r="A3576" s="163"/>
      <c r="B3576" s="164"/>
      <c r="C3576" s="164"/>
      <c r="D3576" s="164"/>
      <c r="E3576" s="164"/>
      <c r="F3576" s="165"/>
    </row>
    <row r="3577" spans="1:6" x14ac:dyDescent="0.2">
      <c r="A3577" s="166"/>
      <c r="B3577" s="167"/>
      <c r="C3577" s="167"/>
      <c r="D3577" s="167"/>
      <c r="E3577" s="167"/>
      <c r="F3577" s="168"/>
    </row>
    <row r="3578" spans="1:6" x14ac:dyDescent="0.2">
      <c r="A3578" s="163"/>
      <c r="B3578" s="164"/>
      <c r="C3578" s="164"/>
      <c r="D3578" s="164"/>
      <c r="E3578" s="164"/>
      <c r="F3578" s="165"/>
    </row>
    <row r="3579" spans="1:6" x14ac:dyDescent="0.2">
      <c r="A3579" s="166"/>
      <c r="B3579" s="167"/>
      <c r="C3579" s="167"/>
      <c r="D3579" s="167"/>
      <c r="E3579" s="167"/>
      <c r="F3579" s="168"/>
    </row>
    <row r="3580" spans="1:6" x14ac:dyDescent="0.2">
      <c r="A3580" s="163"/>
      <c r="B3580" s="164"/>
      <c r="C3580" s="164"/>
      <c r="D3580" s="164"/>
      <c r="E3580" s="164"/>
      <c r="F3580" s="165"/>
    </row>
    <row r="3581" spans="1:6" x14ac:dyDescent="0.2">
      <c r="A3581" s="166"/>
      <c r="B3581" s="167"/>
      <c r="C3581" s="167"/>
      <c r="D3581" s="167"/>
      <c r="E3581" s="167"/>
      <c r="F3581" s="168"/>
    </row>
    <row r="3582" spans="1:6" x14ac:dyDescent="0.2">
      <c r="A3582" s="163"/>
      <c r="B3582" s="164"/>
      <c r="C3582" s="164"/>
      <c r="D3582" s="164"/>
      <c r="E3582" s="164"/>
      <c r="F3582" s="165"/>
    </row>
    <row r="3583" spans="1:6" x14ac:dyDescent="0.2">
      <c r="A3583" s="166"/>
      <c r="B3583" s="167"/>
      <c r="C3583" s="167"/>
      <c r="D3583" s="167"/>
      <c r="E3583" s="167"/>
      <c r="F3583" s="168"/>
    </row>
    <row r="3584" spans="1:6" x14ac:dyDescent="0.2">
      <c r="A3584" s="163"/>
      <c r="B3584" s="164"/>
      <c r="C3584" s="164"/>
      <c r="D3584" s="164"/>
      <c r="E3584" s="164"/>
      <c r="F3584" s="165"/>
    </row>
    <row r="3585" spans="1:6" x14ac:dyDescent="0.2">
      <c r="A3585" s="166"/>
      <c r="B3585" s="167"/>
      <c r="C3585" s="167"/>
      <c r="D3585" s="167"/>
      <c r="E3585" s="167"/>
      <c r="F3585" s="168"/>
    </row>
    <row r="3586" spans="1:6" x14ac:dyDescent="0.2">
      <c r="A3586" s="163"/>
      <c r="B3586" s="164"/>
      <c r="C3586" s="164"/>
      <c r="D3586" s="164"/>
      <c r="E3586" s="164"/>
      <c r="F3586" s="165"/>
    </row>
    <row r="3587" spans="1:6" x14ac:dyDescent="0.2">
      <c r="A3587" s="166"/>
      <c r="B3587" s="167"/>
      <c r="C3587" s="167"/>
      <c r="D3587" s="167"/>
      <c r="E3587" s="167"/>
      <c r="F3587" s="168"/>
    </row>
    <row r="3588" spans="1:6" x14ac:dyDescent="0.2">
      <c r="A3588" s="163"/>
      <c r="B3588" s="164"/>
      <c r="C3588" s="164"/>
      <c r="D3588" s="164"/>
      <c r="E3588" s="164"/>
      <c r="F3588" s="165"/>
    </row>
    <row r="3589" spans="1:6" x14ac:dyDescent="0.2">
      <c r="A3589" s="166"/>
      <c r="B3589" s="167"/>
      <c r="C3589" s="167"/>
      <c r="D3589" s="167"/>
      <c r="E3589" s="167"/>
      <c r="F3589" s="168"/>
    </row>
    <row r="3590" spans="1:6" x14ac:dyDescent="0.2">
      <c r="A3590" s="163"/>
      <c r="B3590" s="164"/>
      <c r="C3590" s="164"/>
      <c r="D3590" s="164"/>
      <c r="E3590" s="164"/>
      <c r="F3590" s="165"/>
    </row>
    <row r="3591" spans="1:6" x14ac:dyDescent="0.2">
      <c r="A3591" s="166"/>
      <c r="B3591" s="167"/>
      <c r="C3591" s="167"/>
      <c r="D3591" s="167"/>
      <c r="E3591" s="167"/>
      <c r="F3591" s="168"/>
    </row>
    <row r="3592" spans="1:6" x14ac:dyDescent="0.2">
      <c r="A3592" s="163"/>
      <c r="B3592" s="164"/>
      <c r="C3592" s="164"/>
      <c r="D3592" s="164"/>
      <c r="E3592" s="164"/>
      <c r="F3592" s="165"/>
    </row>
    <row r="3593" spans="1:6" x14ac:dyDescent="0.2">
      <c r="A3593" s="166"/>
      <c r="B3593" s="167"/>
      <c r="C3593" s="167"/>
      <c r="D3593" s="167"/>
      <c r="E3593" s="167"/>
      <c r="F3593" s="168"/>
    </row>
    <row r="3594" spans="1:6" x14ac:dyDescent="0.2">
      <c r="A3594" s="163"/>
      <c r="B3594" s="164"/>
      <c r="C3594" s="164"/>
      <c r="D3594" s="164"/>
      <c r="E3594" s="164"/>
      <c r="F3594" s="165"/>
    </row>
    <row r="3595" spans="1:6" x14ac:dyDescent="0.2">
      <c r="A3595" s="166"/>
      <c r="B3595" s="167"/>
      <c r="C3595" s="167"/>
      <c r="D3595" s="167"/>
      <c r="E3595" s="167"/>
      <c r="F3595" s="168"/>
    </row>
    <row r="3596" spans="1:6" x14ac:dyDescent="0.2">
      <c r="A3596" s="163"/>
      <c r="B3596" s="164"/>
      <c r="C3596" s="164"/>
      <c r="D3596" s="164"/>
      <c r="E3596" s="164"/>
      <c r="F3596" s="165"/>
    </row>
    <row r="3597" spans="1:6" x14ac:dyDescent="0.2">
      <c r="A3597" s="166"/>
      <c r="B3597" s="167"/>
      <c r="C3597" s="167"/>
      <c r="D3597" s="167"/>
      <c r="E3597" s="167"/>
      <c r="F3597" s="168"/>
    </row>
    <row r="3598" spans="1:6" x14ac:dyDescent="0.2">
      <c r="A3598" s="163"/>
      <c r="B3598" s="164"/>
      <c r="C3598" s="164"/>
      <c r="D3598" s="164"/>
      <c r="E3598" s="164"/>
      <c r="F3598" s="165"/>
    </row>
    <row r="3599" spans="1:6" x14ac:dyDescent="0.2">
      <c r="A3599" s="166"/>
      <c r="B3599" s="167"/>
      <c r="C3599" s="167"/>
      <c r="D3599" s="167"/>
      <c r="E3599" s="167"/>
      <c r="F3599" s="168"/>
    </row>
    <row r="3600" spans="1:6" x14ac:dyDescent="0.2">
      <c r="A3600" s="163"/>
      <c r="B3600" s="164"/>
      <c r="C3600" s="164"/>
      <c r="D3600" s="164"/>
      <c r="E3600" s="164"/>
      <c r="F3600" s="165"/>
    </row>
    <row r="3601" spans="1:6" x14ac:dyDescent="0.2">
      <c r="A3601" s="166"/>
      <c r="B3601" s="167"/>
      <c r="C3601" s="167"/>
      <c r="D3601" s="167"/>
      <c r="E3601" s="167"/>
      <c r="F3601" s="168"/>
    </row>
    <row r="3602" spans="1:6" x14ac:dyDescent="0.2">
      <c r="A3602" s="163"/>
      <c r="B3602" s="164"/>
      <c r="C3602" s="164"/>
      <c r="D3602" s="164"/>
      <c r="E3602" s="164"/>
      <c r="F3602" s="165"/>
    </row>
    <row r="3603" spans="1:6" x14ac:dyDescent="0.2">
      <c r="A3603" s="166"/>
      <c r="B3603" s="167"/>
      <c r="C3603" s="167"/>
      <c r="D3603" s="167"/>
      <c r="E3603" s="167"/>
      <c r="F3603" s="168"/>
    </row>
    <row r="3604" spans="1:6" x14ac:dyDescent="0.2">
      <c r="A3604" s="163"/>
      <c r="B3604" s="164"/>
      <c r="C3604" s="164"/>
      <c r="D3604" s="164"/>
      <c r="E3604" s="164"/>
      <c r="F3604" s="165"/>
    </row>
    <row r="3605" spans="1:6" x14ac:dyDescent="0.2">
      <c r="A3605" s="166"/>
      <c r="B3605" s="167"/>
      <c r="C3605" s="167"/>
      <c r="D3605" s="167"/>
      <c r="E3605" s="167"/>
      <c r="F3605" s="168"/>
    </row>
    <row r="3606" spans="1:6" x14ac:dyDescent="0.2">
      <c r="A3606" s="163"/>
      <c r="B3606" s="164"/>
      <c r="C3606" s="164"/>
      <c r="D3606" s="164"/>
      <c r="E3606" s="164"/>
      <c r="F3606" s="165"/>
    </row>
    <row r="3607" spans="1:6" x14ac:dyDescent="0.2">
      <c r="A3607" s="166"/>
      <c r="B3607" s="167"/>
      <c r="C3607" s="167"/>
      <c r="D3607" s="167"/>
      <c r="E3607" s="167"/>
      <c r="F3607" s="168"/>
    </row>
    <row r="3608" spans="1:6" x14ac:dyDescent="0.2">
      <c r="A3608" s="163"/>
      <c r="B3608" s="164"/>
      <c r="C3608" s="164"/>
      <c r="D3608" s="164"/>
      <c r="E3608" s="164"/>
      <c r="F3608" s="165"/>
    </row>
    <row r="3609" spans="1:6" x14ac:dyDescent="0.2">
      <c r="A3609" s="166"/>
      <c r="B3609" s="167"/>
      <c r="C3609" s="167"/>
      <c r="D3609" s="167"/>
      <c r="E3609" s="167"/>
      <c r="F3609" s="168"/>
    </row>
    <row r="3610" spans="1:6" x14ac:dyDescent="0.2">
      <c r="A3610" s="163"/>
      <c r="B3610" s="164"/>
      <c r="C3610" s="164"/>
      <c r="D3610" s="164"/>
      <c r="E3610" s="164"/>
      <c r="F3610" s="165"/>
    </row>
    <row r="3611" spans="1:6" x14ac:dyDescent="0.2">
      <c r="A3611" s="166"/>
      <c r="B3611" s="167"/>
      <c r="C3611" s="167"/>
      <c r="D3611" s="167"/>
      <c r="E3611" s="167"/>
      <c r="F3611" s="168"/>
    </row>
    <row r="3612" spans="1:6" x14ac:dyDescent="0.2">
      <c r="A3612" s="163"/>
      <c r="B3612" s="164"/>
      <c r="C3612" s="164"/>
      <c r="D3612" s="164"/>
      <c r="E3612" s="164"/>
      <c r="F3612" s="165"/>
    </row>
    <row r="3613" spans="1:6" x14ac:dyDescent="0.2">
      <c r="A3613" s="166"/>
      <c r="B3613" s="167"/>
      <c r="C3613" s="167"/>
      <c r="D3613" s="167"/>
      <c r="E3613" s="167"/>
      <c r="F3613" s="168"/>
    </row>
    <row r="3614" spans="1:6" x14ac:dyDescent="0.2">
      <c r="A3614" s="163"/>
      <c r="B3614" s="164"/>
      <c r="C3614" s="164"/>
      <c r="D3614" s="164"/>
      <c r="E3614" s="164"/>
      <c r="F3614" s="165"/>
    </row>
    <row r="3615" spans="1:6" x14ac:dyDescent="0.2">
      <c r="A3615" s="166"/>
      <c r="B3615" s="167"/>
      <c r="C3615" s="167"/>
      <c r="D3615" s="167"/>
      <c r="E3615" s="167"/>
      <c r="F3615" s="168"/>
    </row>
    <row r="3616" spans="1:6" x14ac:dyDescent="0.2">
      <c r="A3616" s="163"/>
      <c r="B3616" s="164"/>
      <c r="C3616" s="164"/>
      <c r="D3616" s="164"/>
      <c r="E3616" s="164"/>
      <c r="F3616" s="165"/>
    </row>
    <row r="3617" spans="1:6" x14ac:dyDescent="0.2">
      <c r="A3617" s="166"/>
      <c r="B3617" s="167"/>
      <c r="C3617" s="167"/>
      <c r="D3617" s="167"/>
      <c r="E3617" s="167"/>
      <c r="F3617" s="168"/>
    </row>
    <row r="3618" spans="1:6" x14ac:dyDescent="0.2">
      <c r="A3618" s="163"/>
      <c r="B3618" s="164"/>
      <c r="C3618" s="164"/>
      <c r="D3618" s="164"/>
      <c r="E3618" s="164"/>
      <c r="F3618" s="165"/>
    </row>
    <row r="3619" spans="1:6" x14ac:dyDescent="0.2">
      <c r="A3619" s="166"/>
      <c r="B3619" s="167"/>
      <c r="C3619" s="167"/>
      <c r="D3619" s="167"/>
      <c r="E3619" s="167"/>
      <c r="F3619" s="168"/>
    </row>
    <row r="3620" spans="1:6" x14ac:dyDescent="0.2">
      <c r="A3620" s="163"/>
      <c r="B3620" s="164"/>
      <c r="C3620" s="164"/>
      <c r="D3620" s="164"/>
      <c r="E3620" s="164"/>
      <c r="F3620" s="165"/>
    </row>
    <row r="3621" spans="1:6" x14ac:dyDescent="0.2">
      <c r="A3621" s="166"/>
      <c r="B3621" s="167"/>
      <c r="C3621" s="167"/>
      <c r="D3621" s="167"/>
      <c r="E3621" s="167"/>
      <c r="F3621" s="168"/>
    </row>
    <row r="3622" spans="1:6" x14ac:dyDescent="0.2">
      <c r="A3622" s="163"/>
      <c r="B3622" s="164"/>
      <c r="C3622" s="164"/>
      <c r="D3622" s="164"/>
      <c r="E3622" s="164"/>
      <c r="F3622" s="165"/>
    </row>
    <row r="3623" spans="1:6" x14ac:dyDescent="0.2">
      <c r="A3623" s="166"/>
      <c r="B3623" s="167"/>
      <c r="C3623" s="167"/>
      <c r="D3623" s="167"/>
      <c r="E3623" s="167"/>
      <c r="F3623" s="168"/>
    </row>
    <row r="3624" spans="1:6" x14ac:dyDescent="0.2">
      <c r="A3624" s="163"/>
      <c r="B3624" s="164"/>
      <c r="C3624" s="164"/>
      <c r="D3624" s="164"/>
      <c r="E3624" s="164"/>
      <c r="F3624" s="165"/>
    </row>
    <row r="3625" spans="1:6" x14ac:dyDescent="0.2">
      <c r="A3625" s="166"/>
      <c r="B3625" s="167"/>
      <c r="C3625" s="167"/>
      <c r="D3625" s="167"/>
      <c r="E3625" s="167"/>
      <c r="F3625" s="168"/>
    </row>
    <row r="3626" spans="1:6" x14ac:dyDescent="0.2">
      <c r="A3626" s="163"/>
      <c r="B3626" s="164"/>
      <c r="C3626" s="164"/>
      <c r="D3626" s="164"/>
      <c r="E3626" s="164"/>
      <c r="F3626" s="165"/>
    </row>
    <row r="3627" spans="1:6" x14ac:dyDescent="0.2">
      <c r="A3627" s="166"/>
      <c r="B3627" s="167"/>
      <c r="C3627" s="167"/>
      <c r="D3627" s="167"/>
      <c r="E3627" s="167"/>
      <c r="F3627" s="168"/>
    </row>
    <row r="3628" spans="1:6" x14ac:dyDescent="0.2">
      <c r="A3628" s="163"/>
      <c r="B3628" s="164"/>
      <c r="C3628" s="164"/>
      <c r="D3628" s="164"/>
      <c r="E3628" s="164"/>
      <c r="F3628" s="165"/>
    </row>
    <row r="3629" spans="1:6" x14ac:dyDescent="0.2">
      <c r="A3629" s="166"/>
      <c r="B3629" s="167"/>
      <c r="C3629" s="167"/>
      <c r="D3629" s="167"/>
      <c r="E3629" s="167"/>
      <c r="F3629" s="168"/>
    </row>
    <row r="3630" spans="1:6" x14ac:dyDescent="0.2">
      <c r="A3630" s="163"/>
      <c r="B3630" s="164"/>
      <c r="C3630" s="164"/>
      <c r="D3630" s="164"/>
      <c r="E3630" s="164"/>
      <c r="F3630" s="165"/>
    </row>
    <row r="3631" spans="1:6" x14ac:dyDescent="0.2">
      <c r="A3631" s="166"/>
      <c r="B3631" s="167"/>
      <c r="C3631" s="167"/>
      <c r="D3631" s="167"/>
      <c r="E3631" s="167"/>
      <c r="F3631" s="168"/>
    </row>
    <row r="3632" spans="1:6" x14ac:dyDescent="0.2">
      <c r="A3632" s="163"/>
      <c r="B3632" s="164"/>
      <c r="C3632" s="164"/>
      <c r="D3632" s="164"/>
      <c r="E3632" s="164"/>
      <c r="F3632" s="165"/>
    </row>
    <row r="3633" spans="1:6" x14ac:dyDescent="0.2">
      <c r="A3633" s="166"/>
      <c r="B3633" s="167"/>
      <c r="C3633" s="167"/>
      <c r="D3633" s="167"/>
      <c r="E3633" s="167"/>
      <c r="F3633" s="168"/>
    </row>
    <row r="3634" spans="1:6" x14ac:dyDescent="0.2">
      <c r="A3634" s="163"/>
      <c r="B3634" s="164"/>
      <c r="C3634" s="164"/>
      <c r="D3634" s="164"/>
      <c r="E3634" s="164"/>
      <c r="F3634" s="165"/>
    </row>
    <row r="3635" spans="1:6" x14ac:dyDescent="0.2">
      <c r="A3635" s="166"/>
      <c r="B3635" s="167"/>
      <c r="C3635" s="167"/>
      <c r="D3635" s="167"/>
      <c r="E3635" s="167"/>
      <c r="F3635" s="168"/>
    </row>
    <row r="3636" spans="1:6" x14ac:dyDescent="0.2">
      <c r="A3636" s="163"/>
      <c r="B3636" s="164"/>
      <c r="C3636" s="164"/>
      <c r="D3636" s="164"/>
      <c r="E3636" s="164"/>
      <c r="F3636" s="165"/>
    </row>
    <row r="3637" spans="1:6" x14ac:dyDescent="0.2">
      <c r="A3637" s="166"/>
      <c r="B3637" s="167"/>
      <c r="C3637" s="167"/>
      <c r="D3637" s="167"/>
      <c r="E3637" s="167"/>
      <c r="F3637" s="168"/>
    </row>
    <row r="3638" spans="1:6" x14ac:dyDescent="0.2">
      <c r="A3638" s="163"/>
      <c r="B3638" s="164"/>
      <c r="C3638" s="164"/>
      <c r="D3638" s="164"/>
      <c r="E3638" s="164"/>
      <c r="F3638" s="165"/>
    </row>
    <row r="3639" spans="1:6" x14ac:dyDescent="0.2">
      <c r="A3639" s="166"/>
      <c r="B3639" s="167"/>
      <c r="C3639" s="167"/>
      <c r="D3639" s="167"/>
      <c r="E3639" s="167"/>
      <c r="F3639" s="168"/>
    </row>
    <row r="3640" spans="1:6" x14ac:dyDescent="0.2">
      <c r="A3640" s="163"/>
      <c r="B3640" s="164"/>
      <c r="C3640" s="164"/>
      <c r="D3640" s="164"/>
      <c r="E3640" s="164"/>
      <c r="F3640" s="165"/>
    </row>
    <row r="3641" spans="1:6" x14ac:dyDescent="0.2">
      <c r="A3641" s="166"/>
      <c r="B3641" s="167"/>
      <c r="C3641" s="167"/>
      <c r="D3641" s="167"/>
      <c r="E3641" s="167"/>
      <c r="F3641" s="168"/>
    </row>
    <row r="3642" spans="1:6" x14ac:dyDescent="0.2">
      <c r="A3642" s="163"/>
      <c r="B3642" s="164"/>
      <c r="C3642" s="164"/>
      <c r="D3642" s="164"/>
      <c r="E3642" s="164"/>
      <c r="F3642" s="165"/>
    </row>
    <row r="3643" spans="1:6" x14ac:dyDescent="0.2">
      <c r="A3643" s="166"/>
      <c r="B3643" s="167"/>
      <c r="C3643" s="167"/>
      <c r="D3643" s="167"/>
      <c r="E3643" s="167"/>
      <c r="F3643" s="168"/>
    </row>
    <row r="3644" spans="1:6" x14ac:dyDescent="0.2">
      <c r="A3644" s="163"/>
      <c r="B3644" s="164"/>
      <c r="C3644" s="164"/>
      <c r="D3644" s="164"/>
      <c r="E3644" s="164"/>
      <c r="F3644" s="165"/>
    </row>
    <row r="3645" spans="1:6" x14ac:dyDescent="0.2">
      <c r="A3645" s="166"/>
      <c r="B3645" s="167"/>
      <c r="C3645" s="167"/>
      <c r="D3645" s="167"/>
      <c r="E3645" s="167"/>
      <c r="F3645" s="168"/>
    </row>
    <row r="3646" spans="1:6" x14ac:dyDescent="0.2">
      <c r="A3646" s="163"/>
      <c r="B3646" s="164"/>
      <c r="C3646" s="164"/>
      <c r="D3646" s="164"/>
      <c r="E3646" s="164"/>
      <c r="F3646" s="165"/>
    </row>
    <row r="3647" spans="1:6" x14ac:dyDescent="0.2">
      <c r="A3647" s="166"/>
      <c r="B3647" s="167"/>
      <c r="C3647" s="167"/>
      <c r="D3647" s="167"/>
      <c r="E3647" s="167"/>
      <c r="F3647" s="168"/>
    </row>
    <row r="3648" spans="1:6" x14ac:dyDescent="0.2">
      <c r="A3648" s="163"/>
      <c r="B3648" s="164"/>
      <c r="C3648" s="164"/>
      <c r="D3648" s="164"/>
      <c r="E3648" s="164"/>
      <c r="F3648" s="165"/>
    </row>
    <row r="3649" spans="1:6" x14ac:dyDescent="0.2">
      <c r="A3649" s="166"/>
      <c r="B3649" s="167"/>
      <c r="C3649" s="167"/>
      <c r="D3649" s="167"/>
      <c r="E3649" s="167"/>
      <c r="F3649" s="168"/>
    </row>
    <row r="3650" spans="1:6" x14ac:dyDescent="0.2">
      <c r="A3650" s="163"/>
      <c r="B3650" s="164"/>
      <c r="C3650" s="164"/>
      <c r="D3650" s="164"/>
      <c r="E3650" s="164"/>
      <c r="F3650" s="165"/>
    </row>
    <row r="3651" spans="1:6" x14ac:dyDescent="0.2">
      <c r="A3651" s="166"/>
      <c r="B3651" s="167"/>
      <c r="C3651" s="167"/>
      <c r="D3651" s="167"/>
      <c r="E3651" s="167"/>
      <c r="F3651" s="168"/>
    </row>
    <row r="3652" spans="1:6" x14ac:dyDescent="0.2">
      <c r="A3652" s="163"/>
      <c r="B3652" s="164"/>
      <c r="C3652" s="164"/>
      <c r="D3652" s="164"/>
      <c r="E3652" s="164"/>
      <c r="F3652" s="165"/>
    </row>
    <row r="3653" spans="1:6" x14ac:dyDescent="0.2">
      <c r="A3653" s="166"/>
      <c r="B3653" s="167"/>
      <c r="C3653" s="167"/>
      <c r="D3653" s="167"/>
      <c r="E3653" s="167"/>
      <c r="F3653" s="168"/>
    </row>
    <row r="3654" spans="1:6" x14ac:dyDescent="0.2">
      <c r="A3654" s="163"/>
      <c r="B3654" s="164"/>
      <c r="C3654" s="164"/>
      <c r="D3654" s="164"/>
      <c r="E3654" s="164"/>
      <c r="F3654" s="165"/>
    </row>
    <row r="3655" spans="1:6" x14ac:dyDescent="0.2">
      <c r="A3655" s="166"/>
      <c r="B3655" s="167"/>
      <c r="C3655" s="167"/>
      <c r="D3655" s="167"/>
      <c r="E3655" s="167"/>
      <c r="F3655" s="168"/>
    </row>
    <row r="3656" spans="1:6" x14ac:dyDescent="0.2">
      <c r="A3656" s="163"/>
      <c r="B3656" s="164"/>
      <c r="C3656" s="164"/>
      <c r="D3656" s="164"/>
      <c r="E3656" s="164"/>
      <c r="F3656" s="165"/>
    </row>
    <row r="3657" spans="1:6" x14ac:dyDescent="0.2">
      <c r="A3657" s="166"/>
      <c r="B3657" s="167"/>
      <c r="C3657" s="167"/>
      <c r="D3657" s="167"/>
      <c r="E3657" s="167"/>
      <c r="F3657" s="168"/>
    </row>
    <row r="3658" spans="1:6" x14ac:dyDescent="0.2">
      <c r="A3658" s="163"/>
      <c r="B3658" s="164"/>
      <c r="C3658" s="164"/>
      <c r="D3658" s="164"/>
      <c r="E3658" s="164"/>
      <c r="F3658" s="165"/>
    </row>
    <row r="3659" spans="1:6" x14ac:dyDescent="0.2">
      <c r="A3659" s="166"/>
      <c r="B3659" s="167"/>
      <c r="C3659" s="167"/>
      <c r="D3659" s="167"/>
      <c r="E3659" s="167"/>
      <c r="F3659" s="168"/>
    </row>
    <row r="3660" spans="1:6" x14ac:dyDescent="0.2">
      <c r="A3660" s="163"/>
      <c r="B3660" s="164"/>
      <c r="C3660" s="164"/>
      <c r="D3660" s="164"/>
      <c r="E3660" s="164"/>
      <c r="F3660" s="165"/>
    </row>
    <row r="3661" spans="1:6" x14ac:dyDescent="0.2">
      <c r="A3661" s="166"/>
      <c r="B3661" s="167"/>
      <c r="C3661" s="167"/>
      <c r="D3661" s="167"/>
      <c r="E3661" s="167"/>
      <c r="F3661" s="168"/>
    </row>
    <row r="3662" spans="1:6" x14ac:dyDescent="0.2">
      <c r="A3662" s="163"/>
      <c r="B3662" s="164"/>
      <c r="C3662" s="164"/>
      <c r="D3662" s="164"/>
      <c r="E3662" s="164"/>
      <c r="F3662" s="165"/>
    </row>
    <row r="3663" spans="1:6" x14ac:dyDescent="0.2">
      <c r="A3663" s="166"/>
      <c r="B3663" s="167"/>
      <c r="C3663" s="167"/>
      <c r="D3663" s="167"/>
      <c r="E3663" s="167"/>
      <c r="F3663" s="168"/>
    </row>
    <row r="3664" spans="1:6" x14ac:dyDescent="0.2">
      <c r="A3664" s="163"/>
      <c r="B3664" s="164"/>
      <c r="C3664" s="164"/>
      <c r="D3664" s="164"/>
      <c r="E3664" s="164"/>
      <c r="F3664" s="165"/>
    </row>
    <row r="3665" spans="1:6" x14ac:dyDescent="0.2">
      <c r="A3665" s="166"/>
      <c r="B3665" s="167"/>
      <c r="C3665" s="167"/>
      <c r="D3665" s="167"/>
      <c r="E3665" s="167"/>
      <c r="F3665" s="168"/>
    </row>
    <row r="3666" spans="1:6" x14ac:dyDescent="0.2">
      <c r="A3666" s="163"/>
      <c r="B3666" s="164"/>
      <c r="C3666" s="164"/>
      <c r="D3666" s="164"/>
      <c r="E3666" s="164"/>
      <c r="F3666" s="165"/>
    </row>
    <row r="3667" spans="1:6" x14ac:dyDescent="0.2">
      <c r="A3667" s="166"/>
      <c r="B3667" s="167"/>
      <c r="C3667" s="167"/>
      <c r="D3667" s="167"/>
      <c r="E3667" s="167"/>
      <c r="F3667" s="168"/>
    </row>
    <row r="3668" spans="1:6" x14ac:dyDescent="0.2">
      <c r="A3668" s="163"/>
      <c r="B3668" s="164"/>
      <c r="C3668" s="164"/>
      <c r="D3668" s="164"/>
      <c r="E3668" s="164"/>
      <c r="F3668" s="165"/>
    </row>
    <row r="3669" spans="1:6" x14ac:dyDescent="0.2">
      <c r="A3669" s="166"/>
      <c r="B3669" s="167"/>
      <c r="C3669" s="167"/>
      <c r="D3669" s="167"/>
      <c r="E3669" s="167"/>
      <c r="F3669" s="168"/>
    </row>
    <row r="3670" spans="1:6" x14ac:dyDescent="0.2">
      <c r="A3670" s="163"/>
      <c r="B3670" s="164"/>
      <c r="C3670" s="164"/>
      <c r="D3670" s="164"/>
      <c r="E3670" s="164"/>
      <c r="F3670" s="165"/>
    </row>
    <row r="3671" spans="1:6" x14ac:dyDescent="0.2">
      <c r="A3671" s="166"/>
      <c r="B3671" s="167"/>
      <c r="C3671" s="167"/>
      <c r="D3671" s="167"/>
      <c r="E3671" s="167"/>
      <c r="F3671" s="168"/>
    </row>
    <row r="3672" spans="1:6" x14ac:dyDescent="0.2">
      <c r="A3672" s="163"/>
      <c r="B3672" s="164"/>
      <c r="C3672" s="164"/>
      <c r="D3672" s="164"/>
      <c r="E3672" s="164"/>
      <c r="F3672" s="165"/>
    </row>
    <row r="3673" spans="1:6" x14ac:dyDescent="0.2">
      <c r="A3673" s="166"/>
      <c r="B3673" s="167"/>
      <c r="C3673" s="167"/>
      <c r="D3673" s="167"/>
      <c r="E3673" s="167"/>
      <c r="F3673" s="168"/>
    </row>
    <row r="3674" spans="1:6" x14ac:dyDescent="0.2">
      <c r="A3674" s="163"/>
      <c r="B3674" s="164"/>
      <c r="C3674" s="164"/>
      <c r="D3674" s="164"/>
      <c r="E3674" s="164"/>
      <c r="F3674" s="165"/>
    </row>
    <row r="3675" spans="1:6" x14ac:dyDescent="0.2">
      <c r="A3675" s="166"/>
      <c r="B3675" s="167"/>
      <c r="C3675" s="167"/>
      <c r="D3675" s="167"/>
      <c r="E3675" s="167"/>
      <c r="F3675" s="168"/>
    </row>
    <row r="3676" spans="1:6" x14ac:dyDescent="0.2">
      <c r="A3676" s="163"/>
      <c r="B3676" s="164"/>
      <c r="C3676" s="164"/>
      <c r="D3676" s="164"/>
      <c r="E3676" s="164"/>
      <c r="F3676" s="165"/>
    </row>
    <row r="3677" spans="1:6" x14ac:dyDescent="0.2">
      <c r="A3677" s="166"/>
      <c r="B3677" s="167"/>
      <c r="C3677" s="167"/>
      <c r="D3677" s="167"/>
      <c r="E3677" s="167"/>
      <c r="F3677" s="168"/>
    </row>
    <row r="3678" spans="1:6" x14ac:dyDescent="0.2">
      <c r="A3678" s="163"/>
      <c r="B3678" s="164"/>
      <c r="C3678" s="164"/>
      <c r="D3678" s="164"/>
      <c r="E3678" s="164"/>
      <c r="F3678" s="165"/>
    </row>
    <row r="3679" spans="1:6" x14ac:dyDescent="0.2">
      <c r="A3679" s="166"/>
      <c r="B3679" s="167"/>
      <c r="C3679" s="167"/>
      <c r="D3679" s="167"/>
      <c r="E3679" s="167"/>
      <c r="F3679" s="168"/>
    </row>
    <row r="3680" spans="1:6" x14ac:dyDescent="0.2">
      <c r="A3680" s="163"/>
      <c r="B3680" s="164"/>
      <c r="C3680" s="164"/>
      <c r="D3680" s="164"/>
      <c r="E3680" s="164"/>
      <c r="F3680" s="165"/>
    </row>
    <row r="3681" spans="1:6" x14ac:dyDescent="0.2">
      <c r="A3681" s="166"/>
      <c r="B3681" s="167"/>
      <c r="C3681" s="167"/>
      <c r="D3681" s="167"/>
      <c r="E3681" s="167"/>
      <c r="F3681" s="168"/>
    </row>
    <row r="3682" spans="1:6" x14ac:dyDescent="0.2">
      <c r="A3682" s="163"/>
      <c r="B3682" s="164"/>
      <c r="C3682" s="164"/>
      <c r="D3682" s="164"/>
      <c r="E3682" s="164"/>
      <c r="F3682" s="165"/>
    </row>
    <row r="3683" spans="1:6" x14ac:dyDescent="0.2">
      <c r="A3683" s="166"/>
      <c r="B3683" s="167"/>
      <c r="C3683" s="167"/>
      <c r="D3683" s="167"/>
      <c r="E3683" s="167"/>
      <c r="F3683" s="168"/>
    </row>
    <row r="3684" spans="1:6" x14ac:dyDescent="0.2">
      <c r="A3684" s="163"/>
      <c r="B3684" s="164"/>
      <c r="C3684" s="164"/>
      <c r="D3684" s="164"/>
      <c r="E3684" s="164"/>
      <c r="F3684" s="165"/>
    </row>
    <row r="3685" spans="1:6" x14ac:dyDescent="0.2">
      <c r="A3685" s="166"/>
      <c r="B3685" s="167"/>
      <c r="C3685" s="167"/>
      <c r="D3685" s="167"/>
      <c r="E3685" s="167"/>
      <c r="F3685" s="168"/>
    </row>
    <row r="3686" spans="1:6" x14ac:dyDescent="0.2">
      <c r="A3686" s="163"/>
      <c r="B3686" s="164"/>
      <c r="C3686" s="164"/>
      <c r="D3686" s="164"/>
      <c r="E3686" s="164"/>
      <c r="F3686" s="165"/>
    </row>
    <row r="3687" spans="1:6" x14ac:dyDescent="0.2">
      <c r="A3687" s="166"/>
      <c r="B3687" s="167"/>
      <c r="C3687" s="167"/>
      <c r="D3687" s="167"/>
      <c r="E3687" s="167"/>
      <c r="F3687" s="168"/>
    </row>
    <row r="3688" spans="1:6" x14ac:dyDescent="0.2">
      <c r="A3688" s="163"/>
      <c r="B3688" s="164"/>
      <c r="C3688" s="164"/>
      <c r="D3688" s="164"/>
      <c r="E3688" s="164"/>
      <c r="F3688" s="165"/>
    </row>
    <row r="3689" spans="1:6" x14ac:dyDescent="0.2">
      <c r="A3689" s="166"/>
      <c r="B3689" s="167"/>
      <c r="C3689" s="167"/>
      <c r="D3689" s="167"/>
      <c r="E3689" s="167"/>
      <c r="F3689" s="168"/>
    </row>
    <row r="3690" spans="1:6" x14ac:dyDescent="0.2">
      <c r="A3690" s="163"/>
      <c r="B3690" s="164"/>
      <c r="C3690" s="164"/>
      <c r="D3690" s="164"/>
      <c r="E3690" s="164"/>
      <c r="F3690" s="165"/>
    </row>
    <row r="3691" spans="1:6" x14ac:dyDescent="0.2">
      <c r="A3691" s="166"/>
      <c r="B3691" s="167"/>
      <c r="C3691" s="167"/>
      <c r="D3691" s="167"/>
      <c r="E3691" s="167"/>
      <c r="F3691" s="168"/>
    </row>
    <row r="3692" spans="1:6" x14ac:dyDescent="0.2">
      <c r="A3692" s="163"/>
      <c r="B3692" s="164"/>
      <c r="C3692" s="164"/>
      <c r="D3692" s="164"/>
      <c r="E3692" s="164"/>
      <c r="F3692" s="165"/>
    </row>
    <row r="3693" spans="1:6" x14ac:dyDescent="0.2">
      <c r="A3693" s="166"/>
      <c r="B3693" s="167"/>
      <c r="C3693" s="167"/>
      <c r="D3693" s="167"/>
      <c r="E3693" s="167"/>
      <c r="F3693" s="168"/>
    </row>
    <row r="3694" spans="1:6" x14ac:dyDescent="0.2">
      <c r="A3694" s="163"/>
      <c r="B3694" s="164"/>
      <c r="C3694" s="164"/>
      <c r="D3694" s="164"/>
      <c r="E3694" s="164"/>
      <c r="F3694" s="165"/>
    </row>
    <row r="3695" spans="1:6" x14ac:dyDescent="0.2">
      <c r="A3695" s="166"/>
      <c r="B3695" s="167"/>
      <c r="C3695" s="167"/>
      <c r="D3695" s="167"/>
      <c r="E3695" s="167"/>
      <c r="F3695" s="168"/>
    </row>
    <row r="3696" spans="1:6" x14ac:dyDescent="0.2">
      <c r="A3696" s="163"/>
      <c r="B3696" s="164"/>
      <c r="C3696" s="164"/>
      <c r="D3696" s="164"/>
      <c r="E3696" s="164"/>
      <c r="F3696" s="165"/>
    </row>
    <row r="3697" spans="1:6" x14ac:dyDescent="0.2">
      <c r="A3697" s="166"/>
      <c r="B3697" s="167"/>
      <c r="C3697" s="167"/>
      <c r="D3697" s="167"/>
      <c r="E3697" s="167"/>
      <c r="F3697" s="168"/>
    </row>
    <row r="3698" spans="1:6" x14ac:dyDescent="0.2">
      <c r="A3698" s="163"/>
      <c r="B3698" s="164"/>
      <c r="C3698" s="164"/>
      <c r="D3698" s="164"/>
      <c r="E3698" s="164"/>
      <c r="F3698" s="165"/>
    </row>
    <row r="3699" spans="1:6" x14ac:dyDescent="0.2">
      <c r="A3699" s="166"/>
      <c r="B3699" s="167"/>
      <c r="C3699" s="167"/>
      <c r="D3699" s="167"/>
      <c r="E3699" s="167"/>
      <c r="F3699" s="168"/>
    </row>
    <row r="3700" spans="1:6" x14ac:dyDescent="0.2">
      <c r="A3700" s="163"/>
      <c r="B3700" s="164"/>
      <c r="C3700" s="164"/>
      <c r="D3700" s="164"/>
      <c r="E3700" s="164"/>
      <c r="F3700" s="165"/>
    </row>
    <row r="3701" spans="1:6" x14ac:dyDescent="0.2">
      <c r="A3701" s="166"/>
      <c r="B3701" s="167"/>
      <c r="C3701" s="167"/>
      <c r="D3701" s="167"/>
      <c r="E3701" s="167"/>
      <c r="F3701" s="168"/>
    </row>
    <row r="3702" spans="1:6" x14ac:dyDescent="0.2">
      <c r="A3702" s="163"/>
      <c r="B3702" s="164"/>
      <c r="C3702" s="164"/>
      <c r="D3702" s="164"/>
      <c r="E3702" s="164"/>
      <c r="F3702" s="165"/>
    </row>
    <row r="3703" spans="1:6" x14ac:dyDescent="0.2">
      <c r="A3703" s="166"/>
      <c r="B3703" s="167"/>
      <c r="C3703" s="167"/>
      <c r="D3703" s="167"/>
      <c r="E3703" s="167"/>
      <c r="F3703" s="168"/>
    </row>
    <row r="3704" spans="1:6" x14ac:dyDescent="0.2">
      <c r="A3704" s="163"/>
      <c r="B3704" s="164"/>
      <c r="C3704" s="164"/>
      <c r="D3704" s="164"/>
      <c r="E3704" s="164"/>
      <c r="F3704" s="165"/>
    </row>
    <row r="3705" spans="1:6" x14ac:dyDescent="0.2">
      <c r="A3705" s="166"/>
      <c r="B3705" s="167"/>
      <c r="C3705" s="167"/>
      <c r="D3705" s="167"/>
      <c r="E3705" s="167"/>
      <c r="F3705" s="168"/>
    </row>
    <row r="3706" spans="1:6" x14ac:dyDescent="0.2">
      <c r="A3706" s="163"/>
      <c r="B3706" s="164"/>
      <c r="C3706" s="164"/>
      <c r="D3706" s="164"/>
      <c r="E3706" s="164"/>
      <c r="F3706" s="165"/>
    </row>
    <row r="3707" spans="1:6" x14ac:dyDescent="0.2">
      <c r="A3707" s="166"/>
      <c r="B3707" s="167"/>
      <c r="C3707" s="167"/>
      <c r="D3707" s="167"/>
      <c r="E3707" s="167"/>
      <c r="F3707" s="168"/>
    </row>
    <row r="3708" spans="1:6" x14ac:dyDescent="0.2">
      <c r="A3708" s="163"/>
      <c r="B3708" s="164"/>
      <c r="C3708" s="164"/>
      <c r="D3708" s="164"/>
      <c r="E3708" s="164"/>
      <c r="F3708" s="165"/>
    </row>
    <row r="3709" spans="1:6" x14ac:dyDescent="0.2">
      <c r="A3709" s="166"/>
      <c r="B3709" s="167"/>
      <c r="C3709" s="167"/>
      <c r="D3709" s="167"/>
      <c r="E3709" s="167"/>
      <c r="F3709" s="168"/>
    </row>
    <row r="3710" spans="1:6" x14ac:dyDescent="0.2">
      <c r="A3710" s="163"/>
      <c r="B3710" s="164"/>
      <c r="C3710" s="164"/>
      <c r="D3710" s="164"/>
      <c r="E3710" s="164"/>
      <c r="F3710" s="165"/>
    </row>
    <row r="3711" spans="1:6" x14ac:dyDescent="0.2">
      <c r="A3711" s="166"/>
      <c r="B3711" s="167"/>
      <c r="C3711" s="167"/>
      <c r="D3711" s="167"/>
      <c r="E3711" s="167"/>
      <c r="F3711" s="168"/>
    </row>
    <row r="3712" spans="1:6" x14ac:dyDescent="0.2">
      <c r="A3712" s="163"/>
      <c r="B3712" s="164"/>
      <c r="C3712" s="164"/>
      <c r="D3712" s="164"/>
      <c r="E3712" s="164"/>
      <c r="F3712" s="165"/>
    </row>
    <row r="3713" spans="1:6" x14ac:dyDescent="0.2">
      <c r="A3713" s="166"/>
      <c r="B3713" s="167"/>
      <c r="C3713" s="167"/>
      <c r="D3713" s="167"/>
      <c r="E3713" s="167"/>
      <c r="F3713" s="168"/>
    </row>
    <row r="3714" spans="1:6" x14ac:dyDescent="0.2">
      <c r="A3714" s="163"/>
      <c r="B3714" s="164"/>
      <c r="C3714" s="164"/>
      <c r="D3714" s="164"/>
      <c r="E3714" s="164"/>
      <c r="F3714" s="165"/>
    </row>
    <row r="3715" spans="1:6" x14ac:dyDescent="0.2">
      <c r="A3715" s="166"/>
      <c r="B3715" s="167"/>
      <c r="C3715" s="167"/>
      <c r="D3715" s="167"/>
      <c r="E3715" s="167"/>
      <c r="F3715" s="168"/>
    </row>
    <row r="3716" spans="1:6" x14ac:dyDescent="0.2">
      <c r="A3716" s="163"/>
      <c r="B3716" s="164"/>
      <c r="C3716" s="164"/>
      <c r="D3716" s="164"/>
      <c r="E3716" s="164"/>
      <c r="F3716" s="165"/>
    </row>
    <row r="3717" spans="1:6" x14ac:dyDescent="0.2">
      <c r="A3717" s="166"/>
      <c r="B3717" s="167"/>
      <c r="C3717" s="167"/>
      <c r="D3717" s="167"/>
      <c r="E3717" s="167"/>
      <c r="F3717" s="168"/>
    </row>
    <row r="3718" spans="1:6" x14ac:dyDescent="0.2">
      <c r="A3718" s="163"/>
      <c r="B3718" s="164"/>
      <c r="C3718" s="164"/>
      <c r="D3718" s="164"/>
      <c r="E3718" s="164"/>
      <c r="F3718" s="165"/>
    </row>
    <row r="3719" spans="1:6" x14ac:dyDescent="0.2">
      <c r="A3719" s="166"/>
      <c r="B3719" s="167"/>
      <c r="C3719" s="167"/>
      <c r="D3719" s="167"/>
      <c r="E3719" s="167"/>
      <c r="F3719" s="168"/>
    </row>
    <row r="3720" spans="1:6" x14ac:dyDescent="0.2">
      <c r="A3720" s="163"/>
      <c r="B3720" s="164"/>
      <c r="C3720" s="164"/>
      <c r="D3720" s="164"/>
      <c r="E3720" s="164"/>
      <c r="F3720" s="165"/>
    </row>
    <row r="3721" spans="1:6" x14ac:dyDescent="0.2">
      <c r="A3721" s="166"/>
      <c r="B3721" s="167"/>
      <c r="C3721" s="167"/>
      <c r="D3721" s="167"/>
      <c r="E3721" s="167"/>
      <c r="F3721" s="168"/>
    </row>
    <row r="3722" spans="1:6" x14ac:dyDescent="0.2">
      <c r="A3722" s="163"/>
      <c r="B3722" s="164"/>
      <c r="C3722" s="164"/>
      <c r="D3722" s="164"/>
      <c r="E3722" s="164"/>
      <c r="F3722" s="165"/>
    </row>
    <row r="3723" spans="1:6" x14ac:dyDescent="0.2">
      <c r="A3723" s="166"/>
      <c r="B3723" s="167"/>
      <c r="C3723" s="167"/>
      <c r="D3723" s="167"/>
      <c r="E3723" s="167"/>
      <c r="F3723" s="168"/>
    </row>
    <row r="3724" spans="1:6" x14ac:dyDescent="0.2">
      <c r="A3724" s="163"/>
      <c r="B3724" s="164"/>
      <c r="C3724" s="164"/>
      <c r="D3724" s="164"/>
      <c r="E3724" s="164"/>
      <c r="F3724" s="165"/>
    </row>
    <row r="3725" spans="1:6" x14ac:dyDescent="0.2">
      <c r="A3725" s="166"/>
      <c r="B3725" s="167"/>
      <c r="C3725" s="167"/>
      <c r="D3725" s="167"/>
      <c r="E3725" s="167"/>
      <c r="F3725" s="168"/>
    </row>
    <row r="3726" spans="1:6" x14ac:dyDescent="0.2">
      <c r="A3726" s="163"/>
      <c r="B3726" s="164"/>
      <c r="C3726" s="164"/>
      <c r="D3726" s="164"/>
      <c r="E3726" s="164"/>
      <c r="F3726" s="165"/>
    </row>
    <row r="3727" spans="1:6" x14ac:dyDescent="0.2">
      <c r="A3727" s="166"/>
      <c r="B3727" s="167"/>
      <c r="C3727" s="167"/>
      <c r="D3727" s="167"/>
      <c r="E3727" s="167"/>
      <c r="F3727" s="168"/>
    </row>
    <row r="3728" spans="1:6" x14ac:dyDescent="0.2">
      <c r="A3728" s="163"/>
      <c r="B3728" s="164"/>
      <c r="C3728" s="164"/>
      <c r="D3728" s="164"/>
      <c r="E3728" s="164"/>
      <c r="F3728" s="165"/>
    </row>
    <row r="3729" spans="1:6" x14ac:dyDescent="0.2">
      <c r="A3729" s="166"/>
      <c r="B3729" s="167"/>
      <c r="C3729" s="167"/>
      <c r="D3729" s="167"/>
      <c r="E3729" s="167"/>
      <c r="F3729" s="168"/>
    </row>
    <row r="3730" spans="1:6" x14ac:dyDescent="0.2">
      <c r="A3730" s="163"/>
      <c r="B3730" s="164"/>
      <c r="C3730" s="164"/>
      <c r="D3730" s="164"/>
      <c r="E3730" s="164"/>
      <c r="F3730" s="165"/>
    </row>
    <row r="3731" spans="1:6" x14ac:dyDescent="0.2">
      <c r="A3731" s="166"/>
      <c r="B3731" s="167"/>
      <c r="C3731" s="167"/>
      <c r="D3731" s="167"/>
      <c r="E3731" s="167"/>
      <c r="F3731" s="168"/>
    </row>
    <row r="3732" spans="1:6" x14ac:dyDescent="0.2">
      <c r="A3732" s="163"/>
      <c r="B3732" s="164"/>
      <c r="C3732" s="164"/>
      <c r="D3732" s="164"/>
      <c r="E3732" s="164"/>
      <c r="F3732" s="165"/>
    </row>
    <row r="3733" spans="1:6" x14ac:dyDescent="0.2">
      <c r="A3733" s="166"/>
      <c r="B3733" s="167"/>
      <c r="C3733" s="167"/>
      <c r="D3733" s="167"/>
      <c r="E3733" s="167"/>
      <c r="F3733" s="168"/>
    </row>
    <row r="3734" spans="1:6" x14ac:dyDescent="0.2">
      <c r="A3734" s="163"/>
      <c r="B3734" s="164"/>
      <c r="C3734" s="164"/>
      <c r="D3734" s="164"/>
      <c r="E3734" s="164"/>
      <c r="F3734" s="165"/>
    </row>
    <row r="3735" spans="1:6" x14ac:dyDescent="0.2">
      <c r="A3735" s="166"/>
      <c r="B3735" s="167"/>
      <c r="C3735" s="167"/>
      <c r="D3735" s="167"/>
      <c r="E3735" s="167"/>
      <c r="F3735" s="168"/>
    </row>
    <row r="3736" spans="1:6" x14ac:dyDescent="0.2">
      <c r="A3736" s="163"/>
      <c r="B3736" s="164"/>
      <c r="C3736" s="164"/>
      <c r="D3736" s="164"/>
      <c r="E3736" s="164"/>
      <c r="F3736" s="165"/>
    </row>
    <row r="3737" spans="1:6" x14ac:dyDescent="0.2">
      <c r="A3737" s="166"/>
      <c r="B3737" s="167"/>
      <c r="C3737" s="167"/>
      <c r="D3737" s="167"/>
      <c r="E3737" s="167"/>
      <c r="F3737" s="168"/>
    </row>
    <row r="3738" spans="1:6" x14ac:dyDescent="0.2">
      <c r="A3738" s="163"/>
      <c r="B3738" s="164"/>
      <c r="C3738" s="164"/>
      <c r="D3738" s="164"/>
      <c r="E3738" s="164"/>
      <c r="F3738" s="165"/>
    </row>
    <row r="3739" spans="1:6" x14ac:dyDescent="0.2">
      <c r="A3739" s="166"/>
      <c r="B3739" s="167"/>
      <c r="C3739" s="167"/>
      <c r="D3739" s="167"/>
      <c r="E3739" s="167"/>
      <c r="F3739" s="168"/>
    </row>
    <row r="3740" spans="1:6" x14ac:dyDescent="0.2">
      <c r="A3740" s="163"/>
      <c r="B3740" s="164"/>
      <c r="C3740" s="164"/>
      <c r="D3740" s="164"/>
      <c r="E3740" s="164"/>
      <c r="F3740" s="165"/>
    </row>
    <row r="3741" spans="1:6" x14ac:dyDescent="0.2">
      <c r="A3741" s="166"/>
      <c r="B3741" s="167"/>
      <c r="C3741" s="167"/>
      <c r="D3741" s="167"/>
      <c r="E3741" s="167"/>
      <c r="F3741" s="168"/>
    </row>
    <row r="3742" spans="1:6" x14ac:dyDescent="0.2">
      <c r="A3742" s="163"/>
      <c r="B3742" s="164"/>
      <c r="C3742" s="164"/>
      <c r="D3742" s="164"/>
      <c r="E3742" s="164"/>
      <c r="F3742" s="165"/>
    </row>
    <row r="3743" spans="1:6" x14ac:dyDescent="0.2">
      <c r="A3743" s="166"/>
      <c r="B3743" s="167"/>
      <c r="C3743" s="167"/>
      <c r="D3743" s="167"/>
      <c r="E3743" s="167"/>
      <c r="F3743" s="168"/>
    </row>
    <row r="3744" spans="1:6" x14ac:dyDescent="0.2">
      <c r="A3744" s="163"/>
      <c r="B3744" s="164"/>
      <c r="C3744" s="164"/>
      <c r="D3744" s="164"/>
      <c r="E3744" s="164"/>
      <c r="F3744" s="165"/>
    </row>
    <row r="3745" spans="1:6" x14ac:dyDescent="0.2">
      <c r="A3745" s="166"/>
      <c r="B3745" s="167"/>
      <c r="C3745" s="167"/>
      <c r="D3745" s="167"/>
      <c r="E3745" s="167"/>
      <c r="F3745" s="168"/>
    </row>
    <row r="3746" spans="1:6" x14ac:dyDescent="0.2">
      <c r="A3746" s="163"/>
      <c r="B3746" s="164"/>
      <c r="C3746" s="164"/>
      <c r="D3746" s="164"/>
      <c r="E3746" s="164"/>
      <c r="F3746" s="165"/>
    </row>
    <row r="3747" spans="1:6" x14ac:dyDescent="0.2">
      <c r="A3747" s="166"/>
      <c r="B3747" s="167"/>
      <c r="C3747" s="167"/>
      <c r="D3747" s="167"/>
      <c r="E3747" s="167"/>
      <c r="F3747" s="168"/>
    </row>
    <row r="3748" spans="1:6" x14ac:dyDescent="0.2">
      <c r="A3748" s="163"/>
      <c r="B3748" s="164"/>
      <c r="C3748" s="164"/>
      <c r="D3748" s="164"/>
      <c r="E3748" s="164"/>
      <c r="F3748" s="165"/>
    </row>
    <row r="3749" spans="1:6" x14ac:dyDescent="0.2">
      <c r="A3749" s="166"/>
      <c r="B3749" s="167"/>
      <c r="C3749" s="167"/>
      <c r="D3749" s="167"/>
      <c r="E3749" s="167"/>
      <c r="F3749" s="168"/>
    </row>
    <row r="3750" spans="1:6" x14ac:dyDescent="0.2">
      <c r="A3750" s="163"/>
      <c r="B3750" s="164"/>
      <c r="C3750" s="164"/>
      <c r="D3750" s="164"/>
      <c r="E3750" s="164"/>
      <c r="F3750" s="165"/>
    </row>
    <row r="3751" spans="1:6" x14ac:dyDescent="0.2">
      <c r="A3751" s="166"/>
      <c r="B3751" s="167"/>
      <c r="C3751" s="167"/>
      <c r="D3751" s="167"/>
      <c r="E3751" s="167"/>
      <c r="F3751" s="168"/>
    </row>
    <row r="3752" spans="1:6" x14ac:dyDescent="0.2">
      <c r="A3752" s="163"/>
      <c r="B3752" s="164"/>
      <c r="C3752" s="164"/>
      <c r="D3752" s="164"/>
      <c r="E3752" s="164"/>
      <c r="F3752" s="165"/>
    </row>
    <row r="3753" spans="1:6" x14ac:dyDescent="0.2">
      <c r="A3753" s="166"/>
      <c r="B3753" s="167"/>
      <c r="C3753" s="167"/>
      <c r="D3753" s="167"/>
      <c r="E3753" s="167"/>
      <c r="F3753" s="168"/>
    </row>
    <row r="3754" spans="1:6" x14ac:dyDescent="0.2">
      <c r="A3754" s="163"/>
      <c r="B3754" s="164"/>
      <c r="C3754" s="164"/>
      <c r="D3754" s="164"/>
      <c r="E3754" s="164"/>
      <c r="F3754" s="165"/>
    </row>
    <row r="3755" spans="1:6" x14ac:dyDescent="0.2">
      <c r="A3755" s="166"/>
      <c r="B3755" s="167"/>
      <c r="C3755" s="167"/>
      <c r="D3755" s="167"/>
      <c r="E3755" s="167"/>
      <c r="F3755" s="168"/>
    </row>
    <row r="3756" spans="1:6" x14ac:dyDescent="0.2">
      <c r="A3756" s="163"/>
      <c r="B3756" s="164"/>
      <c r="C3756" s="164"/>
      <c r="D3756" s="164"/>
      <c r="E3756" s="164"/>
      <c r="F3756" s="165"/>
    </row>
    <row r="3757" spans="1:6" x14ac:dyDescent="0.2">
      <c r="A3757" s="166"/>
      <c r="B3757" s="167"/>
      <c r="C3757" s="167"/>
      <c r="D3757" s="167"/>
      <c r="E3757" s="167"/>
      <c r="F3757" s="168"/>
    </row>
    <row r="3758" spans="1:6" x14ac:dyDescent="0.2">
      <c r="A3758" s="163"/>
      <c r="B3758" s="164"/>
      <c r="C3758" s="164"/>
      <c r="D3758" s="164"/>
      <c r="E3758" s="164"/>
      <c r="F3758" s="165"/>
    </row>
    <row r="3759" spans="1:6" x14ac:dyDescent="0.2">
      <c r="A3759" s="166"/>
      <c r="B3759" s="167"/>
      <c r="C3759" s="167"/>
      <c r="D3759" s="167"/>
      <c r="E3759" s="167"/>
      <c r="F3759" s="168"/>
    </row>
    <row r="3760" spans="1:6" x14ac:dyDescent="0.2">
      <c r="A3760" s="163"/>
      <c r="B3760" s="164"/>
      <c r="C3760" s="164"/>
      <c r="D3760" s="164"/>
      <c r="E3760" s="164"/>
      <c r="F3760" s="165"/>
    </row>
    <row r="3761" spans="1:6" x14ac:dyDescent="0.2">
      <c r="A3761" s="166"/>
      <c r="B3761" s="167"/>
      <c r="C3761" s="167"/>
      <c r="D3761" s="167"/>
      <c r="E3761" s="167"/>
      <c r="F3761" s="168"/>
    </row>
    <row r="3762" spans="1:6" x14ac:dyDescent="0.2">
      <c r="A3762" s="163"/>
      <c r="B3762" s="164"/>
      <c r="C3762" s="164"/>
      <c r="D3762" s="164"/>
      <c r="E3762" s="164"/>
      <c r="F3762" s="165"/>
    </row>
    <row r="3763" spans="1:6" x14ac:dyDescent="0.2">
      <c r="A3763" s="166"/>
      <c r="B3763" s="167"/>
      <c r="C3763" s="167"/>
      <c r="D3763" s="167"/>
      <c r="E3763" s="167"/>
      <c r="F3763" s="168"/>
    </row>
    <row r="3764" spans="1:6" x14ac:dyDescent="0.2">
      <c r="A3764" s="163"/>
      <c r="B3764" s="164"/>
      <c r="C3764" s="164"/>
      <c r="D3764" s="164"/>
      <c r="E3764" s="164"/>
      <c r="F3764" s="165"/>
    </row>
    <row r="3765" spans="1:6" x14ac:dyDescent="0.2">
      <c r="A3765" s="166"/>
      <c r="B3765" s="167"/>
      <c r="C3765" s="167"/>
      <c r="D3765" s="167"/>
      <c r="E3765" s="167"/>
      <c r="F3765" s="168"/>
    </row>
    <row r="3766" spans="1:6" x14ac:dyDescent="0.2">
      <c r="A3766" s="163"/>
      <c r="B3766" s="164"/>
      <c r="C3766" s="164"/>
      <c r="D3766" s="164"/>
      <c r="E3766" s="164"/>
      <c r="F3766" s="165"/>
    </row>
    <row r="3767" spans="1:6" x14ac:dyDescent="0.2">
      <c r="A3767" s="166"/>
      <c r="B3767" s="167"/>
      <c r="C3767" s="167"/>
      <c r="D3767" s="167"/>
      <c r="E3767" s="167"/>
      <c r="F3767" s="168"/>
    </row>
    <row r="3768" spans="1:6" x14ac:dyDescent="0.2">
      <c r="A3768" s="163"/>
      <c r="B3768" s="164"/>
      <c r="C3768" s="164"/>
      <c r="D3768" s="164"/>
      <c r="E3768" s="164"/>
      <c r="F3768" s="165"/>
    </row>
    <row r="3769" spans="1:6" x14ac:dyDescent="0.2">
      <c r="A3769" s="166"/>
      <c r="B3769" s="167"/>
      <c r="C3769" s="167"/>
      <c r="D3769" s="167"/>
      <c r="E3769" s="167"/>
      <c r="F3769" s="168"/>
    </row>
    <row r="3770" spans="1:6" x14ac:dyDescent="0.2">
      <c r="A3770" s="163"/>
      <c r="B3770" s="164"/>
      <c r="C3770" s="164"/>
      <c r="D3770" s="164"/>
      <c r="E3770" s="164"/>
      <c r="F3770" s="165"/>
    </row>
    <row r="3771" spans="1:6" x14ac:dyDescent="0.2">
      <c r="A3771" s="166"/>
      <c r="B3771" s="167"/>
      <c r="C3771" s="167"/>
      <c r="D3771" s="167"/>
      <c r="E3771" s="167"/>
      <c r="F3771" s="168"/>
    </row>
    <row r="3772" spans="1:6" x14ac:dyDescent="0.2">
      <c r="A3772" s="163"/>
      <c r="B3772" s="164"/>
      <c r="C3772" s="164"/>
      <c r="D3772" s="164"/>
      <c r="E3772" s="164"/>
      <c r="F3772" s="165"/>
    </row>
    <row r="3773" spans="1:6" x14ac:dyDescent="0.2">
      <c r="A3773" s="166"/>
      <c r="B3773" s="167"/>
      <c r="C3773" s="167"/>
      <c r="D3773" s="167"/>
      <c r="E3773" s="167"/>
      <c r="F3773" s="168"/>
    </row>
    <row r="3774" spans="1:6" x14ac:dyDescent="0.2">
      <c r="A3774" s="163"/>
      <c r="B3774" s="164"/>
      <c r="C3774" s="164"/>
      <c r="D3774" s="164"/>
      <c r="E3774" s="164"/>
      <c r="F3774" s="165"/>
    </row>
    <row r="3775" spans="1:6" x14ac:dyDescent="0.2">
      <c r="A3775" s="166"/>
      <c r="B3775" s="167"/>
      <c r="C3775" s="167"/>
      <c r="D3775" s="167"/>
      <c r="E3775" s="167"/>
      <c r="F3775" s="168"/>
    </row>
    <row r="3776" spans="1:6" x14ac:dyDescent="0.2">
      <c r="A3776" s="163"/>
      <c r="B3776" s="164"/>
      <c r="C3776" s="164"/>
      <c r="D3776" s="164"/>
      <c r="E3776" s="164"/>
      <c r="F3776" s="165"/>
    </row>
    <row r="3777" spans="1:6" x14ac:dyDescent="0.2">
      <c r="A3777" s="166"/>
      <c r="B3777" s="167"/>
      <c r="C3777" s="167"/>
      <c r="D3777" s="167"/>
      <c r="E3777" s="167"/>
      <c r="F3777" s="168"/>
    </row>
    <row r="3778" spans="1:6" x14ac:dyDescent="0.2">
      <c r="A3778" s="163"/>
      <c r="B3778" s="164"/>
      <c r="C3778" s="164"/>
      <c r="D3778" s="164"/>
      <c r="E3778" s="164"/>
      <c r="F3778" s="165"/>
    </row>
    <row r="3779" spans="1:6" x14ac:dyDescent="0.2">
      <c r="A3779" s="166"/>
      <c r="B3779" s="167"/>
      <c r="C3779" s="167"/>
      <c r="D3779" s="167"/>
      <c r="E3779" s="167"/>
      <c r="F3779" s="168"/>
    </row>
    <row r="3780" spans="1:6" x14ac:dyDescent="0.2">
      <c r="A3780" s="163"/>
      <c r="B3780" s="164"/>
      <c r="C3780" s="164"/>
      <c r="D3780" s="164"/>
      <c r="E3780" s="164"/>
      <c r="F3780" s="165"/>
    </row>
    <row r="3781" spans="1:6" x14ac:dyDescent="0.2">
      <c r="A3781" s="166"/>
      <c r="B3781" s="167"/>
      <c r="C3781" s="167"/>
      <c r="D3781" s="167"/>
      <c r="E3781" s="167"/>
      <c r="F3781" s="168"/>
    </row>
    <row r="3782" spans="1:6" x14ac:dyDescent="0.2">
      <c r="A3782" s="163"/>
      <c r="B3782" s="164"/>
      <c r="C3782" s="164"/>
      <c r="D3782" s="164"/>
      <c r="E3782" s="164"/>
      <c r="F3782" s="165"/>
    </row>
    <row r="3783" spans="1:6" x14ac:dyDescent="0.2">
      <c r="A3783" s="166"/>
      <c r="B3783" s="167"/>
      <c r="C3783" s="167"/>
      <c r="D3783" s="167"/>
      <c r="E3783" s="167"/>
      <c r="F3783" s="168"/>
    </row>
    <row r="3784" spans="1:6" x14ac:dyDescent="0.2">
      <c r="A3784" s="163"/>
      <c r="B3784" s="164"/>
      <c r="C3784" s="164"/>
      <c r="D3784" s="164"/>
      <c r="E3784" s="164"/>
      <c r="F3784" s="165"/>
    </row>
    <row r="3785" spans="1:6" x14ac:dyDescent="0.2">
      <c r="A3785" s="166"/>
      <c r="B3785" s="167"/>
      <c r="C3785" s="167"/>
      <c r="D3785" s="167"/>
      <c r="E3785" s="167"/>
      <c r="F3785" s="168"/>
    </row>
    <row r="3786" spans="1:6" x14ac:dyDescent="0.2">
      <c r="A3786" s="163"/>
      <c r="B3786" s="164"/>
      <c r="C3786" s="164"/>
      <c r="D3786" s="164"/>
      <c r="E3786" s="164"/>
      <c r="F3786" s="165"/>
    </row>
    <row r="3787" spans="1:6" x14ac:dyDescent="0.2">
      <c r="A3787" s="166"/>
      <c r="B3787" s="167"/>
      <c r="C3787" s="167"/>
      <c r="D3787" s="167"/>
      <c r="E3787" s="167"/>
      <c r="F3787" s="168"/>
    </row>
    <row r="3788" spans="1:6" x14ac:dyDescent="0.2">
      <c r="A3788" s="163"/>
      <c r="B3788" s="164"/>
      <c r="C3788" s="164"/>
      <c r="D3788" s="164"/>
      <c r="E3788" s="164"/>
      <c r="F3788" s="165"/>
    </row>
    <row r="3789" spans="1:6" x14ac:dyDescent="0.2">
      <c r="A3789" s="166"/>
      <c r="B3789" s="167"/>
      <c r="C3789" s="167"/>
      <c r="D3789" s="167"/>
      <c r="E3789" s="167"/>
      <c r="F3789" s="168"/>
    </row>
    <row r="3790" spans="1:6" x14ac:dyDescent="0.2">
      <c r="A3790" s="163"/>
      <c r="B3790" s="164"/>
      <c r="C3790" s="164"/>
      <c r="D3790" s="164"/>
      <c r="E3790" s="164"/>
      <c r="F3790" s="165"/>
    </row>
    <row r="3791" spans="1:6" x14ac:dyDescent="0.2">
      <c r="A3791" s="166"/>
      <c r="B3791" s="167"/>
      <c r="C3791" s="167"/>
      <c r="D3791" s="167"/>
      <c r="E3791" s="167"/>
      <c r="F3791" s="168"/>
    </row>
    <row r="3792" spans="1:6" x14ac:dyDescent="0.2">
      <c r="A3792" s="163"/>
      <c r="B3792" s="164"/>
      <c r="C3792" s="164"/>
      <c r="D3792" s="164"/>
      <c r="E3792" s="164"/>
      <c r="F3792" s="165"/>
    </row>
    <row r="3793" spans="1:6" x14ac:dyDescent="0.2">
      <c r="A3793" s="166"/>
      <c r="B3793" s="167"/>
      <c r="C3793" s="167"/>
      <c r="D3793" s="167"/>
      <c r="E3793" s="167"/>
      <c r="F3793" s="168"/>
    </row>
    <row r="3794" spans="1:6" x14ac:dyDescent="0.2">
      <c r="A3794" s="163"/>
      <c r="B3794" s="164"/>
      <c r="C3794" s="164"/>
      <c r="D3794" s="164"/>
      <c r="E3794" s="164"/>
      <c r="F3794" s="165"/>
    </row>
    <row r="3795" spans="1:6" x14ac:dyDescent="0.2">
      <c r="A3795" s="166"/>
      <c r="B3795" s="167"/>
      <c r="C3795" s="167"/>
      <c r="D3795" s="167"/>
      <c r="E3795" s="167"/>
      <c r="F3795" s="168"/>
    </row>
    <row r="3796" spans="1:6" x14ac:dyDescent="0.2">
      <c r="A3796" s="163"/>
      <c r="B3796" s="164"/>
      <c r="C3796" s="164"/>
      <c r="D3796" s="164"/>
      <c r="E3796" s="164"/>
      <c r="F3796" s="165"/>
    </row>
    <row r="3797" spans="1:6" x14ac:dyDescent="0.2">
      <c r="A3797" s="166"/>
      <c r="B3797" s="167"/>
      <c r="C3797" s="167"/>
      <c r="D3797" s="167"/>
      <c r="E3797" s="167"/>
      <c r="F3797" s="168"/>
    </row>
    <row r="3798" spans="1:6" x14ac:dyDescent="0.2">
      <c r="A3798" s="163"/>
      <c r="B3798" s="164"/>
      <c r="C3798" s="164"/>
      <c r="D3798" s="164"/>
      <c r="E3798" s="164"/>
      <c r="F3798" s="165"/>
    </row>
    <row r="3799" spans="1:6" x14ac:dyDescent="0.2">
      <c r="A3799" s="166"/>
      <c r="B3799" s="167"/>
      <c r="C3799" s="167"/>
      <c r="D3799" s="167"/>
      <c r="E3799" s="167"/>
      <c r="F3799" s="168"/>
    </row>
    <row r="3800" spans="1:6" x14ac:dyDescent="0.2">
      <c r="A3800" s="163"/>
      <c r="B3800" s="164"/>
      <c r="C3800" s="164"/>
      <c r="D3800" s="164"/>
      <c r="E3800" s="164"/>
      <c r="F3800" s="165"/>
    </row>
    <row r="3801" spans="1:6" x14ac:dyDescent="0.2">
      <c r="A3801" s="166"/>
      <c r="B3801" s="167"/>
      <c r="C3801" s="167"/>
      <c r="D3801" s="167"/>
      <c r="E3801" s="167"/>
      <c r="F3801" s="168"/>
    </row>
    <row r="3802" spans="1:6" x14ac:dyDescent="0.2">
      <c r="A3802" s="163"/>
      <c r="B3802" s="164"/>
      <c r="C3802" s="164"/>
      <c r="D3802" s="164"/>
      <c r="E3802" s="164"/>
      <c r="F3802" s="165"/>
    </row>
    <row r="3803" spans="1:6" x14ac:dyDescent="0.2">
      <c r="A3803" s="166"/>
      <c r="B3803" s="167"/>
      <c r="C3803" s="167"/>
      <c r="D3803" s="167"/>
      <c r="E3803" s="167"/>
      <c r="F3803" s="168"/>
    </row>
    <row r="3804" spans="1:6" x14ac:dyDescent="0.2">
      <c r="A3804" s="163"/>
      <c r="B3804" s="164"/>
      <c r="C3804" s="164"/>
      <c r="D3804" s="164"/>
      <c r="E3804" s="164"/>
      <c r="F3804" s="165"/>
    </row>
    <row r="3805" spans="1:6" x14ac:dyDescent="0.2">
      <c r="A3805" s="166"/>
      <c r="B3805" s="167"/>
      <c r="C3805" s="167"/>
      <c r="D3805" s="167"/>
      <c r="E3805" s="167"/>
      <c r="F3805" s="168"/>
    </row>
    <row r="3806" spans="1:6" x14ac:dyDescent="0.2">
      <c r="A3806" s="163"/>
      <c r="B3806" s="164"/>
      <c r="C3806" s="164"/>
      <c r="D3806" s="164"/>
      <c r="E3806" s="164"/>
      <c r="F3806" s="165"/>
    </row>
    <row r="3807" spans="1:6" x14ac:dyDescent="0.2">
      <c r="A3807" s="166"/>
      <c r="B3807" s="167"/>
      <c r="C3807" s="167"/>
      <c r="D3807" s="167"/>
      <c r="E3807" s="167"/>
      <c r="F3807" s="168"/>
    </row>
    <row r="3808" spans="1:6" x14ac:dyDescent="0.2">
      <c r="A3808" s="163"/>
      <c r="B3808" s="164"/>
      <c r="C3808" s="164"/>
      <c r="D3808" s="164"/>
      <c r="E3808" s="164"/>
      <c r="F3808" s="165"/>
    </row>
    <row r="3809" spans="1:6" x14ac:dyDescent="0.2">
      <c r="A3809" s="166"/>
      <c r="B3809" s="167"/>
      <c r="C3809" s="167"/>
      <c r="D3809" s="167"/>
      <c r="E3809" s="167"/>
      <c r="F3809" s="168"/>
    </row>
    <row r="3810" spans="1:6" x14ac:dyDescent="0.2">
      <c r="A3810" s="163"/>
      <c r="B3810" s="164"/>
      <c r="C3810" s="164"/>
      <c r="D3810" s="164"/>
      <c r="E3810" s="164"/>
      <c r="F3810" s="165"/>
    </row>
    <row r="3811" spans="1:6" x14ac:dyDescent="0.2">
      <c r="A3811" s="166"/>
      <c r="B3811" s="167"/>
      <c r="C3811" s="167"/>
      <c r="D3811" s="167"/>
      <c r="E3811" s="167"/>
      <c r="F3811" s="168"/>
    </row>
    <row r="3812" spans="1:6" x14ac:dyDescent="0.2">
      <c r="A3812" s="163"/>
      <c r="B3812" s="164"/>
      <c r="C3812" s="164"/>
      <c r="D3812" s="164"/>
      <c r="E3812" s="164"/>
      <c r="F3812" s="165"/>
    </row>
    <row r="3813" spans="1:6" x14ac:dyDescent="0.2">
      <c r="A3813" s="166"/>
      <c r="B3813" s="167"/>
      <c r="C3813" s="167"/>
      <c r="D3813" s="167"/>
      <c r="E3813" s="167"/>
      <c r="F3813" s="168"/>
    </row>
    <row r="3814" spans="1:6" x14ac:dyDescent="0.2">
      <c r="A3814" s="163"/>
      <c r="B3814" s="164"/>
      <c r="C3814" s="164"/>
      <c r="D3814" s="164"/>
      <c r="E3814" s="164"/>
      <c r="F3814" s="165"/>
    </row>
    <row r="3815" spans="1:6" x14ac:dyDescent="0.2">
      <c r="A3815" s="166"/>
      <c r="B3815" s="167"/>
      <c r="C3815" s="167"/>
      <c r="D3815" s="167"/>
      <c r="E3815" s="167"/>
      <c r="F3815" s="168"/>
    </row>
    <row r="3816" spans="1:6" x14ac:dyDescent="0.2">
      <c r="A3816" s="163"/>
      <c r="B3816" s="164"/>
      <c r="C3816" s="164"/>
      <c r="D3816" s="164"/>
      <c r="E3816" s="164"/>
      <c r="F3816" s="165"/>
    </row>
    <row r="3817" spans="1:6" x14ac:dyDescent="0.2">
      <c r="A3817" s="166"/>
      <c r="B3817" s="167"/>
      <c r="C3817" s="167"/>
      <c r="D3817" s="167"/>
      <c r="E3817" s="167"/>
      <c r="F3817" s="168"/>
    </row>
    <row r="3818" spans="1:6" x14ac:dyDescent="0.2">
      <c r="A3818" s="163"/>
      <c r="B3818" s="164"/>
      <c r="C3818" s="164"/>
      <c r="D3818" s="164"/>
      <c r="E3818" s="164"/>
      <c r="F3818" s="165"/>
    </row>
    <row r="3819" spans="1:6" x14ac:dyDescent="0.2">
      <c r="A3819" s="166"/>
      <c r="B3819" s="167"/>
      <c r="C3819" s="167"/>
      <c r="D3819" s="167"/>
      <c r="E3819" s="167"/>
      <c r="F3819" s="168"/>
    </row>
    <row r="3820" spans="1:6" x14ac:dyDescent="0.2">
      <c r="A3820" s="163"/>
      <c r="B3820" s="164"/>
      <c r="C3820" s="164"/>
      <c r="D3820" s="164"/>
      <c r="E3820" s="164"/>
      <c r="F3820" s="165"/>
    </row>
    <row r="3821" spans="1:6" x14ac:dyDescent="0.2">
      <c r="A3821" s="166"/>
      <c r="B3821" s="167"/>
      <c r="C3821" s="167"/>
      <c r="D3821" s="167"/>
      <c r="E3821" s="167"/>
      <c r="F3821" s="168"/>
    </row>
    <row r="3822" spans="1:6" x14ac:dyDescent="0.2">
      <c r="A3822" s="163"/>
      <c r="B3822" s="164"/>
      <c r="C3822" s="164"/>
      <c r="D3822" s="164"/>
      <c r="E3822" s="164"/>
      <c r="F3822" s="165"/>
    </row>
    <row r="3823" spans="1:6" x14ac:dyDescent="0.2">
      <c r="A3823" s="166"/>
      <c r="B3823" s="167"/>
      <c r="C3823" s="167"/>
      <c r="D3823" s="167"/>
      <c r="E3823" s="167"/>
      <c r="F3823" s="168"/>
    </row>
    <row r="3824" spans="1:6" x14ac:dyDescent="0.2">
      <c r="A3824" s="163"/>
      <c r="B3824" s="164"/>
      <c r="C3824" s="164"/>
      <c r="D3824" s="164"/>
      <c r="E3824" s="164"/>
      <c r="F3824" s="165"/>
    </row>
    <row r="3825" spans="1:6" x14ac:dyDescent="0.2">
      <c r="A3825" s="166"/>
      <c r="B3825" s="167"/>
      <c r="C3825" s="167"/>
      <c r="D3825" s="167"/>
      <c r="E3825" s="167"/>
      <c r="F3825" s="168"/>
    </row>
    <row r="3826" spans="1:6" x14ac:dyDescent="0.2">
      <c r="A3826" s="163"/>
      <c r="B3826" s="164"/>
      <c r="C3826" s="164"/>
      <c r="D3826" s="164"/>
      <c r="E3826" s="164"/>
      <c r="F3826" s="165"/>
    </row>
    <row r="3827" spans="1:6" x14ac:dyDescent="0.2">
      <c r="A3827" s="166"/>
      <c r="B3827" s="167"/>
      <c r="C3827" s="167"/>
      <c r="D3827" s="167"/>
      <c r="E3827" s="167"/>
      <c r="F3827" s="168"/>
    </row>
    <row r="3828" spans="1:6" x14ac:dyDescent="0.2">
      <c r="A3828" s="163"/>
      <c r="B3828" s="164"/>
      <c r="C3828" s="164"/>
      <c r="D3828" s="164"/>
      <c r="E3828" s="164"/>
      <c r="F3828" s="165"/>
    </row>
    <row r="3829" spans="1:6" x14ac:dyDescent="0.2">
      <c r="A3829" s="166"/>
      <c r="B3829" s="167"/>
      <c r="C3829" s="167"/>
      <c r="D3829" s="167"/>
      <c r="E3829" s="167"/>
      <c r="F3829" s="168"/>
    </row>
    <row r="3830" spans="1:6" x14ac:dyDescent="0.2">
      <c r="A3830" s="163"/>
      <c r="B3830" s="164"/>
      <c r="C3830" s="164"/>
      <c r="D3830" s="164"/>
      <c r="E3830" s="164"/>
      <c r="F3830" s="165"/>
    </row>
    <row r="3831" spans="1:6" x14ac:dyDescent="0.2">
      <c r="A3831" s="166"/>
      <c r="B3831" s="167"/>
      <c r="C3831" s="167"/>
      <c r="D3831" s="167"/>
      <c r="E3831" s="167"/>
      <c r="F3831" s="168"/>
    </row>
    <row r="3832" spans="1:6" x14ac:dyDescent="0.2">
      <c r="A3832" s="163"/>
      <c r="B3832" s="164"/>
      <c r="C3832" s="164"/>
      <c r="D3832" s="164"/>
      <c r="E3832" s="164"/>
      <c r="F3832" s="165"/>
    </row>
    <row r="3833" spans="1:6" x14ac:dyDescent="0.2">
      <c r="A3833" s="166"/>
      <c r="B3833" s="167"/>
      <c r="C3833" s="167"/>
      <c r="D3833" s="167"/>
      <c r="E3833" s="167"/>
      <c r="F3833" s="168"/>
    </row>
    <row r="3834" spans="1:6" x14ac:dyDescent="0.2">
      <c r="A3834" s="163"/>
      <c r="B3834" s="164"/>
      <c r="C3834" s="164"/>
      <c r="D3834" s="164"/>
      <c r="E3834" s="164"/>
      <c r="F3834" s="165"/>
    </row>
    <row r="3835" spans="1:6" x14ac:dyDescent="0.2">
      <c r="A3835" s="166"/>
      <c r="B3835" s="167"/>
      <c r="C3835" s="167"/>
      <c r="D3835" s="167"/>
      <c r="E3835" s="167"/>
      <c r="F3835" s="168"/>
    </row>
    <row r="3836" spans="1:6" x14ac:dyDescent="0.2">
      <c r="A3836" s="163"/>
      <c r="B3836" s="164"/>
      <c r="C3836" s="164"/>
      <c r="D3836" s="164"/>
      <c r="E3836" s="164"/>
      <c r="F3836" s="165"/>
    </row>
    <row r="3837" spans="1:6" x14ac:dyDescent="0.2">
      <c r="A3837" s="166"/>
      <c r="B3837" s="167"/>
      <c r="C3837" s="167"/>
      <c r="D3837" s="167"/>
      <c r="E3837" s="167"/>
      <c r="F3837" s="168"/>
    </row>
    <row r="3838" spans="1:6" x14ac:dyDescent="0.2">
      <c r="A3838" s="163"/>
      <c r="B3838" s="164"/>
      <c r="C3838" s="164"/>
      <c r="D3838" s="164"/>
      <c r="E3838" s="164"/>
      <c r="F3838" s="165"/>
    </row>
    <row r="3839" spans="1:6" x14ac:dyDescent="0.2">
      <c r="A3839" s="166"/>
      <c r="B3839" s="167"/>
      <c r="C3839" s="167"/>
      <c r="D3839" s="167"/>
      <c r="E3839" s="167"/>
      <c r="F3839" s="168"/>
    </row>
    <row r="3840" spans="1:6" x14ac:dyDescent="0.2">
      <c r="A3840" s="163"/>
      <c r="B3840" s="164"/>
      <c r="C3840" s="164"/>
      <c r="D3840" s="164"/>
      <c r="E3840" s="164"/>
      <c r="F3840" s="165"/>
    </row>
    <row r="3841" spans="1:6" x14ac:dyDescent="0.2">
      <c r="A3841" s="166"/>
      <c r="B3841" s="167"/>
      <c r="C3841" s="167"/>
      <c r="D3841" s="167"/>
      <c r="E3841" s="167"/>
      <c r="F3841" s="168"/>
    </row>
    <row r="3842" spans="1:6" x14ac:dyDescent="0.2">
      <c r="A3842" s="163"/>
      <c r="B3842" s="164"/>
      <c r="C3842" s="164"/>
      <c r="D3842" s="164"/>
      <c r="E3842" s="164"/>
      <c r="F3842" s="165"/>
    </row>
    <row r="3843" spans="1:6" x14ac:dyDescent="0.2">
      <c r="A3843" s="166"/>
      <c r="B3843" s="167"/>
      <c r="C3843" s="167"/>
      <c r="D3843" s="167"/>
      <c r="E3843" s="167"/>
      <c r="F3843" s="168"/>
    </row>
    <row r="3844" spans="1:6" x14ac:dyDescent="0.2">
      <c r="A3844" s="163"/>
      <c r="B3844" s="164"/>
      <c r="C3844" s="164"/>
      <c r="D3844" s="164"/>
      <c r="E3844" s="164"/>
      <c r="F3844" s="165"/>
    </row>
    <row r="3845" spans="1:6" x14ac:dyDescent="0.2">
      <c r="A3845" s="166"/>
      <c r="B3845" s="167"/>
      <c r="C3845" s="167"/>
      <c r="D3845" s="167"/>
      <c r="E3845" s="167"/>
      <c r="F3845" s="168"/>
    </row>
    <row r="3846" spans="1:6" x14ac:dyDescent="0.2">
      <c r="A3846" s="163"/>
      <c r="B3846" s="164"/>
      <c r="C3846" s="164"/>
      <c r="D3846" s="164"/>
      <c r="E3846" s="164"/>
      <c r="F3846" s="165"/>
    </row>
    <row r="3847" spans="1:6" x14ac:dyDescent="0.2">
      <c r="A3847" s="166"/>
      <c r="B3847" s="167"/>
      <c r="C3847" s="167"/>
      <c r="D3847" s="167"/>
      <c r="E3847" s="167"/>
      <c r="F3847" s="168"/>
    </row>
    <row r="3848" spans="1:6" x14ac:dyDescent="0.2">
      <c r="A3848" s="163"/>
      <c r="B3848" s="164"/>
      <c r="C3848" s="164"/>
      <c r="D3848" s="164"/>
      <c r="E3848" s="164"/>
      <c r="F3848" s="165"/>
    </row>
    <row r="3849" spans="1:6" x14ac:dyDescent="0.2">
      <c r="A3849" s="166"/>
      <c r="B3849" s="167"/>
      <c r="C3849" s="167"/>
      <c r="D3849" s="167"/>
      <c r="E3849" s="167"/>
      <c r="F3849" s="168"/>
    </row>
    <row r="3850" spans="1:6" x14ac:dyDescent="0.2">
      <c r="A3850" s="163"/>
      <c r="B3850" s="164"/>
      <c r="C3850" s="164"/>
      <c r="D3850" s="164"/>
      <c r="E3850" s="164"/>
      <c r="F3850" s="165"/>
    </row>
    <row r="3851" spans="1:6" x14ac:dyDescent="0.2">
      <c r="A3851" s="166"/>
      <c r="B3851" s="167"/>
      <c r="C3851" s="167"/>
      <c r="D3851" s="167"/>
      <c r="E3851" s="167"/>
      <c r="F3851" s="168"/>
    </row>
    <row r="3852" spans="1:6" x14ac:dyDescent="0.2">
      <c r="A3852" s="163"/>
      <c r="B3852" s="164"/>
      <c r="C3852" s="164"/>
      <c r="D3852" s="164"/>
      <c r="E3852" s="164"/>
      <c r="F3852" s="165"/>
    </row>
    <row r="3853" spans="1:6" x14ac:dyDescent="0.2">
      <c r="A3853" s="166"/>
      <c r="B3853" s="167"/>
      <c r="C3853" s="167"/>
      <c r="D3853" s="167"/>
      <c r="E3853" s="167"/>
      <c r="F3853" s="168"/>
    </row>
    <row r="3854" spans="1:6" x14ac:dyDescent="0.2">
      <c r="A3854" s="163"/>
      <c r="B3854" s="164"/>
      <c r="C3854" s="164"/>
      <c r="D3854" s="164"/>
      <c r="E3854" s="164"/>
      <c r="F3854" s="165"/>
    </row>
    <row r="3855" spans="1:6" x14ac:dyDescent="0.2">
      <c r="A3855" s="166"/>
      <c r="B3855" s="167"/>
      <c r="C3855" s="167"/>
      <c r="D3855" s="167"/>
      <c r="E3855" s="167"/>
      <c r="F3855" s="168"/>
    </row>
    <row r="3856" spans="1:6" x14ac:dyDescent="0.2">
      <c r="A3856" s="163"/>
      <c r="B3856" s="164"/>
      <c r="C3856" s="164"/>
      <c r="D3856" s="164"/>
      <c r="E3856" s="164"/>
      <c r="F3856" s="165"/>
    </row>
    <row r="3857" spans="1:6" x14ac:dyDescent="0.2">
      <c r="A3857" s="166"/>
      <c r="B3857" s="167"/>
      <c r="C3857" s="167"/>
      <c r="D3857" s="167"/>
      <c r="E3857" s="167"/>
      <c r="F3857" s="168"/>
    </row>
    <row r="3858" spans="1:6" x14ac:dyDescent="0.2">
      <c r="A3858" s="163"/>
      <c r="B3858" s="164"/>
      <c r="C3858" s="164"/>
      <c r="D3858" s="164"/>
      <c r="E3858" s="164"/>
      <c r="F3858" s="165"/>
    </row>
    <row r="3859" spans="1:6" x14ac:dyDescent="0.2">
      <c r="A3859" s="166"/>
      <c r="B3859" s="167"/>
      <c r="C3859" s="167"/>
      <c r="D3859" s="167"/>
      <c r="E3859" s="167"/>
      <c r="F3859" s="168"/>
    </row>
    <row r="3860" spans="1:6" x14ac:dyDescent="0.2">
      <c r="A3860" s="163"/>
      <c r="B3860" s="164"/>
      <c r="C3860" s="164"/>
      <c r="D3860" s="164"/>
      <c r="E3860" s="164"/>
      <c r="F3860" s="165"/>
    </row>
    <row r="3861" spans="1:6" x14ac:dyDescent="0.2">
      <c r="A3861" s="166"/>
      <c r="B3861" s="167"/>
      <c r="C3861" s="167"/>
      <c r="D3861" s="167"/>
      <c r="E3861" s="167"/>
      <c r="F3861" s="168"/>
    </row>
    <row r="3862" spans="1:6" x14ac:dyDescent="0.2">
      <c r="A3862" s="163"/>
      <c r="B3862" s="164"/>
      <c r="C3862" s="164"/>
      <c r="D3862" s="164"/>
      <c r="E3862" s="164"/>
      <c r="F3862" s="165"/>
    </row>
    <row r="3863" spans="1:6" x14ac:dyDescent="0.2">
      <c r="A3863" s="166"/>
      <c r="B3863" s="167"/>
      <c r="C3863" s="167"/>
      <c r="D3863" s="167"/>
      <c r="E3863" s="167"/>
      <c r="F3863" s="168"/>
    </row>
    <row r="3864" spans="1:6" x14ac:dyDescent="0.2">
      <c r="A3864" s="163"/>
      <c r="B3864" s="164"/>
      <c r="C3864" s="164"/>
      <c r="D3864" s="164"/>
      <c r="E3864" s="164"/>
      <c r="F3864" s="165"/>
    </row>
    <row r="3865" spans="1:6" x14ac:dyDescent="0.2">
      <c r="A3865" s="166"/>
      <c r="B3865" s="167"/>
      <c r="C3865" s="167"/>
      <c r="D3865" s="167"/>
      <c r="E3865" s="167"/>
      <c r="F3865" s="168"/>
    </row>
    <row r="3866" spans="1:6" x14ac:dyDescent="0.2">
      <c r="A3866" s="163"/>
      <c r="B3866" s="164"/>
      <c r="C3866" s="164"/>
      <c r="D3866" s="164"/>
      <c r="E3866" s="164"/>
      <c r="F3866" s="165"/>
    </row>
    <row r="3867" spans="1:6" x14ac:dyDescent="0.2">
      <c r="A3867" s="166"/>
      <c r="B3867" s="167"/>
      <c r="C3867" s="167"/>
      <c r="D3867" s="167"/>
      <c r="E3867" s="167"/>
      <c r="F3867" s="168"/>
    </row>
    <row r="3868" spans="1:6" x14ac:dyDescent="0.2">
      <c r="A3868" s="163"/>
      <c r="B3868" s="164"/>
      <c r="C3868" s="164"/>
      <c r="D3868" s="164"/>
      <c r="E3868" s="164"/>
      <c r="F3868" s="165"/>
    </row>
    <row r="3869" spans="1:6" x14ac:dyDescent="0.2">
      <c r="A3869" s="166"/>
      <c r="B3869" s="167"/>
      <c r="C3869" s="167"/>
      <c r="D3869" s="167"/>
      <c r="E3869" s="167"/>
      <c r="F3869" s="168"/>
    </row>
    <row r="3870" spans="1:6" x14ac:dyDescent="0.2">
      <c r="A3870" s="163"/>
      <c r="B3870" s="164"/>
      <c r="C3870" s="164"/>
      <c r="D3870" s="164"/>
      <c r="E3870" s="164"/>
      <c r="F3870" s="165"/>
    </row>
    <row r="3871" spans="1:6" x14ac:dyDescent="0.2">
      <c r="A3871" s="166"/>
      <c r="B3871" s="167"/>
      <c r="C3871" s="167"/>
      <c r="D3871" s="167"/>
      <c r="E3871" s="167"/>
      <c r="F3871" s="168"/>
    </row>
    <row r="3872" spans="1:6" x14ac:dyDescent="0.2">
      <c r="A3872" s="163"/>
      <c r="B3872" s="164"/>
      <c r="C3872" s="164"/>
      <c r="D3872" s="164"/>
      <c r="E3872" s="164"/>
      <c r="F3872" s="165"/>
    </row>
    <row r="3873" spans="1:6" x14ac:dyDescent="0.2">
      <c r="A3873" s="166"/>
      <c r="B3873" s="167"/>
      <c r="C3873" s="167"/>
      <c r="D3873" s="167"/>
      <c r="E3873" s="167"/>
      <c r="F3873" s="168"/>
    </row>
    <row r="3874" spans="1:6" x14ac:dyDescent="0.2">
      <c r="A3874" s="163"/>
      <c r="B3874" s="164"/>
      <c r="C3874" s="164"/>
      <c r="D3874" s="164"/>
      <c r="E3874" s="164"/>
      <c r="F3874" s="165"/>
    </row>
    <row r="3875" spans="1:6" x14ac:dyDescent="0.2">
      <c r="A3875" s="166"/>
      <c r="B3875" s="167"/>
      <c r="C3875" s="167"/>
      <c r="D3875" s="167"/>
      <c r="E3875" s="167"/>
      <c r="F3875" s="168"/>
    </row>
    <row r="3876" spans="1:6" x14ac:dyDescent="0.2">
      <c r="A3876" s="163"/>
      <c r="B3876" s="164"/>
      <c r="C3876" s="164"/>
      <c r="D3876" s="164"/>
      <c r="E3876" s="164"/>
      <c r="F3876" s="165"/>
    </row>
    <row r="3877" spans="1:6" x14ac:dyDescent="0.2">
      <c r="A3877" s="166"/>
      <c r="B3877" s="167"/>
      <c r="C3877" s="167"/>
      <c r="D3877" s="167"/>
      <c r="E3877" s="167"/>
      <c r="F3877" s="168"/>
    </row>
    <row r="3878" spans="1:6" x14ac:dyDescent="0.2">
      <c r="A3878" s="163"/>
      <c r="B3878" s="164"/>
      <c r="C3878" s="164"/>
      <c r="D3878" s="164"/>
      <c r="E3878" s="164"/>
      <c r="F3878" s="165"/>
    </row>
    <row r="3879" spans="1:6" x14ac:dyDescent="0.2">
      <c r="A3879" s="166"/>
      <c r="B3879" s="167"/>
      <c r="C3879" s="167"/>
      <c r="D3879" s="167"/>
      <c r="E3879" s="167"/>
      <c r="F3879" s="168"/>
    </row>
    <row r="3880" spans="1:6" x14ac:dyDescent="0.2">
      <c r="A3880" s="163"/>
      <c r="B3880" s="164"/>
      <c r="C3880" s="164"/>
      <c r="D3880" s="164"/>
      <c r="E3880" s="164"/>
      <c r="F3880" s="165"/>
    </row>
    <row r="3881" spans="1:6" x14ac:dyDescent="0.2">
      <c r="A3881" s="166"/>
      <c r="B3881" s="167"/>
      <c r="C3881" s="167"/>
      <c r="D3881" s="167"/>
      <c r="E3881" s="167"/>
      <c r="F3881" s="168"/>
    </row>
    <row r="3882" spans="1:6" x14ac:dyDescent="0.2">
      <c r="A3882" s="163"/>
      <c r="B3882" s="164"/>
      <c r="C3882" s="164"/>
      <c r="D3882" s="164"/>
      <c r="E3882" s="164"/>
      <c r="F3882" s="165"/>
    </row>
    <row r="3883" spans="1:6" x14ac:dyDescent="0.2">
      <c r="A3883" s="166"/>
      <c r="B3883" s="167"/>
      <c r="C3883" s="167"/>
      <c r="D3883" s="167"/>
      <c r="E3883" s="167"/>
      <c r="F3883" s="168"/>
    </row>
    <row r="3884" spans="1:6" x14ac:dyDescent="0.2">
      <c r="A3884" s="163"/>
      <c r="B3884" s="164"/>
      <c r="C3884" s="164"/>
      <c r="D3884" s="164"/>
      <c r="E3884" s="164"/>
      <c r="F3884" s="165"/>
    </row>
    <row r="3885" spans="1:6" x14ac:dyDescent="0.2">
      <c r="A3885" s="166"/>
      <c r="B3885" s="167"/>
      <c r="C3885" s="167"/>
      <c r="D3885" s="167"/>
      <c r="E3885" s="167"/>
      <c r="F3885" s="168"/>
    </row>
    <row r="3886" spans="1:6" x14ac:dyDescent="0.2">
      <c r="A3886" s="163"/>
      <c r="B3886" s="164"/>
      <c r="C3886" s="164"/>
      <c r="D3886" s="164"/>
      <c r="E3886" s="164"/>
      <c r="F3886" s="165"/>
    </row>
    <row r="3887" spans="1:6" x14ac:dyDescent="0.2">
      <c r="A3887" s="166"/>
      <c r="B3887" s="167"/>
      <c r="C3887" s="167"/>
      <c r="D3887" s="167"/>
      <c r="E3887" s="167"/>
      <c r="F3887" s="168"/>
    </row>
    <row r="3888" spans="1:6" x14ac:dyDescent="0.2">
      <c r="A3888" s="163"/>
      <c r="B3888" s="164"/>
      <c r="C3888" s="164"/>
      <c r="D3888" s="164"/>
      <c r="E3888" s="164"/>
      <c r="F3888" s="165"/>
    </row>
    <row r="3889" spans="1:6" x14ac:dyDescent="0.2">
      <c r="A3889" s="166"/>
      <c r="B3889" s="167"/>
      <c r="C3889" s="167"/>
      <c r="D3889" s="167"/>
      <c r="E3889" s="167"/>
      <c r="F3889" s="168"/>
    </row>
    <row r="3890" spans="1:6" x14ac:dyDescent="0.2">
      <c r="A3890" s="163"/>
      <c r="B3890" s="164"/>
      <c r="C3890" s="164"/>
      <c r="D3890" s="164"/>
      <c r="E3890" s="164"/>
      <c r="F3890" s="165"/>
    </row>
    <row r="3891" spans="1:6" x14ac:dyDescent="0.2">
      <c r="A3891" s="166"/>
      <c r="B3891" s="167"/>
      <c r="C3891" s="167"/>
      <c r="D3891" s="167"/>
      <c r="E3891" s="167"/>
      <c r="F3891" s="168"/>
    </row>
    <row r="3892" spans="1:6" x14ac:dyDescent="0.2">
      <c r="A3892" s="163"/>
      <c r="B3892" s="164"/>
      <c r="C3892" s="164"/>
      <c r="D3892" s="164"/>
      <c r="E3892" s="164"/>
      <c r="F3892" s="165"/>
    </row>
    <row r="3893" spans="1:6" x14ac:dyDescent="0.2">
      <c r="A3893" s="166"/>
      <c r="B3893" s="167"/>
      <c r="C3893" s="167"/>
      <c r="D3893" s="167"/>
      <c r="E3893" s="167"/>
      <c r="F3893" s="168"/>
    </row>
    <row r="3894" spans="1:6" x14ac:dyDescent="0.2">
      <c r="A3894" s="163"/>
      <c r="B3894" s="164"/>
      <c r="C3894" s="164"/>
      <c r="D3894" s="164"/>
      <c r="E3894" s="164"/>
      <c r="F3894" s="165"/>
    </row>
    <row r="3895" spans="1:6" x14ac:dyDescent="0.2">
      <c r="A3895" s="166"/>
      <c r="B3895" s="167"/>
      <c r="C3895" s="167"/>
      <c r="D3895" s="167"/>
      <c r="E3895" s="167"/>
      <c r="F3895" s="168"/>
    </row>
    <row r="3896" spans="1:6" x14ac:dyDescent="0.2">
      <c r="A3896" s="163"/>
      <c r="B3896" s="164"/>
      <c r="C3896" s="164"/>
      <c r="D3896" s="164"/>
      <c r="E3896" s="164"/>
      <c r="F3896" s="165"/>
    </row>
    <row r="3897" spans="1:6" x14ac:dyDescent="0.2">
      <c r="A3897" s="166"/>
      <c r="B3897" s="167"/>
      <c r="C3897" s="167"/>
      <c r="D3897" s="167"/>
      <c r="E3897" s="167"/>
      <c r="F3897" s="168"/>
    </row>
    <row r="3898" spans="1:6" x14ac:dyDescent="0.2">
      <c r="A3898" s="163"/>
      <c r="B3898" s="164"/>
      <c r="C3898" s="164"/>
      <c r="D3898" s="164"/>
      <c r="E3898" s="164"/>
      <c r="F3898" s="165"/>
    </row>
    <row r="3899" spans="1:6" x14ac:dyDescent="0.2">
      <c r="A3899" s="166"/>
      <c r="B3899" s="167"/>
      <c r="C3899" s="167"/>
      <c r="D3899" s="167"/>
      <c r="E3899" s="167"/>
      <c r="F3899" s="168"/>
    </row>
    <row r="3900" spans="1:6" x14ac:dyDescent="0.2">
      <c r="A3900" s="163"/>
      <c r="B3900" s="164"/>
      <c r="C3900" s="164"/>
      <c r="D3900" s="164"/>
      <c r="E3900" s="164"/>
      <c r="F3900" s="165"/>
    </row>
    <row r="3901" spans="1:6" x14ac:dyDescent="0.2">
      <c r="A3901" s="166"/>
      <c r="B3901" s="167"/>
      <c r="C3901" s="167"/>
      <c r="D3901" s="167"/>
      <c r="E3901" s="167"/>
      <c r="F3901" s="168"/>
    </row>
    <row r="3902" spans="1:6" x14ac:dyDescent="0.2">
      <c r="A3902" s="163"/>
      <c r="B3902" s="164"/>
      <c r="C3902" s="164"/>
      <c r="D3902" s="164"/>
      <c r="E3902" s="164"/>
      <c r="F3902" s="165"/>
    </row>
    <row r="3903" spans="1:6" x14ac:dyDescent="0.2">
      <c r="A3903" s="166"/>
      <c r="B3903" s="167"/>
      <c r="C3903" s="167"/>
      <c r="D3903" s="167"/>
      <c r="E3903" s="167"/>
      <c r="F3903" s="168"/>
    </row>
    <row r="3904" spans="1:6" x14ac:dyDescent="0.2">
      <c r="A3904" s="163"/>
      <c r="B3904" s="164"/>
      <c r="C3904" s="164"/>
      <c r="D3904" s="164"/>
      <c r="E3904" s="164"/>
      <c r="F3904" s="165"/>
    </row>
    <row r="3905" spans="1:6" x14ac:dyDescent="0.2">
      <c r="A3905" s="166"/>
      <c r="B3905" s="167"/>
      <c r="C3905" s="167"/>
      <c r="D3905" s="167"/>
      <c r="E3905" s="167"/>
      <c r="F3905" s="168"/>
    </row>
    <row r="3906" spans="1:6" x14ac:dyDescent="0.2">
      <c r="A3906" s="163"/>
      <c r="B3906" s="164"/>
      <c r="C3906" s="164"/>
      <c r="D3906" s="164"/>
      <c r="E3906" s="164"/>
      <c r="F3906" s="165"/>
    </row>
    <row r="3907" spans="1:6" x14ac:dyDescent="0.2">
      <c r="A3907" s="166"/>
      <c r="B3907" s="167"/>
      <c r="C3907" s="167"/>
      <c r="D3907" s="167"/>
      <c r="E3907" s="167"/>
      <c r="F3907" s="168"/>
    </row>
    <row r="3908" spans="1:6" x14ac:dyDescent="0.2">
      <c r="A3908" s="163"/>
      <c r="B3908" s="164"/>
      <c r="C3908" s="164"/>
      <c r="D3908" s="164"/>
      <c r="E3908" s="164"/>
      <c r="F3908" s="165"/>
    </row>
    <row r="3909" spans="1:6" x14ac:dyDescent="0.2">
      <c r="A3909" s="166"/>
      <c r="B3909" s="167"/>
      <c r="C3909" s="167"/>
      <c r="D3909" s="167"/>
      <c r="E3909" s="167"/>
      <c r="F3909" s="168"/>
    </row>
    <row r="3910" spans="1:6" x14ac:dyDescent="0.2">
      <c r="A3910" s="163"/>
      <c r="B3910" s="164"/>
      <c r="C3910" s="164"/>
      <c r="D3910" s="164"/>
      <c r="E3910" s="164"/>
      <c r="F3910" s="165"/>
    </row>
    <row r="3911" spans="1:6" x14ac:dyDescent="0.2">
      <c r="A3911" s="166"/>
      <c r="B3911" s="167"/>
      <c r="C3911" s="167"/>
      <c r="D3911" s="167"/>
      <c r="E3911" s="167"/>
      <c r="F3911" s="168"/>
    </row>
    <row r="3912" spans="1:6" x14ac:dyDescent="0.2">
      <c r="A3912" s="163"/>
      <c r="B3912" s="164"/>
      <c r="C3912" s="164"/>
      <c r="D3912" s="164"/>
      <c r="E3912" s="164"/>
      <c r="F3912" s="165"/>
    </row>
    <row r="3913" spans="1:6" x14ac:dyDescent="0.2">
      <c r="A3913" s="166"/>
      <c r="B3913" s="167"/>
      <c r="C3913" s="167"/>
      <c r="D3913" s="167"/>
      <c r="E3913" s="167"/>
      <c r="F3913" s="168"/>
    </row>
    <row r="3914" spans="1:6" x14ac:dyDescent="0.2">
      <c r="A3914" s="163"/>
      <c r="B3914" s="164"/>
      <c r="C3914" s="164"/>
      <c r="D3914" s="164"/>
      <c r="E3914" s="164"/>
      <c r="F3914" s="165"/>
    </row>
    <row r="3915" spans="1:6" x14ac:dyDescent="0.2">
      <c r="A3915" s="166"/>
      <c r="B3915" s="167"/>
      <c r="C3915" s="167"/>
      <c r="D3915" s="167"/>
      <c r="E3915" s="167"/>
      <c r="F3915" s="168"/>
    </row>
    <row r="3916" spans="1:6" x14ac:dyDescent="0.2">
      <c r="A3916" s="163"/>
      <c r="B3916" s="164"/>
      <c r="C3916" s="164"/>
      <c r="D3916" s="164"/>
      <c r="E3916" s="164"/>
      <c r="F3916" s="165"/>
    </row>
    <row r="3917" spans="1:6" x14ac:dyDescent="0.2">
      <c r="A3917" s="166"/>
      <c r="B3917" s="167"/>
      <c r="C3917" s="167"/>
      <c r="D3917" s="167"/>
      <c r="E3917" s="167"/>
      <c r="F3917" s="168"/>
    </row>
    <row r="3918" spans="1:6" x14ac:dyDescent="0.2">
      <c r="A3918" s="163"/>
      <c r="B3918" s="164"/>
      <c r="C3918" s="164"/>
      <c r="D3918" s="164"/>
      <c r="E3918" s="164"/>
      <c r="F3918" s="165"/>
    </row>
    <row r="3919" spans="1:6" x14ac:dyDescent="0.2">
      <c r="A3919" s="166"/>
      <c r="B3919" s="167"/>
      <c r="C3919" s="167"/>
      <c r="D3919" s="167"/>
      <c r="E3919" s="167"/>
      <c r="F3919" s="168"/>
    </row>
    <row r="3920" spans="1:6" x14ac:dyDescent="0.2">
      <c r="A3920" s="163"/>
      <c r="B3920" s="164"/>
      <c r="C3920" s="164"/>
      <c r="D3920" s="164"/>
      <c r="E3920" s="164"/>
      <c r="F3920" s="165"/>
    </row>
    <row r="3921" spans="1:6" x14ac:dyDescent="0.2">
      <c r="A3921" s="166"/>
      <c r="B3921" s="167"/>
      <c r="C3921" s="167"/>
      <c r="D3921" s="167"/>
      <c r="E3921" s="167"/>
      <c r="F3921" s="168"/>
    </row>
    <row r="3922" spans="1:6" x14ac:dyDescent="0.2">
      <c r="A3922" s="163"/>
      <c r="B3922" s="164"/>
      <c r="C3922" s="164"/>
      <c r="D3922" s="164"/>
      <c r="E3922" s="164"/>
      <c r="F3922" s="165"/>
    </row>
    <row r="3923" spans="1:6" x14ac:dyDescent="0.2">
      <c r="A3923" s="166"/>
      <c r="B3923" s="167"/>
      <c r="C3923" s="167"/>
      <c r="D3923" s="167"/>
      <c r="E3923" s="167"/>
      <c r="F3923" s="168"/>
    </row>
    <row r="3924" spans="1:6" x14ac:dyDescent="0.2">
      <c r="A3924" s="163"/>
      <c r="B3924" s="164"/>
      <c r="C3924" s="164"/>
      <c r="D3924" s="164"/>
      <c r="E3924" s="164"/>
      <c r="F3924" s="165"/>
    </row>
    <row r="3925" spans="1:6" x14ac:dyDescent="0.2">
      <c r="A3925" s="166"/>
      <c r="B3925" s="167"/>
      <c r="C3925" s="167"/>
      <c r="D3925" s="167"/>
      <c r="E3925" s="167"/>
      <c r="F3925" s="168"/>
    </row>
    <row r="3926" spans="1:6" x14ac:dyDescent="0.2">
      <c r="A3926" s="163"/>
      <c r="B3926" s="164"/>
      <c r="C3926" s="164"/>
      <c r="D3926" s="164"/>
      <c r="E3926" s="164"/>
      <c r="F3926" s="165"/>
    </row>
    <row r="3927" spans="1:6" x14ac:dyDescent="0.2">
      <c r="A3927" s="166"/>
      <c r="B3927" s="167"/>
      <c r="C3927" s="167"/>
      <c r="D3927" s="167"/>
      <c r="E3927" s="167"/>
      <c r="F3927" s="168"/>
    </row>
    <row r="3928" spans="1:6" x14ac:dyDescent="0.2">
      <c r="A3928" s="163"/>
      <c r="B3928" s="164"/>
      <c r="C3928" s="164"/>
      <c r="D3928" s="164"/>
      <c r="E3928" s="164"/>
      <c r="F3928" s="165"/>
    </row>
    <row r="3929" spans="1:6" x14ac:dyDescent="0.2">
      <c r="A3929" s="166"/>
      <c r="B3929" s="167"/>
      <c r="C3929" s="167"/>
      <c r="D3929" s="167"/>
      <c r="E3929" s="167"/>
      <c r="F3929" s="168"/>
    </row>
    <row r="3930" spans="1:6" x14ac:dyDescent="0.2">
      <c r="A3930" s="163"/>
      <c r="B3930" s="164"/>
      <c r="C3930" s="164"/>
      <c r="D3930" s="164"/>
      <c r="E3930" s="164"/>
      <c r="F3930" s="165"/>
    </row>
    <row r="3931" spans="1:6" x14ac:dyDescent="0.2">
      <c r="A3931" s="166"/>
      <c r="B3931" s="167"/>
      <c r="C3931" s="167"/>
      <c r="D3931" s="167"/>
      <c r="E3931" s="167"/>
      <c r="F3931" s="168"/>
    </row>
    <row r="3932" spans="1:6" x14ac:dyDescent="0.2">
      <c r="A3932" s="163"/>
      <c r="B3932" s="164"/>
      <c r="C3932" s="164"/>
      <c r="D3932" s="164"/>
      <c r="E3932" s="164"/>
      <c r="F3932" s="165"/>
    </row>
    <row r="3933" spans="1:6" x14ac:dyDescent="0.2">
      <c r="A3933" s="166"/>
      <c r="B3933" s="167"/>
      <c r="C3933" s="167"/>
      <c r="D3933" s="167"/>
      <c r="E3933" s="167"/>
      <c r="F3933" s="168"/>
    </row>
    <row r="3934" spans="1:6" x14ac:dyDescent="0.2">
      <c r="A3934" s="163"/>
      <c r="B3934" s="164"/>
      <c r="C3934" s="164"/>
      <c r="D3934" s="164"/>
      <c r="E3934" s="164"/>
      <c r="F3934" s="165"/>
    </row>
    <row r="3935" spans="1:6" x14ac:dyDescent="0.2">
      <c r="A3935" s="166"/>
      <c r="B3935" s="167"/>
      <c r="C3935" s="167"/>
      <c r="D3935" s="167"/>
      <c r="E3935" s="167"/>
      <c r="F3935" s="168"/>
    </row>
    <row r="3936" spans="1:6" x14ac:dyDescent="0.2">
      <c r="A3936" s="163"/>
      <c r="B3936" s="164"/>
      <c r="C3936" s="164"/>
      <c r="D3936" s="164"/>
      <c r="E3936" s="164"/>
      <c r="F3936" s="165"/>
    </row>
    <row r="3937" spans="1:6" x14ac:dyDescent="0.2">
      <c r="A3937" s="166"/>
      <c r="B3937" s="167"/>
      <c r="C3937" s="167"/>
      <c r="D3937" s="167"/>
      <c r="E3937" s="167"/>
      <c r="F3937" s="168"/>
    </row>
    <row r="3938" spans="1:6" x14ac:dyDescent="0.2">
      <c r="A3938" s="163"/>
      <c r="B3938" s="164"/>
      <c r="C3938" s="164"/>
      <c r="D3938" s="164"/>
      <c r="E3938" s="164"/>
      <c r="F3938" s="165"/>
    </row>
    <row r="3939" spans="1:6" x14ac:dyDescent="0.2">
      <c r="A3939" s="166"/>
      <c r="B3939" s="167"/>
      <c r="C3939" s="167"/>
      <c r="D3939" s="167"/>
      <c r="E3939" s="167"/>
      <c r="F3939" s="168"/>
    </row>
    <row r="3940" spans="1:6" x14ac:dyDescent="0.2">
      <c r="A3940" s="163"/>
      <c r="B3940" s="164"/>
      <c r="C3940" s="164"/>
      <c r="D3940" s="164"/>
      <c r="E3940" s="164"/>
      <c r="F3940" s="165"/>
    </row>
    <row r="3941" spans="1:6" x14ac:dyDescent="0.2">
      <c r="A3941" s="166"/>
      <c r="B3941" s="167"/>
      <c r="C3941" s="167"/>
      <c r="D3941" s="167"/>
      <c r="E3941" s="167"/>
      <c r="F3941" s="168"/>
    </row>
    <row r="3942" spans="1:6" x14ac:dyDescent="0.2">
      <c r="A3942" s="163"/>
      <c r="B3942" s="164"/>
      <c r="C3942" s="164"/>
      <c r="D3942" s="164"/>
      <c r="E3942" s="164"/>
      <c r="F3942" s="165"/>
    </row>
    <row r="3943" spans="1:6" x14ac:dyDescent="0.2">
      <c r="A3943" s="166"/>
      <c r="B3943" s="167"/>
      <c r="C3943" s="167"/>
      <c r="D3943" s="167"/>
      <c r="E3943" s="167"/>
      <c r="F3943" s="168"/>
    </row>
    <row r="3944" spans="1:6" x14ac:dyDescent="0.2">
      <c r="A3944" s="163"/>
      <c r="B3944" s="164"/>
      <c r="C3944" s="164"/>
      <c r="D3944" s="164"/>
      <c r="E3944" s="164"/>
      <c r="F3944" s="165"/>
    </row>
    <row r="3945" spans="1:6" x14ac:dyDescent="0.2">
      <c r="A3945" s="166"/>
      <c r="B3945" s="167"/>
      <c r="C3945" s="167"/>
      <c r="D3945" s="167"/>
      <c r="E3945" s="167"/>
      <c r="F3945" s="168"/>
    </row>
    <row r="3946" spans="1:6" x14ac:dyDescent="0.2">
      <c r="A3946" s="163"/>
      <c r="B3946" s="164"/>
      <c r="C3946" s="164"/>
      <c r="D3946" s="164"/>
      <c r="E3946" s="164"/>
      <c r="F3946" s="165"/>
    </row>
    <row r="3947" spans="1:6" x14ac:dyDescent="0.2">
      <c r="A3947" s="166"/>
      <c r="B3947" s="167"/>
      <c r="C3947" s="167"/>
      <c r="D3947" s="167"/>
      <c r="E3947" s="167"/>
      <c r="F3947" s="168"/>
    </row>
    <row r="3948" spans="1:6" x14ac:dyDescent="0.2">
      <c r="A3948" s="163"/>
      <c r="B3948" s="164"/>
      <c r="C3948" s="164"/>
      <c r="D3948" s="164"/>
      <c r="E3948" s="164"/>
      <c r="F3948" s="165"/>
    </row>
    <row r="3949" spans="1:6" x14ac:dyDescent="0.2">
      <c r="A3949" s="166"/>
      <c r="B3949" s="167"/>
      <c r="C3949" s="167"/>
      <c r="D3949" s="167"/>
      <c r="E3949" s="167"/>
      <c r="F3949" s="168"/>
    </row>
    <row r="3950" spans="1:6" x14ac:dyDescent="0.2">
      <c r="A3950" s="163"/>
      <c r="B3950" s="164"/>
      <c r="C3950" s="164"/>
      <c r="D3950" s="164"/>
      <c r="E3950" s="164"/>
      <c r="F3950" s="165"/>
    </row>
    <row r="3951" spans="1:6" x14ac:dyDescent="0.2">
      <c r="A3951" s="166"/>
      <c r="B3951" s="167"/>
      <c r="C3951" s="167"/>
      <c r="D3951" s="167"/>
      <c r="E3951" s="167"/>
      <c r="F3951" s="168"/>
    </row>
    <row r="3952" spans="1:6" x14ac:dyDescent="0.2">
      <c r="A3952" s="163"/>
      <c r="B3952" s="164"/>
      <c r="C3952" s="164"/>
      <c r="D3952" s="164"/>
      <c r="E3952" s="164"/>
      <c r="F3952" s="165"/>
    </row>
    <row r="3953" spans="1:6" x14ac:dyDescent="0.2">
      <c r="A3953" s="166"/>
      <c r="B3953" s="167"/>
      <c r="C3953" s="167"/>
      <c r="D3953" s="167"/>
      <c r="E3953" s="167"/>
      <c r="F3953" s="168"/>
    </row>
    <row r="3954" spans="1:6" x14ac:dyDescent="0.2">
      <c r="A3954" s="163"/>
      <c r="B3954" s="164"/>
      <c r="C3954" s="164"/>
      <c r="D3954" s="164"/>
      <c r="E3954" s="164"/>
      <c r="F3954" s="165"/>
    </row>
    <row r="3955" spans="1:6" x14ac:dyDescent="0.2">
      <c r="A3955" s="166"/>
      <c r="B3955" s="167"/>
      <c r="C3955" s="167"/>
      <c r="D3955" s="167"/>
      <c r="E3955" s="167"/>
      <c r="F3955" s="168"/>
    </row>
    <row r="3956" spans="1:6" x14ac:dyDescent="0.2">
      <c r="A3956" s="163"/>
      <c r="B3956" s="164"/>
      <c r="C3956" s="164"/>
      <c r="D3956" s="164"/>
      <c r="E3956" s="164"/>
      <c r="F3956" s="165"/>
    </row>
    <row r="3957" spans="1:6" x14ac:dyDescent="0.2">
      <c r="A3957" s="166"/>
      <c r="B3957" s="167"/>
      <c r="C3957" s="167"/>
      <c r="D3957" s="167"/>
      <c r="E3957" s="167"/>
      <c r="F3957" s="168"/>
    </row>
    <row r="3958" spans="1:6" x14ac:dyDescent="0.2">
      <c r="A3958" s="163"/>
      <c r="B3958" s="164"/>
      <c r="C3958" s="164"/>
      <c r="D3958" s="164"/>
      <c r="E3958" s="164"/>
      <c r="F3958" s="165"/>
    </row>
    <row r="3959" spans="1:6" x14ac:dyDescent="0.2">
      <c r="A3959" s="166"/>
      <c r="B3959" s="167"/>
      <c r="C3959" s="167"/>
      <c r="D3959" s="167"/>
      <c r="E3959" s="167"/>
      <c r="F3959" s="168"/>
    </row>
    <row r="3960" spans="1:6" x14ac:dyDescent="0.2">
      <c r="A3960" s="163"/>
      <c r="B3960" s="164"/>
      <c r="C3960" s="164"/>
      <c r="D3960" s="164"/>
      <c r="E3960" s="164"/>
      <c r="F3960" s="165"/>
    </row>
    <row r="3961" spans="1:6" x14ac:dyDescent="0.2">
      <c r="A3961" s="166"/>
      <c r="B3961" s="167"/>
      <c r="C3961" s="167"/>
      <c r="D3961" s="167"/>
      <c r="E3961" s="167"/>
      <c r="F3961" s="168"/>
    </row>
    <row r="3962" spans="1:6" x14ac:dyDescent="0.2">
      <c r="A3962" s="163"/>
      <c r="B3962" s="164"/>
      <c r="C3962" s="164"/>
      <c r="D3962" s="164"/>
      <c r="E3962" s="164"/>
      <c r="F3962" s="165"/>
    </row>
    <row r="3963" spans="1:6" x14ac:dyDescent="0.2">
      <c r="A3963" s="166"/>
      <c r="B3963" s="167"/>
      <c r="C3963" s="167"/>
      <c r="D3963" s="167"/>
      <c r="E3963" s="167"/>
      <c r="F3963" s="168"/>
    </row>
    <row r="3964" spans="1:6" x14ac:dyDescent="0.2">
      <c r="A3964" s="163"/>
      <c r="B3964" s="164"/>
      <c r="C3964" s="164"/>
      <c r="D3964" s="164"/>
      <c r="E3964" s="164"/>
      <c r="F3964" s="165"/>
    </row>
    <row r="3965" spans="1:6" x14ac:dyDescent="0.2">
      <c r="A3965" s="166"/>
      <c r="B3965" s="167"/>
      <c r="C3965" s="167"/>
      <c r="D3965" s="167"/>
      <c r="E3965" s="167"/>
      <c r="F3965" s="168"/>
    </row>
    <row r="3966" spans="1:6" x14ac:dyDescent="0.2">
      <c r="A3966" s="163"/>
      <c r="B3966" s="164"/>
      <c r="C3966" s="164"/>
      <c r="D3966" s="164"/>
      <c r="E3966" s="164"/>
      <c r="F3966" s="165"/>
    </row>
    <row r="3967" spans="1:6" x14ac:dyDescent="0.2">
      <c r="A3967" s="166"/>
      <c r="B3967" s="167"/>
      <c r="C3967" s="167"/>
      <c r="D3967" s="167"/>
      <c r="E3967" s="167"/>
      <c r="F3967" s="168"/>
    </row>
    <row r="3968" spans="1:6" x14ac:dyDescent="0.2">
      <c r="A3968" s="163"/>
      <c r="B3968" s="164"/>
      <c r="C3968" s="164"/>
      <c r="D3968" s="164"/>
      <c r="E3968" s="164"/>
      <c r="F3968" s="165"/>
    </row>
    <row r="3969" spans="1:6" x14ac:dyDescent="0.2">
      <c r="A3969" s="166"/>
      <c r="B3969" s="167"/>
      <c r="C3969" s="167"/>
      <c r="D3969" s="167"/>
      <c r="E3969" s="167"/>
      <c r="F3969" s="168"/>
    </row>
    <row r="3970" spans="1:6" x14ac:dyDescent="0.2">
      <c r="A3970" s="163"/>
      <c r="B3970" s="164"/>
      <c r="C3970" s="164"/>
      <c r="D3970" s="164"/>
      <c r="E3970" s="164"/>
      <c r="F3970" s="165"/>
    </row>
    <row r="3971" spans="1:6" x14ac:dyDescent="0.2">
      <c r="A3971" s="166"/>
      <c r="B3971" s="167"/>
      <c r="C3971" s="167"/>
      <c r="D3971" s="167"/>
      <c r="E3971" s="167"/>
      <c r="F3971" s="168"/>
    </row>
    <row r="3972" spans="1:6" x14ac:dyDescent="0.2">
      <c r="A3972" s="163"/>
      <c r="B3972" s="164"/>
      <c r="C3972" s="164"/>
      <c r="D3972" s="164"/>
      <c r="E3972" s="164"/>
      <c r="F3972" s="165"/>
    </row>
    <row r="3973" spans="1:6" x14ac:dyDescent="0.2">
      <c r="A3973" s="166"/>
      <c r="B3973" s="167"/>
      <c r="C3973" s="167"/>
      <c r="D3973" s="167"/>
      <c r="E3973" s="167"/>
      <c r="F3973" s="168"/>
    </row>
    <row r="3974" spans="1:6" x14ac:dyDescent="0.2">
      <c r="A3974" s="163"/>
      <c r="B3974" s="164"/>
      <c r="C3974" s="164"/>
      <c r="D3974" s="164"/>
      <c r="E3974" s="164"/>
      <c r="F3974" s="165"/>
    </row>
    <row r="3975" spans="1:6" x14ac:dyDescent="0.2">
      <c r="A3975" s="166"/>
      <c r="B3975" s="167"/>
      <c r="C3975" s="167"/>
      <c r="D3975" s="167"/>
      <c r="E3975" s="167"/>
      <c r="F3975" s="168"/>
    </row>
    <row r="3976" spans="1:6" x14ac:dyDescent="0.2">
      <c r="A3976" s="163"/>
      <c r="B3976" s="164"/>
      <c r="C3976" s="164"/>
      <c r="D3976" s="164"/>
      <c r="E3976" s="164"/>
      <c r="F3976" s="165"/>
    </row>
    <row r="3977" spans="1:6" x14ac:dyDescent="0.2">
      <c r="A3977" s="166"/>
      <c r="B3977" s="167"/>
      <c r="C3977" s="167"/>
      <c r="D3977" s="167"/>
      <c r="E3977" s="167"/>
      <c r="F3977" s="168"/>
    </row>
    <row r="3978" spans="1:6" x14ac:dyDescent="0.2">
      <c r="A3978" s="163"/>
      <c r="B3978" s="164"/>
      <c r="C3978" s="164"/>
      <c r="D3978" s="164"/>
      <c r="E3978" s="164"/>
      <c r="F3978" s="165"/>
    </row>
    <row r="3979" spans="1:6" x14ac:dyDescent="0.2">
      <c r="A3979" s="166"/>
      <c r="B3979" s="167"/>
      <c r="C3979" s="167"/>
      <c r="D3979" s="167"/>
      <c r="E3979" s="167"/>
      <c r="F3979" s="168"/>
    </row>
    <row r="3980" spans="1:6" x14ac:dyDescent="0.2">
      <c r="A3980" s="163"/>
      <c r="B3980" s="164"/>
      <c r="C3980" s="164"/>
      <c r="D3980" s="164"/>
      <c r="E3980" s="164"/>
      <c r="F3980" s="165"/>
    </row>
    <row r="3981" spans="1:6" x14ac:dyDescent="0.2">
      <c r="A3981" s="166"/>
      <c r="B3981" s="167"/>
      <c r="C3981" s="167"/>
      <c r="D3981" s="167"/>
      <c r="E3981" s="167"/>
      <c r="F3981" s="168"/>
    </row>
    <row r="3982" spans="1:6" x14ac:dyDescent="0.2">
      <c r="A3982" s="163"/>
      <c r="B3982" s="164"/>
      <c r="C3982" s="164"/>
      <c r="D3982" s="164"/>
      <c r="E3982" s="164"/>
      <c r="F3982" s="165"/>
    </row>
    <row r="3983" spans="1:6" x14ac:dyDescent="0.2">
      <c r="A3983" s="166"/>
      <c r="B3983" s="167"/>
      <c r="C3983" s="167"/>
      <c r="D3983" s="167"/>
      <c r="E3983" s="167"/>
      <c r="F3983" s="168"/>
    </row>
    <row r="3984" spans="1:6" x14ac:dyDescent="0.2">
      <c r="A3984" s="163"/>
      <c r="B3984" s="164"/>
      <c r="C3984" s="164"/>
      <c r="D3984" s="164"/>
      <c r="E3984" s="164"/>
      <c r="F3984" s="165"/>
    </row>
    <row r="3985" spans="1:6" x14ac:dyDescent="0.2">
      <c r="A3985" s="166"/>
      <c r="B3985" s="167"/>
      <c r="C3985" s="167"/>
      <c r="D3985" s="167"/>
      <c r="E3985" s="167"/>
      <c r="F3985" s="168"/>
    </row>
    <row r="3986" spans="1:6" x14ac:dyDescent="0.2">
      <c r="A3986" s="163"/>
      <c r="B3986" s="164"/>
      <c r="C3986" s="164"/>
      <c r="D3986" s="164"/>
      <c r="E3986" s="164"/>
      <c r="F3986" s="165"/>
    </row>
    <row r="3987" spans="1:6" x14ac:dyDescent="0.2">
      <c r="A3987" s="166"/>
      <c r="B3987" s="167"/>
      <c r="C3987" s="167"/>
      <c r="D3987" s="167"/>
      <c r="E3987" s="167"/>
      <c r="F3987" s="168"/>
    </row>
    <row r="3988" spans="1:6" x14ac:dyDescent="0.2">
      <c r="A3988" s="163"/>
      <c r="B3988" s="164"/>
      <c r="C3988" s="164"/>
      <c r="D3988" s="164"/>
      <c r="E3988" s="164"/>
      <c r="F3988" s="165"/>
    </row>
    <row r="3989" spans="1:6" x14ac:dyDescent="0.2">
      <c r="A3989" s="166"/>
      <c r="B3989" s="167"/>
      <c r="C3989" s="167"/>
      <c r="D3989" s="167"/>
      <c r="E3989" s="167"/>
      <c r="F3989" s="168"/>
    </row>
    <row r="3990" spans="1:6" x14ac:dyDescent="0.2">
      <c r="A3990" s="163"/>
      <c r="B3990" s="164"/>
      <c r="C3990" s="164"/>
      <c r="D3990" s="164"/>
      <c r="E3990" s="164"/>
      <c r="F3990" s="165"/>
    </row>
    <row r="3991" spans="1:6" x14ac:dyDescent="0.2">
      <c r="A3991" s="166"/>
      <c r="B3991" s="167"/>
      <c r="C3991" s="167"/>
      <c r="D3991" s="167"/>
      <c r="E3991" s="167"/>
      <c r="F3991" s="168"/>
    </row>
    <row r="3992" spans="1:6" x14ac:dyDescent="0.2">
      <c r="A3992" s="163"/>
      <c r="B3992" s="164"/>
      <c r="C3992" s="164"/>
      <c r="D3992" s="164"/>
      <c r="E3992" s="164"/>
      <c r="F3992" s="165"/>
    </row>
    <row r="3993" spans="1:6" x14ac:dyDescent="0.2">
      <c r="A3993" s="166"/>
      <c r="B3993" s="167"/>
      <c r="C3993" s="167"/>
      <c r="D3993" s="167"/>
      <c r="E3993" s="167"/>
      <c r="F3993" s="168"/>
    </row>
    <row r="3994" spans="1:6" x14ac:dyDescent="0.2">
      <c r="A3994" s="163"/>
      <c r="B3994" s="164"/>
      <c r="C3994" s="164"/>
      <c r="D3994" s="164"/>
      <c r="E3994" s="164"/>
      <c r="F3994" s="165"/>
    </row>
    <row r="3995" spans="1:6" x14ac:dyDescent="0.2">
      <c r="A3995" s="166"/>
      <c r="B3995" s="167"/>
      <c r="C3995" s="167"/>
      <c r="D3995" s="167"/>
      <c r="E3995" s="167"/>
      <c r="F3995" s="168"/>
    </row>
    <row r="3996" spans="1:6" x14ac:dyDescent="0.2">
      <c r="A3996" s="163"/>
      <c r="B3996" s="164"/>
      <c r="C3996" s="164"/>
      <c r="D3996" s="164"/>
      <c r="E3996" s="164"/>
      <c r="F3996" s="165"/>
    </row>
    <row r="3997" spans="1:6" x14ac:dyDescent="0.2">
      <c r="A3997" s="166"/>
      <c r="B3997" s="167"/>
      <c r="C3997" s="167"/>
      <c r="D3997" s="167"/>
      <c r="E3997" s="167"/>
      <c r="F3997" s="168"/>
    </row>
    <row r="3998" spans="1:6" x14ac:dyDescent="0.2">
      <c r="A3998" s="163"/>
      <c r="B3998" s="164"/>
      <c r="C3998" s="164"/>
      <c r="D3998" s="164"/>
      <c r="E3998" s="164"/>
      <c r="F3998" s="165"/>
    </row>
    <row r="3999" spans="1:6" x14ac:dyDescent="0.2">
      <c r="A3999" s="166"/>
      <c r="B3999" s="167"/>
      <c r="C3999" s="167"/>
      <c r="D3999" s="167"/>
      <c r="E3999" s="167"/>
      <c r="F3999" s="168"/>
    </row>
    <row r="4000" spans="1:6" x14ac:dyDescent="0.2">
      <c r="A4000" s="163"/>
      <c r="B4000" s="164"/>
      <c r="C4000" s="164"/>
      <c r="D4000" s="164"/>
      <c r="E4000" s="164"/>
      <c r="F4000" s="165"/>
    </row>
    <row r="4001" spans="1:6" x14ac:dyDescent="0.2">
      <c r="A4001" s="166"/>
      <c r="B4001" s="167"/>
      <c r="C4001" s="167"/>
      <c r="D4001" s="167"/>
      <c r="E4001" s="167"/>
      <c r="F4001" s="168"/>
    </row>
    <row r="4002" spans="1:6" x14ac:dyDescent="0.2">
      <c r="A4002" s="163"/>
      <c r="B4002" s="164"/>
      <c r="C4002" s="164"/>
      <c r="D4002" s="164"/>
      <c r="E4002" s="164"/>
      <c r="F4002" s="165"/>
    </row>
    <row r="4003" spans="1:6" x14ac:dyDescent="0.2">
      <c r="A4003" s="166"/>
      <c r="B4003" s="167"/>
      <c r="C4003" s="167"/>
      <c r="D4003" s="167"/>
      <c r="E4003" s="167"/>
      <c r="F4003" s="168"/>
    </row>
    <row r="4004" spans="1:6" x14ac:dyDescent="0.2">
      <c r="A4004" s="163"/>
      <c r="B4004" s="164"/>
      <c r="C4004" s="164"/>
      <c r="D4004" s="164"/>
      <c r="E4004" s="164"/>
      <c r="F4004" s="165"/>
    </row>
    <row r="4005" spans="1:6" x14ac:dyDescent="0.2">
      <c r="A4005" s="166"/>
      <c r="B4005" s="167"/>
      <c r="C4005" s="167"/>
      <c r="D4005" s="167"/>
      <c r="E4005" s="167"/>
      <c r="F4005" s="168"/>
    </row>
    <row r="4006" spans="1:6" x14ac:dyDescent="0.2">
      <c r="A4006" s="163"/>
      <c r="B4006" s="164"/>
      <c r="C4006" s="164"/>
      <c r="D4006" s="164"/>
      <c r="E4006" s="164"/>
      <c r="F4006" s="165"/>
    </row>
    <row r="4007" spans="1:6" x14ac:dyDescent="0.2">
      <c r="A4007" s="166"/>
      <c r="B4007" s="167"/>
      <c r="C4007" s="167"/>
      <c r="D4007" s="167"/>
      <c r="E4007" s="167"/>
      <c r="F4007" s="168"/>
    </row>
    <row r="4008" spans="1:6" x14ac:dyDescent="0.2">
      <c r="A4008" s="163"/>
      <c r="B4008" s="164"/>
      <c r="C4008" s="164"/>
      <c r="D4008" s="164"/>
      <c r="E4008" s="164"/>
      <c r="F4008" s="165"/>
    </row>
    <row r="4009" spans="1:6" x14ac:dyDescent="0.2">
      <c r="A4009" s="166"/>
      <c r="B4009" s="167"/>
      <c r="C4009" s="167"/>
      <c r="D4009" s="167"/>
      <c r="E4009" s="167"/>
      <c r="F4009" s="168"/>
    </row>
    <row r="4010" spans="1:6" x14ac:dyDescent="0.2">
      <c r="A4010" s="163"/>
      <c r="B4010" s="164"/>
      <c r="C4010" s="164"/>
      <c r="D4010" s="164"/>
      <c r="E4010" s="164"/>
      <c r="F4010" s="165"/>
    </row>
    <row r="4011" spans="1:6" x14ac:dyDescent="0.2">
      <c r="A4011" s="166"/>
      <c r="B4011" s="167"/>
      <c r="C4011" s="167"/>
      <c r="D4011" s="167"/>
      <c r="E4011" s="167"/>
      <c r="F4011" s="168"/>
    </row>
    <row r="4012" spans="1:6" x14ac:dyDescent="0.2">
      <c r="A4012" s="163"/>
      <c r="B4012" s="164"/>
      <c r="C4012" s="164"/>
      <c r="D4012" s="164"/>
      <c r="E4012" s="164"/>
      <c r="F4012" s="165"/>
    </row>
    <row r="4013" spans="1:6" x14ac:dyDescent="0.2">
      <c r="A4013" s="166"/>
      <c r="B4013" s="167"/>
      <c r="C4013" s="167"/>
      <c r="D4013" s="167"/>
      <c r="E4013" s="167"/>
      <c r="F4013" s="168"/>
    </row>
    <row r="4014" spans="1:6" x14ac:dyDescent="0.2">
      <c r="A4014" s="163"/>
      <c r="B4014" s="164"/>
      <c r="C4014" s="164"/>
      <c r="D4014" s="164"/>
      <c r="E4014" s="164"/>
      <c r="F4014" s="165"/>
    </row>
    <row r="4015" spans="1:6" x14ac:dyDescent="0.2">
      <c r="A4015" s="166"/>
      <c r="B4015" s="167"/>
      <c r="C4015" s="167"/>
      <c r="D4015" s="167"/>
      <c r="E4015" s="167"/>
      <c r="F4015" s="168"/>
    </row>
    <row r="4016" spans="1:6" x14ac:dyDescent="0.2">
      <c r="A4016" s="163"/>
      <c r="B4016" s="164"/>
      <c r="C4016" s="164"/>
      <c r="D4016" s="164"/>
      <c r="E4016" s="164"/>
      <c r="F4016" s="165"/>
    </row>
    <row r="4017" spans="1:6" x14ac:dyDescent="0.2">
      <c r="A4017" s="166"/>
      <c r="B4017" s="167"/>
      <c r="C4017" s="167"/>
      <c r="D4017" s="167"/>
      <c r="E4017" s="167"/>
      <c r="F4017" s="168"/>
    </row>
    <row r="4018" spans="1:6" x14ac:dyDescent="0.2">
      <c r="A4018" s="163"/>
      <c r="B4018" s="164"/>
      <c r="C4018" s="164"/>
      <c r="D4018" s="164"/>
      <c r="E4018" s="164"/>
      <c r="F4018" s="165"/>
    </row>
    <row r="4019" spans="1:6" x14ac:dyDescent="0.2">
      <c r="A4019" s="166"/>
      <c r="B4019" s="167"/>
      <c r="C4019" s="167"/>
      <c r="D4019" s="167"/>
      <c r="E4019" s="167"/>
      <c r="F4019" s="168"/>
    </row>
    <row r="4020" spans="1:6" x14ac:dyDescent="0.2">
      <c r="A4020" s="163"/>
      <c r="B4020" s="164"/>
      <c r="C4020" s="164"/>
      <c r="D4020" s="164"/>
      <c r="E4020" s="164"/>
      <c r="F4020" s="165"/>
    </row>
    <row r="4021" spans="1:6" x14ac:dyDescent="0.2">
      <c r="A4021" s="166"/>
      <c r="B4021" s="167"/>
      <c r="C4021" s="167"/>
      <c r="D4021" s="167"/>
      <c r="E4021" s="167"/>
      <c r="F4021" s="168"/>
    </row>
    <row r="4022" spans="1:6" x14ac:dyDescent="0.2">
      <c r="A4022" s="163"/>
      <c r="B4022" s="164"/>
      <c r="C4022" s="164"/>
      <c r="D4022" s="164"/>
      <c r="E4022" s="164"/>
      <c r="F4022" s="165"/>
    </row>
    <row r="4023" spans="1:6" x14ac:dyDescent="0.2">
      <c r="A4023" s="166"/>
      <c r="B4023" s="167"/>
      <c r="C4023" s="167"/>
      <c r="D4023" s="167"/>
      <c r="E4023" s="167"/>
      <c r="F4023" s="168"/>
    </row>
    <row r="4024" spans="1:6" x14ac:dyDescent="0.2">
      <c r="A4024" s="163"/>
      <c r="B4024" s="164"/>
      <c r="C4024" s="164"/>
      <c r="D4024" s="164"/>
      <c r="E4024" s="164"/>
      <c r="F4024" s="165"/>
    </row>
    <row r="4025" spans="1:6" x14ac:dyDescent="0.2">
      <c r="A4025" s="166"/>
      <c r="B4025" s="167"/>
      <c r="C4025" s="167"/>
      <c r="D4025" s="167"/>
      <c r="E4025" s="167"/>
      <c r="F4025" s="168"/>
    </row>
    <row r="4026" spans="1:6" x14ac:dyDescent="0.2">
      <c r="A4026" s="163"/>
      <c r="B4026" s="164"/>
      <c r="C4026" s="164"/>
      <c r="D4026" s="164"/>
      <c r="E4026" s="164"/>
      <c r="F4026" s="165"/>
    </row>
    <row r="4027" spans="1:6" x14ac:dyDescent="0.2">
      <c r="A4027" s="166"/>
      <c r="B4027" s="167"/>
      <c r="C4027" s="167"/>
      <c r="D4027" s="167"/>
      <c r="E4027" s="167"/>
      <c r="F4027" s="168"/>
    </row>
    <row r="4028" spans="1:6" x14ac:dyDescent="0.2">
      <c r="A4028" s="163"/>
      <c r="B4028" s="164"/>
      <c r="C4028" s="164"/>
      <c r="D4028" s="164"/>
      <c r="E4028" s="164"/>
      <c r="F4028" s="165"/>
    </row>
    <row r="4029" spans="1:6" x14ac:dyDescent="0.2">
      <c r="A4029" s="166"/>
      <c r="B4029" s="167"/>
      <c r="C4029" s="167"/>
      <c r="D4029" s="167"/>
      <c r="E4029" s="167"/>
      <c r="F4029" s="168"/>
    </row>
    <row r="4030" spans="1:6" x14ac:dyDescent="0.2">
      <c r="A4030" s="163"/>
      <c r="B4030" s="164"/>
      <c r="C4030" s="164"/>
      <c r="D4030" s="164"/>
      <c r="E4030" s="164"/>
      <c r="F4030" s="165"/>
    </row>
    <row r="4031" spans="1:6" x14ac:dyDescent="0.2">
      <c r="A4031" s="166"/>
      <c r="B4031" s="167"/>
      <c r="C4031" s="167"/>
      <c r="D4031" s="167"/>
      <c r="E4031" s="167"/>
      <c r="F4031" s="168"/>
    </row>
    <row r="4032" spans="1:6" x14ac:dyDescent="0.2">
      <c r="A4032" s="163"/>
      <c r="B4032" s="164"/>
      <c r="C4032" s="164"/>
      <c r="D4032" s="164"/>
      <c r="E4032" s="164"/>
      <c r="F4032" s="165"/>
    </row>
    <row r="4033" spans="1:6" x14ac:dyDescent="0.2">
      <c r="A4033" s="166"/>
      <c r="B4033" s="167"/>
      <c r="C4033" s="167"/>
      <c r="D4033" s="167"/>
      <c r="E4033" s="167"/>
      <c r="F4033" s="168"/>
    </row>
    <row r="4034" spans="1:6" x14ac:dyDescent="0.2">
      <c r="A4034" s="163"/>
      <c r="B4034" s="164"/>
      <c r="C4034" s="164"/>
      <c r="D4034" s="164"/>
      <c r="E4034" s="164"/>
      <c r="F4034" s="165"/>
    </row>
    <row r="4035" spans="1:6" x14ac:dyDescent="0.2">
      <c r="A4035" s="166"/>
      <c r="B4035" s="167"/>
      <c r="C4035" s="167"/>
      <c r="D4035" s="167"/>
      <c r="E4035" s="167"/>
      <c r="F4035" s="168"/>
    </row>
    <row r="4036" spans="1:6" x14ac:dyDescent="0.2">
      <c r="A4036" s="163"/>
      <c r="B4036" s="164"/>
      <c r="C4036" s="164"/>
      <c r="D4036" s="164"/>
      <c r="E4036" s="164"/>
      <c r="F4036" s="165"/>
    </row>
    <row r="4037" spans="1:6" x14ac:dyDescent="0.2">
      <c r="A4037" s="166"/>
      <c r="B4037" s="167"/>
      <c r="C4037" s="167"/>
      <c r="D4037" s="167"/>
      <c r="E4037" s="167"/>
      <c r="F4037" s="168"/>
    </row>
    <row r="4038" spans="1:6" x14ac:dyDescent="0.2">
      <c r="A4038" s="163"/>
      <c r="B4038" s="164"/>
      <c r="C4038" s="164"/>
      <c r="D4038" s="164"/>
      <c r="E4038" s="164"/>
      <c r="F4038" s="165"/>
    </row>
    <row r="4039" spans="1:6" x14ac:dyDescent="0.2">
      <c r="A4039" s="166"/>
      <c r="B4039" s="167"/>
      <c r="C4039" s="167"/>
      <c r="D4039" s="167"/>
      <c r="E4039" s="167"/>
      <c r="F4039" s="168"/>
    </row>
    <row r="4040" spans="1:6" x14ac:dyDescent="0.2">
      <c r="A4040" s="163"/>
      <c r="B4040" s="164"/>
      <c r="C4040" s="164"/>
      <c r="D4040" s="164"/>
      <c r="E4040" s="164"/>
      <c r="F4040" s="165"/>
    </row>
    <row r="4041" spans="1:6" x14ac:dyDescent="0.2">
      <c r="A4041" s="166"/>
      <c r="B4041" s="167"/>
      <c r="C4041" s="167"/>
      <c r="D4041" s="167"/>
      <c r="E4041" s="167"/>
      <c r="F4041" s="168"/>
    </row>
    <row r="4042" spans="1:6" x14ac:dyDescent="0.2">
      <c r="A4042" s="163"/>
      <c r="B4042" s="164"/>
      <c r="C4042" s="164"/>
      <c r="D4042" s="164"/>
      <c r="E4042" s="164"/>
      <c r="F4042" s="165"/>
    </row>
    <row r="4043" spans="1:6" x14ac:dyDescent="0.2">
      <c r="A4043" s="166"/>
      <c r="B4043" s="167"/>
      <c r="C4043" s="167"/>
      <c r="D4043" s="167"/>
      <c r="E4043" s="167"/>
      <c r="F4043" s="168"/>
    </row>
    <row r="4044" spans="1:6" x14ac:dyDescent="0.2">
      <c r="A4044" s="163"/>
      <c r="B4044" s="164"/>
      <c r="C4044" s="164"/>
      <c r="D4044" s="164"/>
      <c r="E4044" s="164"/>
      <c r="F4044" s="165"/>
    </row>
    <row r="4045" spans="1:6" x14ac:dyDescent="0.2">
      <c r="A4045" s="166"/>
      <c r="B4045" s="167"/>
      <c r="C4045" s="167"/>
      <c r="D4045" s="167"/>
      <c r="E4045" s="167"/>
      <c r="F4045" s="168"/>
    </row>
    <row r="4046" spans="1:6" x14ac:dyDescent="0.2">
      <c r="A4046" s="163"/>
      <c r="B4046" s="164"/>
      <c r="C4046" s="164"/>
      <c r="D4046" s="164"/>
      <c r="E4046" s="164"/>
      <c r="F4046" s="165"/>
    </row>
    <row r="4047" spans="1:6" x14ac:dyDescent="0.2">
      <c r="A4047" s="166"/>
      <c r="B4047" s="167"/>
      <c r="C4047" s="167"/>
      <c r="D4047" s="167"/>
      <c r="E4047" s="167"/>
      <c r="F4047" s="168"/>
    </row>
    <row r="4048" spans="1:6" x14ac:dyDescent="0.2">
      <c r="A4048" s="163"/>
      <c r="B4048" s="164"/>
      <c r="C4048" s="164"/>
      <c r="D4048" s="164"/>
      <c r="E4048" s="164"/>
      <c r="F4048" s="165"/>
    </row>
    <row r="4049" spans="1:6" x14ac:dyDescent="0.2">
      <c r="A4049" s="166"/>
      <c r="B4049" s="167"/>
      <c r="C4049" s="167"/>
      <c r="D4049" s="167"/>
      <c r="E4049" s="167"/>
      <c r="F4049" s="168"/>
    </row>
    <row r="4050" spans="1:6" x14ac:dyDescent="0.2">
      <c r="A4050" s="163"/>
      <c r="B4050" s="164"/>
      <c r="C4050" s="164"/>
      <c r="D4050" s="164"/>
      <c r="E4050" s="164"/>
      <c r="F4050" s="165"/>
    </row>
    <row r="4051" spans="1:6" x14ac:dyDescent="0.2">
      <c r="A4051" s="166"/>
      <c r="B4051" s="167"/>
      <c r="C4051" s="167"/>
      <c r="D4051" s="167"/>
      <c r="E4051" s="167"/>
      <c r="F4051" s="168"/>
    </row>
    <row r="4052" spans="1:6" x14ac:dyDescent="0.2">
      <c r="A4052" s="163"/>
      <c r="B4052" s="164"/>
      <c r="C4052" s="164"/>
      <c r="D4052" s="164"/>
      <c r="E4052" s="164"/>
      <c r="F4052" s="165"/>
    </row>
    <row r="4053" spans="1:6" x14ac:dyDescent="0.2">
      <c r="A4053" s="166"/>
      <c r="B4053" s="167"/>
      <c r="C4053" s="167"/>
      <c r="D4053" s="167"/>
      <c r="E4053" s="167"/>
      <c r="F4053" s="168"/>
    </row>
    <row r="4054" spans="1:6" x14ac:dyDescent="0.2">
      <c r="A4054" s="163"/>
      <c r="B4054" s="164"/>
      <c r="C4054" s="164"/>
      <c r="D4054" s="164"/>
      <c r="E4054" s="164"/>
      <c r="F4054" s="165"/>
    </row>
    <row r="4055" spans="1:6" x14ac:dyDescent="0.2">
      <c r="A4055" s="166"/>
      <c r="B4055" s="167"/>
      <c r="C4055" s="167"/>
      <c r="D4055" s="167"/>
      <c r="E4055" s="167"/>
      <c r="F4055" s="168"/>
    </row>
    <row r="4056" spans="1:6" x14ac:dyDescent="0.2">
      <c r="A4056" s="163"/>
      <c r="B4056" s="164"/>
      <c r="C4056" s="164"/>
      <c r="D4056" s="164"/>
      <c r="E4056" s="164"/>
      <c r="F4056" s="165"/>
    </row>
    <row r="4057" spans="1:6" x14ac:dyDescent="0.2">
      <c r="A4057" s="166"/>
      <c r="B4057" s="167"/>
      <c r="C4057" s="167"/>
      <c r="D4057" s="167"/>
      <c r="E4057" s="167"/>
      <c r="F4057" s="168"/>
    </row>
    <row r="4058" spans="1:6" x14ac:dyDescent="0.2">
      <c r="A4058" s="163"/>
      <c r="B4058" s="164"/>
      <c r="C4058" s="164"/>
      <c r="D4058" s="164"/>
      <c r="E4058" s="164"/>
      <c r="F4058" s="165"/>
    </row>
    <row r="4059" spans="1:6" x14ac:dyDescent="0.2">
      <c r="A4059" s="166"/>
      <c r="B4059" s="167"/>
      <c r="C4059" s="167"/>
      <c r="D4059" s="167"/>
      <c r="E4059" s="167"/>
      <c r="F4059" s="168"/>
    </row>
    <row r="4060" spans="1:6" x14ac:dyDescent="0.2">
      <c r="A4060" s="163"/>
      <c r="B4060" s="164"/>
      <c r="C4060" s="164"/>
      <c r="D4060" s="164"/>
      <c r="E4060" s="164"/>
      <c r="F4060" s="165"/>
    </row>
    <row r="4061" spans="1:6" x14ac:dyDescent="0.2">
      <c r="A4061" s="166"/>
      <c r="B4061" s="167"/>
      <c r="C4061" s="167"/>
      <c r="D4061" s="167"/>
      <c r="E4061" s="167"/>
      <c r="F4061" s="168"/>
    </row>
    <row r="4062" spans="1:6" x14ac:dyDescent="0.2">
      <c r="A4062" s="163"/>
      <c r="B4062" s="164"/>
      <c r="C4062" s="164"/>
      <c r="D4062" s="164"/>
      <c r="E4062" s="164"/>
      <c r="F4062" s="165"/>
    </row>
    <row r="4063" spans="1:6" x14ac:dyDescent="0.2">
      <c r="A4063" s="166"/>
      <c r="B4063" s="167"/>
      <c r="C4063" s="167"/>
      <c r="D4063" s="167"/>
      <c r="E4063" s="167"/>
      <c r="F4063" s="168"/>
    </row>
    <row r="4064" spans="1:6" x14ac:dyDescent="0.2">
      <c r="A4064" s="163"/>
      <c r="B4064" s="164"/>
      <c r="C4064" s="164"/>
      <c r="D4064" s="164"/>
      <c r="E4064" s="164"/>
      <c r="F4064" s="165"/>
    </row>
    <row r="4065" spans="1:6" x14ac:dyDescent="0.2">
      <c r="A4065" s="166"/>
      <c r="B4065" s="167"/>
      <c r="C4065" s="167"/>
      <c r="D4065" s="167"/>
      <c r="E4065" s="167"/>
      <c r="F4065" s="168"/>
    </row>
    <row r="4066" spans="1:6" x14ac:dyDescent="0.2">
      <c r="A4066" s="163"/>
      <c r="B4066" s="164"/>
      <c r="C4066" s="164"/>
      <c r="D4066" s="164"/>
      <c r="E4066" s="164"/>
      <c r="F4066" s="165"/>
    </row>
    <row r="4067" spans="1:6" x14ac:dyDescent="0.2">
      <c r="A4067" s="166"/>
      <c r="B4067" s="167"/>
      <c r="C4067" s="167"/>
      <c r="D4067" s="167"/>
      <c r="E4067" s="167"/>
      <c r="F4067" s="168"/>
    </row>
    <row r="4068" spans="1:6" x14ac:dyDescent="0.2">
      <c r="A4068" s="163"/>
      <c r="B4068" s="164"/>
      <c r="C4068" s="164"/>
      <c r="D4068" s="164"/>
      <c r="E4068" s="164"/>
      <c r="F4068" s="165"/>
    </row>
    <row r="4069" spans="1:6" x14ac:dyDescent="0.2">
      <c r="A4069" s="166"/>
      <c r="B4069" s="167"/>
      <c r="C4069" s="167"/>
      <c r="D4069" s="167"/>
      <c r="E4069" s="167"/>
      <c r="F4069" s="168"/>
    </row>
    <row r="4070" spans="1:6" x14ac:dyDescent="0.2">
      <c r="A4070" s="163"/>
      <c r="B4070" s="164"/>
      <c r="C4070" s="164"/>
      <c r="D4070" s="164"/>
      <c r="E4070" s="164"/>
      <c r="F4070" s="165"/>
    </row>
    <row r="4071" spans="1:6" x14ac:dyDescent="0.2">
      <c r="A4071" s="166"/>
      <c r="B4071" s="167"/>
      <c r="C4071" s="167"/>
      <c r="D4071" s="167"/>
      <c r="E4071" s="167"/>
      <c r="F4071" s="168"/>
    </row>
    <row r="4072" spans="1:6" x14ac:dyDescent="0.2">
      <c r="A4072" s="163"/>
      <c r="B4072" s="164"/>
      <c r="C4072" s="164"/>
      <c r="D4072" s="164"/>
      <c r="E4072" s="164"/>
      <c r="F4072" s="165"/>
    </row>
    <row r="4073" spans="1:6" x14ac:dyDescent="0.2">
      <c r="A4073" s="166"/>
      <c r="B4073" s="167"/>
      <c r="C4073" s="167"/>
      <c r="D4073" s="167"/>
      <c r="E4073" s="167"/>
      <c r="F4073" s="168"/>
    </row>
    <row r="4074" spans="1:6" x14ac:dyDescent="0.2">
      <c r="A4074" s="163"/>
      <c r="B4074" s="164"/>
      <c r="C4074" s="164"/>
      <c r="D4074" s="164"/>
      <c r="E4074" s="164"/>
      <c r="F4074" s="165"/>
    </row>
    <row r="4075" spans="1:6" x14ac:dyDescent="0.2">
      <c r="A4075" s="166"/>
      <c r="B4075" s="167"/>
      <c r="C4075" s="167"/>
      <c r="D4075" s="167"/>
      <c r="E4075" s="167"/>
      <c r="F4075" s="168"/>
    </row>
    <row r="4076" spans="1:6" x14ac:dyDescent="0.2">
      <c r="A4076" s="163"/>
      <c r="B4076" s="164"/>
      <c r="C4076" s="164"/>
      <c r="D4076" s="164"/>
      <c r="E4076" s="164"/>
      <c r="F4076" s="165"/>
    </row>
    <row r="4077" spans="1:6" x14ac:dyDescent="0.2">
      <c r="A4077" s="166"/>
      <c r="B4077" s="167"/>
      <c r="C4077" s="167"/>
      <c r="D4077" s="167"/>
      <c r="E4077" s="167"/>
      <c r="F4077" s="168"/>
    </row>
    <row r="4078" spans="1:6" x14ac:dyDescent="0.2">
      <c r="A4078" s="163"/>
      <c r="B4078" s="164"/>
      <c r="C4078" s="164"/>
      <c r="D4078" s="164"/>
      <c r="E4078" s="164"/>
      <c r="F4078" s="165"/>
    </row>
    <row r="4079" spans="1:6" x14ac:dyDescent="0.2">
      <c r="A4079" s="166"/>
      <c r="B4079" s="167"/>
      <c r="C4079" s="167"/>
      <c r="D4079" s="167"/>
      <c r="E4079" s="167"/>
      <c r="F4079" s="168"/>
    </row>
    <row r="4080" spans="1:6" x14ac:dyDescent="0.2">
      <c r="A4080" s="163"/>
      <c r="B4080" s="164"/>
      <c r="C4080" s="164"/>
      <c r="D4080" s="164"/>
      <c r="E4080" s="164"/>
      <c r="F4080" s="165"/>
    </row>
    <row r="4081" spans="1:6" x14ac:dyDescent="0.2">
      <c r="A4081" s="166"/>
      <c r="B4081" s="167"/>
      <c r="C4081" s="167"/>
      <c r="D4081" s="167"/>
      <c r="E4081" s="167"/>
      <c r="F4081" s="168"/>
    </row>
    <row r="4082" spans="1:6" x14ac:dyDescent="0.2">
      <c r="A4082" s="163"/>
      <c r="B4082" s="164"/>
      <c r="C4082" s="164"/>
      <c r="D4082" s="164"/>
      <c r="E4082" s="164"/>
      <c r="F4082" s="165"/>
    </row>
    <row r="4083" spans="1:6" x14ac:dyDescent="0.2">
      <c r="A4083" s="166"/>
      <c r="B4083" s="167"/>
      <c r="C4083" s="167"/>
      <c r="D4083" s="167"/>
      <c r="E4083" s="167"/>
      <c r="F4083" s="168"/>
    </row>
    <row r="4084" spans="1:6" x14ac:dyDescent="0.2">
      <c r="A4084" s="163"/>
      <c r="B4084" s="164"/>
      <c r="C4084" s="164"/>
      <c r="D4084" s="164"/>
      <c r="E4084" s="164"/>
      <c r="F4084" s="165"/>
    </row>
    <row r="4085" spans="1:6" x14ac:dyDescent="0.2">
      <c r="A4085" s="166"/>
      <c r="B4085" s="167"/>
      <c r="C4085" s="167"/>
      <c r="D4085" s="167"/>
      <c r="E4085" s="167"/>
      <c r="F4085" s="168"/>
    </row>
    <row r="4086" spans="1:6" x14ac:dyDescent="0.2">
      <c r="A4086" s="163"/>
      <c r="B4086" s="164"/>
      <c r="C4086" s="164"/>
      <c r="D4086" s="164"/>
      <c r="E4086" s="164"/>
      <c r="F4086" s="165"/>
    </row>
    <row r="4087" spans="1:6" x14ac:dyDescent="0.2">
      <c r="A4087" s="166"/>
      <c r="B4087" s="167"/>
      <c r="C4087" s="167"/>
      <c r="D4087" s="167"/>
      <c r="E4087" s="167"/>
      <c r="F4087" s="168"/>
    </row>
    <row r="4088" spans="1:6" x14ac:dyDescent="0.2">
      <c r="A4088" s="163"/>
      <c r="B4088" s="164"/>
      <c r="C4088" s="164"/>
      <c r="D4088" s="164"/>
      <c r="E4088" s="164"/>
      <c r="F4088" s="165"/>
    </row>
    <row r="4089" spans="1:6" x14ac:dyDescent="0.2">
      <c r="A4089" s="166"/>
      <c r="B4089" s="167"/>
      <c r="C4089" s="167"/>
      <c r="D4089" s="167"/>
      <c r="E4089" s="167"/>
      <c r="F4089" s="168"/>
    </row>
    <row r="4090" spans="1:6" x14ac:dyDescent="0.2">
      <c r="A4090" s="163"/>
      <c r="B4090" s="164"/>
      <c r="C4090" s="164"/>
      <c r="D4090" s="164"/>
      <c r="E4090" s="164"/>
      <c r="F4090" s="165"/>
    </row>
    <row r="4091" spans="1:6" x14ac:dyDescent="0.2">
      <c r="A4091" s="166"/>
      <c r="B4091" s="167"/>
      <c r="C4091" s="167"/>
      <c r="D4091" s="167"/>
      <c r="E4091" s="167"/>
      <c r="F4091" s="168"/>
    </row>
    <row r="4092" spans="1:6" x14ac:dyDescent="0.2">
      <c r="A4092" s="163"/>
      <c r="B4092" s="164"/>
      <c r="C4092" s="164"/>
      <c r="D4092" s="164"/>
      <c r="E4092" s="164"/>
      <c r="F4092" s="165"/>
    </row>
    <row r="4093" spans="1:6" x14ac:dyDescent="0.2">
      <c r="A4093" s="166"/>
      <c r="B4093" s="167"/>
      <c r="C4093" s="167"/>
      <c r="D4093" s="167"/>
      <c r="E4093" s="167"/>
      <c r="F4093" s="168"/>
    </row>
    <row r="4094" spans="1:6" x14ac:dyDescent="0.2">
      <c r="A4094" s="163"/>
      <c r="B4094" s="164"/>
      <c r="C4094" s="164"/>
      <c r="D4094" s="164"/>
      <c r="E4094" s="164"/>
      <c r="F4094" s="165"/>
    </row>
    <row r="4095" spans="1:6" x14ac:dyDescent="0.2">
      <c r="A4095" s="166"/>
      <c r="B4095" s="167"/>
      <c r="C4095" s="167"/>
      <c r="D4095" s="167"/>
      <c r="E4095" s="167"/>
      <c r="F4095" s="168"/>
    </row>
    <row r="4096" spans="1:6" x14ac:dyDescent="0.2">
      <c r="A4096" s="163"/>
      <c r="B4096" s="164"/>
      <c r="C4096" s="164"/>
      <c r="D4096" s="164"/>
      <c r="E4096" s="164"/>
      <c r="F4096" s="165"/>
    </row>
    <row r="4097" spans="1:6" x14ac:dyDescent="0.2">
      <c r="A4097" s="166"/>
      <c r="B4097" s="167"/>
      <c r="C4097" s="167"/>
      <c r="D4097" s="167"/>
      <c r="E4097" s="167"/>
      <c r="F4097" s="168"/>
    </row>
    <row r="4098" spans="1:6" x14ac:dyDescent="0.2">
      <c r="A4098" s="163"/>
      <c r="B4098" s="164"/>
      <c r="C4098" s="164"/>
      <c r="D4098" s="164"/>
      <c r="E4098" s="164"/>
      <c r="F4098" s="165"/>
    </row>
    <row r="4099" spans="1:6" x14ac:dyDescent="0.2">
      <c r="A4099" s="166"/>
      <c r="B4099" s="167"/>
      <c r="C4099" s="167"/>
      <c r="D4099" s="167"/>
      <c r="E4099" s="167"/>
      <c r="F4099" s="168"/>
    </row>
    <row r="4100" spans="1:6" x14ac:dyDescent="0.2">
      <c r="A4100" s="163"/>
      <c r="B4100" s="164"/>
      <c r="C4100" s="164"/>
      <c r="D4100" s="164"/>
      <c r="E4100" s="164"/>
      <c r="F4100" s="165"/>
    </row>
    <row r="4101" spans="1:6" x14ac:dyDescent="0.2">
      <c r="A4101" s="166"/>
      <c r="B4101" s="167"/>
      <c r="C4101" s="167"/>
      <c r="D4101" s="167"/>
      <c r="E4101" s="167"/>
      <c r="F4101" s="168"/>
    </row>
    <row r="4102" spans="1:6" x14ac:dyDescent="0.2">
      <c r="A4102" s="163"/>
      <c r="B4102" s="164"/>
      <c r="C4102" s="164"/>
      <c r="D4102" s="164"/>
      <c r="E4102" s="164"/>
      <c r="F4102" s="165"/>
    </row>
    <row r="4103" spans="1:6" x14ac:dyDescent="0.2">
      <c r="A4103" s="166"/>
      <c r="B4103" s="167"/>
      <c r="C4103" s="167"/>
      <c r="D4103" s="167"/>
      <c r="E4103" s="167"/>
      <c r="F4103" s="168"/>
    </row>
    <row r="4104" spans="1:6" x14ac:dyDescent="0.2">
      <c r="A4104" s="163"/>
      <c r="B4104" s="164"/>
      <c r="C4104" s="164"/>
      <c r="D4104" s="164"/>
      <c r="E4104" s="164"/>
      <c r="F4104" s="165"/>
    </row>
    <row r="4105" spans="1:6" x14ac:dyDescent="0.2">
      <c r="A4105" s="166"/>
      <c r="B4105" s="167"/>
      <c r="C4105" s="167"/>
      <c r="D4105" s="167"/>
      <c r="E4105" s="167"/>
      <c r="F4105" s="168"/>
    </row>
    <row r="4106" spans="1:6" x14ac:dyDescent="0.2">
      <c r="A4106" s="163"/>
      <c r="B4106" s="164"/>
      <c r="C4106" s="164"/>
      <c r="D4106" s="164"/>
      <c r="E4106" s="164"/>
      <c r="F4106" s="165"/>
    </row>
    <row r="4107" spans="1:6" x14ac:dyDescent="0.2">
      <c r="A4107" s="166"/>
      <c r="B4107" s="167"/>
      <c r="C4107" s="167"/>
      <c r="D4107" s="167"/>
      <c r="E4107" s="167"/>
      <c r="F4107" s="168"/>
    </row>
    <row r="4108" spans="1:6" x14ac:dyDescent="0.2">
      <c r="A4108" s="163"/>
      <c r="B4108" s="164"/>
      <c r="C4108" s="164"/>
      <c r="D4108" s="164"/>
      <c r="E4108" s="164"/>
      <c r="F4108" s="165"/>
    </row>
    <row r="4109" spans="1:6" x14ac:dyDescent="0.2">
      <c r="A4109" s="166"/>
      <c r="B4109" s="167"/>
      <c r="C4109" s="167"/>
      <c r="D4109" s="167"/>
      <c r="E4109" s="167"/>
      <c r="F4109" s="168"/>
    </row>
    <row r="4110" spans="1:6" x14ac:dyDescent="0.2">
      <c r="A4110" s="163"/>
      <c r="B4110" s="164"/>
      <c r="C4110" s="164"/>
      <c r="D4110" s="164"/>
      <c r="E4110" s="164"/>
      <c r="F4110" s="165"/>
    </row>
    <row r="4111" spans="1:6" x14ac:dyDescent="0.2">
      <c r="A4111" s="166"/>
      <c r="B4111" s="167"/>
      <c r="C4111" s="167"/>
      <c r="D4111" s="167"/>
      <c r="E4111" s="167"/>
      <c r="F4111" s="168"/>
    </row>
    <row r="4112" spans="1:6" x14ac:dyDescent="0.2">
      <c r="A4112" s="163"/>
      <c r="B4112" s="164"/>
      <c r="C4112" s="164"/>
      <c r="D4112" s="164"/>
      <c r="E4112" s="164"/>
      <c r="F4112" s="165"/>
    </row>
    <row r="4113" spans="1:6" x14ac:dyDescent="0.2">
      <c r="A4113" s="166"/>
      <c r="B4113" s="167"/>
      <c r="C4113" s="167"/>
      <c r="D4113" s="167"/>
      <c r="E4113" s="167"/>
      <c r="F4113" s="168"/>
    </row>
    <row r="4114" spans="1:6" x14ac:dyDescent="0.2">
      <c r="A4114" s="163"/>
      <c r="B4114" s="164"/>
      <c r="C4114" s="164"/>
      <c r="D4114" s="164"/>
      <c r="E4114" s="164"/>
      <c r="F4114" s="165"/>
    </row>
    <row r="4115" spans="1:6" x14ac:dyDescent="0.2">
      <c r="A4115" s="166"/>
      <c r="B4115" s="167"/>
      <c r="C4115" s="167"/>
      <c r="D4115" s="167"/>
      <c r="E4115" s="167"/>
      <c r="F4115" s="168"/>
    </row>
    <row r="4116" spans="1:6" x14ac:dyDescent="0.2">
      <c r="A4116" s="163"/>
      <c r="B4116" s="164"/>
      <c r="C4116" s="164"/>
      <c r="D4116" s="164"/>
      <c r="E4116" s="164"/>
      <c r="F4116" s="165"/>
    </row>
    <row r="4117" spans="1:6" x14ac:dyDescent="0.2">
      <c r="A4117" s="166"/>
      <c r="B4117" s="167"/>
      <c r="C4117" s="167"/>
      <c r="D4117" s="167"/>
      <c r="E4117" s="167"/>
      <c r="F4117" s="168"/>
    </row>
    <row r="4118" spans="1:6" x14ac:dyDescent="0.2">
      <c r="A4118" s="163"/>
      <c r="B4118" s="164"/>
      <c r="C4118" s="164"/>
      <c r="D4118" s="164"/>
      <c r="E4118" s="164"/>
      <c r="F4118" s="165"/>
    </row>
    <row r="4119" spans="1:6" x14ac:dyDescent="0.2">
      <c r="A4119" s="166"/>
      <c r="B4119" s="167"/>
      <c r="C4119" s="167"/>
      <c r="D4119" s="167"/>
      <c r="E4119" s="167"/>
      <c r="F4119" s="168"/>
    </row>
    <row r="4120" spans="1:6" x14ac:dyDescent="0.2">
      <c r="A4120" s="163"/>
      <c r="B4120" s="164"/>
      <c r="C4120" s="164"/>
      <c r="D4120" s="164"/>
      <c r="E4120" s="164"/>
      <c r="F4120" s="165"/>
    </row>
    <row r="4121" spans="1:6" x14ac:dyDescent="0.2">
      <c r="A4121" s="166"/>
      <c r="B4121" s="167"/>
      <c r="C4121" s="167"/>
      <c r="D4121" s="167"/>
      <c r="E4121" s="167"/>
      <c r="F4121" s="168"/>
    </row>
    <row r="4122" spans="1:6" x14ac:dyDescent="0.2">
      <c r="A4122" s="163"/>
      <c r="B4122" s="164"/>
      <c r="C4122" s="164"/>
      <c r="D4122" s="164"/>
      <c r="E4122" s="164"/>
      <c r="F4122" s="165"/>
    </row>
    <row r="4123" spans="1:6" x14ac:dyDescent="0.2">
      <c r="A4123" s="166"/>
      <c r="B4123" s="167"/>
      <c r="C4123" s="167"/>
      <c r="D4123" s="167"/>
      <c r="E4123" s="167"/>
      <c r="F4123" s="168"/>
    </row>
    <row r="4124" spans="1:6" x14ac:dyDescent="0.2">
      <c r="A4124" s="163"/>
      <c r="B4124" s="164"/>
      <c r="C4124" s="164"/>
      <c r="D4124" s="164"/>
      <c r="E4124" s="164"/>
      <c r="F4124" s="165"/>
    </row>
    <row r="4125" spans="1:6" x14ac:dyDescent="0.2">
      <c r="A4125" s="166"/>
      <c r="B4125" s="167"/>
      <c r="C4125" s="167"/>
      <c r="D4125" s="167"/>
      <c r="E4125" s="167"/>
      <c r="F4125" s="168"/>
    </row>
    <row r="4126" spans="1:6" x14ac:dyDescent="0.2">
      <c r="A4126" s="163"/>
      <c r="B4126" s="164"/>
      <c r="C4126" s="164"/>
      <c r="D4126" s="164"/>
      <c r="E4126" s="164"/>
      <c r="F4126" s="165"/>
    </row>
    <row r="4127" spans="1:6" x14ac:dyDescent="0.2">
      <c r="A4127" s="166"/>
      <c r="B4127" s="167"/>
      <c r="C4127" s="167"/>
      <c r="D4127" s="167"/>
      <c r="E4127" s="167"/>
      <c r="F4127" s="168"/>
    </row>
    <row r="4128" spans="1:6" x14ac:dyDescent="0.2">
      <c r="A4128" s="163"/>
      <c r="B4128" s="164"/>
      <c r="C4128" s="164"/>
      <c r="D4128" s="164"/>
      <c r="E4128" s="164"/>
      <c r="F4128" s="165"/>
    </row>
    <row r="4129" spans="1:6" x14ac:dyDescent="0.2">
      <c r="A4129" s="166"/>
      <c r="B4129" s="167"/>
      <c r="C4129" s="167"/>
      <c r="D4129" s="167"/>
      <c r="E4129" s="167"/>
      <c r="F4129" s="168"/>
    </row>
    <row r="4130" spans="1:6" x14ac:dyDescent="0.2">
      <c r="A4130" s="163"/>
      <c r="B4130" s="164"/>
      <c r="C4130" s="164"/>
      <c r="D4130" s="164"/>
      <c r="E4130" s="164"/>
      <c r="F4130" s="165"/>
    </row>
    <row r="4131" spans="1:6" x14ac:dyDescent="0.2">
      <c r="A4131" s="166"/>
      <c r="B4131" s="167"/>
      <c r="C4131" s="167"/>
      <c r="D4131" s="167"/>
      <c r="E4131" s="167"/>
      <c r="F4131" s="168"/>
    </row>
    <row r="4132" spans="1:6" x14ac:dyDescent="0.2">
      <c r="A4132" s="163"/>
      <c r="B4132" s="164"/>
      <c r="C4132" s="164"/>
      <c r="D4132" s="164"/>
      <c r="E4132" s="164"/>
      <c r="F4132" s="165"/>
    </row>
    <row r="4133" spans="1:6" x14ac:dyDescent="0.2">
      <c r="A4133" s="166"/>
      <c r="B4133" s="167"/>
      <c r="C4133" s="167"/>
      <c r="D4133" s="167"/>
      <c r="E4133" s="167"/>
      <c r="F4133" s="168"/>
    </row>
    <row r="4134" spans="1:6" x14ac:dyDescent="0.2">
      <c r="A4134" s="163"/>
      <c r="B4134" s="164"/>
      <c r="C4134" s="164"/>
      <c r="D4134" s="164"/>
      <c r="E4134" s="164"/>
      <c r="F4134" s="165"/>
    </row>
    <row r="4135" spans="1:6" x14ac:dyDescent="0.2">
      <c r="A4135" s="166"/>
      <c r="B4135" s="167"/>
      <c r="C4135" s="167"/>
      <c r="D4135" s="167"/>
      <c r="E4135" s="167"/>
      <c r="F4135" s="168"/>
    </row>
    <row r="4136" spans="1:6" x14ac:dyDescent="0.2">
      <c r="A4136" s="163"/>
      <c r="B4136" s="164"/>
      <c r="C4136" s="164"/>
      <c r="D4136" s="164"/>
      <c r="E4136" s="164"/>
      <c r="F4136" s="165"/>
    </row>
    <row r="4137" spans="1:6" x14ac:dyDescent="0.2">
      <c r="A4137" s="166"/>
      <c r="B4137" s="167"/>
      <c r="C4137" s="167"/>
      <c r="D4137" s="167"/>
      <c r="E4137" s="167"/>
      <c r="F4137" s="168"/>
    </row>
    <row r="4138" spans="1:6" x14ac:dyDescent="0.2">
      <c r="A4138" s="163"/>
      <c r="B4138" s="164"/>
      <c r="C4138" s="164"/>
      <c r="D4138" s="164"/>
      <c r="E4138" s="164"/>
      <c r="F4138" s="165"/>
    </row>
    <row r="4139" spans="1:6" x14ac:dyDescent="0.2">
      <c r="A4139" s="166"/>
      <c r="B4139" s="167"/>
      <c r="C4139" s="167"/>
      <c r="D4139" s="167"/>
      <c r="E4139" s="167"/>
      <c r="F4139" s="168"/>
    </row>
    <row r="4140" spans="1:6" x14ac:dyDescent="0.2">
      <c r="A4140" s="163"/>
      <c r="B4140" s="164"/>
      <c r="C4140" s="164"/>
      <c r="D4140" s="164"/>
      <c r="E4140" s="164"/>
      <c r="F4140" s="165"/>
    </row>
    <row r="4141" spans="1:6" x14ac:dyDescent="0.2">
      <c r="A4141" s="166"/>
      <c r="B4141" s="167"/>
      <c r="C4141" s="167"/>
      <c r="D4141" s="167"/>
      <c r="E4141" s="167"/>
      <c r="F4141" s="168"/>
    </row>
    <row r="4142" spans="1:6" x14ac:dyDescent="0.2">
      <c r="A4142" s="163"/>
      <c r="B4142" s="164"/>
      <c r="C4142" s="164"/>
      <c r="D4142" s="164"/>
      <c r="E4142" s="164"/>
      <c r="F4142" s="165"/>
    </row>
    <row r="4143" spans="1:6" x14ac:dyDescent="0.2">
      <c r="A4143" s="166"/>
      <c r="B4143" s="167"/>
      <c r="C4143" s="167"/>
      <c r="D4143" s="167"/>
      <c r="E4143" s="167"/>
      <c r="F4143" s="168"/>
    </row>
    <row r="4144" spans="1:6" x14ac:dyDescent="0.2">
      <c r="A4144" s="163"/>
      <c r="B4144" s="164"/>
      <c r="C4144" s="164"/>
      <c r="D4144" s="164"/>
      <c r="E4144" s="164"/>
      <c r="F4144" s="165"/>
    </row>
    <row r="4145" spans="1:6" x14ac:dyDescent="0.2">
      <c r="A4145" s="166"/>
      <c r="B4145" s="167"/>
      <c r="C4145" s="167"/>
      <c r="D4145" s="167"/>
      <c r="E4145" s="167"/>
      <c r="F4145" s="168"/>
    </row>
    <row r="4146" spans="1:6" x14ac:dyDescent="0.2">
      <c r="A4146" s="163"/>
      <c r="B4146" s="164"/>
      <c r="C4146" s="164"/>
      <c r="D4146" s="164"/>
      <c r="E4146" s="164"/>
      <c r="F4146" s="165"/>
    </row>
    <row r="4147" spans="1:6" x14ac:dyDescent="0.2">
      <c r="A4147" s="166"/>
      <c r="B4147" s="167"/>
      <c r="C4147" s="167"/>
      <c r="D4147" s="167"/>
      <c r="E4147" s="167"/>
      <c r="F4147" s="168"/>
    </row>
    <row r="4148" spans="1:6" x14ac:dyDescent="0.2">
      <c r="A4148" s="163"/>
      <c r="B4148" s="164"/>
      <c r="C4148" s="164"/>
      <c r="D4148" s="164"/>
      <c r="E4148" s="164"/>
      <c r="F4148" s="165"/>
    </row>
    <row r="4149" spans="1:6" x14ac:dyDescent="0.2">
      <c r="A4149" s="166"/>
      <c r="B4149" s="167"/>
      <c r="C4149" s="167"/>
      <c r="D4149" s="167"/>
      <c r="E4149" s="167"/>
      <c r="F4149" s="168"/>
    </row>
    <row r="4150" spans="1:6" x14ac:dyDescent="0.2">
      <c r="A4150" s="163"/>
      <c r="B4150" s="164"/>
      <c r="C4150" s="164"/>
      <c r="D4150" s="164"/>
      <c r="E4150" s="164"/>
      <c r="F4150" s="165"/>
    </row>
    <row r="4151" spans="1:6" x14ac:dyDescent="0.2">
      <c r="A4151" s="166"/>
      <c r="B4151" s="167"/>
      <c r="C4151" s="167"/>
      <c r="D4151" s="167"/>
      <c r="E4151" s="167"/>
      <c r="F4151" s="168"/>
    </row>
    <row r="4152" spans="1:6" x14ac:dyDescent="0.2">
      <c r="A4152" s="163"/>
      <c r="B4152" s="164"/>
      <c r="C4152" s="164"/>
      <c r="D4152" s="164"/>
      <c r="E4152" s="164"/>
      <c r="F4152" s="165"/>
    </row>
    <row r="4153" spans="1:6" x14ac:dyDescent="0.2">
      <c r="A4153" s="166"/>
      <c r="B4153" s="167"/>
      <c r="C4153" s="167"/>
      <c r="D4153" s="167"/>
      <c r="E4153" s="167"/>
      <c r="F4153" s="168"/>
    </row>
    <row r="4154" spans="1:6" x14ac:dyDescent="0.2">
      <c r="A4154" s="163"/>
      <c r="B4154" s="164"/>
      <c r="C4154" s="164"/>
      <c r="D4154" s="164"/>
      <c r="E4154" s="164"/>
      <c r="F4154" s="165"/>
    </row>
    <row r="4155" spans="1:6" x14ac:dyDescent="0.2">
      <c r="A4155" s="166"/>
      <c r="B4155" s="167"/>
      <c r="C4155" s="167"/>
      <c r="D4155" s="167"/>
      <c r="E4155" s="167"/>
      <c r="F4155" s="168"/>
    </row>
    <row r="4156" spans="1:6" x14ac:dyDescent="0.2">
      <c r="A4156" s="163"/>
      <c r="B4156" s="164"/>
      <c r="C4156" s="164"/>
      <c r="D4156" s="164"/>
      <c r="E4156" s="164"/>
      <c r="F4156" s="165"/>
    </row>
    <row r="4157" spans="1:6" x14ac:dyDescent="0.2">
      <c r="A4157" s="166"/>
      <c r="B4157" s="167"/>
      <c r="C4157" s="167"/>
      <c r="D4157" s="167"/>
      <c r="E4157" s="167"/>
      <c r="F4157" s="168"/>
    </row>
    <row r="4158" spans="1:6" x14ac:dyDescent="0.2">
      <c r="A4158" s="163"/>
      <c r="B4158" s="164"/>
      <c r="C4158" s="164"/>
      <c r="D4158" s="164"/>
      <c r="E4158" s="164"/>
      <c r="F4158" s="165"/>
    </row>
    <row r="4159" spans="1:6" x14ac:dyDescent="0.2">
      <c r="A4159" s="166"/>
      <c r="B4159" s="167"/>
      <c r="C4159" s="167"/>
      <c r="D4159" s="167"/>
      <c r="E4159" s="167"/>
      <c r="F4159" s="168"/>
    </row>
    <row r="4160" spans="1:6" x14ac:dyDescent="0.2">
      <c r="A4160" s="163"/>
      <c r="B4160" s="164"/>
      <c r="C4160" s="164"/>
      <c r="D4160" s="164"/>
      <c r="E4160" s="164"/>
      <c r="F4160" s="165"/>
    </row>
    <row r="4161" spans="1:6" x14ac:dyDescent="0.2">
      <c r="A4161" s="166"/>
      <c r="B4161" s="167"/>
      <c r="C4161" s="167"/>
      <c r="D4161" s="167"/>
      <c r="E4161" s="167"/>
      <c r="F4161" s="168"/>
    </row>
    <row r="4162" spans="1:6" x14ac:dyDescent="0.2">
      <c r="A4162" s="163"/>
      <c r="B4162" s="164"/>
      <c r="C4162" s="164"/>
      <c r="D4162" s="164"/>
      <c r="E4162" s="164"/>
      <c r="F4162" s="165"/>
    </row>
    <row r="4163" spans="1:6" x14ac:dyDescent="0.2">
      <c r="A4163" s="166"/>
      <c r="B4163" s="167"/>
      <c r="C4163" s="167"/>
      <c r="D4163" s="167"/>
      <c r="E4163" s="167"/>
      <c r="F4163" s="168"/>
    </row>
    <row r="4164" spans="1:6" x14ac:dyDescent="0.2">
      <c r="A4164" s="163"/>
      <c r="B4164" s="164"/>
      <c r="C4164" s="164"/>
      <c r="D4164" s="164"/>
      <c r="E4164" s="164"/>
      <c r="F4164" s="165"/>
    </row>
    <row r="4165" spans="1:6" x14ac:dyDescent="0.2">
      <c r="A4165" s="166"/>
      <c r="B4165" s="167"/>
      <c r="C4165" s="167"/>
      <c r="D4165" s="167"/>
      <c r="E4165" s="167"/>
      <c r="F4165" s="168"/>
    </row>
    <row r="4166" spans="1:6" x14ac:dyDescent="0.2">
      <c r="A4166" s="163"/>
      <c r="B4166" s="164"/>
      <c r="C4166" s="164"/>
      <c r="D4166" s="164"/>
      <c r="E4166" s="164"/>
      <c r="F4166" s="165"/>
    </row>
    <row r="4167" spans="1:6" x14ac:dyDescent="0.2">
      <c r="A4167" s="166"/>
      <c r="B4167" s="167"/>
      <c r="C4167" s="167"/>
      <c r="D4167" s="167"/>
      <c r="E4167" s="167"/>
      <c r="F4167" s="168"/>
    </row>
    <row r="4168" spans="1:6" x14ac:dyDescent="0.2">
      <c r="A4168" s="163"/>
      <c r="B4168" s="164"/>
      <c r="C4168" s="164"/>
      <c r="D4168" s="164"/>
      <c r="E4168" s="164"/>
      <c r="F4168" s="165"/>
    </row>
    <row r="4169" spans="1:6" x14ac:dyDescent="0.2">
      <c r="A4169" s="166"/>
      <c r="B4169" s="167"/>
      <c r="C4169" s="167"/>
      <c r="D4169" s="167"/>
      <c r="E4169" s="167"/>
      <c r="F4169" s="168"/>
    </row>
    <row r="4170" spans="1:6" x14ac:dyDescent="0.2">
      <c r="A4170" s="163"/>
      <c r="B4170" s="164"/>
      <c r="C4170" s="164"/>
      <c r="D4170" s="164"/>
      <c r="E4170" s="164"/>
      <c r="F4170" s="165"/>
    </row>
    <row r="4171" spans="1:6" x14ac:dyDescent="0.2">
      <c r="A4171" s="166"/>
      <c r="B4171" s="167"/>
      <c r="C4171" s="167"/>
      <c r="D4171" s="167"/>
      <c r="E4171" s="167"/>
      <c r="F4171" s="168"/>
    </row>
    <row r="4172" spans="1:6" x14ac:dyDescent="0.2">
      <c r="A4172" s="163"/>
      <c r="B4172" s="164"/>
      <c r="C4172" s="164"/>
      <c r="D4172" s="164"/>
      <c r="E4172" s="164"/>
      <c r="F4172" s="165"/>
    </row>
    <row r="4173" spans="1:6" x14ac:dyDescent="0.2">
      <c r="A4173" s="166"/>
      <c r="B4173" s="167"/>
      <c r="C4173" s="167"/>
      <c r="D4173" s="167"/>
      <c r="E4173" s="167"/>
      <c r="F4173" s="168"/>
    </row>
    <row r="4174" spans="1:6" x14ac:dyDescent="0.2">
      <c r="A4174" s="163"/>
      <c r="B4174" s="164"/>
      <c r="C4174" s="164"/>
      <c r="D4174" s="164"/>
      <c r="E4174" s="164"/>
      <c r="F4174" s="165"/>
    </row>
    <row r="4175" spans="1:6" x14ac:dyDescent="0.2">
      <c r="A4175" s="166"/>
      <c r="B4175" s="167"/>
      <c r="C4175" s="167"/>
      <c r="D4175" s="167"/>
      <c r="E4175" s="167"/>
      <c r="F4175" s="168"/>
    </row>
    <row r="4176" spans="1:6" x14ac:dyDescent="0.2">
      <c r="A4176" s="163"/>
      <c r="B4176" s="164"/>
      <c r="C4176" s="164"/>
      <c r="D4176" s="164"/>
      <c r="E4176" s="164"/>
      <c r="F4176" s="165"/>
    </row>
    <row r="4177" spans="1:6" x14ac:dyDescent="0.2">
      <c r="A4177" s="166"/>
      <c r="B4177" s="167"/>
      <c r="C4177" s="167"/>
      <c r="D4177" s="167"/>
      <c r="E4177" s="167"/>
      <c r="F4177" s="168"/>
    </row>
    <row r="4178" spans="1:6" x14ac:dyDescent="0.2">
      <c r="A4178" s="163"/>
      <c r="B4178" s="164"/>
      <c r="C4178" s="164"/>
      <c r="D4178" s="164"/>
      <c r="E4178" s="164"/>
      <c r="F4178" s="165"/>
    </row>
    <row r="4179" spans="1:6" x14ac:dyDescent="0.2">
      <c r="A4179" s="166"/>
      <c r="B4179" s="167"/>
      <c r="C4179" s="167"/>
      <c r="D4179" s="167"/>
      <c r="E4179" s="167"/>
      <c r="F4179" s="168"/>
    </row>
    <row r="4180" spans="1:6" x14ac:dyDescent="0.2">
      <c r="A4180" s="163"/>
      <c r="B4180" s="164"/>
      <c r="C4180" s="164"/>
      <c r="D4180" s="164"/>
      <c r="E4180" s="164"/>
      <c r="F4180" s="165"/>
    </row>
    <row r="4181" spans="1:6" x14ac:dyDescent="0.2">
      <c r="A4181" s="166"/>
      <c r="B4181" s="167"/>
      <c r="C4181" s="167"/>
      <c r="D4181" s="167"/>
      <c r="E4181" s="167"/>
      <c r="F4181" s="168"/>
    </row>
    <row r="4182" spans="1:6" x14ac:dyDescent="0.2">
      <c r="A4182" s="163"/>
      <c r="B4182" s="164"/>
      <c r="C4182" s="164"/>
      <c r="D4182" s="164"/>
      <c r="E4182" s="164"/>
      <c r="F4182" s="165"/>
    </row>
    <row r="4183" spans="1:6" x14ac:dyDescent="0.2">
      <c r="A4183" s="166"/>
      <c r="B4183" s="167"/>
      <c r="C4183" s="167"/>
      <c r="D4183" s="167"/>
      <c r="E4183" s="167"/>
      <c r="F4183" s="168"/>
    </row>
    <row r="4184" spans="1:6" x14ac:dyDescent="0.2">
      <c r="A4184" s="163"/>
      <c r="B4184" s="164"/>
      <c r="C4184" s="164"/>
      <c r="D4184" s="164"/>
      <c r="E4184" s="164"/>
      <c r="F4184" s="165"/>
    </row>
    <row r="4185" spans="1:6" x14ac:dyDescent="0.2">
      <c r="A4185" s="166"/>
      <c r="B4185" s="167"/>
      <c r="C4185" s="167"/>
      <c r="D4185" s="167"/>
      <c r="E4185" s="167"/>
      <c r="F4185" s="168"/>
    </row>
    <row r="4186" spans="1:6" x14ac:dyDescent="0.2">
      <c r="A4186" s="163"/>
      <c r="B4186" s="164"/>
      <c r="C4186" s="164"/>
      <c r="D4186" s="164"/>
      <c r="E4186" s="164"/>
      <c r="F4186" s="165"/>
    </row>
    <row r="4187" spans="1:6" x14ac:dyDescent="0.2">
      <c r="A4187" s="166"/>
      <c r="B4187" s="167"/>
      <c r="C4187" s="167"/>
      <c r="D4187" s="167"/>
      <c r="E4187" s="167"/>
      <c r="F4187" s="168"/>
    </row>
    <row r="4188" spans="1:6" x14ac:dyDescent="0.2">
      <c r="A4188" s="163"/>
      <c r="B4188" s="164"/>
      <c r="C4188" s="164"/>
      <c r="D4188" s="164"/>
      <c r="E4188" s="164"/>
      <c r="F4188" s="165"/>
    </row>
    <row r="4189" spans="1:6" x14ac:dyDescent="0.2">
      <c r="A4189" s="166"/>
      <c r="B4189" s="167"/>
      <c r="C4189" s="167"/>
      <c r="D4189" s="167"/>
      <c r="E4189" s="167"/>
      <c r="F4189" s="168"/>
    </row>
    <row r="4190" spans="1:6" x14ac:dyDescent="0.2">
      <c r="A4190" s="163"/>
      <c r="B4190" s="164"/>
      <c r="C4190" s="164"/>
      <c r="D4190" s="164"/>
      <c r="E4190" s="164"/>
      <c r="F4190" s="165"/>
    </row>
    <row r="4191" spans="1:6" x14ac:dyDescent="0.2">
      <c r="A4191" s="166"/>
      <c r="B4191" s="167"/>
      <c r="C4191" s="167"/>
      <c r="D4191" s="167"/>
      <c r="E4191" s="167"/>
      <c r="F4191" s="168"/>
    </row>
    <row r="4192" spans="1:6" x14ac:dyDescent="0.2">
      <c r="A4192" s="163"/>
      <c r="B4192" s="164"/>
      <c r="C4192" s="164"/>
      <c r="D4192" s="164"/>
      <c r="E4192" s="164"/>
      <c r="F4192" s="165"/>
    </row>
    <row r="4193" spans="1:6" x14ac:dyDescent="0.2">
      <c r="A4193" s="166"/>
      <c r="B4193" s="167"/>
      <c r="C4193" s="167"/>
      <c r="D4193" s="167"/>
      <c r="E4193" s="167"/>
      <c r="F4193" s="168"/>
    </row>
    <row r="4194" spans="1:6" x14ac:dyDescent="0.2">
      <c r="A4194" s="163"/>
      <c r="B4194" s="164"/>
      <c r="C4194" s="164"/>
      <c r="D4194" s="164"/>
      <c r="E4194" s="164"/>
      <c r="F4194" s="165"/>
    </row>
    <row r="4195" spans="1:6" x14ac:dyDescent="0.2">
      <c r="A4195" s="166"/>
      <c r="B4195" s="167"/>
      <c r="C4195" s="167"/>
      <c r="D4195" s="167"/>
      <c r="E4195" s="167"/>
      <c r="F4195" s="168"/>
    </row>
    <row r="4196" spans="1:6" x14ac:dyDescent="0.2">
      <c r="A4196" s="163"/>
      <c r="B4196" s="164"/>
      <c r="C4196" s="164"/>
      <c r="D4196" s="164"/>
      <c r="E4196" s="164"/>
      <c r="F4196" s="165"/>
    </row>
    <row r="4197" spans="1:6" x14ac:dyDescent="0.2">
      <c r="A4197" s="166"/>
      <c r="B4197" s="167"/>
      <c r="C4197" s="167"/>
      <c r="D4197" s="167"/>
      <c r="E4197" s="167"/>
      <c r="F4197" s="168"/>
    </row>
    <row r="4198" spans="1:6" x14ac:dyDescent="0.2">
      <c r="A4198" s="163"/>
      <c r="B4198" s="164"/>
      <c r="C4198" s="164"/>
      <c r="D4198" s="164"/>
      <c r="E4198" s="164"/>
      <c r="F4198" s="165"/>
    </row>
    <row r="4199" spans="1:6" x14ac:dyDescent="0.2">
      <c r="A4199" s="166"/>
      <c r="B4199" s="167"/>
      <c r="C4199" s="167"/>
      <c r="D4199" s="167"/>
      <c r="E4199" s="167"/>
      <c r="F4199" s="168"/>
    </row>
    <row r="4200" spans="1:6" x14ac:dyDescent="0.2">
      <c r="A4200" s="163"/>
      <c r="B4200" s="164"/>
      <c r="C4200" s="164"/>
      <c r="D4200" s="164"/>
      <c r="E4200" s="164"/>
      <c r="F4200" s="165"/>
    </row>
    <row r="4201" spans="1:6" x14ac:dyDescent="0.2">
      <c r="A4201" s="166"/>
      <c r="B4201" s="167"/>
      <c r="C4201" s="167"/>
      <c r="D4201" s="167"/>
      <c r="E4201" s="167"/>
      <c r="F4201" s="168"/>
    </row>
    <row r="4202" spans="1:6" x14ac:dyDescent="0.2">
      <c r="A4202" s="163"/>
      <c r="B4202" s="164"/>
      <c r="C4202" s="164"/>
      <c r="D4202" s="164"/>
      <c r="E4202" s="164"/>
      <c r="F4202" s="165"/>
    </row>
    <row r="4203" spans="1:6" x14ac:dyDescent="0.2">
      <c r="A4203" s="166"/>
      <c r="B4203" s="167"/>
      <c r="C4203" s="167"/>
      <c r="D4203" s="167"/>
      <c r="E4203" s="167"/>
      <c r="F4203" s="168"/>
    </row>
    <row r="4204" spans="1:6" x14ac:dyDescent="0.2">
      <c r="A4204" s="163"/>
      <c r="B4204" s="164"/>
      <c r="C4204" s="164"/>
      <c r="D4204" s="164"/>
      <c r="E4204" s="164"/>
      <c r="F4204" s="165"/>
    </row>
    <row r="4205" spans="1:6" x14ac:dyDescent="0.2">
      <c r="A4205" s="166"/>
      <c r="B4205" s="167"/>
      <c r="C4205" s="167"/>
      <c r="D4205" s="167"/>
      <c r="E4205" s="167"/>
      <c r="F4205" s="168"/>
    </row>
    <row r="4206" spans="1:6" x14ac:dyDescent="0.2">
      <c r="A4206" s="163"/>
      <c r="B4206" s="164"/>
      <c r="C4206" s="164"/>
      <c r="D4206" s="164"/>
      <c r="E4206" s="164"/>
      <c r="F4206" s="165"/>
    </row>
    <row r="4207" spans="1:6" x14ac:dyDescent="0.2">
      <c r="A4207" s="166"/>
      <c r="B4207" s="167"/>
      <c r="C4207" s="167"/>
      <c r="D4207" s="167"/>
      <c r="E4207" s="167"/>
      <c r="F4207" s="168"/>
    </row>
    <row r="4208" spans="1:6" x14ac:dyDescent="0.2">
      <c r="A4208" s="163"/>
      <c r="B4208" s="164"/>
      <c r="C4208" s="164"/>
      <c r="D4208" s="164"/>
      <c r="E4208" s="164"/>
      <c r="F4208" s="165"/>
    </row>
    <row r="4209" spans="1:6" x14ac:dyDescent="0.2">
      <c r="A4209" s="166"/>
      <c r="B4209" s="167"/>
      <c r="C4209" s="167"/>
      <c r="D4209" s="167"/>
      <c r="E4209" s="167"/>
      <c r="F4209" s="168"/>
    </row>
    <row r="4210" spans="1:6" x14ac:dyDescent="0.2">
      <c r="A4210" s="163"/>
      <c r="B4210" s="164"/>
      <c r="C4210" s="164"/>
      <c r="D4210" s="164"/>
      <c r="E4210" s="164"/>
      <c r="F4210" s="165"/>
    </row>
    <row r="4211" spans="1:6" x14ac:dyDescent="0.2">
      <c r="A4211" s="166"/>
      <c r="B4211" s="167"/>
      <c r="C4211" s="167"/>
      <c r="D4211" s="167"/>
      <c r="E4211" s="167"/>
      <c r="F4211" s="168"/>
    </row>
    <row r="4212" spans="1:6" x14ac:dyDescent="0.2">
      <c r="A4212" s="163"/>
      <c r="B4212" s="164"/>
      <c r="C4212" s="164"/>
      <c r="D4212" s="164"/>
      <c r="E4212" s="164"/>
      <c r="F4212" s="165"/>
    </row>
    <row r="4213" spans="1:6" x14ac:dyDescent="0.2">
      <c r="A4213" s="166"/>
      <c r="B4213" s="167"/>
      <c r="C4213" s="167"/>
      <c r="D4213" s="167"/>
      <c r="E4213" s="167"/>
      <c r="F4213" s="168"/>
    </row>
    <row r="4214" spans="1:6" x14ac:dyDescent="0.2">
      <c r="A4214" s="163"/>
      <c r="B4214" s="164"/>
      <c r="C4214" s="164"/>
      <c r="D4214" s="164"/>
      <c r="E4214" s="164"/>
      <c r="F4214" s="165"/>
    </row>
    <row r="4215" spans="1:6" x14ac:dyDescent="0.2">
      <c r="A4215" s="166"/>
      <c r="B4215" s="167"/>
      <c r="C4215" s="167"/>
      <c r="D4215" s="167"/>
      <c r="E4215" s="167"/>
      <c r="F4215" s="168"/>
    </row>
    <row r="4216" spans="1:6" x14ac:dyDescent="0.2">
      <c r="A4216" s="163"/>
      <c r="B4216" s="164"/>
      <c r="C4216" s="164"/>
      <c r="D4216" s="164"/>
      <c r="E4216" s="164"/>
      <c r="F4216" s="165"/>
    </row>
    <row r="4217" spans="1:6" x14ac:dyDescent="0.2">
      <c r="A4217" s="166"/>
      <c r="B4217" s="167"/>
      <c r="C4217" s="167"/>
      <c r="D4217" s="167"/>
      <c r="E4217" s="167"/>
      <c r="F4217" s="168"/>
    </row>
    <row r="4218" spans="1:6" x14ac:dyDescent="0.2">
      <c r="A4218" s="163"/>
      <c r="B4218" s="164"/>
      <c r="C4218" s="164"/>
      <c r="D4218" s="164"/>
      <c r="E4218" s="164"/>
      <c r="F4218" s="165"/>
    </row>
    <row r="4219" spans="1:6" x14ac:dyDescent="0.2">
      <c r="A4219" s="166"/>
      <c r="B4219" s="167"/>
      <c r="C4219" s="167"/>
      <c r="D4219" s="167"/>
      <c r="E4219" s="167"/>
      <c r="F4219" s="168"/>
    </row>
    <row r="4220" spans="1:6" x14ac:dyDescent="0.2">
      <c r="A4220" s="163"/>
      <c r="B4220" s="164"/>
      <c r="C4220" s="164"/>
      <c r="D4220" s="164"/>
      <c r="E4220" s="164"/>
      <c r="F4220" s="165"/>
    </row>
    <row r="4221" spans="1:6" x14ac:dyDescent="0.2">
      <c r="A4221" s="166"/>
      <c r="B4221" s="167"/>
      <c r="C4221" s="167"/>
      <c r="D4221" s="167"/>
      <c r="E4221" s="167"/>
      <c r="F4221" s="168"/>
    </row>
    <row r="4222" spans="1:6" x14ac:dyDescent="0.2">
      <c r="A4222" s="163"/>
      <c r="B4222" s="164"/>
      <c r="C4222" s="164"/>
      <c r="D4222" s="164"/>
      <c r="E4222" s="164"/>
      <c r="F4222" s="165"/>
    </row>
    <row r="4223" spans="1:6" x14ac:dyDescent="0.2">
      <c r="A4223" s="166"/>
      <c r="B4223" s="167"/>
      <c r="C4223" s="167"/>
      <c r="D4223" s="167"/>
      <c r="E4223" s="167"/>
      <c r="F4223" s="168"/>
    </row>
    <row r="4224" spans="1:6" x14ac:dyDescent="0.2">
      <c r="A4224" s="163"/>
      <c r="B4224" s="164"/>
      <c r="C4224" s="164"/>
      <c r="D4224" s="164"/>
      <c r="E4224" s="164"/>
      <c r="F4224" s="165"/>
    </row>
    <row r="4225" spans="1:6" x14ac:dyDescent="0.2">
      <c r="A4225" s="166"/>
      <c r="B4225" s="167"/>
      <c r="C4225" s="167"/>
      <c r="D4225" s="167"/>
      <c r="E4225" s="167"/>
      <c r="F4225" s="168"/>
    </row>
    <row r="4226" spans="1:6" x14ac:dyDescent="0.2">
      <c r="A4226" s="163"/>
      <c r="B4226" s="164"/>
      <c r="C4226" s="164"/>
      <c r="D4226" s="164"/>
      <c r="E4226" s="164"/>
      <c r="F4226" s="165"/>
    </row>
    <row r="4227" spans="1:6" x14ac:dyDescent="0.2">
      <c r="A4227" s="166"/>
      <c r="B4227" s="167"/>
      <c r="C4227" s="167"/>
      <c r="D4227" s="167"/>
      <c r="E4227" s="167"/>
      <c r="F4227" s="168"/>
    </row>
    <row r="4228" spans="1:6" x14ac:dyDescent="0.2">
      <c r="A4228" s="163"/>
      <c r="B4228" s="164"/>
      <c r="C4228" s="164"/>
      <c r="D4228" s="164"/>
      <c r="E4228" s="164"/>
      <c r="F4228" s="165"/>
    </row>
    <row r="4229" spans="1:6" x14ac:dyDescent="0.2">
      <c r="A4229" s="166"/>
      <c r="B4229" s="167"/>
      <c r="C4229" s="167"/>
      <c r="D4229" s="167"/>
      <c r="E4229" s="167"/>
      <c r="F4229" s="168"/>
    </row>
    <row r="4230" spans="1:6" x14ac:dyDescent="0.2">
      <c r="A4230" s="163"/>
      <c r="B4230" s="164"/>
      <c r="C4230" s="164"/>
      <c r="D4230" s="164"/>
      <c r="E4230" s="164"/>
      <c r="F4230" s="165"/>
    </row>
    <row r="4231" spans="1:6" x14ac:dyDescent="0.2">
      <c r="A4231" s="166"/>
      <c r="B4231" s="167"/>
      <c r="C4231" s="167"/>
      <c r="D4231" s="167"/>
      <c r="E4231" s="167"/>
      <c r="F4231" s="168"/>
    </row>
    <row r="4232" spans="1:6" x14ac:dyDescent="0.2">
      <c r="A4232" s="163"/>
      <c r="B4232" s="164"/>
      <c r="C4232" s="164"/>
      <c r="D4232" s="164"/>
      <c r="E4232" s="164"/>
      <c r="F4232" s="165"/>
    </row>
    <row r="4233" spans="1:6" x14ac:dyDescent="0.2">
      <c r="A4233" s="166"/>
      <c r="B4233" s="167"/>
      <c r="C4233" s="167"/>
      <c r="D4233" s="167"/>
      <c r="E4233" s="167"/>
      <c r="F4233" s="168"/>
    </row>
    <row r="4234" spans="1:6" x14ac:dyDescent="0.2">
      <c r="A4234" s="163"/>
      <c r="B4234" s="164"/>
      <c r="C4234" s="164"/>
      <c r="D4234" s="164"/>
      <c r="E4234" s="164"/>
      <c r="F4234" s="165"/>
    </row>
    <row r="4235" spans="1:6" x14ac:dyDescent="0.2">
      <c r="A4235" s="166"/>
      <c r="B4235" s="167"/>
      <c r="C4235" s="167"/>
      <c r="D4235" s="167"/>
      <c r="E4235" s="167"/>
      <c r="F4235" s="168"/>
    </row>
    <row r="4236" spans="1:6" x14ac:dyDescent="0.2">
      <c r="A4236" s="163"/>
      <c r="B4236" s="164"/>
      <c r="C4236" s="164"/>
      <c r="D4236" s="164"/>
      <c r="E4236" s="164"/>
      <c r="F4236" s="165"/>
    </row>
    <row r="4237" spans="1:6" x14ac:dyDescent="0.2">
      <c r="A4237" s="166"/>
      <c r="B4237" s="167"/>
      <c r="C4237" s="167"/>
      <c r="D4237" s="167"/>
      <c r="E4237" s="167"/>
      <c r="F4237" s="168"/>
    </row>
    <row r="4238" spans="1:6" x14ac:dyDescent="0.2">
      <c r="A4238" s="163"/>
      <c r="B4238" s="164"/>
      <c r="C4238" s="164"/>
      <c r="D4238" s="164"/>
      <c r="E4238" s="164"/>
      <c r="F4238" s="165"/>
    </row>
    <row r="4239" spans="1:6" x14ac:dyDescent="0.2">
      <c r="A4239" s="166"/>
      <c r="B4239" s="167"/>
      <c r="C4239" s="167"/>
      <c r="D4239" s="167"/>
      <c r="E4239" s="167"/>
      <c r="F4239" s="168"/>
    </row>
    <row r="4240" spans="1:6" x14ac:dyDescent="0.2">
      <c r="A4240" s="163"/>
      <c r="B4240" s="164"/>
      <c r="C4240" s="164"/>
      <c r="D4240" s="164"/>
      <c r="E4240" s="164"/>
      <c r="F4240" s="165"/>
    </row>
    <row r="4241" spans="1:6" x14ac:dyDescent="0.2">
      <c r="A4241" s="166"/>
      <c r="B4241" s="167"/>
      <c r="C4241" s="167"/>
      <c r="D4241" s="167"/>
      <c r="E4241" s="167"/>
      <c r="F4241" s="168"/>
    </row>
    <row r="4242" spans="1:6" x14ac:dyDescent="0.2">
      <c r="A4242" s="163"/>
      <c r="B4242" s="164"/>
      <c r="C4242" s="164"/>
      <c r="D4242" s="164"/>
      <c r="E4242" s="164"/>
      <c r="F4242" s="165"/>
    </row>
    <row r="4243" spans="1:6" x14ac:dyDescent="0.2">
      <c r="A4243" s="166"/>
      <c r="B4243" s="167"/>
      <c r="C4243" s="167"/>
      <c r="D4243" s="167"/>
      <c r="E4243" s="167"/>
      <c r="F4243" s="168"/>
    </row>
    <row r="4244" spans="1:6" x14ac:dyDescent="0.2">
      <c r="A4244" s="163"/>
      <c r="B4244" s="164"/>
      <c r="C4244" s="164"/>
      <c r="D4244" s="164"/>
      <c r="E4244" s="164"/>
      <c r="F4244" s="165"/>
    </row>
    <row r="4245" spans="1:6" x14ac:dyDescent="0.2">
      <c r="A4245" s="166"/>
      <c r="B4245" s="167"/>
      <c r="C4245" s="167"/>
      <c r="D4245" s="167"/>
      <c r="E4245" s="167"/>
      <c r="F4245" s="168"/>
    </row>
    <row r="4246" spans="1:6" x14ac:dyDescent="0.2">
      <c r="A4246" s="163"/>
      <c r="B4246" s="164"/>
      <c r="C4246" s="164"/>
      <c r="D4246" s="164"/>
      <c r="E4246" s="164"/>
      <c r="F4246" s="165"/>
    </row>
    <row r="4247" spans="1:6" x14ac:dyDescent="0.2">
      <c r="A4247" s="166"/>
      <c r="B4247" s="167"/>
      <c r="C4247" s="167"/>
      <c r="D4247" s="167"/>
      <c r="E4247" s="167"/>
      <c r="F4247" s="168"/>
    </row>
    <row r="4248" spans="1:6" x14ac:dyDescent="0.2">
      <c r="A4248" s="163"/>
      <c r="B4248" s="164"/>
      <c r="C4248" s="164"/>
      <c r="D4248" s="164"/>
      <c r="E4248" s="164"/>
      <c r="F4248" s="165"/>
    </row>
    <row r="4249" spans="1:6" x14ac:dyDescent="0.2">
      <c r="A4249" s="166"/>
      <c r="B4249" s="167"/>
      <c r="C4249" s="167"/>
      <c r="D4249" s="167"/>
      <c r="E4249" s="167"/>
      <c r="F4249" s="168"/>
    </row>
    <row r="4250" spans="1:6" x14ac:dyDescent="0.2">
      <c r="A4250" s="163"/>
      <c r="B4250" s="164"/>
      <c r="C4250" s="164"/>
      <c r="D4250" s="164"/>
      <c r="E4250" s="164"/>
      <c r="F4250" s="165"/>
    </row>
    <row r="4251" spans="1:6" x14ac:dyDescent="0.2">
      <c r="A4251" s="166"/>
      <c r="B4251" s="167"/>
      <c r="C4251" s="167"/>
      <c r="D4251" s="167"/>
      <c r="E4251" s="167"/>
      <c r="F4251" s="168"/>
    </row>
    <row r="4252" spans="1:6" x14ac:dyDescent="0.2">
      <c r="A4252" s="163"/>
      <c r="B4252" s="164"/>
      <c r="C4252" s="164"/>
      <c r="D4252" s="164"/>
      <c r="E4252" s="164"/>
      <c r="F4252" s="165"/>
    </row>
    <row r="4253" spans="1:6" x14ac:dyDescent="0.2">
      <c r="A4253" s="166"/>
      <c r="B4253" s="167"/>
      <c r="C4253" s="167"/>
      <c r="D4253" s="167"/>
      <c r="E4253" s="167"/>
      <c r="F4253" s="168"/>
    </row>
    <row r="4254" spans="1:6" x14ac:dyDescent="0.2">
      <c r="A4254" s="163"/>
      <c r="B4254" s="164"/>
      <c r="C4254" s="164"/>
      <c r="D4254" s="164"/>
      <c r="E4254" s="164"/>
      <c r="F4254" s="165"/>
    </row>
    <row r="4255" spans="1:6" x14ac:dyDescent="0.2">
      <c r="A4255" s="166"/>
      <c r="B4255" s="167"/>
      <c r="C4255" s="167"/>
      <c r="D4255" s="167"/>
      <c r="E4255" s="167"/>
      <c r="F4255" s="168"/>
    </row>
    <row r="4256" spans="1:6" x14ac:dyDescent="0.2">
      <c r="A4256" s="163"/>
      <c r="B4256" s="164"/>
      <c r="C4256" s="164"/>
      <c r="D4256" s="164"/>
      <c r="E4256" s="164"/>
      <c r="F4256" s="165"/>
    </row>
    <row r="4257" spans="1:6" x14ac:dyDescent="0.2">
      <c r="A4257" s="166"/>
      <c r="B4257" s="167"/>
      <c r="C4257" s="167"/>
      <c r="D4257" s="167"/>
      <c r="E4257" s="167"/>
      <c r="F4257" s="168"/>
    </row>
    <row r="4258" spans="1:6" x14ac:dyDescent="0.2">
      <c r="A4258" s="163"/>
      <c r="B4258" s="164"/>
      <c r="C4258" s="164"/>
      <c r="D4258" s="164"/>
      <c r="E4258" s="164"/>
      <c r="F4258" s="165"/>
    </row>
    <row r="4259" spans="1:6" x14ac:dyDescent="0.2">
      <c r="A4259" s="166"/>
      <c r="B4259" s="167"/>
      <c r="C4259" s="167"/>
      <c r="D4259" s="167"/>
      <c r="E4259" s="167"/>
      <c r="F4259" s="168"/>
    </row>
    <row r="4260" spans="1:6" x14ac:dyDescent="0.2">
      <c r="A4260" s="163"/>
      <c r="B4260" s="164"/>
      <c r="C4260" s="164"/>
      <c r="D4260" s="164"/>
      <c r="E4260" s="164"/>
      <c r="F4260" s="165"/>
    </row>
    <row r="4261" spans="1:6" x14ac:dyDescent="0.2">
      <c r="A4261" s="166"/>
      <c r="B4261" s="167"/>
      <c r="C4261" s="167"/>
      <c r="D4261" s="167"/>
      <c r="E4261" s="167"/>
      <c r="F4261" s="168"/>
    </row>
    <row r="4262" spans="1:6" x14ac:dyDescent="0.2">
      <c r="A4262" s="163"/>
      <c r="B4262" s="164"/>
      <c r="C4262" s="164"/>
      <c r="D4262" s="164"/>
      <c r="E4262" s="164"/>
      <c r="F4262" s="165"/>
    </row>
    <row r="4263" spans="1:6" x14ac:dyDescent="0.2">
      <c r="A4263" s="166"/>
      <c r="B4263" s="167"/>
      <c r="C4263" s="167"/>
      <c r="D4263" s="167"/>
      <c r="E4263" s="167"/>
      <c r="F4263" s="168"/>
    </row>
    <row r="4264" spans="1:6" x14ac:dyDescent="0.2">
      <c r="A4264" s="163"/>
      <c r="B4264" s="164"/>
      <c r="C4264" s="164"/>
      <c r="D4264" s="164"/>
      <c r="E4264" s="164"/>
      <c r="F4264" s="165"/>
    </row>
    <row r="4265" spans="1:6" x14ac:dyDescent="0.2">
      <c r="A4265" s="166"/>
      <c r="B4265" s="167"/>
      <c r="C4265" s="167"/>
      <c r="D4265" s="167"/>
      <c r="E4265" s="167"/>
      <c r="F4265" s="168"/>
    </row>
    <row r="4266" spans="1:6" x14ac:dyDescent="0.2">
      <c r="A4266" s="163"/>
      <c r="B4266" s="164"/>
      <c r="C4266" s="164"/>
      <c r="D4266" s="164"/>
      <c r="E4266" s="164"/>
      <c r="F4266" s="165"/>
    </row>
    <row r="4267" spans="1:6" x14ac:dyDescent="0.2">
      <c r="A4267" s="166"/>
      <c r="B4267" s="167"/>
      <c r="C4267" s="167"/>
      <c r="D4267" s="167"/>
      <c r="E4267" s="167"/>
      <c r="F4267" s="168"/>
    </row>
    <row r="4268" spans="1:6" x14ac:dyDescent="0.2">
      <c r="A4268" s="163"/>
      <c r="B4268" s="164"/>
      <c r="C4268" s="164"/>
      <c r="D4268" s="164"/>
      <c r="E4268" s="164"/>
      <c r="F4268" s="165"/>
    </row>
    <row r="4269" spans="1:6" x14ac:dyDescent="0.2">
      <c r="A4269" s="166"/>
      <c r="B4269" s="167"/>
      <c r="C4269" s="167"/>
      <c r="D4269" s="167"/>
      <c r="E4269" s="167"/>
      <c r="F4269" s="168"/>
    </row>
    <row r="4270" spans="1:6" x14ac:dyDescent="0.2">
      <c r="A4270" s="163"/>
      <c r="B4270" s="164"/>
      <c r="C4270" s="164"/>
      <c r="D4270" s="164"/>
      <c r="E4270" s="164"/>
      <c r="F4270" s="165"/>
    </row>
    <row r="4271" spans="1:6" x14ac:dyDescent="0.2">
      <c r="A4271" s="166"/>
      <c r="B4271" s="167"/>
      <c r="C4271" s="167"/>
      <c r="D4271" s="167"/>
      <c r="E4271" s="167"/>
      <c r="F4271" s="168"/>
    </row>
    <row r="4272" spans="1:6" x14ac:dyDescent="0.2">
      <c r="A4272" s="163"/>
      <c r="B4272" s="164"/>
      <c r="C4272" s="164"/>
      <c r="D4272" s="164"/>
      <c r="E4272" s="164"/>
      <c r="F4272" s="165"/>
    </row>
    <row r="4273" spans="1:6" x14ac:dyDescent="0.2">
      <c r="A4273" s="166"/>
      <c r="B4273" s="167"/>
      <c r="C4273" s="167"/>
      <c r="D4273" s="167"/>
      <c r="E4273" s="167"/>
      <c r="F4273" s="168"/>
    </row>
    <row r="4274" spans="1:6" x14ac:dyDescent="0.2">
      <c r="A4274" s="163"/>
      <c r="B4274" s="164"/>
      <c r="C4274" s="164"/>
      <c r="D4274" s="164"/>
      <c r="E4274" s="164"/>
      <c r="F4274" s="165"/>
    </row>
    <row r="4275" spans="1:6" x14ac:dyDescent="0.2">
      <c r="A4275" s="166"/>
      <c r="B4275" s="167"/>
      <c r="C4275" s="167"/>
      <c r="D4275" s="167"/>
      <c r="E4275" s="167"/>
      <c r="F4275" s="168"/>
    </row>
    <row r="4276" spans="1:6" x14ac:dyDescent="0.2">
      <c r="A4276" s="163"/>
      <c r="B4276" s="164"/>
      <c r="C4276" s="164"/>
      <c r="D4276" s="164"/>
      <c r="E4276" s="164"/>
      <c r="F4276" s="165"/>
    </row>
    <row r="4277" spans="1:6" x14ac:dyDescent="0.2">
      <c r="A4277" s="166"/>
      <c r="B4277" s="167"/>
      <c r="C4277" s="167"/>
      <c r="D4277" s="167"/>
      <c r="E4277" s="167"/>
      <c r="F4277" s="168"/>
    </row>
    <row r="4278" spans="1:6" x14ac:dyDescent="0.2">
      <c r="A4278" s="163"/>
      <c r="B4278" s="164"/>
      <c r="C4278" s="164"/>
      <c r="D4278" s="164"/>
      <c r="E4278" s="164"/>
      <c r="F4278" s="165"/>
    </row>
    <row r="4279" spans="1:6" x14ac:dyDescent="0.2">
      <c r="A4279" s="166"/>
      <c r="B4279" s="167"/>
      <c r="C4279" s="167"/>
      <c r="D4279" s="167"/>
      <c r="E4279" s="167"/>
      <c r="F4279" s="168"/>
    </row>
    <row r="4280" spans="1:6" x14ac:dyDescent="0.2">
      <c r="A4280" s="163"/>
      <c r="B4280" s="164"/>
      <c r="C4280" s="164"/>
      <c r="D4280" s="164"/>
      <c r="E4280" s="164"/>
      <c r="F4280" s="165"/>
    </row>
    <row r="4281" spans="1:6" x14ac:dyDescent="0.2">
      <c r="A4281" s="166"/>
      <c r="B4281" s="167"/>
      <c r="C4281" s="167"/>
      <c r="D4281" s="167"/>
      <c r="E4281" s="167"/>
      <c r="F4281" s="168"/>
    </row>
    <row r="4282" spans="1:6" x14ac:dyDescent="0.2">
      <c r="A4282" s="163"/>
      <c r="B4282" s="164"/>
      <c r="C4282" s="164"/>
      <c r="D4282" s="164"/>
      <c r="E4282" s="164"/>
      <c r="F4282" s="165"/>
    </row>
    <row r="4283" spans="1:6" x14ac:dyDescent="0.2">
      <c r="A4283" s="166"/>
      <c r="B4283" s="167"/>
      <c r="C4283" s="167"/>
      <c r="D4283" s="167"/>
      <c r="E4283" s="167"/>
      <c r="F4283" s="168"/>
    </row>
    <row r="4284" spans="1:6" x14ac:dyDescent="0.2">
      <c r="A4284" s="163"/>
      <c r="B4284" s="164"/>
      <c r="C4284" s="164"/>
      <c r="D4284" s="164"/>
      <c r="E4284" s="164"/>
      <c r="F4284" s="165"/>
    </row>
    <row r="4285" spans="1:6" x14ac:dyDescent="0.2">
      <c r="A4285" s="166"/>
      <c r="B4285" s="167"/>
      <c r="C4285" s="167"/>
      <c r="D4285" s="167"/>
      <c r="E4285" s="167"/>
      <c r="F4285" s="168"/>
    </row>
    <row r="4286" spans="1:6" x14ac:dyDescent="0.2">
      <c r="A4286" s="163"/>
      <c r="B4286" s="164"/>
      <c r="C4286" s="164"/>
      <c r="D4286" s="164"/>
      <c r="E4286" s="164"/>
      <c r="F4286" s="165"/>
    </row>
    <row r="4287" spans="1:6" x14ac:dyDescent="0.2">
      <c r="A4287" s="166"/>
      <c r="B4287" s="167"/>
      <c r="C4287" s="167"/>
      <c r="D4287" s="167"/>
      <c r="E4287" s="167"/>
      <c r="F4287" s="168"/>
    </row>
    <row r="4288" spans="1:6" x14ac:dyDescent="0.2">
      <c r="A4288" s="163"/>
      <c r="B4288" s="164"/>
      <c r="C4288" s="164"/>
      <c r="D4288" s="164"/>
      <c r="E4288" s="164"/>
      <c r="F4288" s="165"/>
    </row>
    <row r="4289" spans="1:6" x14ac:dyDescent="0.2">
      <c r="A4289" s="166"/>
      <c r="B4289" s="167"/>
      <c r="C4289" s="167"/>
      <c r="D4289" s="167"/>
      <c r="E4289" s="167"/>
      <c r="F4289" s="168"/>
    </row>
    <row r="4290" spans="1:6" x14ac:dyDescent="0.2">
      <c r="A4290" s="163"/>
      <c r="B4290" s="164"/>
      <c r="C4290" s="164"/>
      <c r="D4290" s="164"/>
      <c r="E4290" s="164"/>
      <c r="F4290" s="165"/>
    </row>
    <row r="4291" spans="1:6" x14ac:dyDescent="0.2">
      <c r="A4291" s="166"/>
      <c r="B4291" s="167"/>
      <c r="C4291" s="167"/>
      <c r="D4291" s="167"/>
      <c r="E4291" s="167"/>
      <c r="F4291" s="168"/>
    </row>
    <row r="4292" spans="1:6" x14ac:dyDescent="0.2">
      <c r="A4292" s="163"/>
      <c r="B4292" s="164"/>
      <c r="C4292" s="164"/>
      <c r="D4292" s="164"/>
      <c r="E4292" s="164"/>
      <c r="F4292" s="165"/>
    </row>
    <row r="4293" spans="1:6" x14ac:dyDescent="0.2">
      <c r="A4293" s="166"/>
      <c r="B4293" s="167"/>
      <c r="C4293" s="167"/>
      <c r="D4293" s="167"/>
      <c r="E4293" s="167"/>
      <c r="F4293" s="168"/>
    </row>
    <row r="4294" spans="1:6" x14ac:dyDescent="0.2">
      <c r="A4294" s="163"/>
      <c r="B4294" s="164"/>
      <c r="C4294" s="164"/>
      <c r="D4294" s="164"/>
      <c r="E4294" s="164"/>
      <c r="F4294" s="165"/>
    </row>
    <row r="4295" spans="1:6" x14ac:dyDescent="0.2">
      <c r="A4295" s="166"/>
      <c r="B4295" s="167"/>
      <c r="C4295" s="167"/>
      <c r="D4295" s="167"/>
      <c r="E4295" s="167"/>
      <c r="F4295" s="168"/>
    </row>
    <row r="4296" spans="1:6" x14ac:dyDescent="0.2">
      <c r="A4296" s="163"/>
      <c r="B4296" s="164"/>
      <c r="C4296" s="164"/>
      <c r="D4296" s="164"/>
      <c r="E4296" s="164"/>
      <c r="F4296" s="165"/>
    </row>
    <row r="4297" spans="1:6" x14ac:dyDescent="0.2">
      <c r="A4297" s="166"/>
      <c r="B4297" s="167"/>
      <c r="C4297" s="167"/>
      <c r="D4297" s="167"/>
      <c r="E4297" s="167"/>
      <c r="F4297" s="168"/>
    </row>
    <row r="4298" spans="1:6" x14ac:dyDescent="0.2">
      <c r="A4298" s="163"/>
      <c r="B4298" s="164"/>
      <c r="C4298" s="164"/>
      <c r="D4298" s="164"/>
      <c r="E4298" s="164"/>
      <c r="F4298" s="165"/>
    </row>
    <row r="4299" spans="1:6" x14ac:dyDescent="0.2">
      <c r="A4299" s="166"/>
      <c r="B4299" s="167"/>
      <c r="C4299" s="167"/>
      <c r="D4299" s="167"/>
      <c r="E4299" s="167"/>
      <c r="F4299" s="168"/>
    </row>
    <row r="4300" spans="1:6" x14ac:dyDescent="0.2">
      <c r="A4300" s="163"/>
      <c r="B4300" s="164"/>
      <c r="C4300" s="164"/>
      <c r="D4300" s="164"/>
      <c r="E4300" s="164"/>
      <c r="F4300" s="165"/>
    </row>
    <row r="4301" spans="1:6" x14ac:dyDescent="0.2">
      <c r="A4301" s="166"/>
      <c r="B4301" s="167"/>
      <c r="C4301" s="167"/>
      <c r="D4301" s="167"/>
      <c r="E4301" s="167"/>
      <c r="F4301" s="168"/>
    </row>
    <row r="4302" spans="1:6" x14ac:dyDescent="0.2">
      <c r="A4302" s="163"/>
      <c r="B4302" s="164"/>
      <c r="C4302" s="164"/>
      <c r="D4302" s="164"/>
      <c r="E4302" s="164"/>
      <c r="F4302" s="165"/>
    </row>
    <row r="4303" spans="1:6" x14ac:dyDescent="0.2">
      <c r="A4303" s="166"/>
      <c r="B4303" s="167"/>
      <c r="C4303" s="167"/>
      <c r="D4303" s="167"/>
      <c r="E4303" s="167"/>
      <c r="F4303" s="168"/>
    </row>
    <row r="4304" spans="1:6" x14ac:dyDescent="0.2">
      <c r="A4304" s="163"/>
      <c r="B4304" s="164"/>
      <c r="C4304" s="164"/>
      <c r="D4304" s="164"/>
      <c r="E4304" s="164"/>
      <c r="F4304" s="165"/>
    </row>
    <row r="4305" spans="1:6" x14ac:dyDescent="0.2">
      <c r="A4305" s="166"/>
      <c r="B4305" s="167"/>
      <c r="C4305" s="167"/>
      <c r="D4305" s="167"/>
      <c r="E4305" s="167"/>
      <c r="F4305" s="168"/>
    </row>
    <row r="4306" spans="1:6" x14ac:dyDescent="0.2">
      <c r="A4306" s="163"/>
      <c r="B4306" s="164"/>
      <c r="C4306" s="164"/>
      <c r="D4306" s="164"/>
      <c r="E4306" s="164"/>
      <c r="F4306" s="165"/>
    </row>
    <row r="4307" spans="1:6" x14ac:dyDescent="0.2">
      <c r="A4307" s="166"/>
      <c r="B4307" s="167"/>
      <c r="C4307" s="167"/>
      <c r="D4307" s="167"/>
      <c r="E4307" s="167"/>
      <c r="F4307" s="168"/>
    </row>
    <row r="4308" spans="1:6" x14ac:dyDescent="0.2">
      <c r="A4308" s="163"/>
      <c r="B4308" s="164"/>
      <c r="C4308" s="164"/>
      <c r="D4308" s="164"/>
      <c r="E4308" s="164"/>
      <c r="F4308" s="165"/>
    </row>
    <row r="4309" spans="1:6" x14ac:dyDescent="0.2">
      <c r="A4309" s="166"/>
      <c r="B4309" s="167"/>
      <c r="C4309" s="167"/>
      <c r="D4309" s="167"/>
      <c r="E4309" s="167"/>
      <c r="F4309" s="168"/>
    </row>
    <row r="4310" spans="1:6" x14ac:dyDescent="0.2">
      <c r="A4310" s="163"/>
      <c r="B4310" s="164"/>
      <c r="C4310" s="164"/>
      <c r="D4310" s="164"/>
      <c r="E4310" s="164"/>
      <c r="F4310" s="165"/>
    </row>
    <row r="4311" spans="1:6" x14ac:dyDescent="0.2">
      <c r="A4311" s="166"/>
      <c r="B4311" s="167"/>
      <c r="C4311" s="167"/>
      <c r="D4311" s="167"/>
      <c r="E4311" s="167"/>
      <c r="F4311" s="168"/>
    </row>
    <row r="4312" spans="1:6" x14ac:dyDescent="0.2">
      <c r="A4312" s="163"/>
      <c r="B4312" s="164"/>
      <c r="C4312" s="164"/>
      <c r="D4312" s="164"/>
      <c r="E4312" s="164"/>
      <c r="F4312" s="165"/>
    </row>
    <row r="4313" spans="1:6" x14ac:dyDescent="0.2">
      <c r="A4313" s="166"/>
      <c r="B4313" s="167"/>
      <c r="C4313" s="167"/>
      <c r="D4313" s="167"/>
      <c r="E4313" s="167"/>
      <c r="F4313" s="168"/>
    </row>
    <row r="4314" spans="1:6" x14ac:dyDescent="0.2">
      <c r="A4314" s="163"/>
      <c r="B4314" s="164"/>
      <c r="C4314" s="164"/>
      <c r="D4314" s="164"/>
      <c r="E4314" s="164"/>
      <c r="F4314" s="165"/>
    </row>
    <row r="4315" spans="1:6" x14ac:dyDescent="0.2">
      <c r="A4315" s="166"/>
      <c r="B4315" s="167"/>
      <c r="C4315" s="167"/>
      <c r="D4315" s="167"/>
      <c r="E4315" s="167"/>
      <c r="F4315" s="168"/>
    </row>
    <row r="4316" spans="1:6" x14ac:dyDescent="0.2">
      <c r="A4316" s="163"/>
      <c r="B4316" s="164"/>
      <c r="C4316" s="164"/>
      <c r="D4316" s="164"/>
      <c r="E4316" s="164"/>
      <c r="F4316" s="165"/>
    </row>
    <row r="4317" spans="1:6" x14ac:dyDescent="0.2">
      <c r="A4317" s="166"/>
      <c r="B4317" s="167"/>
      <c r="C4317" s="167"/>
      <c r="D4317" s="167"/>
      <c r="E4317" s="167"/>
      <c r="F4317" s="168"/>
    </row>
    <row r="4318" spans="1:6" x14ac:dyDescent="0.2">
      <c r="A4318" s="163"/>
      <c r="B4318" s="164"/>
      <c r="C4318" s="164"/>
      <c r="D4318" s="164"/>
      <c r="E4318" s="164"/>
      <c r="F4318" s="165"/>
    </row>
    <row r="4319" spans="1:6" x14ac:dyDescent="0.2">
      <c r="A4319" s="166"/>
      <c r="B4319" s="167"/>
      <c r="C4319" s="167"/>
      <c r="D4319" s="167"/>
      <c r="E4319" s="167"/>
      <c r="F4319" s="168"/>
    </row>
    <row r="4320" spans="1:6" x14ac:dyDescent="0.2">
      <c r="A4320" s="163"/>
      <c r="B4320" s="164"/>
      <c r="C4320" s="164"/>
      <c r="D4320" s="164"/>
      <c r="E4320" s="164"/>
      <c r="F4320" s="165"/>
    </row>
    <row r="4321" spans="1:6" x14ac:dyDescent="0.2">
      <c r="A4321" s="166"/>
      <c r="B4321" s="167"/>
      <c r="C4321" s="167"/>
      <c r="D4321" s="167"/>
      <c r="E4321" s="167"/>
      <c r="F4321" s="168"/>
    </row>
    <row r="4322" spans="1:6" x14ac:dyDescent="0.2">
      <c r="A4322" s="163"/>
      <c r="B4322" s="164"/>
      <c r="C4322" s="164"/>
      <c r="D4322" s="164"/>
      <c r="E4322" s="164"/>
      <c r="F4322" s="165"/>
    </row>
    <row r="4323" spans="1:6" x14ac:dyDescent="0.2">
      <c r="A4323" s="166"/>
      <c r="B4323" s="167"/>
      <c r="C4323" s="167"/>
      <c r="D4323" s="167"/>
      <c r="E4323" s="167"/>
      <c r="F4323" s="168"/>
    </row>
    <row r="4324" spans="1:6" x14ac:dyDescent="0.2">
      <c r="A4324" s="163"/>
      <c r="B4324" s="164"/>
      <c r="C4324" s="164"/>
      <c r="D4324" s="164"/>
      <c r="E4324" s="164"/>
      <c r="F4324" s="165"/>
    </row>
    <row r="4325" spans="1:6" x14ac:dyDescent="0.2">
      <c r="A4325" s="166"/>
      <c r="B4325" s="167"/>
      <c r="C4325" s="167"/>
      <c r="D4325" s="167"/>
      <c r="E4325" s="167"/>
      <c r="F4325" s="168"/>
    </row>
    <row r="4326" spans="1:6" x14ac:dyDescent="0.2">
      <c r="A4326" s="163"/>
      <c r="B4326" s="164"/>
      <c r="C4326" s="164"/>
      <c r="D4326" s="164"/>
      <c r="E4326" s="164"/>
      <c r="F4326" s="165"/>
    </row>
    <row r="4327" spans="1:6" x14ac:dyDescent="0.2">
      <c r="A4327" s="166"/>
      <c r="B4327" s="167"/>
      <c r="C4327" s="167"/>
      <c r="D4327" s="167"/>
      <c r="E4327" s="167"/>
      <c r="F4327" s="168"/>
    </row>
    <row r="4328" spans="1:6" x14ac:dyDescent="0.2">
      <c r="A4328" s="163"/>
      <c r="B4328" s="164"/>
      <c r="C4328" s="164"/>
      <c r="D4328" s="164"/>
      <c r="E4328" s="164"/>
      <c r="F4328" s="165"/>
    </row>
    <row r="4329" spans="1:6" x14ac:dyDescent="0.2">
      <c r="A4329" s="166"/>
      <c r="B4329" s="167"/>
      <c r="C4329" s="167"/>
      <c r="D4329" s="167"/>
      <c r="E4329" s="167"/>
      <c r="F4329" s="168"/>
    </row>
    <row r="4330" spans="1:6" x14ac:dyDescent="0.2">
      <c r="A4330" s="163"/>
      <c r="B4330" s="164"/>
      <c r="C4330" s="164"/>
      <c r="D4330" s="164"/>
      <c r="E4330" s="164"/>
      <c r="F4330" s="165"/>
    </row>
    <row r="4331" spans="1:6" x14ac:dyDescent="0.2">
      <c r="A4331" s="166"/>
      <c r="B4331" s="167"/>
      <c r="C4331" s="167"/>
      <c r="D4331" s="167"/>
      <c r="E4331" s="167"/>
      <c r="F4331" s="168"/>
    </row>
    <row r="4332" spans="1:6" x14ac:dyDescent="0.2">
      <c r="A4332" s="163"/>
      <c r="B4332" s="164"/>
      <c r="C4332" s="164"/>
      <c r="D4332" s="164"/>
      <c r="E4332" s="164"/>
      <c r="F4332" s="165"/>
    </row>
    <row r="4333" spans="1:6" x14ac:dyDescent="0.2">
      <c r="A4333" s="166"/>
      <c r="B4333" s="167"/>
      <c r="C4333" s="167"/>
      <c r="D4333" s="167"/>
      <c r="E4333" s="167"/>
      <c r="F4333" s="168"/>
    </row>
    <row r="4334" spans="1:6" x14ac:dyDescent="0.2">
      <c r="A4334" s="163"/>
      <c r="B4334" s="164"/>
      <c r="C4334" s="164"/>
      <c r="D4334" s="164"/>
      <c r="E4334" s="164"/>
      <c r="F4334" s="165"/>
    </row>
    <row r="4335" spans="1:6" x14ac:dyDescent="0.2">
      <c r="A4335" s="166"/>
      <c r="B4335" s="167"/>
      <c r="C4335" s="167"/>
      <c r="D4335" s="167"/>
      <c r="E4335" s="167"/>
      <c r="F4335" s="168"/>
    </row>
    <row r="4336" spans="1:6" x14ac:dyDescent="0.2">
      <c r="A4336" s="163"/>
      <c r="B4336" s="164"/>
      <c r="C4336" s="164"/>
      <c r="D4336" s="164"/>
      <c r="E4336" s="164"/>
      <c r="F4336" s="165"/>
    </row>
    <row r="4337" spans="1:6" x14ac:dyDescent="0.2">
      <c r="A4337" s="166"/>
      <c r="B4337" s="167"/>
      <c r="C4337" s="167"/>
      <c r="D4337" s="167"/>
      <c r="E4337" s="167"/>
      <c r="F4337" s="168"/>
    </row>
    <row r="4338" spans="1:6" x14ac:dyDescent="0.2">
      <c r="A4338" s="163"/>
      <c r="B4338" s="164"/>
      <c r="C4338" s="164"/>
      <c r="D4338" s="164"/>
      <c r="E4338" s="164"/>
      <c r="F4338" s="165"/>
    </row>
    <row r="4339" spans="1:6" x14ac:dyDescent="0.2">
      <c r="A4339" s="166"/>
      <c r="B4339" s="167"/>
      <c r="C4339" s="167"/>
      <c r="D4339" s="167"/>
      <c r="E4339" s="167"/>
      <c r="F4339" s="168"/>
    </row>
    <row r="4340" spans="1:6" x14ac:dyDescent="0.2">
      <c r="A4340" s="163"/>
      <c r="B4340" s="164"/>
      <c r="C4340" s="164"/>
      <c r="D4340" s="164"/>
      <c r="E4340" s="164"/>
      <c r="F4340" s="165"/>
    </row>
    <row r="4341" spans="1:6" x14ac:dyDescent="0.2">
      <c r="A4341" s="166"/>
      <c r="B4341" s="167"/>
      <c r="C4341" s="167"/>
      <c r="D4341" s="167"/>
      <c r="E4341" s="167"/>
      <c r="F4341" s="168"/>
    </row>
    <row r="4342" spans="1:6" x14ac:dyDescent="0.2">
      <c r="A4342" s="163"/>
      <c r="B4342" s="164"/>
      <c r="C4342" s="164"/>
      <c r="D4342" s="164"/>
      <c r="E4342" s="164"/>
      <c r="F4342" s="165"/>
    </row>
    <row r="4343" spans="1:6" x14ac:dyDescent="0.2">
      <c r="A4343" s="166"/>
      <c r="B4343" s="167"/>
      <c r="C4343" s="167"/>
      <c r="D4343" s="167"/>
      <c r="E4343" s="167"/>
      <c r="F4343" s="168"/>
    </row>
    <row r="4344" spans="1:6" x14ac:dyDescent="0.2">
      <c r="A4344" s="163"/>
      <c r="B4344" s="164"/>
      <c r="C4344" s="164"/>
      <c r="D4344" s="164"/>
      <c r="E4344" s="164"/>
      <c r="F4344" s="165"/>
    </row>
    <row r="4345" spans="1:6" x14ac:dyDescent="0.2">
      <c r="A4345" s="166"/>
      <c r="B4345" s="167"/>
      <c r="C4345" s="167"/>
      <c r="D4345" s="167"/>
      <c r="E4345" s="167"/>
      <c r="F4345" s="168"/>
    </row>
    <row r="4346" spans="1:6" x14ac:dyDescent="0.2">
      <c r="A4346" s="163"/>
      <c r="B4346" s="164"/>
      <c r="C4346" s="164"/>
      <c r="D4346" s="164"/>
      <c r="E4346" s="164"/>
      <c r="F4346" s="165"/>
    </row>
    <row r="4347" spans="1:6" x14ac:dyDescent="0.2">
      <c r="A4347" s="166"/>
      <c r="B4347" s="167"/>
      <c r="C4347" s="167"/>
      <c r="D4347" s="167"/>
      <c r="E4347" s="167"/>
      <c r="F4347" s="168"/>
    </row>
    <row r="4348" spans="1:6" x14ac:dyDescent="0.2">
      <c r="A4348" s="163"/>
      <c r="B4348" s="164"/>
      <c r="C4348" s="164"/>
      <c r="D4348" s="164"/>
      <c r="E4348" s="164"/>
      <c r="F4348" s="165"/>
    </row>
    <row r="4349" spans="1:6" x14ac:dyDescent="0.2">
      <c r="A4349" s="166"/>
      <c r="B4349" s="167"/>
      <c r="C4349" s="167"/>
      <c r="D4349" s="167"/>
      <c r="E4349" s="167"/>
      <c r="F4349" s="168"/>
    </row>
    <row r="4350" spans="1:6" x14ac:dyDescent="0.2">
      <c r="A4350" s="163"/>
      <c r="B4350" s="164"/>
      <c r="C4350" s="164"/>
      <c r="D4350" s="164"/>
      <c r="E4350" s="164"/>
      <c r="F4350" s="165"/>
    </row>
    <row r="4351" spans="1:6" x14ac:dyDescent="0.2">
      <c r="A4351" s="166"/>
      <c r="B4351" s="167"/>
      <c r="C4351" s="167"/>
      <c r="D4351" s="167"/>
      <c r="E4351" s="167"/>
      <c r="F4351" s="168"/>
    </row>
    <row r="4352" spans="1:6" x14ac:dyDescent="0.2">
      <c r="A4352" s="163"/>
      <c r="B4352" s="164"/>
      <c r="C4352" s="164"/>
      <c r="D4352" s="164"/>
      <c r="E4352" s="164"/>
      <c r="F4352" s="165"/>
    </row>
    <row r="4353" spans="1:6" x14ac:dyDescent="0.2">
      <c r="A4353" s="166"/>
      <c r="B4353" s="167"/>
      <c r="C4353" s="167"/>
      <c r="D4353" s="167"/>
      <c r="E4353" s="167"/>
      <c r="F4353" s="168"/>
    </row>
    <row r="4354" spans="1:6" x14ac:dyDescent="0.2">
      <c r="A4354" s="163"/>
      <c r="B4354" s="164"/>
      <c r="C4354" s="164"/>
      <c r="D4354" s="164"/>
      <c r="E4354" s="164"/>
      <c r="F4354" s="165"/>
    </row>
    <row r="4355" spans="1:6" x14ac:dyDescent="0.2">
      <c r="A4355" s="166"/>
      <c r="B4355" s="167"/>
      <c r="C4355" s="167"/>
      <c r="D4355" s="167"/>
      <c r="E4355" s="167"/>
      <c r="F4355" s="168"/>
    </row>
    <row r="4356" spans="1:6" x14ac:dyDescent="0.2">
      <c r="A4356" s="163"/>
      <c r="B4356" s="164"/>
      <c r="C4356" s="164"/>
      <c r="D4356" s="164"/>
      <c r="E4356" s="164"/>
      <c r="F4356" s="165"/>
    </row>
    <row r="4357" spans="1:6" x14ac:dyDescent="0.2">
      <c r="A4357" s="166"/>
      <c r="B4357" s="167"/>
      <c r="C4357" s="167"/>
      <c r="D4357" s="167"/>
      <c r="E4357" s="167"/>
      <c r="F4357" s="168"/>
    </row>
    <row r="4358" spans="1:6" x14ac:dyDescent="0.2">
      <c r="A4358" s="163"/>
      <c r="B4358" s="164"/>
      <c r="C4358" s="164"/>
      <c r="D4358" s="164"/>
      <c r="E4358" s="164"/>
      <c r="F4358" s="165"/>
    </row>
    <row r="4359" spans="1:6" x14ac:dyDescent="0.2">
      <c r="A4359" s="166"/>
      <c r="B4359" s="167"/>
      <c r="C4359" s="167"/>
      <c r="D4359" s="167"/>
      <c r="E4359" s="167"/>
      <c r="F4359" s="168"/>
    </row>
    <row r="4360" spans="1:6" x14ac:dyDescent="0.2">
      <c r="A4360" s="163"/>
      <c r="B4360" s="164"/>
      <c r="C4360" s="164"/>
      <c r="D4360" s="164"/>
      <c r="E4360" s="164"/>
      <c r="F4360" s="165"/>
    </row>
    <row r="4361" spans="1:6" x14ac:dyDescent="0.2">
      <c r="A4361" s="166"/>
      <c r="B4361" s="167"/>
      <c r="C4361" s="167"/>
      <c r="D4361" s="167"/>
      <c r="E4361" s="167"/>
      <c r="F4361" s="168"/>
    </row>
    <row r="4362" spans="1:6" x14ac:dyDescent="0.2">
      <c r="A4362" s="163"/>
      <c r="B4362" s="164"/>
      <c r="C4362" s="164"/>
      <c r="D4362" s="164"/>
      <c r="E4362" s="164"/>
      <c r="F4362" s="165"/>
    </row>
    <row r="4363" spans="1:6" x14ac:dyDescent="0.2">
      <c r="A4363" s="166"/>
      <c r="B4363" s="167"/>
      <c r="C4363" s="167"/>
      <c r="D4363" s="167"/>
      <c r="E4363" s="167"/>
      <c r="F4363" s="168"/>
    </row>
    <row r="4364" spans="1:6" x14ac:dyDescent="0.2">
      <c r="A4364" s="163"/>
      <c r="B4364" s="164"/>
      <c r="C4364" s="164"/>
      <c r="D4364" s="164"/>
      <c r="E4364" s="164"/>
      <c r="F4364" s="165"/>
    </row>
    <row r="4365" spans="1:6" x14ac:dyDescent="0.2">
      <c r="A4365" s="166"/>
      <c r="B4365" s="167"/>
      <c r="C4365" s="167"/>
      <c r="D4365" s="167"/>
      <c r="E4365" s="167"/>
      <c r="F4365" s="168"/>
    </row>
    <row r="4366" spans="1:6" x14ac:dyDescent="0.2">
      <c r="A4366" s="163"/>
      <c r="B4366" s="164"/>
      <c r="C4366" s="164"/>
      <c r="D4366" s="164"/>
      <c r="E4366" s="164"/>
      <c r="F4366" s="165"/>
    </row>
    <row r="4367" spans="1:6" x14ac:dyDescent="0.2">
      <c r="A4367" s="166"/>
      <c r="B4367" s="167"/>
      <c r="C4367" s="167"/>
      <c r="D4367" s="167"/>
      <c r="E4367" s="167"/>
      <c r="F4367" s="168"/>
    </row>
    <row r="4368" spans="1:6" x14ac:dyDescent="0.2">
      <c r="A4368" s="163"/>
      <c r="B4368" s="164"/>
      <c r="C4368" s="164"/>
      <c r="D4368" s="164"/>
      <c r="E4368" s="164"/>
      <c r="F4368" s="165"/>
    </row>
    <row r="4369" spans="1:6" x14ac:dyDescent="0.2">
      <c r="A4369" s="166"/>
      <c r="B4369" s="167"/>
      <c r="C4369" s="167"/>
      <c r="D4369" s="167"/>
      <c r="E4369" s="167"/>
      <c r="F4369" s="168"/>
    </row>
    <row r="4370" spans="1:6" x14ac:dyDescent="0.2">
      <c r="A4370" s="163"/>
      <c r="B4370" s="164"/>
      <c r="C4370" s="164"/>
      <c r="D4370" s="164"/>
      <c r="E4370" s="164"/>
      <c r="F4370" s="165"/>
    </row>
    <row r="4371" spans="1:6" x14ac:dyDescent="0.2">
      <c r="A4371" s="166"/>
      <c r="B4371" s="167"/>
      <c r="C4371" s="167"/>
      <c r="D4371" s="167"/>
      <c r="E4371" s="167"/>
      <c r="F4371" s="168"/>
    </row>
    <row r="4372" spans="1:6" x14ac:dyDescent="0.2">
      <c r="A4372" s="163"/>
      <c r="B4372" s="164"/>
      <c r="C4372" s="164"/>
      <c r="D4372" s="164"/>
      <c r="E4372" s="164"/>
      <c r="F4372" s="165"/>
    </row>
    <row r="4373" spans="1:6" x14ac:dyDescent="0.2">
      <c r="A4373" s="166"/>
      <c r="B4373" s="167"/>
      <c r="C4373" s="167"/>
      <c r="D4373" s="167"/>
      <c r="E4373" s="167"/>
      <c r="F4373" s="168"/>
    </row>
    <row r="4374" spans="1:6" x14ac:dyDescent="0.2">
      <c r="A4374" s="163"/>
      <c r="B4374" s="164"/>
      <c r="C4374" s="164"/>
      <c r="D4374" s="164"/>
      <c r="E4374" s="164"/>
      <c r="F4374" s="165"/>
    </row>
    <row r="4375" spans="1:6" x14ac:dyDescent="0.2">
      <c r="A4375" s="166"/>
      <c r="B4375" s="167"/>
      <c r="C4375" s="167"/>
      <c r="D4375" s="167"/>
      <c r="E4375" s="167"/>
      <c r="F4375" s="168"/>
    </row>
    <row r="4376" spans="1:6" x14ac:dyDescent="0.2">
      <c r="A4376" s="163"/>
      <c r="B4376" s="164"/>
      <c r="C4376" s="164"/>
      <c r="D4376" s="164"/>
      <c r="E4376" s="164"/>
      <c r="F4376" s="165"/>
    </row>
    <row r="4377" spans="1:6" x14ac:dyDescent="0.2">
      <c r="A4377" s="166"/>
      <c r="B4377" s="167"/>
      <c r="C4377" s="167"/>
      <c r="D4377" s="167"/>
      <c r="E4377" s="167"/>
      <c r="F4377" s="168"/>
    </row>
    <row r="4378" spans="1:6" x14ac:dyDescent="0.2">
      <c r="A4378" s="163"/>
      <c r="B4378" s="164"/>
      <c r="C4378" s="164"/>
      <c r="D4378" s="164"/>
      <c r="E4378" s="164"/>
      <c r="F4378" s="165"/>
    </row>
    <row r="4379" spans="1:6" x14ac:dyDescent="0.2">
      <c r="A4379" s="166"/>
      <c r="B4379" s="167"/>
      <c r="C4379" s="167"/>
      <c r="D4379" s="167"/>
      <c r="E4379" s="167"/>
      <c r="F4379" s="168"/>
    </row>
    <row r="4380" spans="1:6" x14ac:dyDescent="0.2">
      <c r="A4380" s="163"/>
      <c r="B4380" s="164"/>
      <c r="C4380" s="164"/>
      <c r="D4380" s="164"/>
      <c r="E4380" s="164"/>
      <c r="F4380" s="165"/>
    </row>
    <row r="4381" spans="1:6" x14ac:dyDescent="0.2">
      <c r="A4381" s="166"/>
      <c r="B4381" s="167"/>
      <c r="C4381" s="167"/>
      <c r="D4381" s="167"/>
      <c r="E4381" s="167"/>
      <c r="F4381" s="168"/>
    </row>
    <row r="4382" spans="1:6" x14ac:dyDescent="0.2">
      <c r="A4382" s="163"/>
      <c r="B4382" s="164"/>
      <c r="C4382" s="164"/>
      <c r="D4382" s="164"/>
      <c r="E4382" s="164"/>
      <c r="F4382" s="165"/>
    </row>
    <row r="4383" spans="1:6" x14ac:dyDescent="0.2">
      <c r="A4383" s="166"/>
      <c r="B4383" s="167"/>
      <c r="C4383" s="167"/>
      <c r="D4383" s="167"/>
      <c r="E4383" s="167"/>
      <c r="F4383" s="168"/>
    </row>
    <row r="4384" spans="1:6" x14ac:dyDescent="0.2">
      <c r="A4384" s="163"/>
      <c r="B4384" s="164"/>
      <c r="C4384" s="164"/>
      <c r="D4384" s="164"/>
      <c r="E4384" s="164"/>
      <c r="F4384" s="165"/>
    </row>
    <row r="4385" spans="1:6" x14ac:dyDescent="0.2">
      <c r="A4385" s="166"/>
      <c r="B4385" s="167"/>
      <c r="C4385" s="167"/>
      <c r="D4385" s="167"/>
      <c r="E4385" s="167"/>
      <c r="F4385" s="168"/>
    </row>
    <row r="4386" spans="1:6" x14ac:dyDescent="0.2">
      <c r="A4386" s="163"/>
      <c r="B4386" s="164"/>
      <c r="C4386" s="164"/>
      <c r="D4386" s="164"/>
      <c r="E4386" s="164"/>
      <c r="F4386" s="165"/>
    </row>
    <row r="4387" spans="1:6" x14ac:dyDescent="0.2">
      <c r="A4387" s="166"/>
      <c r="B4387" s="167"/>
      <c r="C4387" s="167"/>
      <c r="D4387" s="167"/>
      <c r="E4387" s="167"/>
      <c r="F4387" s="168"/>
    </row>
    <row r="4388" spans="1:6" x14ac:dyDescent="0.2">
      <c r="A4388" s="163"/>
      <c r="B4388" s="164"/>
      <c r="C4388" s="164"/>
      <c r="D4388" s="164"/>
      <c r="E4388" s="164"/>
      <c r="F4388" s="165"/>
    </row>
    <row r="4389" spans="1:6" x14ac:dyDescent="0.2">
      <c r="A4389" s="166"/>
      <c r="B4389" s="167"/>
      <c r="C4389" s="167"/>
      <c r="D4389" s="167"/>
      <c r="E4389" s="167"/>
      <c r="F4389" s="168"/>
    </row>
    <row r="4390" spans="1:6" x14ac:dyDescent="0.2">
      <c r="A4390" s="163"/>
      <c r="B4390" s="164"/>
      <c r="C4390" s="164"/>
      <c r="D4390" s="164"/>
      <c r="E4390" s="164"/>
      <c r="F4390" s="165"/>
    </row>
    <row r="4391" spans="1:6" x14ac:dyDescent="0.2">
      <c r="A4391" s="166"/>
      <c r="B4391" s="167"/>
      <c r="C4391" s="167"/>
      <c r="D4391" s="167"/>
      <c r="E4391" s="167"/>
      <c r="F4391" s="168"/>
    </row>
    <row r="4392" spans="1:6" x14ac:dyDescent="0.2">
      <c r="A4392" s="163"/>
      <c r="B4392" s="164"/>
      <c r="C4392" s="164"/>
      <c r="D4392" s="164"/>
      <c r="E4392" s="164"/>
      <c r="F4392" s="165"/>
    </row>
    <row r="4393" spans="1:6" x14ac:dyDescent="0.2">
      <c r="A4393" s="166"/>
      <c r="B4393" s="167"/>
      <c r="C4393" s="167"/>
      <c r="D4393" s="167"/>
      <c r="E4393" s="167"/>
      <c r="F4393" s="168"/>
    </row>
    <row r="4394" spans="1:6" x14ac:dyDescent="0.2">
      <c r="A4394" s="163"/>
      <c r="B4394" s="164"/>
      <c r="C4394" s="164"/>
      <c r="D4394" s="164"/>
      <c r="E4394" s="164"/>
      <c r="F4394" s="165"/>
    </row>
    <row r="4395" spans="1:6" x14ac:dyDescent="0.2">
      <c r="A4395" s="166"/>
      <c r="B4395" s="167"/>
      <c r="C4395" s="167"/>
      <c r="D4395" s="167"/>
      <c r="E4395" s="167"/>
      <c r="F4395" s="168"/>
    </row>
    <row r="4396" spans="1:6" x14ac:dyDescent="0.2">
      <c r="A4396" s="163"/>
      <c r="B4396" s="164"/>
      <c r="C4396" s="164"/>
      <c r="D4396" s="164"/>
      <c r="E4396" s="164"/>
      <c r="F4396" s="165"/>
    </row>
    <row r="4397" spans="1:6" x14ac:dyDescent="0.2">
      <c r="A4397" s="166"/>
      <c r="B4397" s="167"/>
      <c r="C4397" s="167"/>
      <c r="D4397" s="167"/>
      <c r="E4397" s="167"/>
      <c r="F4397" s="168"/>
    </row>
    <row r="4398" spans="1:6" x14ac:dyDescent="0.2">
      <c r="A4398" s="163"/>
      <c r="B4398" s="164"/>
      <c r="C4398" s="164"/>
      <c r="D4398" s="164"/>
      <c r="E4398" s="164"/>
      <c r="F4398" s="165"/>
    </row>
    <row r="4399" spans="1:6" x14ac:dyDescent="0.2">
      <c r="A4399" s="166"/>
      <c r="B4399" s="167"/>
      <c r="C4399" s="167"/>
      <c r="D4399" s="167"/>
      <c r="E4399" s="167"/>
      <c r="F4399" s="168"/>
    </row>
    <row r="4400" spans="1:6" x14ac:dyDescent="0.2">
      <c r="A4400" s="163"/>
      <c r="B4400" s="164"/>
      <c r="C4400" s="164"/>
      <c r="D4400" s="164"/>
      <c r="E4400" s="164"/>
      <c r="F4400" s="165"/>
    </row>
    <row r="4401" spans="1:6" x14ac:dyDescent="0.2">
      <c r="A4401" s="166"/>
      <c r="B4401" s="167"/>
      <c r="C4401" s="167"/>
      <c r="D4401" s="167"/>
      <c r="E4401" s="167"/>
      <c r="F4401" s="168"/>
    </row>
    <row r="4402" spans="1:6" x14ac:dyDescent="0.2">
      <c r="A4402" s="163"/>
      <c r="B4402" s="164"/>
      <c r="C4402" s="164"/>
      <c r="D4402" s="164"/>
      <c r="E4402" s="164"/>
      <c r="F4402" s="165"/>
    </row>
    <row r="4403" spans="1:6" x14ac:dyDescent="0.2">
      <c r="A4403" s="166"/>
      <c r="B4403" s="167"/>
      <c r="C4403" s="167"/>
      <c r="D4403" s="167"/>
      <c r="E4403" s="167"/>
      <c r="F4403" s="168"/>
    </row>
    <row r="4404" spans="1:6" x14ac:dyDescent="0.2">
      <c r="A4404" s="163"/>
      <c r="B4404" s="164"/>
      <c r="C4404" s="164"/>
      <c r="D4404" s="164"/>
      <c r="E4404" s="164"/>
      <c r="F4404" s="165"/>
    </row>
    <row r="4405" spans="1:6" x14ac:dyDescent="0.2">
      <c r="A4405" s="166"/>
      <c r="B4405" s="167"/>
      <c r="C4405" s="167"/>
      <c r="D4405" s="167"/>
      <c r="E4405" s="167"/>
      <c r="F4405" s="168"/>
    </row>
    <row r="4406" spans="1:6" x14ac:dyDescent="0.2">
      <c r="A4406" s="163"/>
      <c r="B4406" s="164"/>
      <c r="C4406" s="164"/>
      <c r="D4406" s="164"/>
      <c r="E4406" s="164"/>
      <c r="F4406" s="165"/>
    </row>
    <row r="4407" spans="1:6" x14ac:dyDescent="0.2">
      <c r="A4407" s="166"/>
      <c r="B4407" s="167"/>
      <c r="C4407" s="167"/>
      <c r="D4407" s="167"/>
      <c r="E4407" s="167"/>
      <c r="F4407" s="168"/>
    </row>
    <row r="4408" spans="1:6" x14ac:dyDescent="0.2">
      <c r="A4408" s="163"/>
      <c r="B4408" s="164"/>
      <c r="C4408" s="164"/>
      <c r="D4408" s="164"/>
      <c r="E4408" s="164"/>
      <c r="F4408" s="165"/>
    </row>
    <row r="4409" spans="1:6" x14ac:dyDescent="0.2">
      <c r="A4409" s="166"/>
      <c r="B4409" s="167"/>
      <c r="C4409" s="167"/>
      <c r="D4409" s="167"/>
      <c r="E4409" s="167"/>
      <c r="F4409" s="168"/>
    </row>
    <row r="4410" spans="1:6" x14ac:dyDescent="0.2">
      <c r="A4410" s="163"/>
      <c r="B4410" s="164"/>
      <c r="C4410" s="164"/>
      <c r="D4410" s="164"/>
      <c r="E4410" s="164"/>
      <c r="F4410" s="165"/>
    </row>
    <row r="4411" spans="1:6" x14ac:dyDescent="0.2">
      <c r="A4411" s="166"/>
      <c r="B4411" s="167"/>
      <c r="C4411" s="167"/>
      <c r="D4411" s="167"/>
      <c r="E4411" s="167"/>
      <c r="F4411" s="168"/>
    </row>
    <row r="4412" spans="1:6" x14ac:dyDescent="0.2">
      <c r="A4412" s="163"/>
      <c r="B4412" s="164"/>
      <c r="C4412" s="164"/>
      <c r="D4412" s="164"/>
      <c r="E4412" s="164"/>
      <c r="F4412" s="165"/>
    </row>
    <row r="4413" spans="1:6" x14ac:dyDescent="0.2">
      <c r="A4413" s="166"/>
      <c r="B4413" s="167"/>
      <c r="C4413" s="167"/>
      <c r="D4413" s="167"/>
      <c r="E4413" s="167"/>
      <c r="F4413" s="168"/>
    </row>
    <row r="4414" spans="1:6" x14ac:dyDescent="0.2">
      <c r="A4414" s="163"/>
      <c r="B4414" s="164"/>
      <c r="C4414" s="164"/>
      <c r="D4414" s="164"/>
      <c r="E4414" s="164"/>
      <c r="F4414" s="165"/>
    </row>
    <row r="4415" spans="1:6" x14ac:dyDescent="0.2">
      <c r="A4415" s="166"/>
      <c r="B4415" s="167"/>
      <c r="C4415" s="167"/>
      <c r="D4415" s="167"/>
      <c r="E4415" s="167"/>
      <c r="F4415" s="168"/>
    </row>
    <row r="4416" spans="1:6" x14ac:dyDescent="0.2">
      <c r="A4416" s="163"/>
      <c r="B4416" s="164"/>
      <c r="C4416" s="164"/>
      <c r="D4416" s="164"/>
      <c r="E4416" s="164"/>
      <c r="F4416" s="165"/>
    </row>
    <row r="4417" spans="1:6" x14ac:dyDescent="0.2">
      <c r="A4417" s="166"/>
      <c r="B4417" s="167"/>
      <c r="C4417" s="167"/>
      <c r="D4417" s="167"/>
      <c r="E4417" s="167"/>
      <c r="F4417" s="168"/>
    </row>
    <row r="4418" spans="1:6" x14ac:dyDescent="0.2">
      <c r="A4418" s="163"/>
      <c r="B4418" s="164"/>
      <c r="C4418" s="164"/>
      <c r="D4418" s="164"/>
      <c r="E4418" s="164"/>
      <c r="F4418" s="165"/>
    </row>
    <row r="4419" spans="1:6" x14ac:dyDescent="0.2">
      <c r="A4419" s="166"/>
      <c r="B4419" s="167"/>
      <c r="C4419" s="167"/>
      <c r="D4419" s="167"/>
      <c r="E4419" s="167"/>
      <c r="F4419" s="168"/>
    </row>
    <row r="4420" spans="1:6" x14ac:dyDescent="0.2">
      <c r="A4420" s="163"/>
      <c r="B4420" s="164"/>
      <c r="C4420" s="164"/>
      <c r="D4420" s="164"/>
      <c r="E4420" s="164"/>
      <c r="F4420" s="165"/>
    </row>
    <row r="4421" spans="1:6" x14ac:dyDescent="0.2">
      <c r="A4421" s="166"/>
      <c r="B4421" s="167"/>
      <c r="C4421" s="167"/>
      <c r="D4421" s="167"/>
      <c r="E4421" s="167"/>
      <c r="F4421" s="168"/>
    </row>
    <row r="4422" spans="1:6" x14ac:dyDescent="0.2">
      <c r="A4422" s="163"/>
      <c r="B4422" s="164"/>
      <c r="C4422" s="164"/>
      <c r="D4422" s="164"/>
      <c r="E4422" s="164"/>
      <c r="F4422" s="165"/>
    </row>
    <row r="4423" spans="1:6" x14ac:dyDescent="0.2">
      <c r="A4423" s="166"/>
      <c r="B4423" s="167"/>
      <c r="C4423" s="167"/>
      <c r="D4423" s="167"/>
      <c r="E4423" s="167"/>
      <c r="F4423" s="168"/>
    </row>
    <row r="4424" spans="1:6" x14ac:dyDescent="0.2">
      <c r="A4424" s="163"/>
      <c r="B4424" s="164"/>
      <c r="C4424" s="164"/>
      <c r="D4424" s="164"/>
      <c r="E4424" s="164"/>
      <c r="F4424" s="165"/>
    </row>
    <row r="4425" spans="1:6" x14ac:dyDescent="0.2">
      <c r="A4425" s="166"/>
      <c r="B4425" s="167"/>
      <c r="C4425" s="167"/>
      <c r="D4425" s="167"/>
      <c r="E4425" s="167"/>
      <c r="F4425" s="168"/>
    </row>
    <row r="4426" spans="1:6" x14ac:dyDescent="0.2">
      <c r="A4426" s="163"/>
      <c r="B4426" s="164"/>
      <c r="C4426" s="164"/>
      <c r="D4426" s="164"/>
      <c r="E4426" s="164"/>
      <c r="F4426" s="165"/>
    </row>
    <row r="4427" spans="1:6" x14ac:dyDescent="0.2">
      <c r="A4427" s="166"/>
      <c r="B4427" s="167"/>
      <c r="C4427" s="167"/>
      <c r="D4427" s="167"/>
      <c r="E4427" s="167"/>
      <c r="F4427" s="168"/>
    </row>
    <row r="4428" spans="1:6" x14ac:dyDescent="0.2">
      <c r="A4428" s="163"/>
      <c r="B4428" s="164"/>
      <c r="C4428" s="164"/>
      <c r="D4428" s="164"/>
      <c r="E4428" s="164"/>
      <c r="F4428" s="165"/>
    </row>
    <row r="4429" spans="1:6" x14ac:dyDescent="0.2">
      <c r="A4429" s="166"/>
      <c r="B4429" s="167"/>
      <c r="C4429" s="167"/>
      <c r="D4429" s="167"/>
      <c r="E4429" s="167"/>
      <c r="F4429" s="168"/>
    </row>
    <row r="4430" spans="1:6" x14ac:dyDescent="0.2">
      <c r="A4430" s="163"/>
      <c r="B4430" s="164"/>
      <c r="C4430" s="164"/>
      <c r="D4430" s="164"/>
      <c r="E4430" s="164"/>
      <c r="F4430" s="165"/>
    </row>
    <row r="4431" spans="1:6" x14ac:dyDescent="0.2">
      <c r="A4431" s="166"/>
      <c r="B4431" s="167"/>
      <c r="C4431" s="167"/>
      <c r="D4431" s="167"/>
      <c r="E4431" s="167"/>
      <c r="F4431" s="168"/>
    </row>
    <row r="4432" spans="1:6" x14ac:dyDescent="0.2">
      <c r="A4432" s="163"/>
      <c r="B4432" s="164"/>
      <c r="C4432" s="164"/>
      <c r="D4432" s="164"/>
      <c r="E4432" s="164"/>
      <c r="F4432" s="165"/>
    </row>
    <row r="4433" spans="1:6" x14ac:dyDescent="0.2">
      <c r="A4433" s="166"/>
      <c r="B4433" s="167"/>
      <c r="C4433" s="167"/>
      <c r="D4433" s="167"/>
      <c r="E4433" s="167"/>
      <c r="F4433" s="168"/>
    </row>
    <row r="4434" spans="1:6" x14ac:dyDescent="0.2">
      <c r="A4434" s="163"/>
      <c r="B4434" s="164"/>
      <c r="C4434" s="164"/>
      <c r="D4434" s="164"/>
      <c r="E4434" s="164"/>
      <c r="F4434" s="165"/>
    </row>
    <row r="4435" spans="1:6" x14ac:dyDescent="0.2">
      <c r="A4435" s="166"/>
      <c r="B4435" s="167"/>
      <c r="C4435" s="167"/>
      <c r="D4435" s="167"/>
      <c r="E4435" s="167"/>
      <c r="F4435" s="168"/>
    </row>
    <row r="4436" spans="1:6" x14ac:dyDescent="0.2">
      <c r="A4436" s="163"/>
      <c r="B4436" s="164"/>
      <c r="C4436" s="164"/>
      <c r="D4436" s="164"/>
      <c r="E4436" s="164"/>
      <c r="F4436" s="165"/>
    </row>
    <row r="4437" spans="1:6" x14ac:dyDescent="0.2">
      <c r="A4437" s="166"/>
      <c r="B4437" s="167"/>
      <c r="C4437" s="167"/>
      <c r="D4437" s="167"/>
      <c r="E4437" s="167"/>
      <c r="F4437" s="168"/>
    </row>
    <row r="4438" spans="1:6" x14ac:dyDescent="0.2">
      <c r="A4438" s="163"/>
      <c r="B4438" s="164"/>
      <c r="C4438" s="164"/>
      <c r="D4438" s="164"/>
      <c r="E4438" s="164"/>
      <c r="F4438" s="165"/>
    </row>
    <row r="4439" spans="1:6" x14ac:dyDescent="0.2">
      <c r="A4439" s="166"/>
      <c r="B4439" s="167"/>
      <c r="C4439" s="167"/>
      <c r="D4439" s="167"/>
      <c r="E4439" s="167"/>
      <c r="F4439" s="168"/>
    </row>
    <row r="4440" spans="1:6" x14ac:dyDescent="0.2">
      <c r="A4440" s="163"/>
      <c r="B4440" s="164"/>
      <c r="C4440" s="164"/>
      <c r="D4440" s="164"/>
      <c r="E4440" s="164"/>
      <c r="F4440" s="165"/>
    </row>
    <row r="4441" spans="1:6" x14ac:dyDescent="0.2">
      <c r="A4441" s="166"/>
      <c r="B4441" s="167"/>
      <c r="C4441" s="167"/>
      <c r="D4441" s="167"/>
      <c r="E4441" s="167"/>
      <c r="F4441" s="168"/>
    </row>
    <row r="4442" spans="1:6" x14ac:dyDescent="0.2">
      <c r="A4442" s="163"/>
      <c r="B4442" s="164"/>
      <c r="C4442" s="164"/>
      <c r="D4442" s="164"/>
      <c r="E4442" s="164"/>
      <c r="F4442" s="165"/>
    </row>
    <row r="4443" spans="1:6" x14ac:dyDescent="0.2">
      <c r="A4443" s="166"/>
      <c r="B4443" s="167"/>
      <c r="C4443" s="167"/>
      <c r="D4443" s="167"/>
      <c r="E4443" s="167"/>
      <c r="F4443" s="168"/>
    </row>
    <row r="4444" spans="1:6" x14ac:dyDescent="0.2">
      <c r="A4444" s="163"/>
      <c r="B4444" s="164"/>
      <c r="C4444" s="164"/>
      <c r="D4444" s="164"/>
      <c r="E4444" s="164"/>
      <c r="F4444" s="165"/>
    </row>
    <row r="4445" spans="1:6" x14ac:dyDescent="0.2">
      <c r="A4445" s="166"/>
      <c r="B4445" s="167"/>
      <c r="C4445" s="167"/>
      <c r="D4445" s="167"/>
      <c r="E4445" s="167"/>
      <c r="F4445" s="168"/>
    </row>
    <row r="4446" spans="1:6" x14ac:dyDescent="0.2">
      <c r="A4446" s="163"/>
      <c r="B4446" s="164"/>
      <c r="C4446" s="164"/>
      <c r="D4446" s="164"/>
      <c r="E4446" s="164"/>
      <c r="F4446" s="165"/>
    </row>
    <row r="4447" spans="1:6" x14ac:dyDescent="0.2">
      <c r="A4447" s="166"/>
      <c r="B4447" s="167"/>
      <c r="C4447" s="167"/>
      <c r="D4447" s="167"/>
      <c r="E4447" s="167"/>
      <c r="F4447" s="168"/>
    </row>
    <row r="4448" spans="1:6" x14ac:dyDescent="0.2">
      <c r="A4448" s="163"/>
      <c r="B4448" s="164"/>
      <c r="C4448" s="164"/>
      <c r="D4448" s="164"/>
      <c r="E4448" s="164"/>
      <c r="F4448" s="165"/>
    </row>
    <row r="4449" spans="1:6" x14ac:dyDescent="0.2">
      <c r="A4449" s="166"/>
      <c r="B4449" s="167"/>
      <c r="C4449" s="167"/>
      <c r="D4449" s="167"/>
      <c r="E4449" s="167"/>
      <c r="F4449" s="168"/>
    </row>
    <row r="4450" spans="1:6" x14ac:dyDescent="0.2">
      <c r="A4450" s="163"/>
      <c r="B4450" s="164"/>
      <c r="C4450" s="164"/>
      <c r="D4450" s="164"/>
      <c r="E4450" s="164"/>
      <c r="F4450" s="165"/>
    </row>
    <row r="4451" spans="1:6" x14ac:dyDescent="0.2">
      <c r="A4451" s="166"/>
      <c r="B4451" s="167"/>
      <c r="C4451" s="167"/>
      <c r="D4451" s="167"/>
      <c r="E4451" s="167"/>
      <c r="F4451" s="168"/>
    </row>
    <row r="4452" spans="1:6" x14ac:dyDescent="0.2">
      <c r="A4452" s="163"/>
      <c r="B4452" s="164"/>
      <c r="C4452" s="164"/>
      <c r="D4452" s="164"/>
      <c r="E4452" s="164"/>
      <c r="F4452" s="165"/>
    </row>
    <row r="4453" spans="1:6" x14ac:dyDescent="0.2">
      <c r="A4453" s="166"/>
      <c r="B4453" s="167"/>
      <c r="C4453" s="167"/>
      <c r="D4453" s="167"/>
      <c r="E4453" s="167"/>
      <c r="F4453" s="168"/>
    </row>
    <row r="4454" spans="1:6" x14ac:dyDescent="0.2">
      <c r="A4454" s="163"/>
      <c r="B4454" s="164"/>
      <c r="C4454" s="164"/>
      <c r="D4454" s="164"/>
      <c r="E4454" s="164"/>
      <c r="F4454" s="165"/>
    </row>
    <row r="4455" spans="1:6" x14ac:dyDescent="0.2">
      <c r="A4455" s="166"/>
      <c r="B4455" s="167"/>
      <c r="C4455" s="167"/>
      <c r="D4455" s="167"/>
      <c r="E4455" s="167"/>
      <c r="F4455" s="168"/>
    </row>
    <row r="4456" spans="1:6" x14ac:dyDescent="0.2">
      <c r="A4456" s="163"/>
      <c r="B4456" s="164"/>
      <c r="C4456" s="164"/>
      <c r="D4456" s="164"/>
      <c r="E4456" s="164"/>
      <c r="F4456" s="165"/>
    </row>
    <row r="4457" spans="1:6" x14ac:dyDescent="0.2">
      <c r="A4457" s="166"/>
      <c r="B4457" s="167"/>
      <c r="C4457" s="167"/>
      <c r="D4457" s="167"/>
      <c r="E4457" s="167"/>
      <c r="F4457" s="168"/>
    </row>
    <row r="4458" spans="1:6" x14ac:dyDescent="0.2">
      <c r="A4458" s="163"/>
      <c r="B4458" s="164"/>
      <c r="C4458" s="164"/>
      <c r="D4458" s="164"/>
      <c r="E4458" s="164"/>
      <c r="F4458" s="165"/>
    </row>
    <row r="4459" spans="1:6" x14ac:dyDescent="0.2">
      <c r="A4459" s="166"/>
      <c r="B4459" s="167"/>
      <c r="C4459" s="167"/>
      <c r="D4459" s="167"/>
      <c r="E4459" s="167"/>
      <c r="F4459" s="168"/>
    </row>
    <row r="4460" spans="1:6" x14ac:dyDescent="0.2">
      <c r="A4460" s="163"/>
      <c r="B4460" s="164"/>
      <c r="C4460" s="164"/>
      <c r="D4460" s="164"/>
      <c r="E4460" s="164"/>
      <c r="F4460" s="165"/>
    </row>
    <row r="4461" spans="1:6" x14ac:dyDescent="0.2">
      <c r="A4461" s="166"/>
      <c r="B4461" s="167"/>
      <c r="C4461" s="167"/>
      <c r="D4461" s="167"/>
      <c r="E4461" s="167"/>
      <c r="F4461" s="168"/>
    </row>
    <row r="4462" spans="1:6" x14ac:dyDescent="0.2">
      <c r="A4462" s="163"/>
      <c r="B4462" s="164"/>
      <c r="C4462" s="164"/>
      <c r="D4462" s="164"/>
      <c r="E4462" s="164"/>
      <c r="F4462" s="165"/>
    </row>
    <row r="4463" spans="1:6" x14ac:dyDescent="0.2">
      <c r="A4463" s="166"/>
      <c r="B4463" s="167"/>
      <c r="C4463" s="167"/>
      <c r="D4463" s="167"/>
      <c r="E4463" s="167"/>
      <c r="F4463" s="168"/>
    </row>
    <row r="4464" spans="1:6" x14ac:dyDescent="0.2">
      <c r="A4464" s="163"/>
      <c r="B4464" s="164"/>
      <c r="C4464" s="164"/>
      <c r="D4464" s="164"/>
      <c r="E4464" s="164"/>
      <c r="F4464" s="165"/>
    </row>
    <row r="4465" spans="1:6" x14ac:dyDescent="0.2">
      <c r="A4465" s="166"/>
      <c r="B4465" s="167"/>
      <c r="C4465" s="167"/>
      <c r="D4465" s="167"/>
      <c r="E4465" s="167"/>
      <c r="F4465" s="168"/>
    </row>
    <row r="4466" spans="1:6" x14ac:dyDescent="0.2">
      <c r="A4466" s="163"/>
      <c r="B4466" s="164"/>
      <c r="C4466" s="164"/>
      <c r="D4466" s="164"/>
      <c r="E4466" s="164"/>
      <c r="F4466" s="165"/>
    </row>
    <row r="4467" spans="1:6" x14ac:dyDescent="0.2">
      <c r="A4467" s="166"/>
      <c r="B4467" s="167"/>
      <c r="C4467" s="167"/>
      <c r="D4467" s="167"/>
      <c r="E4467" s="167"/>
      <c r="F4467" s="168"/>
    </row>
    <row r="4468" spans="1:6" x14ac:dyDescent="0.2">
      <c r="A4468" s="163"/>
      <c r="B4468" s="164"/>
      <c r="C4468" s="164"/>
      <c r="D4468" s="164"/>
      <c r="E4468" s="164"/>
      <c r="F4468" s="165"/>
    </row>
    <row r="4469" spans="1:6" x14ac:dyDescent="0.2">
      <c r="A4469" s="166"/>
      <c r="B4469" s="167"/>
      <c r="C4469" s="167"/>
      <c r="D4469" s="167"/>
      <c r="E4469" s="167"/>
      <c r="F4469" s="168"/>
    </row>
    <row r="4470" spans="1:6" x14ac:dyDescent="0.2">
      <c r="A4470" s="163"/>
      <c r="B4470" s="164"/>
      <c r="C4470" s="164"/>
      <c r="D4470" s="164"/>
      <c r="E4470" s="164"/>
      <c r="F4470" s="165"/>
    </row>
    <row r="4471" spans="1:6" x14ac:dyDescent="0.2">
      <c r="A4471" s="166"/>
      <c r="B4471" s="167"/>
      <c r="C4471" s="167"/>
      <c r="D4471" s="167"/>
      <c r="E4471" s="167"/>
      <c r="F4471" s="168"/>
    </row>
    <row r="4472" spans="1:6" x14ac:dyDescent="0.2">
      <c r="A4472" s="163"/>
      <c r="B4472" s="164"/>
      <c r="C4472" s="164"/>
      <c r="D4472" s="164"/>
      <c r="E4472" s="164"/>
      <c r="F4472" s="165"/>
    </row>
    <row r="4473" spans="1:6" x14ac:dyDescent="0.2">
      <c r="A4473" s="166"/>
      <c r="B4473" s="167"/>
      <c r="C4473" s="167"/>
      <c r="D4473" s="167"/>
      <c r="E4473" s="167"/>
      <c r="F4473" s="168"/>
    </row>
    <row r="4474" spans="1:6" x14ac:dyDescent="0.2">
      <c r="A4474" s="163"/>
      <c r="B4474" s="164"/>
      <c r="C4474" s="164"/>
      <c r="D4474" s="164"/>
      <c r="E4474" s="164"/>
      <c r="F4474" s="165"/>
    </row>
    <row r="4475" spans="1:6" x14ac:dyDescent="0.2">
      <c r="A4475" s="166"/>
      <c r="B4475" s="167"/>
      <c r="C4475" s="167"/>
      <c r="D4475" s="167"/>
      <c r="E4475" s="167"/>
      <c r="F4475" s="168"/>
    </row>
    <row r="4476" spans="1:6" x14ac:dyDescent="0.2">
      <c r="A4476" s="163"/>
      <c r="B4476" s="164"/>
      <c r="C4476" s="164"/>
      <c r="D4476" s="164"/>
      <c r="E4476" s="164"/>
      <c r="F4476" s="165"/>
    </row>
    <row r="4477" spans="1:6" x14ac:dyDescent="0.2">
      <c r="A4477" s="166"/>
      <c r="B4477" s="167"/>
      <c r="C4477" s="167"/>
      <c r="D4477" s="167"/>
      <c r="E4477" s="167"/>
      <c r="F4477" s="168"/>
    </row>
    <row r="4478" spans="1:6" x14ac:dyDescent="0.2">
      <c r="A4478" s="163"/>
      <c r="B4478" s="164"/>
      <c r="C4478" s="164"/>
      <c r="D4478" s="164"/>
      <c r="E4478" s="164"/>
      <c r="F4478" s="165"/>
    </row>
    <row r="4479" spans="1:6" x14ac:dyDescent="0.2">
      <c r="A4479" s="166"/>
      <c r="B4479" s="167"/>
      <c r="C4479" s="167"/>
      <c r="D4479" s="167"/>
      <c r="E4479" s="167"/>
      <c r="F4479" s="168"/>
    </row>
    <row r="4480" spans="1:6" x14ac:dyDescent="0.2">
      <c r="A4480" s="163"/>
      <c r="B4480" s="164"/>
      <c r="C4480" s="164"/>
      <c r="D4480" s="164"/>
      <c r="E4480" s="164"/>
      <c r="F4480" s="165"/>
    </row>
    <row r="4481" spans="1:6" x14ac:dyDescent="0.2">
      <c r="A4481" s="166"/>
      <c r="B4481" s="167"/>
      <c r="C4481" s="167"/>
      <c r="D4481" s="167"/>
      <c r="E4481" s="167"/>
      <c r="F4481" s="168"/>
    </row>
    <row r="4482" spans="1:6" x14ac:dyDescent="0.2">
      <c r="A4482" s="163"/>
      <c r="B4482" s="164"/>
      <c r="C4482" s="164"/>
      <c r="D4482" s="164"/>
      <c r="E4482" s="164"/>
      <c r="F4482" s="165"/>
    </row>
    <row r="4483" spans="1:6" x14ac:dyDescent="0.2">
      <c r="A4483" s="166"/>
      <c r="B4483" s="167"/>
      <c r="C4483" s="167"/>
      <c r="D4483" s="167"/>
      <c r="E4483" s="167"/>
      <c r="F4483" s="168"/>
    </row>
    <row r="4484" spans="1:6" x14ac:dyDescent="0.2">
      <c r="A4484" s="163"/>
      <c r="B4484" s="164"/>
      <c r="C4484" s="164"/>
      <c r="D4484" s="164"/>
      <c r="E4484" s="164"/>
      <c r="F4484" s="165"/>
    </row>
    <row r="4485" spans="1:6" x14ac:dyDescent="0.2">
      <c r="A4485" s="166"/>
      <c r="B4485" s="167"/>
      <c r="C4485" s="167"/>
      <c r="D4485" s="167"/>
      <c r="E4485" s="167"/>
      <c r="F4485" s="168"/>
    </row>
    <row r="4486" spans="1:6" x14ac:dyDescent="0.2">
      <c r="A4486" s="163"/>
      <c r="B4486" s="164"/>
      <c r="C4486" s="164"/>
      <c r="D4486" s="164"/>
      <c r="E4486" s="164"/>
      <c r="F4486" s="165"/>
    </row>
    <row r="4487" spans="1:6" x14ac:dyDescent="0.2">
      <c r="A4487" s="166"/>
      <c r="B4487" s="167"/>
      <c r="C4487" s="167"/>
      <c r="D4487" s="167"/>
      <c r="E4487" s="167"/>
      <c r="F4487" s="168"/>
    </row>
    <row r="4488" spans="1:6" x14ac:dyDescent="0.2">
      <c r="A4488" s="163"/>
      <c r="B4488" s="164"/>
      <c r="C4488" s="164"/>
      <c r="D4488" s="164"/>
      <c r="E4488" s="164"/>
      <c r="F4488" s="165"/>
    </row>
    <row r="4489" spans="1:6" x14ac:dyDescent="0.2">
      <c r="A4489" s="166"/>
      <c r="B4489" s="167"/>
      <c r="C4489" s="167"/>
      <c r="D4489" s="167"/>
      <c r="E4489" s="167"/>
      <c r="F4489" s="168"/>
    </row>
    <row r="4490" spans="1:6" x14ac:dyDescent="0.2">
      <c r="A4490" s="163"/>
      <c r="B4490" s="164"/>
      <c r="C4490" s="164"/>
      <c r="D4490" s="164"/>
      <c r="E4490" s="164"/>
      <c r="F4490" s="165"/>
    </row>
    <row r="4491" spans="1:6" x14ac:dyDescent="0.2">
      <c r="A4491" s="166"/>
      <c r="B4491" s="167"/>
      <c r="C4491" s="167"/>
      <c r="D4491" s="167"/>
      <c r="E4491" s="167"/>
      <c r="F4491" s="168"/>
    </row>
    <row r="4492" spans="1:6" x14ac:dyDescent="0.2">
      <c r="A4492" s="163"/>
      <c r="B4492" s="164"/>
      <c r="C4492" s="164"/>
      <c r="D4492" s="164"/>
      <c r="E4492" s="164"/>
      <c r="F4492" s="165"/>
    </row>
    <row r="4493" spans="1:6" x14ac:dyDescent="0.2">
      <c r="A4493" s="166"/>
      <c r="B4493" s="167"/>
      <c r="C4493" s="167"/>
      <c r="D4493" s="167"/>
      <c r="E4493" s="167"/>
      <c r="F4493" s="168"/>
    </row>
    <row r="4494" spans="1:6" x14ac:dyDescent="0.2">
      <c r="A4494" s="163"/>
      <c r="B4494" s="164"/>
      <c r="C4494" s="164"/>
      <c r="D4494" s="164"/>
      <c r="E4494" s="164"/>
      <c r="F4494" s="165"/>
    </row>
    <row r="4495" spans="1:6" x14ac:dyDescent="0.2">
      <c r="A4495" s="166"/>
      <c r="B4495" s="167"/>
      <c r="C4495" s="167"/>
      <c r="D4495" s="167"/>
      <c r="E4495" s="167"/>
      <c r="F4495" s="168"/>
    </row>
    <row r="4496" spans="1:6" x14ac:dyDescent="0.2">
      <c r="A4496" s="163"/>
      <c r="B4496" s="164"/>
      <c r="C4496" s="164"/>
      <c r="D4496" s="164"/>
      <c r="E4496" s="164"/>
      <c r="F4496" s="165"/>
    </row>
    <row r="4497" spans="1:6" x14ac:dyDescent="0.2">
      <c r="A4497" s="166"/>
      <c r="B4497" s="167"/>
      <c r="C4497" s="167"/>
      <c r="D4497" s="167"/>
      <c r="E4497" s="167"/>
      <c r="F4497" s="168"/>
    </row>
    <row r="4498" spans="1:6" x14ac:dyDescent="0.2">
      <c r="A4498" s="163"/>
      <c r="B4498" s="164"/>
      <c r="C4498" s="164"/>
      <c r="D4498" s="164"/>
      <c r="E4498" s="164"/>
      <c r="F4498" s="165"/>
    </row>
    <row r="4499" spans="1:6" x14ac:dyDescent="0.2">
      <c r="A4499" s="166"/>
      <c r="B4499" s="167"/>
      <c r="C4499" s="167"/>
      <c r="D4499" s="167"/>
      <c r="E4499" s="167"/>
      <c r="F4499" s="168"/>
    </row>
    <row r="4500" spans="1:6" x14ac:dyDescent="0.2">
      <c r="A4500" s="163"/>
      <c r="B4500" s="164"/>
      <c r="C4500" s="164"/>
      <c r="D4500" s="164"/>
      <c r="E4500" s="164"/>
      <c r="F4500" s="165"/>
    </row>
    <row r="4501" spans="1:6" x14ac:dyDescent="0.2">
      <c r="A4501" s="166"/>
      <c r="B4501" s="167"/>
      <c r="C4501" s="167"/>
      <c r="D4501" s="167"/>
      <c r="E4501" s="167"/>
      <c r="F4501" s="168"/>
    </row>
    <row r="4502" spans="1:6" x14ac:dyDescent="0.2">
      <c r="A4502" s="163"/>
      <c r="B4502" s="164"/>
      <c r="C4502" s="164"/>
      <c r="D4502" s="164"/>
      <c r="E4502" s="164"/>
      <c r="F4502" s="165"/>
    </row>
    <row r="4503" spans="1:6" x14ac:dyDescent="0.2">
      <c r="A4503" s="166"/>
      <c r="B4503" s="167"/>
      <c r="C4503" s="167"/>
      <c r="D4503" s="167"/>
      <c r="E4503" s="167"/>
      <c r="F4503" s="168"/>
    </row>
    <row r="4504" spans="1:6" x14ac:dyDescent="0.2">
      <c r="A4504" s="163"/>
      <c r="B4504" s="164"/>
      <c r="C4504" s="164"/>
      <c r="D4504" s="164"/>
      <c r="E4504" s="164"/>
      <c r="F4504" s="165"/>
    </row>
    <row r="4505" spans="1:6" x14ac:dyDescent="0.2">
      <c r="A4505" s="166"/>
      <c r="B4505" s="167"/>
      <c r="C4505" s="167"/>
      <c r="D4505" s="167"/>
      <c r="E4505" s="167"/>
      <c r="F4505" s="168"/>
    </row>
    <row r="4506" spans="1:6" x14ac:dyDescent="0.2">
      <c r="A4506" s="163"/>
      <c r="B4506" s="164"/>
      <c r="C4506" s="164"/>
      <c r="D4506" s="164"/>
      <c r="E4506" s="164"/>
      <c r="F4506" s="165"/>
    </row>
    <row r="4507" spans="1:6" x14ac:dyDescent="0.2">
      <c r="A4507" s="166"/>
      <c r="B4507" s="167"/>
      <c r="C4507" s="167"/>
      <c r="D4507" s="167"/>
      <c r="E4507" s="167"/>
      <c r="F4507" s="168"/>
    </row>
    <row r="4508" spans="1:6" x14ac:dyDescent="0.2">
      <c r="A4508" s="163"/>
      <c r="B4508" s="164"/>
      <c r="C4508" s="164"/>
      <c r="D4508" s="164"/>
      <c r="E4508" s="164"/>
      <c r="F4508" s="165"/>
    </row>
    <row r="4509" spans="1:6" x14ac:dyDescent="0.2">
      <c r="A4509" s="166"/>
      <c r="B4509" s="167"/>
      <c r="C4509" s="167"/>
      <c r="D4509" s="167"/>
      <c r="E4509" s="167"/>
      <c r="F4509" s="168"/>
    </row>
    <row r="4510" spans="1:6" x14ac:dyDescent="0.2">
      <c r="A4510" s="163"/>
      <c r="B4510" s="164"/>
      <c r="C4510" s="164"/>
      <c r="D4510" s="164"/>
      <c r="E4510" s="164"/>
      <c r="F4510" s="165"/>
    </row>
    <row r="4511" spans="1:6" x14ac:dyDescent="0.2">
      <c r="A4511" s="166"/>
      <c r="B4511" s="167"/>
      <c r="C4511" s="167"/>
      <c r="D4511" s="167"/>
      <c r="E4511" s="167"/>
      <c r="F4511" s="168"/>
    </row>
    <row r="4512" spans="1:6" x14ac:dyDescent="0.2">
      <c r="A4512" s="163"/>
      <c r="B4512" s="164"/>
      <c r="C4512" s="164"/>
      <c r="D4512" s="164"/>
      <c r="E4512" s="164"/>
      <c r="F4512" s="165"/>
    </row>
    <row r="4513" spans="1:6" x14ac:dyDescent="0.2">
      <c r="A4513" s="166"/>
      <c r="B4513" s="167"/>
      <c r="C4513" s="167"/>
      <c r="D4513" s="167"/>
      <c r="E4513" s="167"/>
      <c r="F4513" s="168"/>
    </row>
    <row r="4514" spans="1:6" x14ac:dyDescent="0.2">
      <c r="A4514" s="163"/>
      <c r="B4514" s="164"/>
      <c r="C4514" s="164"/>
      <c r="D4514" s="164"/>
      <c r="E4514" s="164"/>
      <c r="F4514" s="165"/>
    </row>
    <row r="4515" spans="1:6" x14ac:dyDescent="0.2">
      <c r="A4515" s="166"/>
      <c r="B4515" s="167"/>
      <c r="C4515" s="167"/>
      <c r="D4515" s="167"/>
      <c r="E4515" s="167"/>
      <c r="F4515" s="168"/>
    </row>
    <row r="4516" spans="1:6" x14ac:dyDescent="0.2">
      <c r="A4516" s="163"/>
      <c r="B4516" s="164"/>
      <c r="C4516" s="164"/>
      <c r="D4516" s="164"/>
      <c r="E4516" s="164"/>
      <c r="F4516" s="165"/>
    </row>
    <row r="4517" spans="1:6" x14ac:dyDescent="0.2">
      <c r="A4517" s="166"/>
      <c r="B4517" s="167"/>
      <c r="C4517" s="167"/>
      <c r="D4517" s="167"/>
      <c r="E4517" s="167"/>
      <c r="F4517" s="168"/>
    </row>
    <row r="4518" spans="1:6" x14ac:dyDescent="0.2">
      <c r="A4518" s="163"/>
      <c r="B4518" s="164"/>
      <c r="C4518" s="164"/>
      <c r="D4518" s="164"/>
      <c r="E4518" s="164"/>
      <c r="F4518" s="165"/>
    </row>
    <row r="4519" spans="1:6" x14ac:dyDescent="0.2">
      <c r="A4519" s="166"/>
      <c r="B4519" s="167"/>
      <c r="C4519" s="167"/>
      <c r="D4519" s="167"/>
      <c r="E4519" s="167"/>
      <c r="F4519" s="168"/>
    </row>
    <row r="4520" spans="1:6" x14ac:dyDescent="0.2">
      <c r="A4520" s="163"/>
      <c r="B4520" s="164"/>
      <c r="C4520" s="164"/>
      <c r="D4520" s="164"/>
      <c r="E4520" s="164"/>
      <c r="F4520" s="165"/>
    </row>
    <row r="4521" spans="1:6" x14ac:dyDescent="0.2">
      <c r="A4521" s="166"/>
      <c r="B4521" s="167"/>
      <c r="C4521" s="167"/>
      <c r="D4521" s="167"/>
      <c r="E4521" s="167"/>
      <c r="F4521" s="168"/>
    </row>
    <row r="4522" spans="1:6" x14ac:dyDescent="0.2">
      <c r="A4522" s="163"/>
      <c r="B4522" s="164"/>
      <c r="C4522" s="164"/>
      <c r="D4522" s="164"/>
      <c r="E4522" s="164"/>
      <c r="F4522" s="165"/>
    </row>
    <row r="4523" spans="1:6" x14ac:dyDescent="0.2">
      <c r="A4523" s="166"/>
      <c r="B4523" s="167"/>
      <c r="C4523" s="167"/>
      <c r="D4523" s="167"/>
      <c r="E4523" s="167"/>
      <c r="F4523" s="168"/>
    </row>
    <row r="4524" spans="1:6" x14ac:dyDescent="0.2">
      <c r="A4524" s="163"/>
      <c r="B4524" s="164"/>
      <c r="C4524" s="164"/>
      <c r="D4524" s="164"/>
      <c r="E4524" s="164"/>
      <c r="F4524" s="165"/>
    </row>
    <row r="4525" spans="1:6" x14ac:dyDescent="0.2">
      <c r="A4525" s="166"/>
      <c r="B4525" s="167"/>
      <c r="C4525" s="167"/>
      <c r="D4525" s="167"/>
      <c r="E4525" s="167"/>
      <c r="F4525" s="168"/>
    </row>
    <row r="4526" spans="1:6" x14ac:dyDescent="0.2">
      <c r="A4526" s="163"/>
      <c r="B4526" s="164"/>
      <c r="C4526" s="164"/>
      <c r="D4526" s="164"/>
      <c r="E4526" s="164"/>
      <c r="F4526" s="165"/>
    </row>
    <row r="4527" spans="1:6" x14ac:dyDescent="0.2">
      <c r="A4527" s="166"/>
      <c r="B4527" s="167"/>
      <c r="C4527" s="167"/>
      <c r="D4527" s="167"/>
      <c r="E4527" s="167"/>
      <c r="F4527" s="168"/>
    </row>
    <row r="4528" spans="1:6" x14ac:dyDescent="0.2">
      <c r="A4528" s="163"/>
      <c r="B4528" s="164"/>
      <c r="C4528" s="164"/>
      <c r="D4528" s="164"/>
      <c r="E4528" s="164"/>
      <c r="F4528" s="165"/>
    </row>
    <row r="4529" spans="1:6" x14ac:dyDescent="0.2">
      <c r="A4529" s="166"/>
      <c r="B4529" s="167"/>
      <c r="C4529" s="167"/>
      <c r="D4529" s="167"/>
      <c r="E4529" s="167"/>
      <c r="F4529" s="168"/>
    </row>
    <row r="4530" spans="1:6" x14ac:dyDescent="0.2">
      <c r="A4530" s="163"/>
      <c r="B4530" s="164"/>
      <c r="C4530" s="164"/>
      <c r="D4530" s="164"/>
      <c r="E4530" s="164"/>
      <c r="F4530" s="165"/>
    </row>
    <row r="4531" spans="1:6" x14ac:dyDescent="0.2">
      <c r="A4531" s="166"/>
      <c r="B4531" s="167"/>
      <c r="C4531" s="167"/>
      <c r="D4531" s="167"/>
      <c r="E4531" s="167"/>
      <c r="F4531" s="168"/>
    </row>
    <row r="4532" spans="1:6" x14ac:dyDescent="0.2">
      <c r="A4532" s="163"/>
      <c r="B4532" s="164"/>
      <c r="C4532" s="164"/>
      <c r="D4532" s="164"/>
      <c r="E4532" s="164"/>
      <c r="F4532" s="165"/>
    </row>
    <row r="4533" spans="1:6" x14ac:dyDescent="0.2">
      <c r="A4533" s="166"/>
      <c r="B4533" s="167"/>
      <c r="C4533" s="167"/>
      <c r="D4533" s="167"/>
      <c r="E4533" s="167"/>
      <c r="F4533" s="168"/>
    </row>
    <row r="4534" spans="1:6" x14ac:dyDescent="0.2">
      <c r="A4534" s="163"/>
      <c r="B4534" s="164"/>
      <c r="C4534" s="164"/>
      <c r="D4534" s="164"/>
      <c r="E4534" s="164"/>
      <c r="F4534" s="165"/>
    </row>
    <row r="4535" spans="1:6" x14ac:dyDescent="0.2">
      <c r="A4535" s="166"/>
      <c r="B4535" s="167"/>
      <c r="C4535" s="167"/>
      <c r="D4535" s="167"/>
      <c r="E4535" s="167"/>
      <c r="F4535" s="168"/>
    </row>
    <row r="4536" spans="1:6" x14ac:dyDescent="0.2">
      <c r="A4536" s="163"/>
      <c r="B4536" s="164"/>
      <c r="C4536" s="164"/>
      <c r="D4536" s="164"/>
      <c r="E4536" s="164"/>
      <c r="F4536" s="165"/>
    </row>
    <row r="4537" spans="1:6" x14ac:dyDescent="0.2">
      <c r="A4537" s="166"/>
      <c r="B4537" s="167"/>
      <c r="C4537" s="167"/>
      <c r="D4537" s="167"/>
      <c r="E4537" s="167"/>
      <c r="F4537" s="168"/>
    </row>
    <row r="4538" spans="1:6" x14ac:dyDescent="0.2">
      <c r="A4538" s="163"/>
      <c r="B4538" s="164"/>
      <c r="C4538" s="164"/>
      <c r="D4538" s="164"/>
      <c r="E4538" s="164"/>
      <c r="F4538" s="165"/>
    </row>
    <row r="4539" spans="1:6" x14ac:dyDescent="0.2">
      <c r="A4539" s="166"/>
      <c r="B4539" s="167"/>
      <c r="C4539" s="167"/>
      <c r="D4539" s="167"/>
      <c r="E4539" s="167"/>
      <c r="F4539" s="168"/>
    </row>
    <row r="4540" spans="1:6" x14ac:dyDescent="0.2">
      <c r="A4540" s="163"/>
      <c r="B4540" s="164"/>
      <c r="C4540" s="164"/>
      <c r="D4540" s="164"/>
      <c r="E4540" s="164"/>
      <c r="F4540" s="165"/>
    </row>
    <row r="4541" spans="1:6" x14ac:dyDescent="0.2">
      <c r="A4541" s="166"/>
      <c r="B4541" s="167"/>
      <c r="C4541" s="167"/>
      <c r="D4541" s="167"/>
      <c r="E4541" s="167"/>
      <c r="F4541" s="168"/>
    </row>
    <row r="4542" spans="1:6" x14ac:dyDescent="0.2">
      <c r="A4542" s="163"/>
      <c r="B4542" s="164"/>
      <c r="C4542" s="164"/>
      <c r="D4542" s="164"/>
      <c r="E4542" s="164"/>
      <c r="F4542" s="165"/>
    </row>
    <row r="4543" spans="1:6" x14ac:dyDescent="0.2">
      <c r="A4543" s="166"/>
      <c r="B4543" s="167"/>
      <c r="C4543" s="167"/>
      <c r="D4543" s="167"/>
      <c r="E4543" s="167"/>
      <c r="F4543" s="168"/>
    </row>
    <row r="4544" spans="1:6" x14ac:dyDescent="0.2">
      <c r="A4544" s="163"/>
      <c r="B4544" s="164"/>
      <c r="C4544" s="164"/>
      <c r="D4544" s="164"/>
      <c r="E4544" s="164"/>
      <c r="F4544" s="165"/>
    </row>
    <row r="4545" spans="1:6" x14ac:dyDescent="0.2">
      <c r="A4545" s="166"/>
      <c r="B4545" s="167"/>
      <c r="C4545" s="167"/>
      <c r="D4545" s="167"/>
      <c r="E4545" s="167"/>
      <c r="F4545" s="168"/>
    </row>
    <row r="4546" spans="1:6" x14ac:dyDescent="0.2">
      <c r="A4546" s="163"/>
      <c r="B4546" s="164"/>
      <c r="C4546" s="164"/>
      <c r="D4546" s="164"/>
      <c r="E4546" s="164"/>
      <c r="F4546" s="165"/>
    </row>
    <row r="4547" spans="1:6" x14ac:dyDescent="0.2">
      <c r="A4547" s="166"/>
      <c r="B4547" s="167"/>
      <c r="C4547" s="167"/>
      <c r="D4547" s="167"/>
      <c r="E4547" s="167"/>
      <c r="F4547" s="168"/>
    </row>
    <row r="4548" spans="1:6" x14ac:dyDescent="0.2">
      <c r="A4548" s="163"/>
      <c r="B4548" s="164"/>
      <c r="C4548" s="164"/>
      <c r="D4548" s="164"/>
      <c r="E4548" s="164"/>
      <c r="F4548" s="165"/>
    </row>
    <row r="4549" spans="1:6" x14ac:dyDescent="0.2">
      <c r="A4549" s="166"/>
      <c r="B4549" s="167"/>
      <c r="C4549" s="167"/>
      <c r="D4549" s="167"/>
      <c r="E4549" s="167"/>
      <c r="F4549" s="168"/>
    </row>
    <row r="4550" spans="1:6" x14ac:dyDescent="0.2">
      <c r="A4550" s="163"/>
      <c r="B4550" s="164"/>
      <c r="C4550" s="164"/>
      <c r="D4550" s="164"/>
      <c r="E4550" s="164"/>
      <c r="F4550" s="165"/>
    </row>
    <row r="4551" spans="1:6" x14ac:dyDescent="0.2">
      <c r="A4551" s="166"/>
      <c r="B4551" s="167"/>
      <c r="C4551" s="167"/>
      <c r="D4551" s="167"/>
      <c r="E4551" s="167"/>
      <c r="F4551" s="168"/>
    </row>
    <row r="4552" spans="1:6" x14ac:dyDescent="0.2">
      <c r="A4552" s="163"/>
      <c r="B4552" s="164"/>
      <c r="C4552" s="164"/>
      <c r="D4552" s="164"/>
      <c r="E4552" s="164"/>
      <c r="F4552" s="165"/>
    </row>
    <row r="4553" spans="1:6" x14ac:dyDescent="0.2">
      <c r="A4553" s="166"/>
      <c r="B4553" s="167"/>
      <c r="C4553" s="167"/>
      <c r="D4553" s="167"/>
      <c r="E4553" s="167"/>
      <c r="F4553" s="168"/>
    </row>
    <row r="4554" spans="1:6" x14ac:dyDescent="0.2">
      <c r="A4554" s="163"/>
      <c r="B4554" s="164"/>
      <c r="C4554" s="164"/>
      <c r="D4554" s="164"/>
      <c r="E4554" s="164"/>
      <c r="F4554" s="165"/>
    </row>
    <row r="4555" spans="1:6" x14ac:dyDescent="0.2">
      <c r="A4555" s="166"/>
      <c r="B4555" s="167"/>
      <c r="C4555" s="167"/>
      <c r="D4555" s="167"/>
      <c r="E4555" s="167"/>
      <c r="F4555" s="168"/>
    </row>
    <row r="4556" spans="1:6" x14ac:dyDescent="0.2">
      <c r="A4556" s="163"/>
      <c r="B4556" s="164"/>
      <c r="C4556" s="164"/>
      <c r="D4556" s="164"/>
      <c r="E4556" s="164"/>
      <c r="F4556" s="165"/>
    </row>
    <row r="4557" spans="1:6" x14ac:dyDescent="0.2">
      <c r="A4557" s="166"/>
      <c r="B4557" s="167"/>
      <c r="C4557" s="167"/>
      <c r="D4557" s="167"/>
      <c r="E4557" s="167"/>
      <c r="F4557" s="168"/>
    </row>
    <row r="4558" spans="1:6" x14ac:dyDescent="0.2">
      <c r="A4558" s="163"/>
      <c r="B4558" s="164"/>
      <c r="C4558" s="164"/>
      <c r="D4558" s="164"/>
      <c r="E4558" s="164"/>
      <c r="F4558" s="165"/>
    </row>
    <row r="4559" spans="1:6" x14ac:dyDescent="0.2">
      <c r="A4559" s="166"/>
      <c r="B4559" s="167"/>
      <c r="C4559" s="167"/>
      <c r="D4559" s="167"/>
      <c r="E4559" s="167"/>
      <c r="F4559" s="168"/>
    </row>
    <row r="4560" spans="1:6" x14ac:dyDescent="0.2">
      <c r="A4560" s="163"/>
      <c r="B4560" s="164"/>
      <c r="C4560" s="164"/>
      <c r="D4560" s="164"/>
      <c r="E4560" s="164"/>
      <c r="F4560" s="165"/>
    </row>
    <row r="4561" spans="1:6" x14ac:dyDescent="0.2">
      <c r="A4561" s="166"/>
      <c r="B4561" s="167"/>
      <c r="C4561" s="167"/>
      <c r="D4561" s="167"/>
      <c r="E4561" s="167"/>
      <c r="F4561" s="168"/>
    </row>
    <row r="4562" spans="1:6" x14ac:dyDescent="0.2">
      <c r="A4562" s="163"/>
      <c r="B4562" s="164"/>
      <c r="C4562" s="164"/>
      <c r="D4562" s="164"/>
      <c r="E4562" s="164"/>
      <c r="F4562" s="165"/>
    </row>
    <row r="4563" spans="1:6" x14ac:dyDescent="0.2">
      <c r="A4563" s="166"/>
      <c r="B4563" s="167"/>
      <c r="C4563" s="167"/>
      <c r="D4563" s="167"/>
      <c r="E4563" s="167"/>
      <c r="F4563" s="168"/>
    </row>
    <row r="4564" spans="1:6" x14ac:dyDescent="0.2">
      <c r="A4564" s="163"/>
      <c r="B4564" s="164"/>
      <c r="C4564" s="164"/>
      <c r="D4564" s="164"/>
      <c r="E4564" s="164"/>
      <c r="F4564" s="165"/>
    </row>
    <row r="4565" spans="1:6" x14ac:dyDescent="0.2">
      <c r="A4565" s="166"/>
      <c r="B4565" s="167"/>
      <c r="C4565" s="167"/>
      <c r="D4565" s="167"/>
      <c r="E4565" s="167"/>
      <c r="F4565" s="168"/>
    </row>
    <row r="4566" spans="1:6" x14ac:dyDescent="0.2">
      <c r="A4566" s="163"/>
      <c r="B4566" s="164"/>
      <c r="C4566" s="164"/>
      <c r="D4566" s="164"/>
      <c r="E4566" s="164"/>
      <c r="F4566" s="165"/>
    </row>
    <row r="4567" spans="1:6" x14ac:dyDescent="0.2">
      <c r="A4567" s="166"/>
      <c r="B4567" s="167"/>
      <c r="C4567" s="167"/>
      <c r="D4567" s="167"/>
      <c r="E4567" s="167"/>
      <c r="F4567" s="168"/>
    </row>
    <row r="4568" spans="1:6" x14ac:dyDescent="0.2">
      <c r="A4568" s="163"/>
      <c r="B4568" s="164"/>
      <c r="C4568" s="164"/>
      <c r="D4568" s="164"/>
      <c r="E4568" s="164"/>
      <c r="F4568" s="165"/>
    </row>
    <row r="4569" spans="1:6" x14ac:dyDescent="0.2">
      <c r="A4569" s="166"/>
      <c r="B4569" s="167"/>
      <c r="C4569" s="167"/>
      <c r="D4569" s="167"/>
      <c r="E4569" s="167"/>
      <c r="F4569" s="168"/>
    </row>
    <row r="4570" spans="1:6" x14ac:dyDescent="0.2">
      <c r="A4570" s="163"/>
      <c r="B4570" s="164"/>
      <c r="C4570" s="164"/>
      <c r="D4570" s="164"/>
      <c r="E4570" s="164"/>
      <c r="F4570" s="165"/>
    </row>
    <row r="4571" spans="1:6" x14ac:dyDescent="0.2">
      <c r="A4571" s="166"/>
      <c r="B4571" s="167"/>
      <c r="C4571" s="167"/>
      <c r="D4571" s="167"/>
      <c r="E4571" s="167"/>
      <c r="F4571" s="168"/>
    </row>
    <row r="4572" spans="1:6" x14ac:dyDescent="0.2">
      <c r="A4572" s="163"/>
      <c r="B4572" s="164"/>
      <c r="C4572" s="164"/>
      <c r="D4572" s="164"/>
      <c r="E4572" s="164"/>
      <c r="F4572" s="165"/>
    </row>
    <row r="4573" spans="1:6" x14ac:dyDescent="0.2">
      <c r="A4573" s="166"/>
      <c r="B4573" s="167"/>
      <c r="C4573" s="167"/>
      <c r="D4573" s="167"/>
      <c r="E4573" s="167"/>
      <c r="F4573" s="168"/>
    </row>
    <row r="4574" spans="1:6" x14ac:dyDescent="0.2">
      <c r="A4574" s="163"/>
      <c r="B4574" s="164"/>
      <c r="C4574" s="164"/>
      <c r="D4574" s="164"/>
      <c r="E4574" s="164"/>
      <c r="F4574" s="165"/>
    </row>
    <row r="4575" spans="1:6" x14ac:dyDescent="0.2">
      <c r="A4575" s="166"/>
      <c r="B4575" s="167"/>
      <c r="C4575" s="167"/>
      <c r="D4575" s="167"/>
      <c r="E4575" s="167"/>
      <c r="F4575" s="168"/>
    </row>
    <row r="4576" spans="1:6" x14ac:dyDescent="0.2">
      <c r="A4576" s="163"/>
      <c r="B4576" s="164"/>
      <c r="C4576" s="164"/>
      <c r="D4576" s="164"/>
      <c r="E4576" s="164"/>
      <c r="F4576" s="165"/>
    </row>
    <row r="4577" spans="1:6" x14ac:dyDescent="0.2">
      <c r="A4577" s="166"/>
      <c r="B4577" s="167"/>
      <c r="C4577" s="167"/>
      <c r="D4577" s="167"/>
      <c r="E4577" s="167"/>
      <c r="F4577" s="168"/>
    </row>
    <row r="4578" spans="1:6" x14ac:dyDescent="0.2">
      <c r="A4578" s="163"/>
      <c r="B4578" s="164"/>
      <c r="C4578" s="164"/>
      <c r="D4578" s="164"/>
      <c r="E4578" s="164"/>
      <c r="F4578" s="165"/>
    </row>
    <row r="4579" spans="1:6" x14ac:dyDescent="0.2">
      <c r="A4579" s="166"/>
      <c r="B4579" s="167"/>
      <c r="C4579" s="167"/>
      <c r="D4579" s="167"/>
      <c r="E4579" s="167"/>
      <c r="F4579" s="168"/>
    </row>
    <row r="4580" spans="1:6" x14ac:dyDescent="0.2">
      <c r="A4580" s="163"/>
      <c r="B4580" s="164"/>
      <c r="C4580" s="164"/>
      <c r="D4580" s="164"/>
      <c r="E4580" s="164"/>
      <c r="F4580" s="165"/>
    </row>
    <row r="4581" spans="1:6" x14ac:dyDescent="0.2">
      <c r="A4581" s="166"/>
      <c r="B4581" s="167"/>
      <c r="C4581" s="167"/>
      <c r="D4581" s="167"/>
      <c r="E4581" s="167"/>
      <c r="F4581" s="168"/>
    </row>
    <row r="4582" spans="1:6" x14ac:dyDescent="0.2">
      <c r="A4582" s="163"/>
      <c r="B4582" s="164"/>
      <c r="C4582" s="164"/>
      <c r="D4582" s="164"/>
      <c r="E4582" s="164"/>
      <c r="F4582" s="165"/>
    </row>
    <row r="4583" spans="1:6" x14ac:dyDescent="0.2">
      <c r="A4583" s="166"/>
      <c r="B4583" s="167"/>
      <c r="C4583" s="167"/>
      <c r="D4583" s="167"/>
      <c r="E4583" s="167"/>
      <c r="F4583" s="168"/>
    </row>
    <row r="4584" spans="1:6" x14ac:dyDescent="0.2">
      <c r="A4584" s="163"/>
      <c r="B4584" s="164"/>
      <c r="C4584" s="164"/>
      <c r="D4584" s="164"/>
      <c r="E4584" s="164"/>
      <c r="F4584" s="165"/>
    </row>
    <row r="4585" spans="1:6" x14ac:dyDescent="0.2">
      <c r="A4585" s="166"/>
      <c r="B4585" s="167"/>
      <c r="C4585" s="167"/>
      <c r="D4585" s="167"/>
      <c r="E4585" s="167"/>
      <c r="F4585" s="168"/>
    </row>
    <row r="4586" spans="1:6" x14ac:dyDescent="0.2">
      <c r="A4586" s="163"/>
      <c r="B4586" s="164"/>
      <c r="C4586" s="164"/>
      <c r="D4586" s="164"/>
      <c r="E4586" s="164"/>
      <c r="F4586" s="165"/>
    </row>
    <row r="4587" spans="1:6" x14ac:dyDescent="0.2">
      <c r="A4587" s="166"/>
      <c r="B4587" s="167"/>
      <c r="C4587" s="167"/>
      <c r="D4587" s="167"/>
      <c r="E4587" s="167"/>
      <c r="F4587" s="168"/>
    </row>
    <row r="4588" spans="1:6" x14ac:dyDescent="0.2">
      <c r="A4588" s="163"/>
      <c r="B4588" s="164"/>
      <c r="C4588" s="164"/>
      <c r="D4588" s="164"/>
      <c r="E4588" s="164"/>
      <c r="F4588" s="165"/>
    </row>
    <row r="4589" spans="1:6" x14ac:dyDescent="0.2">
      <c r="A4589" s="166"/>
      <c r="B4589" s="167"/>
      <c r="C4589" s="167"/>
      <c r="D4589" s="167"/>
      <c r="E4589" s="167"/>
      <c r="F4589" s="168"/>
    </row>
    <row r="4590" spans="1:6" x14ac:dyDescent="0.2">
      <c r="A4590" s="163"/>
      <c r="B4590" s="164"/>
      <c r="C4590" s="164"/>
      <c r="D4590" s="164"/>
      <c r="E4590" s="164"/>
      <c r="F4590" s="165"/>
    </row>
    <row r="4591" spans="1:6" x14ac:dyDescent="0.2">
      <c r="A4591" s="166"/>
      <c r="B4591" s="167"/>
      <c r="C4591" s="167"/>
      <c r="D4591" s="167"/>
      <c r="E4591" s="167"/>
      <c r="F4591" s="168"/>
    </row>
    <row r="4592" spans="1:6" x14ac:dyDescent="0.2">
      <c r="A4592" s="163"/>
      <c r="B4592" s="164"/>
      <c r="C4592" s="164"/>
      <c r="D4592" s="164"/>
      <c r="E4592" s="164"/>
      <c r="F4592" s="165"/>
    </row>
    <row r="4593" spans="1:6" x14ac:dyDescent="0.2">
      <c r="A4593" s="166"/>
      <c r="B4593" s="167"/>
      <c r="C4593" s="167"/>
      <c r="D4593" s="167"/>
      <c r="E4593" s="167"/>
      <c r="F4593" s="168"/>
    </row>
    <row r="4594" spans="1:6" x14ac:dyDescent="0.2">
      <c r="A4594" s="163"/>
      <c r="B4594" s="164"/>
      <c r="C4594" s="164"/>
      <c r="D4594" s="164"/>
      <c r="E4594" s="164"/>
      <c r="F4594" s="165"/>
    </row>
    <row r="4595" spans="1:6" x14ac:dyDescent="0.2">
      <c r="A4595" s="166"/>
      <c r="B4595" s="167"/>
      <c r="C4595" s="167"/>
      <c r="D4595" s="167"/>
      <c r="E4595" s="167"/>
      <c r="F4595" s="168"/>
    </row>
    <row r="4596" spans="1:6" x14ac:dyDescent="0.2">
      <c r="A4596" s="163"/>
      <c r="B4596" s="164"/>
      <c r="C4596" s="164"/>
      <c r="D4596" s="164"/>
      <c r="E4596" s="164"/>
      <c r="F4596" s="165"/>
    </row>
    <row r="4597" spans="1:6" x14ac:dyDescent="0.2">
      <c r="A4597" s="166"/>
      <c r="B4597" s="167"/>
      <c r="C4597" s="167"/>
      <c r="D4597" s="167"/>
      <c r="E4597" s="167"/>
      <c r="F4597" s="168"/>
    </row>
    <row r="4598" spans="1:6" x14ac:dyDescent="0.2">
      <c r="A4598" s="163"/>
      <c r="B4598" s="164"/>
      <c r="C4598" s="164"/>
      <c r="D4598" s="164"/>
      <c r="E4598" s="164"/>
      <c r="F4598" s="165"/>
    </row>
    <row r="4599" spans="1:6" x14ac:dyDescent="0.2">
      <c r="A4599" s="166"/>
      <c r="B4599" s="167"/>
      <c r="C4599" s="167"/>
      <c r="D4599" s="167"/>
      <c r="E4599" s="167"/>
      <c r="F4599" s="168"/>
    </row>
    <row r="4600" spans="1:6" x14ac:dyDescent="0.2">
      <c r="A4600" s="163"/>
      <c r="B4600" s="164"/>
      <c r="C4600" s="164"/>
      <c r="D4600" s="164"/>
      <c r="E4600" s="164"/>
      <c r="F4600" s="165"/>
    </row>
    <row r="4601" spans="1:6" x14ac:dyDescent="0.2">
      <c r="A4601" s="166"/>
      <c r="B4601" s="167"/>
      <c r="C4601" s="167"/>
      <c r="D4601" s="167"/>
      <c r="E4601" s="167"/>
      <c r="F4601" s="168"/>
    </row>
    <row r="4602" spans="1:6" x14ac:dyDescent="0.2">
      <c r="A4602" s="163"/>
      <c r="B4602" s="164"/>
      <c r="C4602" s="164"/>
      <c r="D4602" s="164"/>
      <c r="E4602" s="164"/>
      <c r="F4602" s="165"/>
    </row>
    <row r="4603" spans="1:6" x14ac:dyDescent="0.2">
      <c r="A4603" s="166"/>
      <c r="B4603" s="167"/>
      <c r="C4603" s="167"/>
      <c r="D4603" s="167"/>
      <c r="E4603" s="167"/>
      <c r="F4603" s="168"/>
    </row>
    <row r="4604" spans="1:6" x14ac:dyDescent="0.2">
      <c r="A4604" s="163"/>
      <c r="B4604" s="164"/>
      <c r="C4604" s="164"/>
      <c r="D4604" s="164"/>
      <c r="E4604" s="164"/>
      <c r="F4604" s="165"/>
    </row>
    <row r="4605" spans="1:6" x14ac:dyDescent="0.2">
      <c r="A4605" s="166"/>
      <c r="B4605" s="167"/>
      <c r="C4605" s="167"/>
      <c r="D4605" s="167"/>
      <c r="E4605" s="167"/>
      <c r="F4605" s="168"/>
    </row>
    <row r="4606" spans="1:6" x14ac:dyDescent="0.2">
      <c r="A4606" s="163"/>
      <c r="B4606" s="164"/>
      <c r="C4606" s="164"/>
      <c r="D4606" s="164"/>
      <c r="E4606" s="164"/>
      <c r="F4606" s="165"/>
    </row>
    <row r="4607" spans="1:6" x14ac:dyDescent="0.2">
      <c r="A4607" s="166"/>
      <c r="B4607" s="167"/>
      <c r="C4607" s="167"/>
      <c r="D4607" s="167"/>
      <c r="E4607" s="167"/>
      <c r="F4607" s="168"/>
    </row>
    <row r="4608" spans="1:6" x14ac:dyDescent="0.2">
      <c r="A4608" s="163"/>
      <c r="B4608" s="164"/>
      <c r="C4608" s="164"/>
      <c r="D4608" s="164"/>
      <c r="E4608" s="164"/>
      <c r="F4608" s="165"/>
    </row>
    <row r="4609" spans="1:6" x14ac:dyDescent="0.2">
      <c r="A4609" s="166"/>
      <c r="B4609" s="167"/>
      <c r="C4609" s="167"/>
      <c r="D4609" s="167"/>
      <c r="E4609" s="167"/>
      <c r="F4609" s="168"/>
    </row>
    <row r="4610" spans="1:6" x14ac:dyDescent="0.2">
      <c r="A4610" s="163"/>
      <c r="B4610" s="164"/>
      <c r="C4610" s="164"/>
      <c r="D4610" s="164"/>
      <c r="E4610" s="164"/>
      <c r="F4610" s="165"/>
    </row>
    <row r="4611" spans="1:6" x14ac:dyDescent="0.2">
      <c r="A4611" s="166"/>
      <c r="B4611" s="167"/>
      <c r="C4611" s="167"/>
      <c r="D4611" s="167"/>
      <c r="E4611" s="167"/>
      <c r="F4611" s="168"/>
    </row>
    <row r="4612" spans="1:6" x14ac:dyDescent="0.2">
      <c r="A4612" s="163"/>
      <c r="B4612" s="164"/>
      <c r="C4612" s="164"/>
      <c r="D4612" s="164"/>
      <c r="E4612" s="164"/>
      <c r="F4612" s="165"/>
    </row>
    <row r="4613" spans="1:6" x14ac:dyDescent="0.2">
      <c r="A4613" s="166"/>
      <c r="B4613" s="167"/>
      <c r="C4613" s="167"/>
      <c r="D4613" s="167"/>
      <c r="E4613" s="167"/>
      <c r="F4613" s="168"/>
    </row>
    <row r="4614" spans="1:6" x14ac:dyDescent="0.2">
      <c r="A4614" s="163"/>
      <c r="B4614" s="164"/>
      <c r="C4614" s="164"/>
      <c r="D4614" s="164"/>
      <c r="E4614" s="164"/>
      <c r="F4614" s="165"/>
    </row>
    <row r="4615" spans="1:6" x14ac:dyDescent="0.2">
      <c r="A4615" s="166"/>
      <c r="B4615" s="167"/>
      <c r="C4615" s="167"/>
      <c r="D4615" s="167"/>
      <c r="E4615" s="167"/>
      <c r="F4615" s="168"/>
    </row>
    <row r="4616" spans="1:6" x14ac:dyDescent="0.2">
      <c r="A4616" s="163"/>
      <c r="B4616" s="164"/>
      <c r="C4616" s="164"/>
      <c r="D4616" s="164"/>
      <c r="E4616" s="164"/>
      <c r="F4616" s="165"/>
    </row>
    <row r="4617" spans="1:6" x14ac:dyDescent="0.2">
      <c r="A4617" s="166"/>
      <c r="B4617" s="167"/>
      <c r="C4617" s="167"/>
      <c r="D4617" s="167"/>
      <c r="E4617" s="167"/>
      <c r="F4617" s="168"/>
    </row>
    <row r="4618" spans="1:6" x14ac:dyDescent="0.2">
      <c r="A4618" s="163"/>
      <c r="B4618" s="164"/>
      <c r="C4618" s="164"/>
      <c r="D4618" s="164"/>
      <c r="E4618" s="164"/>
      <c r="F4618" s="165"/>
    </row>
    <row r="4619" spans="1:6" x14ac:dyDescent="0.2">
      <c r="A4619" s="166"/>
      <c r="B4619" s="167"/>
      <c r="C4619" s="167"/>
      <c r="D4619" s="167"/>
      <c r="E4619" s="167"/>
      <c r="F4619" s="168"/>
    </row>
    <row r="4620" spans="1:6" x14ac:dyDescent="0.2">
      <c r="A4620" s="163"/>
      <c r="B4620" s="164"/>
      <c r="C4620" s="164"/>
      <c r="D4620" s="164"/>
      <c r="E4620" s="164"/>
      <c r="F4620" s="165"/>
    </row>
    <row r="4621" spans="1:6" x14ac:dyDescent="0.2">
      <c r="A4621" s="166"/>
      <c r="B4621" s="167"/>
      <c r="C4621" s="167"/>
      <c r="D4621" s="167"/>
      <c r="E4621" s="167"/>
      <c r="F4621" s="168"/>
    </row>
    <row r="4622" spans="1:6" x14ac:dyDescent="0.2">
      <c r="A4622" s="163"/>
      <c r="B4622" s="164"/>
      <c r="C4622" s="164"/>
      <c r="D4622" s="164"/>
      <c r="E4622" s="164"/>
      <c r="F4622" s="165"/>
    </row>
    <row r="4623" spans="1:6" x14ac:dyDescent="0.2">
      <c r="A4623" s="166"/>
      <c r="B4623" s="167"/>
      <c r="C4623" s="167"/>
      <c r="D4623" s="167"/>
      <c r="E4623" s="167"/>
      <c r="F4623" s="168"/>
    </row>
    <row r="4624" spans="1:6" x14ac:dyDescent="0.2">
      <c r="A4624" s="163"/>
      <c r="B4624" s="164"/>
      <c r="C4624" s="164"/>
      <c r="D4624" s="164"/>
      <c r="E4624" s="164"/>
      <c r="F4624" s="165"/>
    </row>
    <row r="4625" spans="1:6" x14ac:dyDescent="0.2">
      <c r="A4625" s="166"/>
      <c r="B4625" s="167"/>
      <c r="C4625" s="167"/>
      <c r="D4625" s="167"/>
      <c r="E4625" s="167"/>
      <c r="F4625" s="168"/>
    </row>
    <row r="4626" spans="1:6" x14ac:dyDescent="0.2">
      <c r="A4626" s="163"/>
      <c r="B4626" s="164"/>
      <c r="C4626" s="164"/>
      <c r="D4626" s="164"/>
      <c r="E4626" s="164"/>
      <c r="F4626" s="165"/>
    </row>
    <row r="4627" spans="1:6" x14ac:dyDescent="0.2">
      <c r="A4627" s="166"/>
      <c r="B4627" s="167"/>
      <c r="C4627" s="167"/>
      <c r="D4627" s="167"/>
      <c r="E4627" s="167"/>
      <c r="F4627" s="168"/>
    </row>
    <row r="4628" spans="1:6" x14ac:dyDescent="0.2">
      <c r="A4628" s="163"/>
      <c r="B4628" s="164"/>
      <c r="C4628" s="164"/>
      <c r="D4628" s="164"/>
      <c r="E4628" s="164"/>
      <c r="F4628" s="165"/>
    </row>
    <row r="4629" spans="1:6" x14ac:dyDescent="0.2">
      <c r="A4629" s="166"/>
      <c r="B4629" s="167"/>
      <c r="C4629" s="167"/>
      <c r="D4629" s="167"/>
      <c r="E4629" s="167"/>
      <c r="F4629" s="168"/>
    </row>
    <row r="4630" spans="1:6" x14ac:dyDescent="0.2">
      <c r="A4630" s="163"/>
      <c r="B4630" s="164"/>
      <c r="C4630" s="164"/>
      <c r="D4630" s="164"/>
      <c r="E4630" s="164"/>
      <c r="F4630" s="165"/>
    </row>
    <row r="4631" spans="1:6" x14ac:dyDescent="0.2">
      <c r="A4631" s="166"/>
      <c r="B4631" s="167"/>
      <c r="C4631" s="167"/>
      <c r="D4631" s="167"/>
      <c r="E4631" s="167"/>
      <c r="F4631" s="168"/>
    </row>
    <row r="4632" spans="1:6" x14ac:dyDescent="0.2">
      <c r="A4632" s="163"/>
      <c r="B4632" s="164"/>
      <c r="C4632" s="164"/>
      <c r="D4632" s="164"/>
      <c r="E4632" s="164"/>
      <c r="F4632" s="165"/>
    </row>
    <row r="4633" spans="1:6" x14ac:dyDescent="0.2">
      <c r="A4633" s="166"/>
      <c r="B4633" s="167"/>
      <c r="C4633" s="167"/>
      <c r="D4633" s="167"/>
      <c r="E4633" s="167"/>
      <c r="F4633" s="168"/>
    </row>
    <row r="4634" spans="1:6" x14ac:dyDescent="0.2">
      <c r="A4634" s="163"/>
      <c r="B4634" s="164"/>
      <c r="C4634" s="164"/>
      <c r="D4634" s="164"/>
      <c r="E4634" s="164"/>
      <c r="F4634" s="165"/>
    </row>
    <row r="4635" spans="1:6" x14ac:dyDescent="0.2">
      <c r="A4635" s="166"/>
      <c r="B4635" s="167"/>
      <c r="C4635" s="167"/>
      <c r="D4635" s="167"/>
      <c r="E4635" s="167"/>
      <c r="F4635" s="168"/>
    </row>
    <row r="4636" spans="1:6" x14ac:dyDescent="0.2">
      <c r="A4636" s="163"/>
      <c r="B4636" s="164"/>
      <c r="C4636" s="164"/>
      <c r="D4636" s="164"/>
      <c r="E4636" s="164"/>
      <c r="F4636" s="165"/>
    </row>
    <row r="4637" spans="1:6" x14ac:dyDescent="0.2">
      <c r="A4637" s="166"/>
      <c r="B4637" s="167"/>
      <c r="C4637" s="167"/>
      <c r="D4637" s="167"/>
      <c r="E4637" s="167"/>
      <c r="F4637" s="168"/>
    </row>
    <row r="4638" spans="1:6" x14ac:dyDescent="0.2">
      <c r="A4638" s="163"/>
      <c r="B4638" s="164"/>
      <c r="C4638" s="164"/>
      <c r="D4638" s="164"/>
      <c r="E4638" s="164"/>
      <c r="F4638" s="165"/>
    </row>
    <row r="4639" spans="1:6" x14ac:dyDescent="0.2">
      <c r="A4639" s="166"/>
      <c r="B4639" s="167"/>
      <c r="C4639" s="167"/>
      <c r="D4639" s="167"/>
      <c r="E4639" s="167"/>
      <c r="F4639" s="168"/>
    </row>
    <row r="4640" spans="1:6" x14ac:dyDescent="0.2">
      <c r="A4640" s="163"/>
      <c r="B4640" s="164"/>
      <c r="C4640" s="164"/>
      <c r="D4640" s="164"/>
      <c r="E4640" s="164"/>
      <c r="F4640" s="165"/>
    </row>
    <row r="4641" spans="1:6" x14ac:dyDescent="0.2">
      <c r="A4641" s="166"/>
      <c r="B4641" s="167"/>
      <c r="C4641" s="167"/>
      <c r="D4641" s="167"/>
      <c r="E4641" s="167"/>
      <c r="F4641" s="168"/>
    </row>
    <row r="4642" spans="1:6" x14ac:dyDescent="0.2">
      <c r="A4642" s="163"/>
      <c r="B4642" s="164"/>
      <c r="C4642" s="164"/>
      <c r="D4642" s="164"/>
      <c r="E4642" s="164"/>
      <c r="F4642" s="165"/>
    </row>
    <row r="4643" spans="1:6" x14ac:dyDescent="0.2">
      <c r="A4643" s="166"/>
      <c r="B4643" s="167"/>
      <c r="C4643" s="167"/>
      <c r="D4643" s="167"/>
      <c r="E4643" s="167"/>
      <c r="F4643" s="168"/>
    </row>
    <row r="4644" spans="1:6" x14ac:dyDescent="0.2">
      <c r="A4644" s="163"/>
      <c r="B4644" s="164"/>
      <c r="C4644" s="164"/>
      <c r="D4644" s="164"/>
      <c r="E4644" s="164"/>
      <c r="F4644" s="165"/>
    </row>
    <row r="4645" spans="1:6" x14ac:dyDescent="0.2">
      <c r="A4645" s="166"/>
      <c r="B4645" s="167"/>
      <c r="C4645" s="167"/>
      <c r="D4645" s="167"/>
      <c r="E4645" s="167"/>
      <c r="F4645" s="168"/>
    </row>
    <row r="4646" spans="1:6" x14ac:dyDescent="0.2">
      <c r="A4646" s="163"/>
      <c r="B4646" s="164"/>
      <c r="C4646" s="164"/>
      <c r="D4646" s="164"/>
      <c r="E4646" s="164"/>
      <c r="F4646" s="165"/>
    </row>
    <row r="4647" spans="1:6" x14ac:dyDescent="0.2">
      <c r="A4647" s="166"/>
      <c r="B4647" s="167"/>
      <c r="C4647" s="167"/>
      <c r="D4647" s="167"/>
      <c r="E4647" s="167"/>
      <c r="F4647" s="168"/>
    </row>
    <row r="4648" spans="1:6" x14ac:dyDescent="0.2">
      <c r="A4648" s="163"/>
      <c r="B4648" s="164"/>
      <c r="C4648" s="164"/>
      <c r="D4648" s="164"/>
      <c r="E4648" s="164"/>
      <c r="F4648" s="165"/>
    </row>
    <row r="4649" spans="1:6" x14ac:dyDescent="0.2">
      <c r="A4649" s="166"/>
      <c r="B4649" s="167"/>
      <c r="C4649" s="167"/>
      <c r="D4649" s="167"/>
      <c r="E4649" s="167"/>
      <c r="F4649" s="168"/>
    </row>
    <row r="4650" spans="1:6" x14ac:dyDescent="0.2">
      <c r="A4650" s="163"/>
      <c r="B4650" s="164"/>
      <c r="C4650" s="164"/>
      <c r="D4650" s="164"/>
      <c r="E4650" s="164"/>
      <c r="F4650" s="165"/>
    </row>
    <row r="4651" spans="1:6" x14ac:dyDescent="0.2">
      <c r="A4651" s="166"/>
      <c r="B4651" s="167"/>
      <c r="C4651" s="167"/>
      <c r="D4651" s="167"/>
      <c r="E4651" s="167"/>
      <c r="F4651" s="168"/>
    </row>
    <row r="4652" spans="1:6" x14ac:dyDescent="0.2">
      <c r="A4652" s="163"/>
      <c r="B4652" s="164"/>
      <c r="C4652" s="164"/>
      <c r="D4652" s="164"/>
      <c r="E4652" s="164"/>
      <c r="F4652" s="165"/>
    </row>
    <row r="4653" spans="1:6" x14ac:dyDescent="0.2">
      <c r="A4653" s="166"/>
      <c r="B4653" s="167"/>
      <c r="C4653" s="167"/>
      <c r="D4653" s="167"/>
      <c r="E4653" s="167"/>
      <c r="F4653" s="168"/>
    </row>
    <row r="4654" spans="1:6" x14ac:dyDescent="0.2">
      <c r="A4654" s="163"/>
      <c r="B4654" s="164"/>
      <c r="C4654" s="164"/>
      <c r="D4654" s="164"/>
      <c r="E4654" s="164"/>
      <c r="F4654" s="165"/>
    </row>
    <row r="4655" spans="1:6" x14ac:dyDescent="0.2">
      <c r="A4655" s="166"/>
      <c r="B4655" s="167"/>
      <c r="C4655" s="167"/>
      <c r="D4655" s="167"/>
      <c r="E4655" s="167"/>
      <c r="F4655" s="168"/>
    </row>
    <row r="4656" spans="1:6" x14ac:dyDescent="0.2">
      <c r="A4656" s="163"/>
      <c r="B4656" s="164"/>
      <c r="C4656" s="164"/>
      <c r="D4656" s="164"/>
      <c r="E4656" s="164"/>
      <c r="F4656" s="165"/>
    </row>
    <row r="4657" spans="1:6" x14ac:dyDescent="0.2">
      <c r="A4657" s="166"/>
      <c r="B4657" s="167"/>
      <c r="C4657" s="167"/>
      <c r="D4657" s="167"/>
      <c r="E4657" s="167"/>
      <c r="F4657" s="168"/>
    </row>
    <row r="4658" spans="1:6" x14ac:dyDescent="0.2">
      <c r="A4658" s="163"/>
      <c r="B4658" s="164"/>
      <c r="C4658" s="164"/>
      <c r="D4658" s="164"/>
      <c r="E4658" s="164"/>
      <c r="F4658" s="165"/>
    </row>
    <row r="4659" spans="1:6" x14ac:dyDescent="0.2">
      <c r="A4659" s="166"/>
      <c r="B4659" s="167"/>
      <c r="C4659" s="167"/>
      <c r="D4659" s="167"/>
      <c r="E4659" s="167"/>
      <c r="F4659" s="168"/>
    </row>
    <row r="4660" spans="1:6" x14ac:dyDescent="0.2">
      <c r="A4660" s="163"/>
      <c r="B4660" s="164"/>
      <c r="C4660" s="164"/>
      <c r="D4660" s="164"/>
      <c r="E4660" s="164"/>
      <c r="F4660" s="165"/>
    </row>
    <row r="4661" spans="1:6" x14ac:dyDescent="0.2">
      <c r="A4661" s="166"/>
      <c r="B4661" s="167"/>
      <c r="C4661" s="167"/>
      <c r="D4661" s="167"/>
      <c r="E4661" s="167"/>
      <c r="F4661" s="168"/>
    </row>
    <row r="4662" spans="1:6" x14ac:dyDescent="0.2">
      <c r="A4662" s="163"/>
      <c r="B4662" s="164"/>
      <c r="C4662" s="164"/>
      <c r="D4662" s="164"/>
      <c r="E4662" s="164"/>
      <c r="F4662" s="165"/>
    </row>
    <row r="4663" spans="1:6" x14ac:dyDescent="0.2">
      <c r="A4663" s="166"/>
      <c r="B4663" s="167"/>
      <c r="C4663" s="167"/>
      <c r="D4663" s="167"/>
      <c r="E4663" s="167"/>
      <c r="F4663" s="168"/>
    </row>
    <row r="4664" spans="1:6" x14ac:dyDescent="0.2">
      <c r="A4664" s="163"/>
      <c r="B4664" s="164"/>
      <c r="C4664" s="164"/>
      <c r="D4664" s="164"/>
      <c r="E4664" s="164"/>
      <c r="F4664" s="165"/>
    </row>
    <row r="4665" spans="1:6" x14ac:dyDescent="0.2">
      <c r="A4665" s="166"/>
      <c r="B4665" s="167"/>
      <c r="C4665" s="167"/>
      <c r="D4665" s="167"/>
      <c r="E4665" s="167"/>
      <c r="F4665" s="168"/>
    </row>
    <row r="4666" spans="1:6" x14ac:dyDescent="0.2">
      <c r="A4666" s="163"/>
      <c r="B4666" s="164"/>
      <c r="C4666" s="164"/>
      <c r="D4666" s="164"/>
      <c r="E4666" s="164"/>
      <c r="F4666" s="165"/>
    </row>
    <row r="4667" spans="1:6" x14ac:dyDescent="0.2">
      <c r="A4667" s="166"/>
      <c r="B4667" s="167"/>
      <c r="C4667" s="167"/>
      <c r="D4667" s="167"/>
      <c r="E4667" s="167"/>
      <c r="F4667" s="168"/>
    </row>
    <row r="4668" spans="1:6" x14ac:dyDescent="0.2">
      <c r="A4668" s="163"/>
      <c r="B4668" s="164"/>
      <c r="C4668" s="164"/>
      <c r="D4668" s="164"/>
      <c r="E4668" s="164"/>
      <c r="F4668" s="165"/>
    </row>
    <row r="4669" spans="1:6" x14ac:dyDescent="0.2">
      <c r="A4669" s="166"/>
      <c r="B4669" s="167"/>
      <c r="C4669" s="167"/>
      <c r="D4669" s="167"/>
      <c r="E4669" s="167"/>
      <c r="F4669" s="168"/>
    </row>
    <row r="4670" spans="1:6" x14ac:dyDescent="0.2">
      <c r="A4670" s="163"/>
      <c r="B4670" s="164"/>
      <c r="C4670" s="164"/>
      <c r="D4670" s="164"/>
      <c r="E4670" s="164"/>
      <c r="F4670" s="165"/>
    </row>
    <row r="4671" spans="1:6" x14ac:dyDescent="0.2">
      <c r="A4671" s="166"/>
      <c r="B4671" s="167"/>
      <c r="C4671" s="167"/>
      <c r="D4671" s="167"/>
      <c r="E4671" s="167"/>
      <c r="F4671" s="168"/>
    </row>
    <row r="4672" spans="1:6" x14ac:dyDescent="0.2">
      <c r="A4672" s="163"/>
      <c r="B4672" s="164"/>
      <c r="C4672" s="164"/>
      <c r="D4672" s="164"/>
      <c r="E4672" s="164"/>
      <c r="F4672" s="165"/>
    </row>
    <row r="4673" spans="1:6" x14ac:dyDescent="0.2">
      <c r="A4673" s="166"/>
      <c r="B4673" s="167"/>
      <c r="C4673" s="167"/>
      <c r="D4673" s="167"/>
      <c r="E4673" s="167"/>
      <c r="F4673" s="168"/>
    </row>
    <row r="4674" spans="1:6" x14ac:dyDescent="0.2">
      <c r="A4674" s="163"/>
      <c r="B4674" s="164"/>
      <c r="C4674" s="164"/>
      <c r="D4674" s="164"/>
      <c r="E4674" s="164"/>
      <c r="F4674" s="165"/>
    </row>
    <row r="4675" spans="1:6" x14ac:dyDescent="0.2">
      <c r="A4675" s="166"/>
      <c r="B4675" s="167"/>
      <c r="C4675" s="167"/>
      <c r="D4675" s="167"/>
      <c r="E4675" s="167"/>
      <c r="F4675" s="168"/>
    </row>
    <row r="4676" spans="1:6" x14ac:dyDescent="0.2">
      <c r="A4676" s="163"/>
      <c r="B4676" s="164"/>
      <c r="C4676" s="164"/>
      <c r="D4676" s="164"/>
      <c r="E4676" s="164"/>
      <c r="F4676" s="165"/>
    </row>
    <row r="4677" spans="1:6" x14ac:dyDescent="0.2">
      <c r="A4677" s="166"/>
      <c r="B4677" s="167"/>
      <c r="C4677" s="167"/>
      <c r="D4677" s="167"/>
      <c r="E4677" s="167"/>
      <c r="F4677" s="168"/>
    </row>
    <row r="4678" spans="1:6" x14ac:dyDescent="0.2">
      <c r="A4678" s="163"/>
      <c r="B4678" s="164"/>
      <c r="C4678" s="164"/>
      <c r="D4678" s="164"/>
      <c r="E4678" s="164"/>
      <c r="F4678" s="165"/>
    </row>
    <row r="4679" spans="1:6" x14ac:dyDescent="0.2">
      <c r="A4679" s="166"/>
      <c r="B4679" s="167"/>
      <c r="C4679" s="167"/>
      <c r="D4679" s="167"/>
      <c r="E4679" s="167"/>
      <c r="F4679" s="168"/>
    </row>
    <row r="4680" spans="1:6" x14ac:dyDescent="0.2">
      <c r="A4680" s="163"/>
      <c r="B4680" s="164"/>
      <c r="C4680" s="164"/>
      <c r="D4680" s="164"/>
      <c r="E4680" s="164"/>
      <c r="F4680" s="165"/>
    </row>
    <row r="4681" spans="1:6" x14ac:dyDescent="0.2">
      <c r="A4681" s="166"/>
      <c r="B4681" s="167"/>
      <c r="C4681" s="167"/>
      <c r="D4681" s="167"/>
      <c r="E4681" s="167"/>
      <c r="F4681" s="168"/>
    </row>
    <row r="4682" spans="1:6" x14ac:dyDescent="0.2">
      <c r="A4682" s="163"/>
      <c r="B4682" s="164"/>
      <c r="C4682" s="164"/>
      <c r="D4682" s="164"/>
      <c r="E4682" s="164"/>
      <c r="F4682" s="165"/>
    </row>
    <row r="4683" spans="1:6" x14ac:dyDescent="0.2">
      <c r="A4683" s="166"/>
      <c r="B4683" s="167"/>
      <c r="C4683" s="167"/>
      <c r="D4683" s="167"/>
      <c r="E4683" s="167"/>
      <c r="F4683" s="168"/>
    </row>
    <row r="4684" spans="1:6" x14ac:dyDescent="0.2">
      <c r="A4684" s="163"/>
      <c r="B4684" s="164"/>
      <c r="C4684" s="164"/>
      <c r="D4684" s="164"/>
      <c r="E4684" s="164"/>
      <c r="F4684" s="165"/>
    </row>
    <row r="4685" spans="1:6" x14ac:dyDescent="0.2">
      <c r="A4685" s="166"/>
      <c r="B4685" s="167"/>
      <c r="C4685" s="167"/>
      <c r="D4685" s="167"/>
      <c r="E4685" s="167"/>
      <c r="F4685" s="168"/>
    </row>
    <row r="4686" spans="1:6" x14ac:dyDescent="0.2">
      <c r="A4686" s="163"/>
      <c r="B4686" s="164"/>
      <c r="C4686" s="164"/>
      <c r="D4686" s="164"/>
      <c r="E4686" s="164"/>
      <c r="F4686" s="165"/>
    </row>
    <row r="4687" spans="1:6" x14ac:dyDescent="0.2">
      <c r="A4687" s="166"/>
      <c r="B4687" s="167"/>
      <c r="C4687" s="167"/>
      <c r="D4687" s="167"/>
      <c r="E4687" s="167"/>
      <c r="F4687" s="168"/>
    </row>
    <row r="4688" spans="1:6" x14ac:dyDescent="0.2">
      <c r="A4688" s="163"/>
      <c r="B4688" s="164"/>
      <c r="C4688" s="164"/>
      <c r="D4688" s="164"/>
      <c r="E4688" s="164"/>
      <c r="F4688" s="165"/>
    </row>
    <row r="4689" spans="1:6" x14ac:dyDescent="0.2">
      <c r="A4689" s="166"/>
      <c r="B4689" s="167"/>
      <c r="C4689" s="167"/>
      <c r="D4689" s="167"/>
      <c r="E4689" s="167"/>
      <c r="F4689" s="168"/>
    </row>
    <row r="4690" spans="1:6" x14ac:dyDescent="0.2">
      <c r="A4690" s="163"/>
      <c r="B4690" s="164"/>
      <c r="C4690" s="164"/>
      <c r="D4690" s="164"/>
      <c r="E4690" s="164"/>
      <c r="F4690" s="165"/>
    </row>
    <row r="4691" spans="1:6" x14ac:dyDescent="0.2">
      <c r="A4691" s="166"/>
      <c r="B4691" s="167"/>
      <c r="C4691" s="167"/>
      <c r="D4691" s="167"/>
      <c r="E4691" s="167"/>
      <c r="F4691" s="168"/>
    </row>
    <row r="4692" spans="1:6" x14ac:dyDescent="0.2">
      <c r="A4692" s="163"/>
      <c r="B4692" s="164"/>
      <c r="C4692" s="164"/>
      <c r="D4692" s="164"/>
      <c r="E4692" s="164"/>
      <c r="F4692" s="165"/>
    </row>
    <row r="4693" spans="1:6" x14ac:dyDescent="0.2">
      <c r="A4693" s="166"/>
      <c r="B4693" s="167"/>
      <c r="C4693" s="167"/>
      <c r="D4693" s="167"/>
      <c r="E4693" s="167"/>
      <c r="F4693" s="168"/>
    </row>
    <row r="4694" spans="1:6" x14ac:dyDescent="0.2">
      <c r="A4694" s="163"/>
      <c r="B4694" s="164"/>
      <c r="C4694" s="164"/>
      <c r="D4694" s="164"/>
      <c r="E4694" s="164"/>
      <c r="F4694" s="165"/>
    </row>
    <row r="4695" spans="1:6" x14ac:dyDescent="0.2">
      <c r="A4695" s="166"/>
      <c r="B4695" s="167"/>
      <c r="C4695" s="167"/>
      <c r="D4695" s="167"/>
      <c r="E4695" s="167"/>
      <c r="F4695" s="168"/>
    </row>
    <row r="4696" spans="1:6" x14ac:dyDescent="0.2">
      <c r="A4696" s="163"/>
      <c r="B4696" s="164"/>
      <c r="C4696" s="164"/>
      <c r="D4696" s="164"/>
      <c r="E4696" s="164"/>
      <c r="F4696" s="165"/>
    </row>
    <row r="4697" spans="1:6" x14ac:dyDescent="0.2">
      <c r="A4697" s="166"/>
      <c r="B4697" s="167"/>
      <c r="C4697" s="167"/>
      <c r="D4697" s="167"/>
      <c r="E4697" s="167"/>
      <c r="F4697" s="168"/>
    </row>
    <row r="4698" spans="1:6" x14ac:dyDescent="0.2">
      <c r="A4698" s="163"/>
      <c r="B4698" s="164"/>
      <c r="C4698" s="164"/>
      <c r="D4698" s="164"/>
      <c r="E4698" s="164"/>
      <c r="F4698" s="165"/>
    </row>
    <row r="4699" spans="1:6" x14ac:dyDescent="0.2">
      <c r="A4699" s="166"/>
      <c r="B4699" s="167"/>
      <c r="C4699" s="167"/>
      <c r="D4699" s="167"/>
      <c r="E4699" s="167"/>
      <c r="F4699" s="168"/>
    </row>
    <row r="4700" spans="1:6" x14ac:dyDescent="0.2">
      <c r="A4700" s="163"/>
      <c r="B4700" s="164"/>
      <c r="C4700" s="164"/>
      <c r="D4700" s="164"/>
      <c r="E4700" s="164"/>
      <c r="F4700" s="165"/>
    </row>
    <row r="4701" spans="1:6" x14ac:dyDescent="0.2">
      <c r="A4701" s="166"/>
      <c r="B4701" s="167"/>
      <c r="C4701" s="167"/>
      <c r="D4701" s="167"/>
      <c r="E4701" s="167"/>
      <c r="F4701" s="168"/>
    </row>
    <row r="4702" spans="1:6" x14ac:dyDescent="0.2">
      <c r="A4702" s="163"/>
      <c r="B4702" s="164"/>
      <c r="C4702" s="164"/>
      <c r="D4702" s="164"/>
      <c r="E4702" s="164"/>
      <c r="F4702" s="165"/>
    </row>
    <row r="4703" spans="1:6" x14ac:dyDescent="0.2">
      <c r="A4703" s="166"/>
      <c r="B4703" s="167"/>
      <c r="C4703" s="167"/>
      <c r="D4703" s="167"/>
      <c r="E4703" s="167"/>
      <c r="F4703" s="168"/>
    </row>
    <row r="4704" spans="1:6" x14ac:dyDescent="0.2">
      <c r="A4704" s="163"/>
      <c r="B4704" s="164"/>
      <c r="C4704" s="164"/>
      <c r="D4704" s="164"/>
      <c r="E4704" s="164"/>
      <c r="F4704" s="165"/>
    </row>
    <row r="4705" spans="1:6" x14ac:dyDescent="0.2">
      <c r="A4705" s="166"/>
      <c r="B4705" s="167"/>
      <c r="C4705" s="167"/>
      <c r="D4705" s="167"/>
      <c r="E4705" s="167"/>
      <c r="F4705" s="168"/>
    </row>
    <row r="4706" spans="1:6" x14ac:dyDescent="0.2">
      <c r="A4706" s="163"/>
      <c r="B4706" s="164"/>
      <c r="C4706" s="164"/>
      <c r="D4706" s="164"/>
      <c r="E4706" s="164"/>
      <c r="F4706" s="165"/>
    </row>
    <row r="4707" spans="1:6" x14ac:dyDescent="0.2">
      <c r="A4707" s="166"/>
      <c r="B4707" s="167"/>
      <c r="C4707" s="167"/>
      <c r="D4707" s="167"/>
      <c r="E4707" s="167"/>
      <c r="F4707" s="168"/>
    </row>
    <row r="4708" spans="1:6" x14ac:dyDescent="0.2">
      <c r="A4708" s="163"/>
      <c r="B4708" s="164"/>
      <c r="C4708" s="164"/>
      <c r="D4708" s="164"/>
      <c r="E4708" s="164"/>
      <c r="F4708" s="165"/>
    </row>
    <row r="4709" spans="1:6" x14ac:dyDescent="0.2">
      <c r="A4709" s="166"/>
      <c r="B4709" s="167"/>
      <c r="C4709" s="167"/>
      <c r="D4709" s="167"/>
      <c r="E4709" s="167"/>
      <c r="F4709" s="168"/>
    </row>
    <row r="4710" spans="1:6" x14ac:dyDescent="0.2">
      <c r="A4710" s="163"/>
      <c r="B4710" s="164"/>
      <c r="C4710" s="164"/>
      <c r="D4710" s="164"/>
      <c r="E4710" s="164"/>
      <c r="F4710" s="165"/>
    </row>
    <row r="4711" spans="1:6" x14ac:dyDescent="0.2">
      <c r="A4711" s="166"/>
      <c r="B4711" s="167"/>
      <c r="C4711" s="167"/>
      <c r="D4711" s="167"/>
      <c r="E4711" s="167"/>
      <c r="F4711" s="168"/>
    </row>
    <row r="4712" spans="1:6" x14ac:dyDescent="0.2">
      <c r="A4712" s="163"/>
      <c r="B4712" s="164"/>
      <c r="C4712" s="164"/>
      <c r="D4712" s="164"/>
      <c r="E4712" s="164"/>
      <c r="F4712" s="165"/>
    </row>
    <row r="4713" spans="1:6" x14ac:dyDescent="0.2">
      <c r="A4713" s="166"/>
      <c r="B4713" s="167"/>
      <c r="C4713" s="167"/>
      <c r="D4713" s="167"/>
      <c r="E4713" s="167"/>
      <c r="F4713" s="168"/>
    </row>
    <row r="4714" spans="1:6" x14ac:dyDescent="0.2">
      <c r="A4714" s="163"/>
      <c r="B4714" s="164"/>
      <c r="C4714" s="164"/>
      <c r="D4714" s="164"/>
      <c r="E4714" s="164"/>
      <c r="F4714" s="165"/>
    </row>
    <row r="4715" spans="1:6" x14ac:dyDescent="0.2">
      <c r="A4715" s="166"/>
      <c r="B4715" s="167"/>
      <c r="C4715" s="167"/>
      <c r="D4715" s="167"/>
      <c r="E4715" s="167"/>
      <c r="F4715" s="168"/>
    </row>
    <row r="4716" spans="1:6" x14ac:dyDescent="0.2">
      <c r="A4716" s="163"/>
      <c r="B4716" s="164"/>
      <c r="C4716" s="164"/>
      <c r="D4716" s="164"/>
      <c r="E4716" s="164"/>
      <c r="F4716" s="165"/>
    </row>
    <row r="4717" spans="1:6" x14ac:dyDescent="0.2">
      <c r="A4717" s="166"/>
      <c r="B4717" s="167"/>
      <c r="C4717" s="167"/>
      <c r="D4717" s="167"/>
      <c r="E4717" s="167"/>
      <c r="F4717" s="168"/>
    </row>
    <row r="4718" spans="1:6" x14ac:dyDescent="0.2">
      <c r="A4718" s="163"/>
      <c r="B4718" s="164"/>
      <c r="C4718" s="164"/>
      <c r="D4718" s="164"/>
      <c r="E4718" s="164"/>
      <c r="F4718" s="165"/>
    </row>
    <row r="4719" spans="1:6" x14ac:dyDescent="0.2">
      <c r="A4719" s="166"/>
      <c r="B4719" s="167"/>
      <c r="C4719" s="167"/>
      <c r="D4719" s="167"/>
      <c r="E4719" s="167"/>
      <c r="F4719" s="168"/>
    </row>
    <row r="4720" spans="1:6" x14ac:dyDescent="0.2">
      <c r="A4720" s="163"/>
      <c r="B4720" s="164"/>
      <c r="C4720" s="164"/>
      <c r="D4720" s="164"/>
      <c r="E4720" s="164"/>
      <c r="F4720" s="165"/>
    </row>
    <row r="4721" spans="1:6" x14ac:dyDescent="0.2">
      <c r="A4721" s="166"/>
      <c r="B4721" s="167"/>
      <c r="C4721" s="167"/>
      <c r="D4721" s="167"/>
      <c r="E4721" s="167"/>
      <c r="F4721" s="168"/>
    </row>
    <row r="4722" spans="1:6" x14ac:dyDescent="0.2">
      <c r="A4722" s="163"/>
      <c r="B4722" s="164"/>
      <c r="C4722" s="164"/>
      <c r="D4722" s="164"/>
      <c r="E4722" s="164"/>
      <c r="F4722" s="165"/>
    </row>
    <row r="4723" spans="1:6" x14ac:dyDescent="0.2">
      <c r="A4723" s="166"/>
      <c r="B4723" s="167"/>
      <c r="C4723" s="167"/>
      <c r="D4723" s="167"/>
      <c r="E4723" s="167"/>
      <c r="F4723" s="168"/>
    </row>
    <row r="4724" spans="1:6" x14ac:dyDescent="0.2">
      <c r="A4724" s="163"/>
      <c r="B4724" s="164"/>
      <c r="C4724" s="164"/>
      <c r="D4724" s="164"/>
      <c r="E4724" s="164"/>
      <c r="F4724" s="165"/>
    </row>
    <row r="4725" spans="1:6" x14ac:dyDescent="0.2">
      <c r="A4725" s="166"/>
      <c r="B4725" s="167"/>
      <c r="C4725" s="167"/>
      <c r="D4725" s="167"/>
      <c r="E4725" s="167"/>
      <c r="F4725" s="168"/>
    </row>
    <row r="4726" spans="1:6" x14ac:dyDescent="0.2">
      <c r="A4726" s="163"/>
      <c r="B4726" s="164"/>
      <c r="C4726" s="164"/>
      <c r="D4726" s="164"/>
      <c r="E4726" s="164"/>
      <c r="F4726" s="165"/>
    </row>
    <row r="4727" spans="1:6" x14ac:dyDescent="0.2">
      <c r="A4727" s="166"/>
      <c r="B4727" s="167"/>
      <c r="C4727" s="167"/>
      <c r="D4727" s="167"/>
      <c r="E4727" s="167"/>
      <c r="F4727" s="168"/>
    </row>
    <row r="4728" spans="1:6" x14ac:dyDescent="0.2">
      <c r="A4728" s="163"/>
      <c r="B4728" s="164"/>
      <c r="C4728" s="164"/>
      <c r="D4728" s="164"/>
      <c r="E4728" s="164"/>
      <c r="F4728" s="165"/>
    </row>
    <row r="4729" spans="1:6" x14ac:dyDescent="0.2">
      <c r="A4729" s="166"/>
      <c r="B4729" s="167"/>
      <c r="C4729" s="167"/>
      <c r="D4729" s="167"/>
      <c r="E4729" s="167"/>
      <c r="F4729" s="168"/>
    </row>
    <row r="4730" spans="1:6" x14ac:dyDescent="0.2">
      <c r="A4730" s="163"/>
      <c r="B4730" s="164"/>
      <c r="C4730" s="164"/>
      <c r="D4730" s="164"/>
      <c r="E4730" s="164"/>
      <c r="F4730" s="165"/>
    </row>
    <row r="4731" spans="1:6" x14ac:dyDescent="0.2">
      <c r="A4731" s="166"/>
      <c r="B4731" s="167"/>
      <c r="C4731" s="167"/>
      <c r="D4731" s="167"/>
      <c r="E4731" s="167"/>
      <c r="F4731" s="168"/>
    </row>
    <row r="4732" spans="1:6" x14ac:dyDescent="0.2">
      <c r="A4732" s="163"/>
      <c r="B4732" s="164"/>
      <c r="C4732" s="164"/>
      <c r="D4732" s="164"/>
      <c r="E4732" s="164"/>
      <c r="F4732" s="165"/>
    </row>
    <row r="4733" spans="1:6" x14ac:dyDescent="0.2">
      <c r="A4733" s="166"/>
      <c r="B4733" s="167"/>
      <c r="C4733" s="167"/>
      <c r="D4733" s="167"/>
      <c r="E4733" s="167"/>
      <c r="F4733" s="168"/>
    </row>
    <row r="4734" spans="1:6" x14ac:dyDescent="0.2">
      <c r="A4734" s="163"/>
      <c r="B4734" s="164"/>
      <c r="C4734" s="164"/>
      <c r="D4734" s="164"/>
      <c r="E4734" s="164"/>
      <c r="F4734" s="165"/>
    </row>
    <row r="4735" spans="1:6" x14ac:dyDescent="0.2">
      <c r="A4735" s="166"/>
      <c r="B4735" s="167"/>
      <c r="C4735" s="167"/>
      <c r="D4735" s="167"/>
      <c r="E4735" s="167"/>
      <c r="F4735" s="168"/>
    </row>
    <row r="4736" spans="1:6" x14ac:dyDescent="0.2">
      <c r="A4736" s="163"/>
      <c r="B4736" s="164"/>
      <c r="C4736" s="164"/>
      <c r="D4736" s="164"/>
      <c r="E4736" s="164"/>
      <c r="F4736" s="165"/>
    </row>
    <row r="4737" spans="1:6" x14ac:dyDescent="0.2">
      <c r="A4737" s="166"/>
      <c r="B4737" s="167"/>
      <c r="C4737" s="167"/>
      <c r="D4737" s="167"/>
      <c r="E4737" s="167"/>
      <c r="F4737" s="168"/>
    </row>
    <row r="4738" spans="1:6" x14ac:dyDescent="0.2">
      <c r="A4738" s="163"/>
      <c r="B4738" s="164"/>
      <c r="C4738" s="164"/>
      <c r="D4738" s="164"/>
      <c r="E4738" s="164"/>
      <c r="F4738" s="165"/>
    </row>
    <row r="4739" spans="1:6" x14ac:dyDescent="0.2">
      <c r="A4739" s="166"/>
      <c r="B4739" s="167"/>
      <c r="C4739" s="167"/>
      <c r="D4739" s="167"/>
      <c r="E4739" s="167"/>
      <c r="F4739" s="168"/>
    </row>
    <row r="4740" spans="1:6" x14ac:dyDescent="0.2">
      <c r="A4740" s="163"/>
      <c r="B4740" s="164"/>
      <c r="C4740" s="164"/>
      <c r="D4740" s="164"/>
      <c r="E4740" s="164"/>
      <c r="F4740" s="165"/>
    </row>
    <row r="4741" spans="1:6" x14ac:dyDescent="0.2">
      <c r="A4741" s="166"/>
      <c r="B4741" s="167"/>
      <c r="C4741" s="167"/>
      <c r="D4741" s="167"/>
      <c r="E4741" s="167"/>
      <c r="F4741" s="168"/>
    </row>
    <row r="4742" spans="1:6" x14ac:dyDescent="0.2">
      <c r="A4742" s="163"/>
      <c r="B4742" s="164"/>
      <c r="C4742" s="164"/>
      <c r="D4742" s="164"/>
      <c r="E4742" s="164"/>
      <c r="F4742" s="165"/>
    </row>
    <row r="4743" spans="1:6" x14ac:dyDescent="0.2">
      <c r="A4743" s="166"/>
      <c r="B4743" s="167"/>
      <c r="C4743" s="167"/>
      <c r="D4743" s="167"/>
      <c r="E4743" s="167"/>
      <c r="F4743" s="168"/>
    </row>
    <row r="4744" spans="1:6" x14ac:dyDescent="0.2">
      <c r="A4744" s="163"/>
      <c r="B4744" s="164"/>
      <c r="C4744" s="164"/>
      <c r="D4744" s="164"/>
      <c r="E4744" s="164"/>
      <c r="F4744" s="165"/>
    </row>
    <row r="4745" spans="1:6" x14ac:dyDescent="0.2">
      <c r="A4745" s="166"/>
      <c r="B4745" s="167"/>
      <c r="C4745" s="167"/>
      <c r="D4745" s="167"/>
      <c r="E4745" s="167"/>
      <c r="F4745" s="168"/>
    </row>
    <row r="4746" spans="1:6" x14ac:dyDescent="0.2">
      <c r="A4746" s="163"/>
      <c r="B4746" s="164"/>
      <c r="C4746" s="164"/>
      <c r="D4746" s="164"/>
      <c r="E4746" s="164"/>
      <c r="F4746" s="165"/>
    </row>
    <row r="4747" spans="1:6" x14ac:dyDescent="0.2">
      <c r="A4747" s="166"/>
      <c r="B4747" s="167"/>
      <c r="C4747" s="167"/>
      <c r="D4747" s="167"/>
      <c r="E4747" s="167"/>
      <c r="F4747" s="168"/>
    </row>
    <row r="4748" spans="1:6" x14ac:dyDescent="0.2">
      <c r="A4748" s="163"/>
      <c r="B4748" s="164"/>
      <c r="C4748" s="164"/>
      <c r="D4748" s="164"/>
      <c r="E4748" s="164"/>
      <c r="F4748" s="165"/>
    </row>
    <row r="4749" spans="1:6" x14ac:dyDescent="0.2">
      <c r="A4749" s="166"/>
      <c r="B4749" s="167"/>
      <c r="C4749" s="167"/>
      <c r="D4749" s="167"/>
      <c r="E4749" s="167"/>
      <c r="F4749" s="168"/>
    </row>
    <row r="4750" spans="1:6" x14ac:dyDescent="0.2">
      <c r="A4750" s="163"/>
      <c r="B4750" s="164"/>
      <c r="C4750" s="164"/>
      <c r="D4750" s="164"/>
      <c r="E4750" s="164"/>
      <c r="F4750" s="165"/>
    </row>
    <row r="4751" spans="1:6" x14ac:dyDescent="0.2">
      <c r="A4751" s="166"/>
      <c r="B4751" s="167"/>
      <c r="C4751" s="167"/>
      <c r="D4751" s="167"/>
      <c r="E4751" s="167"/>
      <c r="F4751" s="168"/>
    </row>
    <row r="4752" spans="1:6" x14ac:dyDescent="0.2">
      <c r="A4752" s="163"/>
      <c r="B4752" s="164"/>
      <c r="C4752" s="164"/>
      <c r="D4752" s="164"/>
      <c r="E4752" s="164"/>
      <c r="F4752" s="165"/>
    </row>
    <row r="4753" spans="1:6" x14ac:dyDescent="0.2">
      <c r="A4753" s="166"/>
      <c r="B4753" s="167"/>
      <c r="C4753" s="167"/>
      <c r="D4753" s="167"/>
      <c r="E4753" s="167"/>
      <c r="F4753" s="168"/>
    </row>
    <row r="4754" spans="1:6" x14ac:dyDescent="0.2">
      <c r="A4754" s="163"/>
      <c r="B4754" s="164"/>
      <c r="C4754" s="164"/>
      <c r="D4754" s="164"/>
      <c r="E4754" s="164"/>
      <c r="F4754" s="165"/>
    </row>
    <row r="4755" spans="1:6" x14ac:dyDescent="0.2">
      <c r="A4755" s="166"/>
      <c r="B4755" s="167"/>
      <c r="C4755" s="167"/>
      <c r="D4755" s="167"/>
      <c r="E4755" s="167"/>
      <c r="F4755" s="168"/>
    </row>
    <row r="4756" spans="1:6" x14ac:dyDescent="0.2">
      <c r="A4756" s="163"/>
      <c r="B4756" s="164"/>
      <c r="C4756" s="164"/>
      <c r="D4756" s="164"/>
      <c r="E4756" s="164"/>
      <c r="F4756" s="165"/>
    </row>
    <row r="4757" spans="1:6" x14ac:dyDescent="0.2">
      <c r="A4757" s="166"/>
      <c r="B4757" s="167"/>
      <c r="C4757" s="167"/>
      <c r="D4757" s="167"/>
      <c r="E4757" s="167"/>
      <c r="F4757" s="168"/>
    </row>
    <row r="4758" spans="1:6" x14ac:dyDescent="0.2">
      <c r="A4758" s="163"/>
      <c r="B4758" s="164"/>
      <c r="C4758" s="164"/>
      <c r="D4758" s="164"/>
      <c r="E4758" s="164"/>
      <c r="F4758" s="165"/>
    </row>
    <row r="4759" spans="1:6" x14ac:dyDescent="0.2">
      <c r="A4759" s="166"/>
      <c r="B4759" s="167"/>
      <c r="C4759" s="167"/>
      <c r="D4759" s="167"/>
      <c r="E4759" s="167"/>
      <c r="F4759" s="168"/>
    </row>
    <row r="4760" spans="1:6" x14ac:dyDescent="0.2">
      <c r="A4760" s="163"/>
      <c r="B4760" s="164"/>
      <c r="C4760" s="164"/>
      <c r="D4760" s="164"/>
      <c r="E4760" s="164"/>
      <c r="F4760" s="165"/>
    </row>
    <row r="4761" spans="1:6" x14ac:dyDescent="0.2">
      <c r="A4761" s="166"/>
      <c r="B4761" s="167"/>
      <c r="C4761" s="167"/>
      <c r="D4761" s="167"/>
      <c r="E4761" s="167"/>
      <c r="F4761" s="168"/>
    </row>
    <row r="4762" spans="1:6" x14ac:dyDescent="0.2">
      <c r="A4762" s="163"/>
      <c r="B4762" s="164"/>
      <c r="C4762" s="164"/>
      <c r="D4762" s="164"/>
      <c r="E4762" s="164"/>
      <c r="F4762" s="165"/>
    </row>
    <row r="4763" spans="1:6" x14ac:dyDescent="0.2">
      <c r="A4763" s="166"/>
      <c r="B4763" s="167"/>
      <c r="C4763" s="167"/>
      <c r="D4763" s="167"/>
      <c r="E4763" s="167"/>
      <c r="F4763" s="168"/>
    </row>
    <row r="4764" spans="1:6" x14ac:dyDescent="0.2">
      <c r="A4764" s="163"/>
      <c r="B4764" s="164"/>
      <c r="C4764" s="164"/>
      <c r="D4764" s="164"/>
      <c r="E4764" s="164"/>
      <c r="F4764" s="165"/>
    </row>
    <row r="4765" spans="1:6" x14ac:dyDescent="0.2">
      <c r="A4765" s="166"/>
      <c r="B4765" s="167"/>
      <c r="C4765" s="167"/>
      <c r="D4765" s="167"/>
      <c r="E4765" s="167"/>
      <c r="F4765" s="168"/>
    </row>
    <row r="4766" spans="1:6" x14ac:dyDescent="0.2">
      <c r="A4766" s="163"/>
      <c r="B4766" s="164"/>
      <c r="C4766" s="164"/>
      <c r="D4766" s="164"/>
      <c r="E4766" s="164"/>
      <c r="F4766" s="165"/>
    </row>
    <row r="4767" spans="1:6" x14ac:dyDescent="0.2">
      <c r="A4767" s="166"/>
      <c r="B4767" s="167"/>
      <c r="C4767" s="167"/>
      <c r="D4767" s="167"/>
      <c r="E4767" s="167"/>
      <c r="F4767" s="168"/>
    </row>
    <row r="4768" spans="1:6" x14ac:dyDescent="0.2">
      <c r="A4768" s="163"/>
      <c r="B4768" s="164"/>
      <c r="C4768" s="164"/>
      <c r="D4768" s="164"/>
      <c r="E4768" s="164"/>
      <c r="F4768" s="165"/>
    </row>
    <row r="4769" spans="1:6" x14ac:dyDescent="0.2">
      <c r="A4769" s="166"/>
      <c r="B4769" s="167"/>
      <c r="C4769" s="167"/>
      <c r="D4769" s="167"/>
      <c r="E4769" s="167"/>
      <c r="F4769" s="168"/>
    </row>
    <row r="4770" spans="1:6" x14ac:dyDescent="0.2">
      <c r="A4770" s="163"/>
      <c r="B4770" s="164"/>
      <c r="C4770" s="164"/>
      <c r="D4770" s="164"/>
      <c r="E4770" s="164"/>
      <c r="F4770" s="165"/>
    </row>
    <row r="4771" spans="1:6" x14ac:dyDescent="0.2">
      <c r="A4771" s="166"/>
      <c r="B4771" s="167"/>
      <c r="C4771" s="167"/>
      <c r="D4771" s="167"/>
      <c r="E4771" s="167"/>
      <c r="F4771" s="168"/>
    </row>
    <row r="4772" spans="1:6" x14ac:dyDescent="0.2">
      <c r="A4772" s="163"/>
      <c r="B4772" s="164"/>
      <c r="C4772" s="164"/>
      <c r="D4772" s="164"/>
      <c r="E4772" s="164"/>
      <c r="F4772" s="165"/>
    </row>
    <row r="4773" spans="1:6" x14ac:dyDescent="0.2">
      <c r="A4773" s="166"/>
      <c r="B4773" s="167"/>
      <c r="C4773" s="167"/>
      <c r="D4773" s="167"/>
      <c r="E4773" s="167"/>
      <c r="F4773" s="168"/>
    </row>
    <row r="4774" spans="1:6" x14ac:dyDescent="0.2">
      <c r="A4774" s="163"/>
      <c r="B4774" s="164"/>
      <c r="C4774" s="164"/>
      <c r="D4774" s="164"/>
      <c r="E4774" s="164"/>
      <c r="F4774" s="165"/>
    </row>
    <row r="4775" spans="1:6" x14ac:dyDescent="0.2">
      <c r="A4775" s="166"/>
      <c r="B4775" s="167"/>
      <c r="C4775" s="167"/>
      <c r="D4775" s="167"/>
      <c r="E4775" s="167"/>
      <c r="F4775" s="168"/>
    </row>
    <row r="4776" spans="1:6" x14ac:dyDescent="0.2">
      <c r="A4776" s="163"/>
      <c r="B4776" s="164"/>
      <c r="C4776" s="164"/>
      <c r="D4776" s="164"/>
      <c r="E4776" s="164"/>
      <c r="F4776" s="165"/>
    </row>
    <row r="4777" spans="1:6" x14ac:dyDescent="0.2">
      <c r="A4777" s="166"/>
      <c r="B4777" s="167"/>
      <c r="C4777" s="167"/>
      <c r="D4777" s="167"/>
      <c r="E4777" s="167"/>
      <c r="F4777" s="168"/>
    </row>
    <row r="4778" spans="1:6" x14ac:dyDescent="0.2">
      <c r="A4778" s="163"/>
      <c r="B4778" s="164"/>
      <c r="C4778" s="164"/>
      <c r="D4778" s="164"/>
      <c r="E4778" s="164"/>
      <c r="F4778" s="165"/>
    </row>
    <row r="4779" spans="1:6" x14ac:dyDescent="0.2">
      <c r="A4779" s="166"/>
      <c r="B4779" s="167"/>
      <c r="C4779" s="167"/>
      <c r="D4779" s="167"/>
      <c r="E4779" s="167"/>
      <c r="F4779" s="168"/>
    </row>
    <row r="4780" spans="1:6" x14ac:dyDescent="0.2">
      <c r="A4780" s="163"/>
      <c r="B4780" s="164"/>
      <c r="C4780" s="164"/>
      <c r="D4780" s="164"/>
      <c r="E4780" s="164"/>
      <c r="F4780" s="165"/>
    </row>
    <row r="4781" spans="1:6" x14ac:dyDescent="0.2">
      <c r="A4781" s="166"/>
      <c r="B4781" s="167"/>
      <c r="C4781" s="167"/>
      <c r="D4781" s="167"/>
      <c r="E4781" s="167"/>
      <c r="F4781" s="168"/>
    </row>
    <row r="4782" spans="1:6" x14ac:dyDescent="0.2">
      <c r="A4782" s="163"/>
      <c r="B4782" s="164"/>
      <c r="C4782" s="164"/>
      <c r="D4782" s="164"/>
      <c r="E4782" s="164"/>
      <c r="F4782" s="165"/>
    </row>
    <row r="4783" spans="1:6" x14ac:dyDescent="0.2">
      <c r="A4783" s="166"/>
      <c r="B4783" s="167"/>
      <c r="C4783" s="167"/>
      <c r="D4783" s="167"/>
      <c r="E4783" s="167"/>
      <c r="F4783" s="168"/>
    </row>
    <row r="4784" spans="1:6" x14ac:dyDescent="0.2">
      <c r="A4784" s="163"/>
      <c r="B4784" s="164"/>
      <c r="C4784" s="164"/>
      <c r="D4784" s="164"/>
      <c r="E4784" s="164"/>
      <c r="F4784" s="165"/>
    </row>
    <row r="4785" spans="1:6" x14ac:dyDescent="0.2">
      <c r="A4785" s="166"/>
      <c r="B4785" s="167"/>
      <c r="C4785" s="167"/>
      <c r="D4785" s="167"/>
      <c r="E4785" s="167"/>
      <c r="F4785" s="168"/>
    </row>
    <row r="4786" spans="1:6" x14ac:dyDescent="0.2">
      <c r="A4786" s="163"/>
      <c r="B4786" s="164"/>
      <c r="C4786" s="164"/>
      <c r="D4786" s="164"/>
      <c r="E4786" s="164"/>
      <c r="F4786" s="165"/>
    </row>
    <row r="4787" spans="1:6" x14ac:dyDescent="0.2">
      <c r="A4787" s="166"/>
      <c r="B4787" s="167"/>
      <c r="C4787" s="167"/>
      <c r="D4787" s="167"/>
      <c r="E4787" s="167"/>
      <c r="F4787" s="168"/>
    </row>
    <row r="4788" spans="1:6" x14ac:dyDescent="0.2">
      <c r="A4788" s="163"/>
      <c r="B4788" s="164"/>
      <c r="C4788" s="164"/>
      <c r="D4788" s="164"/>
      <c r="E4788" s="164"/>
      <c r="F4788" s="165"/>
    </row>
    <row r="4789" spans="1:6" x14ac:dyDescent="0.2">
      <c r="A4789" s="166"/>
      <c r="B4789" s="167"/>
      <c r="C4789" s="167"/>
      <c r="D4789" s="167"/>
      <c r="E4789" s="167"/>
      <c r="F4789" s="168"/>
    </row>
    <row r="4790" spans="1:6" x14ac:dyDescent="0.2">
      <c r="A4790" s="163"/>
      <c r="B4790" s="164"/>
      <c r="C4790" s="164"/>
      <c r="D4790" s="164"/>
      <c r="E4790" s="164"/>
      <c r="F4790" s="165"/>
    </row>
    <row r="4791" spans="1:6" x14ac:dyDescent="0.2">
      <c r="A4791" s="166"/>
      <c r="B4791" s="167"/>
      <c r="C4791" s="167"/>
      <c r="D4791" s="167"/>
      <c r="E4791" s="167"/>
      <c r="F4791" s="168"/>
    </row>
    <row r="4792" spans="1:6" x14ac:dyDescent="0.2">
      <c r="A4792" s="163"/>
      <c r="B4792" s="164"/>
      <c r="C4792" s="164"/>
      <c r="D4792" s="164"/>
      <c r="E4792" s="164"/>
      <c r="F4792" s="165"/>
    </row>
    <row r="4793" spans="1:6" x14ac:dyDescent="0.2">
      <c r="A4793" s="166"/>
      <c r="B4793" s="167"/>
      <c r="C4793" s="167"/>
      <c r="D4793" s="167"/>
      <c r="E4793" s="167"/>
      <c r="F4793" s="168"/>
    </row>
    <row r="4794" spans="1:6" x14ac:dyDescent="0.2">
      <c r="A4794" s="163"/>
      <c r="B4794" s="164"/>
      <c r="C4794" s="164"/>
      <c r="D4794" s="164"/>
      <c r="E4794" s="164"/>
      <c r="F4794" s="165"/>
    </row>
    <row r="4795" spans="1:6" x14ac:dyDescent="0.2">
      <c r="A4795" s="166"/>
      <c r="B4795" s="167"/>
      <c r="C4795" s="167"/>
      <c r="D4795" s="167"/>
      <c r="E4795" s="167"/>
      <c r="F4795" s="168"/>
    </row>
    <row r="4796" spans="1:6" x14ac:dyDescent="0.2">
      <c r="A4796" s="163"/>
      <c r="B4796" s="164"/>
      <c r="C4796" s="164"/>
      <c r="D4796" s="164"/>
      <c r="E4796" s="164"/>
      <c r="F4796" s="165"/>
    </row>
    <row r="4797" spans="1:6" x14ac:dyDescent="0.2">
      <c r="A4797" s="166"/>
      <c r="B4797" s="167"/>
      <c r="C4797" s="167"/>
      <c r="D4797" s="167"/>
      <c r="E4797" s="167"/>
      <c r="F4797" s="168"/>
    </row>
    <row r="4798" spans="1:6" x14ac:dyDescent="0.2">
      <c r="A4798" s="163"/>
      <c r="B4798" s="164"/>
      <c r="C4798" s="164"/>
      <c r="D4798" s="164"/>
      <c r="E4798" s="164"/>
      <c r="F4798" s="165"/>
    </row>
    <row r="4799" spans="1:6" x14ac:dyDescent="0.2">
      <c r="A4799" s="166"/>
      <c r="B4799" s="167"/>
      <c r="C4799" s="167"/>
      <c r="D4799" s="167"/>
      <c r="E4799" s="167"/>
      <c r="F4799" s="168"/>
    </row>
    <row r="4800" spans="1:6" x14ac:dyDescent="0.2">
      <c r="A4800" s="163"/>
      <c r="B4800" s="164"/>
      <c r="C4800" s="164"/>
      <c r="D4800" s="164"/>
      <c r="E4800" s="164"/>
      <c r="F4800" s="165"/>
    </row>
    <row r="4801" spans="1:6" x14ac:dyDescent="0.2">
      <c r="A4801" s="166"/>
      <c r="B4801" s="167"/>
      <c r="C4801" s="167"/>
      <c r="D4801" s="167"/>
      <c r="E4801" s="167"/>
      <c r="F4801" s="168"/>
    </row>
    <row r="4802" spans="1:6" x14ac:dyDescent="0.2">
      <c r="A4802" s="163"/>
      <c r="B4802" s="164"/>
      <c r="C4802" s="164"/>
      <c r="D4802" s="164"/>
      <c r="E4802" s="164"/>
      <c r="F4802" s="165"/>
    </row>
    <row r="4803" spans="1:6" x14ac:dyDescent="0.2">
      <c r="A4803" s="166"/>
      <c r="B4803" s="167"/>
      <c r="C4803" s="167"/>
      <c r="D4803" s="167"/>
      <c r="E4803" s="167"/>
      <c r="F4803" s="168"/>
    </row>
    <row r="4804" spans="1:6" x14ac:dyDescent="0.2">
      <c r="A4804" s="163"/>
      <c r="B4804" s="164"/>
      <c r="C4804" s="164"/>
      <c r="D4804" s="164"/>
      <c r="E4804" s="164"/>
      <c r="F4804" s="165"/>
    </row>
    <row r="4805" spans="1:6" x14ac:dyDescent="0.2">
      <c r="A4805" s="166"/>
      <c r="B4805" s="167"/>
      <c r="C4805" s="167"/>
      <c r="D4805" s="167"/>
      <c r="E4805" s="167"/>
      <c r="F4805" s="168"/>
    </row>
    <row r="4806" spans="1:6" x14ac:dyDescent="0.2">
      <c r="A4806" s="163"/>
      <c r="B4806" s="164"/>
      <c r="C4806" s="164"/>
      <c r="D4806" s="164"/>
      <c r="E4806" s="164"/>
      <c r="F4806" s="165"/>
    </row>
    <row r="4807" spans="1:6" x14ac:dyDescent="0.2">
      <c r="A4807" s="166"/>
      <c r="B4807" s="167"/>
      <c r="C4807" s="167"/>
      <c r="D4807" s="167"/>
      <c r="E4807" s="167"/>
      <c r="F4807" s="168"/>
    </row>
    <row r="4808" spans="1:6" x14ac:dyDescent="0.2">
      <c r="A4808" s="163"/>
      <c r="B4808" s="164"/>
      <c r="C4808" s="164"/>
      <c r="D4808" s="164"/>
      <c r="E4808" s="164"/>
      <c r="F4808" s="165"/>
    </row>
    <row r="4809" spans="1:6" x14ac:dyDescent="0.2">
      <c r="A4809" s="166"/>
      <c r="B4809" s="167"/>
      <c r="C4809" s="167"/>
      <c r="D4809" s="167"/>
      <c r="E4809" s="167"/>
      <c r="F4809" s="168"/>
    </row>
    <row r="4810" spans="1:6" x14ac:dyDescent="0.2">
      <c r="A4810" s="163"/>
      <c r="B4810" s="164"/>
      <c r="C4810" s="164"/>
      <c r="D4810" s="164"/>
      <c r="E4810" s="164"/>
      <c r="F4810" s="165"/>
    </row>
    <row r="4811" spans="1:6" x14ac:dyDescent="0.2">
      <c r="A4811" s="166"/>
      <c r="B4811" s="167"/>
      <c r="C4811" s="167"/>
      <c r="D4811" s="167"/>
      <c r="E4811" s="167"/>
      <c r="F4811" s="168"/>
    </row>
    <row r="4812" spans="1:6" x14ac:dyDescent="0.2">
      <c r="A4812" s="163"/>
      <c r="B4812" s="164"/>
      <c r="C4812" s="164"/>
      <c r="D4812" s="164"/>
      <c r="E4812" s="164"/>
      <c r="F4812" s="165"/>
    </row>
    <row r="4813" spans="1:6" x14ac:dyDescent="0.2">
      <c r="A4813" s="166"/>
      <c r="B4813" s="167"/>
      <c r="C4813" s="167"/>
      <c r="D4813" s="167"/>
      <c r="E4813" s="167"/>
      <c r="F4813" s="168"/>
    </row>
    <row r="4814" spans="1:6" x14ac:dyDescent="0.2">
      <c r="A4814" s="163"/>
      <c r="B4814" s="164"/>
      <c r="C4814" s="164"/>
      <c r="D4814" s="164"/>
      <c r="E4814" s="164"/>
      <c r="F4814" s="165"/>
    </row>
    <row r="4815" spans="1:6" x14ac:dyDescent="0.2">
      <c r="A4815" s="166"/>
      <c r="B4815" s="167"/>
      <c r="C4815" s="167"/>
      <c r="D4815" s="167"/>
      <c r="E4815" s="167"/>
      <c r="F4815" s="168"/>
    </row>
    <row r="4816" spans="1:6" x14ac:dyDescent="0.2">
      <c r="A4816" s="163"/>
      <c r="B4816" s="164"/>
      <c r="C4816" s="164"/>
      <c r="D4816" s="164"/>
      <c r="E4816" s="164"/>
      <c r="F4816" s="165"/>
    </row>
    <row r="4817" spans="1:6" x14ac:dyDescent="0.2">
      <c r="A4817" s="166"/>
      <c r="B4817" s="167"/>
      <c r="C4817" s="167"/>
      <c r="D4817" s="167"/>
      <c r="E4817" s="167"/>
      <c r="F4817" s="168"/>
    </row>
    <row r="4818" spans="1:6" x14ac:dyDescent="0.2">
      <c r="A4818" s="163"/>
      <c r="B4818" s="164"/>
      <c r="C4818" s="164"/>
      <c r="D4818" s="164"/>
      <c r="E4818" s="164"/>
      <c r="F4818" s="165"/>
    </row>
    <row r="4819" spans="1:6" x14ac:dyDescent="0.2">
      <c r="A4819" s="166"/>
      <c r="B4819" s="167"/>
      <c r="C4819" s="167"/>
      <c r="D4819" s="167"/>
      <c r="E4819" s="167"/>
      <c r="F4819" s="168"/>
    </row>
    <row r="4820" spans="1:6" x14ac:dyDescent="0.2">
      <c r="A4820" s="163"/>
      <c r="B4820" s="164"/>
      <c r="C4820" s="164"/>
      <c r="D4820" s="164"/>
      <c r="E4820" s="164"/>
      <c r="F4820" s="165"/>
    </row>
    <row r="4821" spans="1:6" x14ac:dyDescent="0.2">
      <c r="A4821" s="166"/>
      <c r="B4821" s="167"/>
      <c r="C4821" s="167"/>
      <c r="D4821" s="167"/>
      <c r="E4821" s="167"/>
      <c r="F4821" s="168"/>
    </row>
    <row r="4822" spans="1:6" x14ac:dyDescent="0.2">
      <c r="A4822" s="163"/>
      <c r="B4822" s="164"/>
      <c r="C4822" s="164"/>
      <c r="D4822" s="164"/>
      <c r="E4822" s="164"/>
      <c r="F4822" s="165"/>
    </row>
    <row r="4823" spans="1:6" x14ac:dyDescent="0.2">
      <c r="A4823" s="166"/>
      <c r="B4823" s="167"/>
      <c r="C4823" s="167"/>
      <c r="D4823" s="167"/>
      <c r="E4823" s="167"/>
      <c r="F4823" s="168"/>
    </row>
    <row r="4824" spans="1:6" x14ac:dyDescent="0.2">
      <c r="A4824" s="163"/>
      <c r="B4824" s="164"/>
      <c r="C4824" s="164"/>
      <c r="D4824" s="164"/>
      <c r="E4824" s="164"/>
      <c r="F4824" s="165"/>
    </row>
    <row r="4825" spans="1:6" x14ac:dyDescent="0.2">
      <c r="A4825" s="166"/>
      <c r="B4825" s="167"/>
      <c r="C4825" s="167"/>
      <c r="D4825" s="167"/>
      <c r="E4825" s="167"/>
      <c r="F4825" s="168"/>
    </row>
    <row r="4826" spans="1:6" x14ac:dyDescent="0.2">
      <c r="A4826" s="163"/>
      <c r="B4826" s="164"/>
      <c r="C4826" s="164"/>
      <c r="D4826" s="164"/>
      <c r="E4826" s="164"/>
      <c r="F4826" s="165"/>
    </row>
    <row r="4827" spans="1:6" x14ac:dyDescent="0.2">
      <c r="A4827" s="166"/>
      <c r="B4827" s="167"/>
      <c r="C4827" s="167"/>
      <c r="D4827" s="167"/>
      <c r="E4827" s="167"/>
      <c r="F4827" s="168"/>
    </row>
    <row r="4828" spans="1:6" x14ac:dyDescent="0.2">
      <c r="A4828" s="163"/>
      <c r="B4828" s="164"/>
      <c r="C4828" s="164"/>
      <c r="D4828" s="164"/>
      <c r="E4828" s="164"/>
      <c r="F4828" s="165"/>
    </row>
    <row r="4829" spans="1:6" x14ac:dyDescent="0.2">
      <c r="A4829" s="166"/>
      <c r="B4829" s="167"/>
      <c r="C4829" s="167"/>
      <c r="D4829" s="167"/>
      <c r="E4829" s="167"/>
      <c r="F4829" s="168"/>
    </row>
    <row r="4830" spans="1:6" x14ac:dyDescent="0.2">
      <c r="A4830" s="163"/>
      <c r="B4830" s="164"/>
      <c r="C4830" s="164"/>
      <c r="D4830" s="164"/>
      <c r="E4830" s="164"/>
      <c r="F4830" s="165"/>
    </row>
    <row r="4831" spans="1:6" x14ac:dyDescent="0.2">
      <c r="A4831" s="166"/>
      <c r="B4831" s="167"/>
      <c r="C4831" s="167"/>
      <c r="D4831" s="167"/>
      <c r="E4831" s="167"/>
      <c r="F4831" s="168"/>
    </row>
    <row r="4832" spans="1:6" x14ac:dyDescent="0.2">
      <c r="A4832" s="163"/>
      <c r="B4832" s="164"/>
      <c r="C4832" s="164"/>
      <c r="D4832" s="164"/>
      <c r="E4832" s="164"/>
      <c r="F4832" s="165"/>
    </row>
    <row r="4833" spans="1:6" x14ac:dyDescent="0.2">
      <c r="A4833" s="166"/>
      <c r="B4833" s="167"/>
      <c r="C4833" s="167"/>
      <c r="D4833" s="167"/>
      <c r="E4833" s="167"/>
      <c r="F4833" s="168"/>
    </row>
    <row r="4834" spans="1:6" x14ac:dyDescent="0.2">
      <c r="A4834" s="163"/>
      <c r="B4834" s="164"/>
      <c r="C4834" s="164"/>
      <c r="D4834" s="164"/>
      <c r="E4834" s="164"/>
      <c r="F4834" s="165"/>
    </row>
    <row r="4835" spans="1:6" x14ac:dyDescent="0.2">
      <c r="A4835" s="166"/>
      <c r="B4835" s="167"/>
      <c r="C4835" s="167"/>
      <c r="D4835" s="167"/>
      <c r="E4835" s="167"/>
      <c r="F4835" s="168"/>
    </row>
    <row r="4836" spans="1:6" x14ac:dyDescent="0.2">
      <c r="A4836" s="163"/>
      <c r="B4836" s="164"/>
      <c r="C4836" s="164"/>
      <c r="D4836" s="164"/>
      <c r="E4836" s="164"/>
      <c r="F4836" s="165"/>
    </row>
    <row r="4837" spans="1:6" x14ac:dyDescent="0.2">
      <c r="A4837" s="166"/>
      <c r="B4837" s="167"/>
      <c r="C4837" s="167"/>
      <c r="D4837" s="167"/>
      <c r="E4837" s="167"/>
      <c r="F4837" s="168"/>
    </row>
    <row r="4838" spans="1:6" x14ac:dyDescent="0.2">
      <c r="A4838" s="163"/>
      <c r="B4838" s="164"/>
      <c r="C4838" s="164"/>
      <c r="D4838" s="164"/>
      <c r="E4838" s="164"/>
      <c r="F4838" s="165"/>
    </row>
    <row r="4839" spans="1:6" x14ac:dyDescent="0.2">
      <c r="A4839" s="166"/>
      <c r="B4839" s="167"/>
      <c r="C4839" s="167"/>
      <c r="D4839" s="167"/>
      <c r="E4839" s="167"/>
      <c r="F4839" s="168"/>
    </row>
    <row r="4840" spans="1:6" x14ac:dyDescent="0.2">
      <c r="A4840" s="163"/>
      <c r="B4840" s="164"/>
      <c r="C4840" s="164"/>
      <c r="D4840" s="164"/>
      <c r="E4840" s="164"/>
      <c r="F4840" s="165"/>
    </row>
    <row r="4841" spans="1:6" x14ac:dyDescent="0.2">
      <c r="A4841" s="166"/>
      <c r="B4841" s="167"/>
      <c r="C4841" s="167"/>
      <c r="D4841" s="167"/>
      <c r="E4841" s="167"/>
      <c r="F4841" s="168"/>
    </row>
    <row r="4842" spans="1:6" x14ac:dyDescent="0.2">
      <c r="A4842" s="163"/>
      <c r="B4842" s="164"/>
      <c r="C4842" s="164"/>
      <c r="D4842" s="164"/>
      <c r="E4842" s="164"/>
      <c r="F4842" s="165"/>
    </row>
    <row r="4843" spans="1:6" x14ac:dyDescent="0.2">
      <c r="A4843" s="166"/>
      <c r="B4843" s="167"/>
      <c r="C4843" s="167"/>
      <c r="D4843" s="167"/>
      <c r="E4843" s="167"/>
      <c r="F4843" s="168"/>
    </row>
    <row r="4844" spans="1:6" x14ac:dyDescent="0.2">
      <c r="A4844" s="163"/>
      <c r="B4844" s="164"/>
      <c r="C4844" s="164"/>
      <c r="D4844" s="164"/>
      <c r="E4844" s="164"/>
      <c r="F4844" s="165"/>
    </row>
    <row r="4845" spans="1:6" x14ac:dyDescent="0.2">
      <c r="A4845" s="166"/>
      <c r="B4845" s="167"/>
      <c r="C4845" s="167"/>
      <c r="D4845" s="167"/>
      <c r="E4845" s="167"/>
      <c r="F4845" s="168"/>
    </row>
    <row r="4846" spans="1:6" x14ac:dyDescent="0.2">
      <c r="A4846" s="163"/>
      <c r="B4846" s="164"/>
      <c r="C4846" s="164"/>
      <c r="D4846" s="164"/>
      <c r="E4846" s="164"/>
      <c r="F4846" s="165"/>
    </row>
    <row r="4847" spans="1:6" x14ac:dyDescent="0.2">
      <c r="A4847" s="166"/>
      <c r="B4847" s="167"/>
      <c r="C4847" s="167"/>
      <c r="D4847" s="167"/>
      <c r="E4847" s="167"/>
      <c r="F4847" s="168"/>
    </row>
    <row r="4848" spans="1:6" x14ac:dyDescent="0.2">
      <c r="A4848" s="163"/>
      <c r="B4848" s="164"/>
      <c r="C4848" s="164"/>
      <c r="D4848" s="164"/>
      <c r="E4848" s="164"/>
      <c r="F4848" s="165"/>
    </row>
    <row r="4849" spans="1:6" x14ac:dyDescent="0.2">
      <c r="A4849" s="166"/>
      <c r="B4849" s="167"/>
      <c r="C4849" s="167"/>
      <c r="D4849" s="167"/>
      <c r="E4849" s="167"/>
      <c r="F4849" s="168"/>
    </row>
    <row r="4850" spans="1:6" x14ac:dyDescent="0.2">
      <c r="A4850" s="163"/>
      <c r="B4850" s="164"/>
      <c r="C4850" s="164"/>
      <c r="D4850" s="164"/>
      <c r="E4850" s="164"/>
      <c r="F4850" s="165"/>
    </row>
    <row r="4851" spans="1:6" x14ac:dyDescent="0.2">
      <c r="A4851" s="166"/>
      <c r="B4851" s="167"/>
      <c r="C4851" s="167"/>
      <c r="D4851" s="167"/>
      <c r="E4851" s="167"/>
      <c r="F4851" s="168"/>
    </row>
    <row r="4852" spans="1:6" x14ac:dyDescent="0.2">
      <c r="A4852" s="163"/>
      <c r="B4852" s="164"/>
      <c r="C4852" s="164"/>
      <c r="D4852" s="164"/>
      <c r="E4852" s="164"/>
      <c r="F4852" s="165"/>
    </row>
    <row r="4853" spans="1:6" x14ac:dyDescent="0.2">
      <c r="A4853" s="166"/>
      <c r="B4853" s="167"/>
      <c r="C4853" s="167"/>
      <c r="D4853" s="167"/>
      <c r="E4853" s="167"/>
      <c r="F4853" s="168"/>
    </row>
    <row r="4854" spans="1:6" x14ac:dyDescent="0.2">
      <c r="A4854" s="163"/>
      <c r="B4854" s="164"/>
      <c r="C4854" s="164"/>
      <c r="D4854" s="164"/>
      <c r="E4854" s="164"/>
      <c r="F4854" s="165"/>
    </row>
    <row r="4855" spans="1:6" x14ac:dyDescent="0.2">
      <c r="A4855" s="166"/>
      <c r="B4855" s="167"/>
      <c r="C4855" s="167"/>
      <c r="D4855" s="167"/>
      <c r="E4855" s="167"/>
      <c r="F4855" s="168"/>
    </row>
    <row r="4856" spans="1:6" x14ac:dyDescent="0.2">
      <c r="A4856" s="163"/>
      <c r="B4856" s="164"/>
      <c r="C4856" s="164"/>
      <c r="D4856" s="164"/>
      <c r="E4856" s="164"/>
      <c r="F4856" s="165"/>
    </row>
    <row r="4857" spans="1:6" x14ac:dyDescent="0.2">
      <c r="A4857" s="166"/>
      <c r="B4857" s="167"/>
      <c r="C4857" s="167"/>
      <c r="D4857" s="167"/>
      <c r="E4857" s="167"/>
      <c r="F4857" s="168"/>
    </row>
    <row r="4858" spans="1:6" x14ac:dyDescent="0.2">
      <c r="A4858" s="163"/>
      <c r="B4858" s="164"/>
      <c r="C4858" s="164"/>
      <c r="D4858" s="164"/>
      <c r="E4858" s="164"/>
      <c r="F4858" s="165"/>
    </row>
    <row r="4859" spans="1:6" x14ac:dyDescent="0.2">
      <c r="A4859" s="166"/>
      <c r="B4859" s="167"/>
      <c r="C4859" s="167"/>
      <c r="D4859" s="167"/>
      <c r="E4859" s="167"/>
      <c r="F4859" s="168"/>
    </row>
    <row r="4860" spans="1:6" x14ac:dyDescent="0.2">
      <c r="A4860" s="163"/>
      <c r="B4860" s="164"/>
      <c r="C4860" s="164"/>
      <c r="D4860" s="164"/>
      <c r="E4860" s="164"/>
      <c r="F4860" s="165"/>
    </row>
    <row r="4861" spans="1:6" x14ac:dyDescent="0.2">
      <c r="A4861" s="166"/>
      <c r="B4861" s="167"/>
      <c r="C4861" s="167"/>
      <c r="D4861" s="167"/>
      <c r="E4861" s="167"/>
      <c r="F4861" s="168"/>
    </row>
    <row r="4862" spans="1:6" x14ac:dyDescent="0.2">
      <c r="A4862" s="163"/>
      <c r="B4862" s="164"/>
      <c r="C4862" s="164"/>
      <c r="D4862" s="164"/>
      <c r="E4862" s="164"/>
      <c r="F4862" s="165"/>
    </row>
    <row r="4863" spans="1:6" x14ac:dyDescent="0.2">
      <c r="A4863" s="166"/>
      <c r="B4863" s="167"/>
      <c r="C4863" s="167"/>
      <c r="D4863" s="167"/>
      <c r="E4863" s="167"/>
      <c r="F4863" s="168"/>
    </row>
    <row r="4864" spans="1:6" x14ac:dyDescent="0.2">
      <c r="A4864" s="163"/>
      <c r="B4864" s="164"/>
      <c r="C4864" s="164"/>
      <c r="D4864" s="164"/>
      <c r="E4864" s="164"/>
      <c r="F4864" s="165"/>
    </row>
    <row r="4865" spans="1:6" x14ac:dyDescent="0.2">
      <c r="A4865" s="166"/>
      <c r="B4865" s="167"/>
      <c r="C4865" s="167"/>
      <c r="D4865" s="167"/>
      <c r="E4865" s="167"/>
      <c r="F4865" s="168"/>
    </row>
    <row r="4866" spans="1:6" x14ac:dyDescent="0.2">
      <c r="A4866" s="163"/>
      <c r="B4866" s="164"/>
      <c r="C4866" s="164"/>
      <c r="D4866" s="164"/>
      <c r="E4866" s="164"/>
      <c r="F4866" s="165"/>
    </row>
    <row r="4867" spans="1:6" x14ac:dyDescent="0.2">
      <c r="A4867" s="166"/>
      <c r="B4867" s="167"/>
      <c r="C4867" s="167"/>
      <c r="D4867" s="167"/>
      <c r="E4867" s="167"/>
      <c r="F4867" s="168"/>
    </row>
    <row r="4868" spans="1:6" x14ac:dyDescent="0.2">
      <c r="A4868" s="163"/>
      <c r="B4868" s="164"/>
      <c r="C4868" s="164"/>
      <c r="D4868" s="164"/>
      <c r="E4868" s="164"/>
      <c r="F4868" s="165"/>
    </row>
    <row r="4869" spans="1:6" x14ac:dyDescent="0.2">
      <c r="A4869" s="166"/>
      <c r="B4869" s="167"/>
      <c r="C4869" s="167"/>
      <c r="D4869" s="167"/>
      <c r="E4869" s="167"/>
      <c r="F4869" s="168"/>
    </row>
    <row r="4870" spans="1:6" x14ac:dyDescent="0.2">
      <c r="A4870" s="163"/>
      <c r="B4870" s="164"/>
      <c r="C4870" s="164"/>
      <c r="D4870" s="164"/>
      <c r="E4870" s="164"/>
      <c r="F4870" s="165"/>
    </row>
    <row r="4871" spans="1:6" x14ac:dyDescent="0.2">
      <c r="A4871" s="166"/>
      <c r="B4871" s="167"/>
      <c r="C4871" s="167"/>
      <c r="D4871" s="167"/>
      <c r="E4871" s="167"/>
      <c r="F4871" s="168"/>
    </row>
    <row r="4872" spans="1:6" x14ac:dyDescent="0.2">
      <c r="A4872" s="163"/>
      <c r="B4872" s="164"/>
      <c r="C4872" s="164"/>
      <c r="D4872" s="164"/>
      <c r="E4872" s="164"/>
      <c r="F4872" s="165"/>
    </row>
    <row r="4873" spans="1:6" x14ac:dyDescent="0.2">
      <c r="A4873" s="166"/>
      <c r="B4873" s="167"/>
      <c r="C4873" s="167"/>
      <c r="D4873" s="167"/>
      <c r="E4873" s="167"/>
      <c r="F4873" s="168"/>
    </row>
    <row r="4874" spans="1:6" x14ac:dyDescent="0.2">
      <c r="A4874" s="163"/>
      <c r="B4874" s="164"/>
      <c r="C4874" s="164"/>
      <c r="D4874" s="164"/>
      <c r="E4874" s="164"/>
      <c r="F4874" s="165"/>
    </row>
    <row r="4875" spans="1:6" x14ac:dyDescent="0.2">
      <c r="A4875" s="166"/>
      <c r="B4875" s="167"/>
      <c r="C4875" s="167"/>
      <c r="D4875" s="167"/>
      <c r="E4875" s="167"/>
      <c r="F4875" s="168"/>
    </row>
    <row r="4876" spans="1:6" x14ac:dyDescent="0.2">
      <c r="A4876" s="163"/>
      <c r="B4876" s="164"/>
      <c r="C4876" s="164"/>
      <c r="D4876" s="164"/>
      <c r="E4876" s="164"/>
      <c r="F4876" s="165"/>
    </row>
    <row r="4877" spans="1:6" x14ac:dyDescent="0.2">
      <c r="A4877" s="166"/>
      <c r="B4877" s="167"/>
      <c r="C4877" s="167"/>
      <c r="D4877" s="167"/>
      <c r="E4877" s="167"/>
      <c r="F4877" s="168"/>
    </row>
    <row r="4878" spans="1:6" x14ac:dyDescent="0.2">
      <c r="A4878" s="163"/>
      <c r="B4878" s="164"/>
      <c r="C4878" s="164"/>
      <c r="D4878" s="164"/>
      <c r="E4878" s="164"/>
      <c r="F4878" s="165"/>
    </row>
    <row r="4879" spans="1:6" x14ac:dyDescent="0.2">
      <c r="A4879" s="166"/>
      <c r="B4879" s="167"/>
      <c r="C4879" s="167"/>
      <c r="D4879" s="167"/>
      <c r="E4879" s="167"/>
      <c r="F4879" s="168"/>
    </row>
    <row r="4880" spans="1:6" x14ac:dyDescent="0.2">
      <c r="A4880" s="163"/>
      <c r="B4880" s="164"/>
      <c r="C4880" s="164"/>
      <c r="D4880" s="164"/>
      <c r="E4880" s="164"/>
      <c r="F4880" s="165"/>
    </row>
    <row r="4881" spans="1:6" x14ac:dyDescent="0.2">
      <c r="A4881" s="166"/>
      <c r="B4881" s="167"/>
      <c r="C4881" s="167"/>
      <c r="D4881" s="167"/>
      <c r="E4881" s="167"/>
      <c r="F4881" s="168"/>
    </row>
    <row r="4882" spans="1:6" x14ac:dyDescent="0.2">
      <c r="A4882" s="163"/>
      <c r="B4882" s="164"/>
      <c r="C4882" s="164"/>
      <c r="D4882" s="164"/>
      <c r="E4882" s="164"/>
      <c r="F4882" s="165"/>
    </row>
    <row r="4883" spans="1:6" x14ac:dyDescent="0.2">
      <c r="A4883" s="166"/>
      <c r="B4883" s="167"/>
      <c r="C4883" s="167"/>
      <c r="D4883" s="167"/>
      <c r="E4883" s="167"/>
      <c r="F4883" s="168"/>
    </row>
    <row r="4884" spans="1:6" x14ac:dyDescent="0.2">
      <c r="A4884" s="163"/>
      <c r="B4884" s="164"/>
      <c r="C4884" s="164"/>
      <c r="D4884" s="164"/>
      <c r="E4884" s="164"/>
      <c r="F4884" s="165"/>
    </row>
    <row r="4885" spans="1:6" x14ac:dyDescent="0.2">
      <c r="A4885" s="166"/>
      <c r="B4885" s="167"/>
      <c r="C4885" s="167"/>
      <c r="D4885" s="167"/>
      <c r="E4885" s="167"/>
      <c r="F4885" s="168"/>
    </row>
    <row r="4886" spans="1:6" x14ac:dyDescent="0.2">
      <c r="A4886" s="163"/>
      <c r="B4886" s="164"/>
      <c r="C4886" s="164"/>
      <c r="D4886" s="164"/>
      <c r="E4886" s="164"/>
      <c r="F4886" s="165"/>
    </row>
    <row r="4887" spans="1:6" x14ac:dyDescent="0.2">
      <c r="A4887" s="166"/>
      <c r="B4887" s="167"/>
      <c r="C4887" s="167"/>
      <c r="D4887" s="167"/>
      <c r="E4887" s="167"/>
      <c r="F4887" s="168"/>
    </row>
    <row r="4888" spans="1:6" x14ac:dyDescent="0.2">
      <c r="A4888" s="163"/>
      <c r="B4888" s="164"/>
      <c r="C4888" s="164"/>
      <c r="D4888" s="164"/>
      <c r="E4888" s="164"/>
      <c r="F4888" s="165"/>
    </row>
    <row r="4889" spans="1:6" x14ac:dyDescent="0.2">
      <c r="A4889" s="166"/>
      <c r="B4889" s="167"/>
      <c r="C4889" s="167"/>
      <c r="D4889" s="167"/>
      <c r="E4889" s="167"/>
      <c r="F4889" s="168"/>
    </row>
    <row r="4890" spans="1:6" x14ac:dyDescent="0.2">
      <c r="A4890" s="163"/>
      <c r="B4890" s="164"/>
      <c r="C4890" s="164"/>
      <c r="D4890" s="164"/>
      <c r="E4890" s="164"/>
      <c r="F4890" s="165"/>
    </row>
    <row r="4891" spans="1:6" x14ac:dyDescent="0.2">
      <c r="A4891" s="166"/>
      <c r="B4891" s="167"/>
      <c r="C4891" s="167"/>
      <c r="D4891" s="167"/>
      <c r="E4891" s="167"/>
      <c r="F4891" s="168"/>
    </row>
    <row r="4892" spans="1:6" x14ac:dyDescent="0.2">
      <c r="A4892" s="163"/>
      <c r="B4892" s="164"/>
      <c r="C4892" s="164"/>
      <c r="D4892" s="164"/>
      <c r="E4892" s="164"/>
      <c r="F4892" s="165"/>
    </row>
    <row r="4893" spans="1:6" x14ac:dyDescent="0.2">
      <c r="A4893" s="166"/>
      <c r="B4893" s="167"/>
      <c r="C4893" s="167"/>
      <c r="D4893" s="167"/>
      <c r="E4893" s="167"/>
      <c r="F4893" s="168"/>
    </row>
    <row r="4894" spans="1:6" x14ac:dyDescent="0.2">
      <c r="A4894" s="163"/>
      <c r="B4894" s="164"/>
      <c r="C4894" s="164"/>
      <c r="D4894" s="164"/>
      <c r="E4894" s="164"/>
      <c r="F4894" s="165"/>
    </row>
    <row r="4895" spans="1:6" x14ac:dyDescent="0.2">
      <c r="A4895" s="166"/>
      <c r="B4895" s="167"/>
      <c r="C4895" s="167"/>
      <c r="D4895" s="167"/>
      <c r="E4895" s="167"/>
      <c r="F4895" s="168"/>
    </row>
    <row r="4896" spans="1:6" x14ac:dyDescent="0.2">
      <c r="A4896" s="163"/>
      <c r="B4896" s="164"/>
      <c r="C4896" s="164"/>
      <c r="D4896" s="164"/>
      <c r="E4896" s="164"/>
      <c r="F4896" s="165"/>
    </row>
    <row r="4897" spans="1:6" x14ac:dyDescent="0.2">
      <c r="A4897" s="166"/>
      <c r="B4897" s="167"/>
      <c r="C4897" s="167"/>
      <c r="D4897" s="167"/>
      <c r="E4897" s="167"/>
      <c r="F4897" s="168"/>
    </row>
    <row r="4898" spans="1:6" x14ac:dyDescent="0.2">
      <c r="A4898" s="163"/>
      <c r="B4898" s="164"/>
      <c r="C4898" s="164"/>
      <c r="D4898" s="164"/>
      <c r="E4898" s="164"/>
      <c r="F4898" s="165"/>
    </row>
    <row r="4899" spans="1:6" x14ac:dyDescent="0.2">
      <c r="A4899" s="166"/>
      <c r="B4899" s="167"/>
      <c r="C4899" s="167"/>
      <c r="D4899" s="167"/>
      <c r="E4899" s="167"/>
      <c r="F4899" s="168"/>
    </row>
    <row r="4900" spans="1:6" x14ac:dyDescent="0.2">
      <c r="A4900" s="163"/>
      <c r="B4900" s="164"/>
      <c r="C4900" s="164"/>
      <c r="D4900" s="164"/>
      <c r="E4900" s="164"/>
      <c r="F4900" s="165"/>
    </row>
    <row r="4901" spans="1:6" x14ac:dyDescent="0.2">
      <c r="A4901" s="166"/>
      <c r="B4901" s="167"/>
      <c r="C4901" s="167"/>
      <c r="D4901" s="167"/>
      <c r="E4901" s="167"/>
      <c r="F4901" s="168"/>
    </row>
    <row r="4902" spans="1:6" x14ac:dyDescent="0.2">
      <c r="A4902" s="163"/>
      <c r="B4902" s="164"/>
      <c r="C4902" s="164"/>
      <c r="D4902" s="164"/>
      <c r="E4902" s="164"/>
      <c r="F4902" s="165"/>
    </row>
    <row r="4903" spans="1:6" x14ac:dyDescent="0.2">
      <c r="A4903" s="166"/>
      <c r="B4903" s="167"/>
      <c r="C4903" s="167"/>
      <c r="D4903" s="167"/>
      <c r="E4903" s="167"/>
      <c r="F4903" s="168"/>
    </row>
    <row r="4904" spans="1:6" x14ac:dyDescent="0.2">
      <c r="A4904" s="163"/>
      <c r="B4904" s="164"/>
      <c r="C4904" s="164"/>
      <c r="D4904" s="164"/>
      <c r="E4904" s="164"/>
      <c r="F4904" s="165"/>
    </row>
    <row r="4905" spans="1:6" x14ac:dyDescent="0.2">
      <c r="A4905" s="166"/>
      <c r="B4905" s="167"/>
      <c r="C4905" s="167"/>
      <c r="D4905" s="167"/>
      <c r="E4905" s="167"/>
      <c r="F4905" s="168"/>
    </row>
    <row r="4906" spans="1:6" x14ac:dyDescent="0.2">
      <c r="A4906" s="163"/>
      <c r="B4906" s="164"/>
      <c r="C4906" s="164"/>
      <c r="D4906" s="164"/>
      <c r="E4906" s="164"/>
      <c r="F4906" s="165"/>
    </row>
    <row r="4907" spans="1:6" x14ac:dyDescent="0.2">
      <c r="A4907" s="166"/>
      <c r="B4907" s="167"/>
      <c r="C4907" s="167"/>
      <c r="D4907" s="167"/>
      <c r="E4907" s="167"/>
      <c r="F4907" s="168"/>
    </row>
    <row r="4908" spans="1:6" x14ac:dyDescent="0.2">
      <c r="A4908" s="163"/>
      <c r="B4908" s="164"/>
      <c r="C4908" s="164"/>
      <c r="D4908" s="164"/>
      <c r="E4908" s="164"/>
      <c r="F4908" s="165"/>
    </row>
    <row r="4909" spans="1:6" x14ac:dyDescent="0.2">
      <c r="A4909" s="166"/>
      <c r="B4909" s="167"/>
      <c r="C4909" s="167"/>
      <c r="D4909" s="167"/>
      <c r="E4909" s="167"/>
      <c r="F4909" s="168"/>
    </row>
    <row r="4910" spans="1:6" x14ac:dyDescent="0.2">
      <c r="A4910" s="163"/>
      <c r="B4910" s="164"/>
      <c r="C4910" s="164"/>
      <c r="D4910" s="164"/>
      <c r="E4910" s="164"/>
      <c r="F4910" s="165"/>
    </row>
    <row r="4911" spans="1:6" x14ac:dyDescent="0.2">
      <c r="A4911" s="166"/>
      <c r="B4911" s="167"/>
      <c r="C4911" s="167"/>
      <c r="D4911" s="167"/>
      <c r="E4911" s="167"/>
      <c r="F4911" s="168"/>
    </row>
    <row r="4912" spans="1:6" x14ac:dyDescent="0.2">
      <c r="A4912" s="163"/>
      <c r="B4912" s="164"/>
      <c r="C4912" s="164"/>
      <c r="D4912" s="164"/>
      <c r="E4912" s="164"/>
      <c r="F4912" s="165"/>
    </row>
    <row r="4913" spans="1:6" x14ac:dyDescent="0.2">
      <c r="A4913" s="166"/>
      <c r="B4913" s="167"/>
      <c r="C4913" s="167"/>
      <c r="D4913" s="167"/>
      <c r="E4913" s="167"/>
      <c r="F4913" s="168"/>
    </row>
    <row r="4914" spans="1:6" x14ac:dyDescent="0.2">
      <c r="A4914" s="163"/>
      <c r="B4914" s="164"/>
      <c r="C4914" s="164"/>
      <c r="D4914" s="164"/>
      <c r="E4914" s="164"/>
      <c r="F4914" s="165"/>
    </row>
    <row r="4915" spans="1:6" x14ac:dyDescent="0.2">
      <c r="A4915" s="166"/>
      <c r="B4915" s="167"/>
      <c r="C4915" s="167"/>
      <c r="D4915" s="167"/>
      <c r="E4915" s="167"/>
      <c r="F4915" s="168"/>
    </row>
    <row r="4916" spans="1:6" x14ac:dyDescent="0.2">
      <c r="A4916" s="163"/>
      <c r="B4916" s="164"/>
      <c r="C4916" s="164"/>
      <c r="D4916" s="164"/>
      <c r="E4916" s="164"/>
      <c r="F4916" s="165"/>
    </row>
    <row r="4917" spans="1:6" x14ac:dyDescent="0.2">
      <c r="A4917" s="166"/>
      <c r="B4917" s="167"/>
      <c r="C4917" s="167"/>
      <c r="D4917" s="167"/>
      <c r="E4917" s="167"/>
      <c r="F4917" s="168"/>
    </row>
    <row r="4918" spans="1:6" x14ac:dyDescent="0.2">
      <c r="A4918" s="163"/>
      <c r="B4918" s="164"/>
      <c r="C4918" s="164"/>
      <c r="D4918" s="164"/>
      <c r="E4918" s="164"/>
      <c r="F4918" s="165"/>
    </row>
    <row r="4919" spans="1:6" x14ac:dyDescent="0.2">
      <c r="A4919" s="166"/>
      <c r="B4919" s="167"/>
      <c r="C4919" s="167"/>
      <c r="D4919" s="167"/>
      <c r="E4919" s="167"/>
      <c r="F4919" s="168"/>
    </row>
    <row r="4920" spans="1:6" x14ac:dyDescent="0.2">
      <c r="A4920" s="163"/>
      <c r="B4920" s="164"/>
      <c r="C4920" s="164"/>
      <c r="D4920" s="164"/>
      <c r="E4920" s="164"/>
      <c r="F4920" s="165"/>
    </row>
    <row r="4921" spans="1:6" x14ac:dyDescent="0.2">
      <c r="A4921" s="166"/>
      <c r="B4921" s="167"/>
      <c r="C4921" s="167"/>
      <c r="D4921" s="167"/>
      <c r="E4921" s="167"/>
      <c r="F4921" s="168"/>
    </row>
    <row r="4922" spans="1:6" x14ac:dyDescent="0.2">
      <c r="A4922" s="163"/>
      <c r="B4922" s="164"/>
      <c r="C4922" s="164"/>
      <c r="D4922" s="164"/>
      <c r="E4922" s="164"/>
      <c r="F4922" s="165"/>
    </row>
    <row r="4923" spans="1:6" x14ac:dyDescent="0.2">
      <c r="A4923" s="166"/>
      <c r="B4923" s="167"/>
      <c r="C4923" s="167"/>
      <c r="D4923" s="167"/>
      <c r="E4923" s="167"/>
      <c r="F4923" s="168"/>
    </row>
    <row r="4924" spans="1:6" x14ac:dyDescent="0.2">
      <c r="A4924" s="163"/>
      <c r="B4924" s="164"/>
      <c r="C4924" s="164"/>
      <c r="D4924" s="164"/>
      <c r="E4924" s="164"/>
      <c r="F4924" s="165"/>
    </row>
    <row r="4925" spans="1:6" x14ac:dyDescent="0.2">
      <c r="A4925" s="166"/>
      <c r="B4925" s="167"/>
      <c r="C4925" s="167"/>
      <c r="D4925" s="167"/>
      <c r="E4925" s="167"/>
      <c r="F4925" s="168"/>
    </row>
    <row r="4926" spans="1:6" x14ac:dyDescent="0.2">
      <c r="A4926" s="163"/>
      <c r="B4926" s="164"/>
      <c r="C4926" s="164"/>
      <c r="D4926" s="164"/>
      <c r="E4926" s="164"/>
      <c r="F4926" s="165"/>
    </row>
    <row r="4927" spans="1:6" x14ac:dyDescent="0.2">
      <c r="A4927" s="166"/>
      <c r="B4927" s="167"/>
      <c r="C4927" s="167"/>
      <c r="D4927" s="167"/>
      <c r="E4927" s="167"/>
      <c r="F4927" s="168"/>
    </row>
    <row r="4928" spans="1:6" x14ac:dyDescent="0.2">
      <c r="A4928" s="163"/>
      <c r="B4928" s="164"/>
      <c r="C4928" s="164"/>
      <c r="D4928" s="164"/>
      <c r="E4928" s="164"/>
      <c r="F4928" s="165"/>
    </row>
    <row r="4929" spans="1:6" x14ac:dyDescent="0.2">
      <c r="A4929" s="166"/>
      <c r="B4929" s="167"/>
      <c r="C4929" s="167"/>
      <c r="D4929" s="167"/>
      <c r="E4929" s="167"/>
      <c r="F4929" s="168"/>
    </row>
    <row r="4930" spans="1:6" x14ac:dyDescent="0.2">
      <c r="A4930" s="163"/>
      <c r="B4930" s="164"/>
      <c r="C4930" s="164"/>
      <c r="D4930" s="164"/>
      <c r="E4930" s="164"/>
      <c r="F4930" s="165"/>
    </row>
    <row r="4931" spans="1:6" x14ac:dyDescent="0.2">
      <c r="A4931" s="166"/>
      <c r="B4931" s="167"/>
      <c r="C4931" s="167"/>
      <c r="D4931" s="167"/>
      <c r="E4931" s="167"/>
      <c r="F4931" s="168"/>
    </row>
    <row r="4932" spans="1:6" x14ac:dyDescent="0.2">
      <c r="A4932" s="163"/>
      <c r="B4932" s="164"/>
      <c r="C4932" s="164"/>
      <c r="D4932" s="164"/>
      <c r="E4932" s="164"/>
      <c r="F4932" s="165"/>
    </row>
    <row r="4933" spans="1:6" x14ac:dyDescent="0.2">
      <c r="A4933" s="166"/>
      <c r="B4933" s="167"/>
      <c r="C4933" s="167"/>
      <c r="D4933" s="167"/>
      <c r="E4933" s="167"/>
      <c r="F4933" s="168"/>
    </row>
    <row r="4934" spans="1:6" x14ac:dyDescent="0.2">
      <c r="A4934" s="163"/>
      <c r="B4934" s="164"/>
      <c r="C4934" s="164"/>
      <c r="D4934" s="164"/>
      <c r="E4934" s="164"/>
      <c r="F4934" s="165"/>
    </row>
    <row r="4935" spans="1:6" x14ac:dyDescent="0.2">
      <c r="A4935" s="166"/>
      <c r="B4935" s="167"/>
      <c r="C4935" s="167"/>
      <c r="D4935" s="167"/>
      <c r="E4935" s="167"/>
      <c r="F4935" s="168"/>
    </row>
    <row r="4936" spans="1:6" x14ac:dyDescent="0.2">
      <c r="A4936" s="163"/>
      <c r="B4936" s="164"/>
      <c r="C4936" s="164"/>
      <c r="D4936" s="164"/>
      <c r="E4936" s="164"/>
      <c r="F4936" s="165"/>
    </row>
    <row r="4937" spans="1:6" x14ac:dyDescent="0.2">
      <c r="A4937" s="166"/>
      <c r="B4937" s="167"/>
      <c r="C4937" s="167"/>
      <c r="D4937" s="167"/>
      <c r="E4937" s="167"/>
      <c r="F4937" s="168"/>
    </row>
    <row r="4938" spans="1:6" x14ac:dyDescent="0.2">
      <c r="A4938" s="163"/>
      <c r="B4938" s="164"/>
      <c r="C4938" s="164"/>
      <c r="D4938" s="164"/>
      <c r="E4938" s="164"/>
      <c r="F4938" s="165"/>
    </row>
    <row r="4939" spans="1:6" x14ac:dyDescent="0.2">
      <c r="A4939" s="166"/>
      <c r="B4939" s="167"/>
      <c r="C4939" s="167"/>
      <c r="D4939" s="167"/>
      <c r="E4939" s="167"/>
      <c r="F4939" s="168"/>
    </row>
    <row r="4940" spans="1:6" x14ac:dyDescent="0.2">
      <c r="A4940" s="163"/>
      <c r="B4940" s="164"/>
      <c r="C4940" s="164"/>
      <c r="D4940" s="164"/>
      <c r="E4940" s="164"/>
      <c r="F4940" s="165"/>
    </row>
    <row r="4941" spans="1:6" x14ac:dyDescent="0.2">
      <c r="A4941" s="166"/>
      <c r="B4941" s="167"/>
      <c r="C4941" s="167"/>
      <c r="D4941" s="167"/>
      <c r="E4941" s="167"/>
      <c r="F4941" s="168"/>
    </row>
    <row r="4942" spans="1:6" x14ac:dyDescent="0.2">
      <c r="A4942" s="163"/>
      <c r="B4942" s="164"/>
      <c r="C4942" s="164"/>
      <c r="D4942" s="164"/>
      <c r="E4942" s="164"/>
      <c r="F4942" s="165"/>
    </row>
    <row r="4943" spans="1:6" x14ac:dyDescent="0.2">
      <c r="A4943" s="166"/>
      <c r="B4943" s="167"/>
      <c r="C4943" s="167"/>
      <c r="D4943" s="167"/>
      <c r="E4943" s="167"/>
      <c r="F4943" s="168"/>
    </row>
    <row r="4944" spans="1:6" x14ac:dyDescent="0.2">
      <c r="A4944" s="163"/>
      <c r="B4944" s="164"/>
      <c r="C4944" s="164"/>
      <c r="D4944" s="164"/>
      <c r="E4944" s="164"/>
      <c r="F4944" s="165"/>
    </row>
    <row r="4945" spans="1:6" x14ac:dyDescent="0.2">
      <c r="A4945" s="166"/>
      <c r="B4945" s="167"/>
      <c r="C4945" s="167"/>
      <c r="D4945" s="167"/>
      <c r="E4945" s="167"/>
      <c r="F4945" s="168"/>
    </row>
    <row r="4946" spans="1:6" x14ac:dyDescent="0.2">
      <c r="A4946" s="163"/>
      <c r="B4946" s="164"/>
      <c r="C4946" s="164"/>
      <c r="D4946" s="164"/>
      <c r="E4946" s="164"/>
      <c r="F4946" s="165"/>
    </row>
    <row r="4947" spans="1:6" x14ac:dyDescent="0.2">
      <c r="A4947" s="166"/>
      <c r="B4947" s="167"/>
      <c r="C4947" s="167"/>
      <c r="D4947" s="167"/>
      <c r="E4947" s="167"/>
      <c r="F4947" s="168"/>
    </row>
    <row r="4948" spans="1:6" x14ac:dyDescent="0.2">
      <c r="A4948" s="163"/>
      <c r="B4948" s="164"/>
      <c r="C4948" s="164"/>
      <c r="D4948" s="164"/>
      <c r="E4948" s="164"/>
      <c r="F4948" s="165"/>
    </row>
    <row r="4949" spans="1:6" x14ac:dyDescent="0.2">
      <c r="A4949" s="166"/>
      <c r="B4949" s="167"/>
      <c r="C4949" s="167"/>
      <c r="D4949" s="167"/>
      <c r="E4949" s="167"/>
      <c r="F4949" s="168"/>
    </row>
    <row r="4950" spans="1:6" x14ac:dyDescent="0.2">
      <c r="A4950" s="163"/>
      <c r="B4950" s="164"/>
      <c r="C4950" s="164"/>
      <c r="D4950" s="164"/>
      <c r="E4950" s="164"/>
      <c r="F4950" s="165"/>
    </row>
    <row r="4951" spans="1:6" x14ac:dyDescent="0.2">
      <c r="A4951" s="166"/>
      <c r="B4951" s="167"/>
      <c r="C4951" s="167"/>
      <c r="D4951" s="167"/>
      <c r="E4951" s="167"/>
      <c r="F4951" s="168"/>
    </row>
    <row r="4952" spans="1:6" x14ac:dyDescent="0.2">
      <c r="A4952" s="163"/>
      <c r="B4952" s="164"/>
      <c r="C4952" s="164"/>
      <c r="D4952" s="164"/>
      <c r="E4952" s="164"/>
      <c r="F4952" s="165"/>
    </row>
    <row r="4953" spans="1:6" x14ac:dyDescent="0.2">
      <c r="A4953" s="166"/>
      <c r="B4953" s="167"/>
      <c r="C4953" s="167"/>
      <c r="D4953" s="167"/>
      <c r="E4953" s="167"/>
      <c r="F4953" s="168"/>
    </row>
    <row r="4954" spans="1:6" x14ac:dyDescent="0.2">
      <c r="A4954" s="163"/>
      <c r="B4954" s="164"/>
      <c r="C4954" s="164"/>
      <c r="D4954" s="164"/>
      <c r="E4954" s="164"/>
      <c r="F4954" s="165"/>
    </row>
    <row r="4955" spans="1:6" x14ac:dyDescent="0.2">
      <c r="A4955" s="166"/>
      <c r="B4955" s="167"/>
      <c r="C4955" s="167"/>
      <c r="D4955" s="167"/>
      <c r="E4955" s="167"/>
      <c r="F4955" s="168"/>
    </row>
    <row r="4956" spans="1:6" x14ac:dyDescent="0.2">
      <c r="A4956" s="163"/>
      <c r="B4956" s="164"/>
      <c r="C4956" s="164"/>
      <c r="D4956" s="164"/>
      <c r="E4956" s="164"/>
      <c r="F4956" s="165"/>
    </row>
    <row r="4957" spans="1:6" x14ac:dyDescent="0.2">
      <c r="A4957" s="166"/>
      <c r="B4957" s="167"/>
      <c r="C4957" s="167"/>
      <c r="D4957" s="167"/>
      <c r="E4957" s="167"/>
      <c r="F4957" s="168"/>
    </row>
    <row r="4958" spans="1:6" x14ac:dyDescent="0.2">
      <c r="A4958" s="163"/>
      <c r="B4958" s="164"/>
      <c r="C4958" s="164"/>
      <c r="D4958" s="164"/>
      <c r="E4958" s="164"/>
      <c r="F4958" s="165"/>
    </row>
    <row r="4959" spans="1:6" x14ac:dyDescent="0.2">
      <c r="A4959" s="166"/>
      <c r="B4959" s="167"/>
      <c r="C4959" s="167"/>
      <c r="D4959" s="167"/>
      <c r="E4959" s="167"/>
      <c r="F4959" s="168"/>
    </row>
    <row r="4960" spans="1:6" x14ac:dyDescent="0.2">
      <c r="A4960" s="163"/>
      <c r="B4960" s="164"/>
      <c r="C4960" s="164"/>
      <c r="D4960" s="164"/>
      <c r="E4960" s="164"/>
      <c r="F4960" s="165"/>
    </row>
    <row r="4961" spans="1:6" x14ac:dyDescent="0.2">
      <c r="A4961" s="166"/>
      <c r="B4961" s="167"/>
      <c r="C4961" s="167"/>
      <c r="D4961" s="167"/>
      <c r="E4961" s="167"/>
      <c r="F4961" s="168"/>
    </row>
    <row r="4962" spans="1:6" x14ac:dyDescent="0.2">
      <c r="A4962" s="163"/>
      <c r="B4962" s="164"/>
      <c r="C4962" s="164"/>
      <c r="D4962" s="164"/>
      <c r="E4962" s="164"/>
      <c r="F4962" s="165"/>
    </row>
    <row r="4963" spans="1:6" x14ac:dyDescent="0.2">
      <c r="A4963" s="166"/>
      <c r="B4963" s="167"/>
      <c r="C4963" s="167"/>
      <c r="D4963" s="167"/>
      <c r="E4963" s="167"/>
      <c r="F4963" s="168"/>
    </row>
    <row r="4964" spans="1:6" x14ac:dyDescent="0.2">
      <c r="A4964" s="163"/>
      <c r="B4964" s="164"/>
      <c r="C4964" s="164"/>
      <c r="D4964" s="164"/>
      <c r="E4964" s="164"/>
      <c r="F4964" s="165"/>
    </row>
    <row r="4965" spans="1:6" x14ac:dyDescent="0.2">
      <c r="A4965" s="166"/>
      <c r="B4965" s="167"/>
      <c r="C4965" s="167"/>
      <c r="D4965" s="167"/>
      <c r="E4965" s="167"/>
      <c r="F4965" s="168"/>
    </row>
    <row r="4966" spans="1:6" x14ac:dyDescent="0.2">
      <c r="A4966" s="163"/>
      <c r="B4966" s="164"/>
      <c r="C4966" s="164"/>
      <c r="D4966" s="164"/>
      <c r="E4966" s="164"/>
      <c r="F4966" s="165"/>
    </row>
    <row r="4967" spans="1:6" x14ac:dyDescent="0.2">
      <c r="A4967" s="166"/>
      <c r="B4967" s="167"/>
      <c r="C4967" s="167"/>
      <c r="D4967" s="167"/>
      <c r="E4967" s="167"/>
      <c r="F4967" s="168"/>
    </row>
    <row r="4968" spans="1:6" x14ac:dyDescent="0.2">
      <c r="A4968" s="163"/>
      <c r="B4968" s="164"/>
      <c r="C4968" s="164"/>
      <c r="D4968" s="164"/>
      <c r="E4968" s="164"/>
      <c r="F4968" s="165"/>
    </row>
    <row r="4969" spans="1:6" x14ac:dyDescent="0.2">
      <c r="A4969" s="166"/>
      <c r="B4969" s="167"/>
      <c r="C4969" s="167"/>
      <c r="D4969" s="167"/>
      <c r="E4969" s="167"/>
      <c r="F4969" s="168"/>
    </row>
    <row r="4970" spans="1:6" x14ac:dyDescent="0.2">
      <c r="A4970" s="163"/>
      <c r="B4970" s="164"/>
      <c r="C4970" s="164"/>
      <c r="D4970" s="164"/>
      <c r="E4970" s="164"/>
      <c r="F4970" s="165"/>
    </row>
    <row r="4971" spans="1:6" x14ac:dyDescent="0.2">
      <c r="A4971" s="166"/>
      <c r="B4971" s="167"/>
      <c r="C4971" s="167"/>
      <c r="D4971" s="167"/>
      <c r="E4971" s="167"/>
      <c r="F4971" s="168"/>
    </row>
    <row r="4972" spans="1:6" x14ac:dyDescent="0.2">
      <c r="A4972" s="163"/>
      <c r="B4972" s="164"/>
      <c r="C4972" s="164"/>
      <c r="D4972" s="164"/>
      <c r="E4972" s="164"/>
      <c r="F4972" s="165"/>
    </row>
    <row r="4973" spans="1:6" x14ac:dyDescent="0.2">
      <c r="A4973" s="166"/>
      <c r="B4973" s="167"/>
      <c r="C4973" s="167"/>
      <c r="D4973" s="167"/>
      <c r="E4973" s="167"/>
      <c r="F4973" s="168"/>
    </row>
    <row r="4974" spans="1:6" x14ac:dyDescent="0.2">
      <c r="A4974" s="163"/>
      <c r="B4974" s="164"/>
      <c r="C4974" s="164"/>
      <c r="D4974" s="164"/>
      <c r="E4974" s="164"/>
      <c r="F4974" s="165"/>
    </row>
    <row r="4975" spans="1:6" x14ac:dyDescent="0.2">
      <c r="A4975" s="166"/>
      <c r="B4975" s="167"/>
      <c r="C4975" s="167"/>
      <c r="D4975" s="167"/>
      <c r="E4975" s="167"/>
      <c r="F4975" s="168"/>
    </row>
    <row r="4976" spans="1:6" x14ac:dyDescent="0.2">
      <c r="A4976" s="163"/>
      <c r="B4976" s="164"/>
      <c r="C4976" s="164"/>
      <c r="D4976" s="164"/>
      <c r="E4976" s="164"/>
      <c r="F4976" s="165"/>
    </row>
    <row r="4977" spans="1:6" x14ac:dyDescent="0.2">
      <c r="A4977" s="166"/>
      <c r="B4977" s="167"/>
      <c r="C4977" s="167"/>
      <c r="D4977" s="167"/>
      <c r="E4977" s="167"/>
      <c r="F4977" s="168"/>
    </row>
    <row r="4978" spans="1:6" x14ac:dyDescent="0.2">
      <c r="A4978" s="163"/>
      <c r="B4978" s="164"/>
      <c r="C4978" s="164"/>
      <c r="D4978" s="164"/>
      <c r="E4978" s="164"/>
      <c r="F4978" s="165"/>
    </row>
    <row r="4979" spans="1:6" x14ac:dyDescent="0.2">
      <c r="A4979" s="166"/>
      <c r="B4979" s="167"/>
      <c r="C4979" s="167"/>
      <c r="D4979" s="167"/>
      <c r="E4979" s="167"/>
      <c r="F4979" s="168"/>
    </row>
    <row r="4980" spans="1:6" x14ac:dyDescent="0.2">
      <c r="A4980" s="163"/>
      <c r="B4980" s="164"/>
      <c r="C4980" s="164"/>
      <c r="D4980" s="164"/>
      <c r="E4980" s="164"/>
      <c r="F4980" s="165"/>
    </row>
    <row r="4981" spans="1:6" x14ac:dyDescent="0.2">
      <c r="A4981" s="166"/>
      <c r="B4981" s="167"/>
      <c r="C4981" s="167"/>
      <c r="D4981" s="167"/>
      <c r="E4981" s="167"/>
      <c r="F4981" s="168"/>
    </row>
    <row r="4982" spans="1:6" x14ac:dyDescent="0.2">
      <c r="A4982" s="163"/>
      <c r="B4982" s="164"/>
      <c r="C4982" s="164"/>
      <c r="D4982" s="164"/>
      <c r="E4982" s="164"/>
      <c r="F4982" s="165"/>
    </row>
    <row r="4983" spans="1:6" x14ac:dyDescent="0.2">
      <c r="A4983" s="166"/>
      <c r="B4983" s="167"/>
      <c r="C4983" s="167"/>
      <c r="D4983" s="167"/>
      <c r="E4983" s="167"/>
      <c r="F4983" s="168"/>
    </row>
    <row r="4984" spans="1:6" x14ac:dyDescent="0.2">
      <c r="A4984" s="163"/>
      <c r="B4984" s="164"/>
      <c r="C4984" s="164"/>
      <c r="D4984" s="164"/>
      <c r="E4984" s="164"/>
      <c r="F4984" s="165"/>
    </row>
    <row r="4985" spans="1:6" x14ac:dyDescent="0.2">
      <c r="A4985" s="166"/>
      <c r="B4985" s="167"/>
      <c r="C4985" s="167"/>
      <c r="D4985" s="167"/>
      <c r="E4985" s="167"/>
      <c r="F4985" s="168"/>
    </row>
    <row r="4986" spans="1:6" x14ac:dyDescent="0.2">
      <c r="A4986" s="163"/>
      <c r="B4986" s="164"/>
      <c r="C4986" s="164"/>
      <c r="D4986" s="164"/>
      <c r="E4986" s="164"/>
      <c r="F4986" s="165"/>
    </row>
    <row r="4987" spans="1:6" x14ac:dyDescent="0.2">
      <c r="A4987" s="166"/>
      <c r="B4987" s="167"/>
      <c r="C4987" s="167"/>
      <c r="D4987" s="167"/>
      <c r="E4987" s="167"/>
      <c r="F4987" s="168"/>
    </row>
    <row r="4988" spans="1:6" x14ac:dyDescent="0.2">
      <c r="A4988" s="163"/>
      <c r="B4988" s="164"/>
      <c r="C4988" s="164"/>
      <c r="D4988" s="164"/>
      <c r="E4988" s="164"/>
      <c r="F4988" s="165"/>
    </row>
    <row r="4989" spans="1:6" x14ac:dyDescent="0.2">
      <c r="A4989" s="166"/>
      <c r="B4989" s="167"/>
      <c r="C4989" s="167"/>
      <c r="D4989" s="167"/>
      <c r="E4989" s="167"/>
      <c r="F4989" s="168"/>
    </row>
    <row r="4990" spans="1:6" x14ac:dyDescent="0.2">
      <c r="A4990" s="163"/>
      <c r="B4990" s="164"/>
      <c r="C4990" s="164"/>
      <c r="D4990" s="164"/>
      <c r="E4990" s="164"/>
      <c r="F4990" s="165"/>
    </row>
    <row r="4991" spans="1:6" x14ac:dyDescent="0.2">
      <c r="A4991" s="166"/>
      <c r="B4991" s="167"/>
      <c r="C4991" s="167"/>
      <c r="D4991" s="167"/>
      <c r="E4991" s="167"/>
      <c r="F4991" s="168"/>
    </row>
    <row r="4992" spans="1:6" x14ac:dyDescent="0.2">
      <c r="A4992" s="163"/>
      <c r="B4992" s="164"/>
      <c r="C4992" s="164"/>
      <c r="D4992" s="164"/>
      <c r="E4992" s="164"/>
      <c r="F4992" s="165"/>
    </row>
    <row r="4993" spans="1:6" x14ac:dyDescent="0.2">
      <c r="A4993" s="166"/>
      <c r="B4993" s="167"/>
      <c r="C4993" s="167"/>
      <c r="D4993" s="167"/>
      <c r="E4993" s="167"/>
      <c r="F4993" s="168"/>
    </row>
    <row r="4994" spans="1:6" x14ac:dyDescent="0.2">
      <c r="A4994" s="163"/>
      <c r="B4994" s="164"/>
      <c r="C4994" s="164"/>
      <c r="D4994" s="164"/>
      <c r="E4994" s="164"/>
      <c r="F4994" s="165"/>
    </row>
    <row r="4995" spans="1:6" x14ac:dyDescent="0.2">
      <c r="A4995" s="166"/>
      <c r="B4995" s="167"/>
      <c r="C4995" s="167"/>
      <c r="D4995" s="167"/>
      <c r="E4995" s="167"/>
      <c r="F4995" s="168"/>
    </row>
    <row r="4996" spans="1:6" x14ac:dyDescent="0.2">
      <c r="A4996" s="163"/>
      <c r="B4996" s="164"/>
      <c r="C4996" s="164"/>
      <c r="D4996" s="164"/>
      <c r="E4996" s="164"/>
      <c r="F4996" s="165"/>
    </row>
    <row r="4997" spans="1:6" x14ac:dyDescent="0.2">
      <c r="A4997" s="166"/>
      <c r="B4997" s="167"/>
      <c r="C4997" s="167"/>
      <c r="D4997" s="167"/>
      <c r="E4997" s="167"/>
      <c r="F4997" s="168"/>
    </row>
    <row r="4998" spans="1:6" x14ac:dyDescent="0.2">
      <c r="A4998" s="163"/>
      <c r="B4998" s="164"/>
      <c r="C4998" s="164"/>
      <c r="D4998" s="164"/>
      <c r="E4998" s="164"/>
      <c r="F4998" s="165"/>
    </row>
    <row r="4999" spans="1:6" x14ac:dyDescent="0.2">
      <c r="A4999" s="166"/>
      <c r="B4999" s="167"/>
      <c r="C4999" s="167"/>
      <c r="D4999" s="167"/>
      <c r="E4999" s="167"/>
      <c r="F4999" s="168"/>
    </row>
    <row r="5000" spans="1:6" x14ac:dyDescent="0.2">
      <c r="A5000" s="163"/>
      <c r="B5000" s="164"/>
      <c r="C5000" s="164"/>
      <c r="D5000" s="164"/>
      <c r="E5000" s="164"/>
      <c r="F5000" s="165"/>
    </row>
    <row r="5001" spans="1:6" x14ac:dyDescent="0.2">
      <c r="A5001" s="166"/>
      <c r="B5001" s="167"/>
      <c r="C5001" s="167"/>
      <c r="D5001" s="167"/>
      <c r="E5001" s="167"/>
      <c r="F5001" s="168"/>
    </row>
    <row r="5002" spans="1:6" x14ac:dyDescent="0.2">
      <c r="A5002" s="163"/>
      <c r="B5002" s="164"/>
      <c r="C5002" s="164"/>
      <c r="D5002" s="164"/>
      <c r="E5002" s="164"/>
      <c r="F5002" s="165"/>
    </row>
    <row r="5003" spans="1:6" x14ac:dyDescent="0.2">
      <c r="A5003" s="166"/>
      <c r="B5003" s="167"/>
      <c r="C5003" s="167"/>
      <c r="D5003" s="167"/>
      <c r="E5003" s="167"/>
      <c r="F5003" s="168"/>
    </row>
    <row r="5004" spans="1:6" x14ac:dyDescent="0.2">
      <c r="A5004" s="163"/>
      <c r="B5004" s="164"/>
      <c r="C5004" s="164"/>
      <c r="D5004" s="164"/>
      <c r="E5004" s="164"/>
      <c r="F5004" s="165"/>
    </row>
    <row r="5005" spans="1:6" x14ac:dyDescent="0.2">
      <c r="A5005" s="166"/>
      <c r="B5005" s="167"/>
      <c r="C5005" s="167"/>
      <c r="D5005" s="167"/>
      <c r="E5005" s="167"/>
      <c r="F5005" s="168"/>
    </row>
    <row r="5006" spans="1:6" x14ac:dyDescent="0.2">
      <c r="A5006" s="163"/>
      <c r="B5006" s="164"/>
      <c r="C5006" s="164"/>
      <c r="D5006" s="164"/>
      <c r="E5006" s="164"/>
      <c r="F5006" s="165"/>
    </row>
    <row r="5007" spans="1:6" x14ac:dyDescent="0.2">
      <c r="A5007" s="166"/>
      <c r="B5007" s="167"/>
      <c r="C5007" s="167"/>
      <c r="D5007" s="167"/>
      <c r="E5007" s="167"/>
      <c r="F5007" s="168"/>
    </row>
    <row r="5008" spans="1:6" x14ac:dyDescent="0.2">
      <c r="A5008" s="163"/>
      <c r="B5008" s="164"/>
      <c r="C5008" s="164"/>
      <c r="D5008" s="164"/>
      <c r="E5008" s="164"/>
      <c r="F5008" s="165"/>
    </row>
    <row r="5009" spans="1:6" x14ac:dyDescent="0.2">
      <c r="A5009" s="166"/>
      <c r="B5009" s="167"/>
      <c r="C5009" s="167"/>
      <c r="D5009" s="167"/>
      <c r="E5009" s="167"/>
      <c r="F5009" s="168"/>
    </row>
    <row r="5010" spans="1:6" x14ac:dyDescent="0.2">
      <c r="A5010" s="163"/>
      <c r="B5010" s="164"/>
      <c r="C5010" s="164"/>
      <c r="D5010" s="164"/>
      <c r="E5010" s="164"/>
      <c r="F5010" s="165"/>
    </row>
    <row r="5011" spans="1:6" x14ac:dyDescent="0.2">
      <c r="A5011" s="166"/>
      <c r="B5011" s="167"/>
      <c r="C5011" s="167"/>
      <c r="D5011" s="167"/>
      <c r="E5011" s="167"/>
      <c r="F5011" s="168"/>
    </row>
    <row r="5012" spans="1:6" x14ac:dyDescent="0.2">
      <c r="A5012" s="163"/>
      <c r="B5012" s="164"/>
      <c r="C5012" s="164"/>
      <c r="D5012" s="164"/>
      <c r="E5012" s="164"/>
      <c r="F5012" s="165"/>
    </row>
    <row r="5013" spans="1:6" x14ac:dyDescent="0.2">
      <c r="A5013" s="166"/>
      <c r="B5013" s="167"/>
      <c r="C5013" s="167"/>
      <c r="D5013" s="167"/>
      <c r="E5013" s="167"/>
      <c r="F5013" s="168"/>
    </row>
    <row r="5014" spans="1:6" x14ac:dyDescent="0.2">
      <c r="A5014" s="163"/>
      <c r="B5014" s="164"/>
      <c r="C5014" s="164"/>
      <c r="D5014" s="164"/>
      <c r="E5014" s="164"/>
      <c r="F5014" s="165"/>
    </row>
    <row r="5015" spans="1:6" x14ac:dyDescent="0.2">
      <c r="A5015" s="166"/>
      <c r="B5015" s="167"/>
      <c r="C5015" s="167"/>
      <c r="D5015" s="167"/>
      <c r="E5015" s="167"/>
      <c r="F5015" s="168"/>
    </row>
    <row r="5016" spans="1:6" x14ac:dyDescent="0.2">
      <c r="A5016" s="163"/>
      <c r="B5016" s="164"/>
      <c r="C5016" s="164"/>
      <c r="D5016" s="164"/>
      <c r="E5016" s="164"/>
      <c r="F5016" s="165"/>
    </row>
    <row r="5017" spans="1:6" x14ac:dyDescent="0.2">
      <c r="A5017" s="166"/>
      <c r="B5017" s="167"/>
      <c r="C5017" s="167"/>
      <c r="D5017" s="167"/>
      <c r="E5017" s="167"/>
      <c r="F5017" s="168"/>
    </row>
    <row r="5018" spans="1:6" x14ac:dyDescent="0.2">
      <c r="A5018" s="163"/>
      <c r="B5018" s="164"/>
      <c r="C5018" s="164"/>
      <c r="D5018" s="164"/>
      <c r="E5018" s="164"/>
      <c r="F5018" s="165"/>
    </row>
    <row r="5019" spans="1:6" x14ac:dyDescent="0.2">
      <c r="A5019" s="166"/>
      <c r="B5019" s="167"/>
      <c r="C5019" s="167"/>
      <c r="D5019" s="167"/>
      <c r="E5019" s="167"/>
      <c r="F5019" s="168"/>
    </row>
    <row r="5020" spans="1:6" x14ac:dyDescent="0.2">
      <c r="A5020" s="163"/>
      <c r="B5020" s="164"/>
      <c r="C5020" s="164"/>
      <c r="D5020" s="164"/>
      <c r="E5020" s="164"/>
      <c r="F5020" s="165"/>
    </row>
    <row r="5021" spans="1:6" x14ac:dyDescent="0.2">
      <c r="A5021" s="166"/>
      <c r="B5021" s="167"/>
      <c r="C5021" s="167"/>
      <c r="D5021" s="167"/>
      <c r="E5021" s="167"/>
      <c r="F5021" s="168"/>
    </row>
    <row r="5022" spans="1:6" x14ac:dyDescent="0.2">
      <c r="A5022" s="163"/>
      <c r="B5022" s="164"/>
      <c r="C5022" s="164"/>
      <c r="D5022" s="164"/>
      <c r="E5022" s="164"/>
      <c r="F5022" s="165"/>
    </row>
    <row r="5023" spans="1:6" x14ac:dyDescent="0.2">
      <c r="A5023" s="166"/>
      <c r="B5023" s="167"/>
      <c r="C5023" s="167"/>
      <c r="D5023" s="167"/>
      <c r="E5023" s="167"/>
      <c r="F5023" s="168"/>
    </row>
    <row r="5024" spans="1:6" x14ac:dyDescent="0.2">
      <c r="A5024" s="163"/>
      <c r="B5024" s="164"/>
      <c r="C5024" s="164"/>
      <c r="D5024" s="164"/>
      <c r="E5024" s="164"/>
      <c r="F5024" s="165"/>
    </row>
    <row r="5025" spans="1:6" x14ac:dyDescent="0.2">
      <c r="A5025" s="166"/>
      <c r="B5025" s="167"/>
      <c r="C5025" s="167"/>
      <c r="D5025" s="167"/>
      <c r="E5025" s="167"/>
      <c r="F5025" s="168"/>
    </row>
    <row r="5026" spans="1:6" x14ac:dyDescent="0.2">
      <c r="A5026" s="163"/>
      <c r="B5026" s="164"/>
      <c r="C5026" s="164"/>
      <c r="D5026" s="164"/>
      <c r="E5026" s="164"/>
      <c r="F5026" s="165"/>
    </row>
    <row r="5027" spans="1:6" x14ac:dyDescent="0.2">
      <c r="A5027" s="166"/>
      <c r="B5027" s="167"/>
      <c r="C5027" s="167"/>
      <c r="D5027" s="167"/>
      <c r="E5027" s="167"/>
      <c r="F5027" s="168"/>
    </row>
    <row r="5028" spans="1:6" x14ac:dyDescent="0.2">
      <c r="A5028" s="163"/>
      <c r="B5028" s="164"/>
      <c r="C5028" s="164"/>
      <c r="D5028" s="164"/>
      <c r="E5028" s="164"/>
      <c r="F5028" s="165"/>
    </row>
    <row r="5029" spans="1:6" x14ac:dyDescent="0.2">
      <c r="A5029" s="166"/>
      <c r="B5029" s="167"/>
      <c r="C5029" s="167"/>
      <c r="D5029" s="167"/>
      <c r="E5029" s="167"/>
      <c r="F5029" s="168"/>
    </row>
    <row r="5030" spans="1:6" x14ac:dyDescent="0.2">
      <c r="A5030" s="163"/>
      <c r="B5030" s="164"/>
      <c r="C5030" s="164"/>
      <c r="D5030" s="164"/>
      <c r="E5030" s="164"/>
      <c r="F5030" s="165"/>
    </row>
    <row r="5031" spans="1:6" x14ac:dyDescent="0.2">
      <c r="A5031" s="166"/>
      <c r="B5031" s="167"/>
      <c r="C5031" s="167"/>
      <c r="D5031" s="167"/>
      <c r="E5031" s="167"/>
      <c r="F5031" s="168"/>
    </row>
    <row r="5032" spans="1:6" x14ac:dyDescent="0.2">
      <c r="A5032" s="163"/>
      <c r="B5032" s="164"/>
      <c r="C5032" s="164"/>
      <c r="D5032" s="164"/>
      <c r="E5032" s="164"/>
      <c r="F5032" s="165"/>
    </row>
    <row r="5033" spans="1:6" x14ac:dyDescent="0.2">
      <c r="A5033" s="166"/>
      <c r="B5033" s="167"/>
      <c r="C5033" s="167"/>
      <c r="D5033" s="167"/>
      <c r="E5033" s="167"/>
      <c r="F5033" s="168"/>
    </row>
    <row r="5034" spans="1:6" x14ac:dyDescent="0.2">
      <c r="A5034" s="163"/>
      <c r="B5034" s="164"/>
      <c r="C5034" s="164"/>
      <c r="D5034" s="164"/>
      <c r="E5034" s="164"/>
      <c r="F5034" s="165"/>
    </row>
    <row r="5035" spans="1:6" x14ac:dyDescent="0.2">
      <c r="A5035" s="166"/>
      <c r="B5035" s="167"/>
      <c r="C5035" s="167"/>
      <c r="D5035" s="167"/>
      <c r="E5035" s="167"/>
      <c r="F5035" s="168"/>
    </row>
    <row r="5036" spans="1:6" x14ac:dyDescent="0.2">
      <c r="A5036" s="163"/>
      <c r="B5036" s="164"/>
      <c r="C5036" s="164"/>
      <c r="D5036" s="164"/>
      <c r="E5036" s="164"/>
      <c r="F5036" s="165"/>
    </row>
    <row r="5037" spans="1:6" x14ac:dyDescent="0.2">
      <c r="A5037" s="166"/>
      <c r="B5037" s="167"/>
      <c r="C5037" s="167"/>
      <c r="D5037" s="167"/>
      <c r="E5037" s="167"/>
      <c r="F5037" s="168"/>
    </row>
    <row r="5038" spans="1:6" x14ac:dyDescent="0.2">
      <c r="A5038" s="163"/>
      <c r="B5038" s="164"/>
      <c r="C5038" s="164"/>
      <c r="D5038" s="164"/>
      <c r="E5038" s="164"/>
      <c r="F5038" s="165"/>
    </row>
    <row r="5039" spans="1:6" x14ac:dyDescent="0.2">
      <c r="A5039" s="166"/>
      <c r="B5039" s="167"/>
      <c r="C5039" s="167"/>
      <c r="D5039" s="167"/>
      <c r="E5039" s="167"/>
      <c r="F5039" s="168"/>
    </row>
    <row r="5040" spans="1:6" x14ac:dyDescent="0.2">
      <c r="A5040" s="163"/>
      <c r="B5040" s="164"/>
      <c r="C5040" s="164"/>
      <c r="D5040" s="164"/>
      <c r="E5040" s="164"/>
      <c r="F5040" s="165"/>
    </row>
    <row r="5041" spans="1:6" x14ac:dyDescent="0.2">
      <c r="A5041" s="166"/>
      <c r="B5041" s="167"/>
      <c r="C5041" s="167"/>
      <c r="D5041" s="167"/>
      <c r="E5041" s="167"/>
      <c r="F5041" s="168"/>
    </row>
    <row r="5042" spans="1:6" x14ac:dyDescent="0.2">
      <c r="A5042" s="163"/>
      <c r="B5042" s="164"/>
      <c r="C5042" s="164"/>
      <c r="D5042" s="164"/>
      <c r="E5042" s="164"/>
      <c r="F5042" s="165"/>
    </row>
    <row r="5043" spans="1:6" x14ac:dyDescent="0.2">
      <c r="A5043" s="166"/>
      <c r="B5043" s="167"/>
      <c r="C5043" s="167"/>
      <c r="D5043" s="167"/>
      <c r="E5043" s="167"/>
      <c r="F5043" s="168"/>
    </row>
    <row r="5044" spans="1:6" x14ac:dyDescent="0.2">
      <c r="A5044" s="163"/>
      <c r="B5044" s="164"/>
      <c r="C5044" s="164"/>
      <c r="D5044" s="164"/>
      <c r="E5044" s="164"/>
      <c r="F5044" s="165"/>
    </row>
    <row r="5045" spans="1:6" x14ac:dyDescent="0.2">
      <c r="A5045" s="166"/>
      <c r="B5045" s="167"/>
      <c r="C5045" s="167"/>
      <c r="D5045" s="167"/>
      <c r="E5045" s="167"/>
      <c r="F5045" s="168"/>
    </row>
    <row r="5046" spans="1:6" x14ac:dyDescent="0.2">
      <c r="A5046" s="163"/>
      <c r="B5046" s="164"/>
      <c r="C5046" s="164"/>
      <c r="D5046" s="164"/>
      <c r="E5046" s="164"/>
      <c r="F5046" s="165"/>
    </row>
    <row r="5047" spans="1:6" x14ac:dyDescent="0.2">
      <c r="A5047" s="166"/>
      <c r="B5047" s="167"/>
      <c r="C5047" s="167"/>
      <c r="D5047" s="167"/>
      <c r="E5047" s="167"/>
      <c r="F5047" s="168"/>
    </row>
    <row r="5048" spans="1:6" x14ac:dyDescent="0.2">
      <c r="A5048" s="163"/>
      <c r="B5048" s="164"/>
      <c r="C5048" s="164"/>
      <c r="D5048" s="164"/>
      <c r="E5048" s="164"/>
      <c r="F5048" s="165"/>
    </row>
    <row r="5049" spans="1:6" x14ac:dyDescent="0.2">
      <c r="A5049" s="166"/>
      <c r="B5049" s="167"/>
      <c r="C5049" s="167"/>
      <c r="D5049" s="167"/>
      <c r="E5049" s="167"/>
      <c r="F5049" s="168"/>
    </row>
    <row r="5050" spans="1:6" x14ac:dyDescent="0.2">
      <c r="A5050" s="163"/>
      <c r="B5050" s="164"/>
      <c r="C5050" s="164"/>
      <c r="D5050" s="164"/>
      <c r="E5050" s="164"/>
      <c r="F5050" s="165"/>
    </row>
    <row r="5051" spans="1:6" x14ac:dyDescent="0.2">
      <c r="A5051" s="166"/>
      <c r="B5051" s="167"/>
      <c r="C5051" s="167"/>
      <c r="D5051" s="167"/>
      <c r="E5051" s="167"/>
      <c r="F5051" s="168"/>
    </row>
    <row r="5052" spans="1:6" x14ac:dyDescent="0.2">
      <c r="A5052" s="163"/>
      <c r="B5052" s="164"/>
      <c r="C5052" s="164"/>
      <c r="D5052" s="164"/>
      <c r="E5052" s="164"/>
      <c r="F5052" s="165"/>
    </row>
    <row r="5053" spans="1:6" x14ac:dyDescent="0.2">
      <c r="A5053" s="166"/>
      <c r="B5053" s="167"/>
      <c r="C5053" s="167"/>
      <c r="D5053" s="167"/>
      <c r="E5053" s="167"/>
      <c r="F5053" s="168"/>
    </row>
    <row r="5054" spans="1:6" x14ac:dyDescent="0.2">
      <c r="A5054" s="163"/>
      <c r="B5054" s="164"/>
      <c r="C5054" s="164"/>
      <c r="D5054" s="164"/>
      <c r="E5054" s="164"/>
      <c r="F5054" s="165"/>
    </row>
    <row r="5055" spans="1:6" x14ac:dyDescent="0.2">
      <c r="A5055" s="166"/>
      <c r="B5055" s="167"/>
      <c r="C5055" s="167"/>
      <c r="D5055" s="167"/>
      <c r="E5055" s="167"/>
      <c r="F5055" s="168"/>
    </row>
    <row r="5056" spans="1:6" x14ac:dyDescent="0.2">
      <c r="A5056" s="163"/>
      <c r="B5056" s="164"/>
      <c r="C5056" s="164"/>
      <c r="D5056" s="164"/>
      <c r="E5056" s="164"/>
      <c r="F5056" s="165"/>
    </row>
    <row r="5057" spans="1:6" x14ac:dyDescent="0.2">
      <c r="A5057" s="166"/>
      <c r="B5057" s="167"/>
      <c r="C5057" s="167"/>
      <c r="D5057" s="167"/>
      <c r="E5057" s="167"/>
      <c r="F5057" s="168"/>
    </row>
    <row r="5058" spans="1:6" x14ac:dyDescent="0.2">
      <c r="A5058" s="163"/>
      <c r="B5058" s="164"/>
      <c r="C5058" s="164"/>
      <c r="D5058" s="164"/>
      <c r="E5058" s="164"/>
      <c r="F5058" s="165"/>
    </row>
    <row r="5059" spans="1:6" x14ac:dyDescent="0.2">
      <c r="A5059" s="166"/>
      <c r="B5059" s="167"/>
      <c r="C5059" s="167"/>
      <c r="D5059" s="167"/>
      <c r="E5059" s="167"/>
      <c r="F5059" s="168"/>
    </row>
    <row r="5060" spans="1:6" x14ac:dyDescent="0.2">
      <c r="A5060" s="163"/>
      <c r="B5060" s="164"/>
      <c r="C5060" s="164"/>
      <c r="D5060" s="164"/>
      <c r="E5060" s="164"/>
      <c r="F5060" s="165"/>
    </row>
    <row r="5061" spans="1:6" x14ac:dyDescent="0.2">
      <c r="A5061" s="166"/>
      <c r="B5061" s="167"/>
      <c r="C5061" s="167"/>
      <c r="D5061" s="167"/>
      <c r="E5061" s="167"/>
      <c r="F5061" s="168"/>
    </row>
    <row r="5062" spans="1:6" x14ac:dyDescent="0.2">
      <c r="A5062" s="163"/>
      <c r="B5062" s="164"/>
      <c r="C5062" s="164"/>
      <c r="D5062" s="164"/>
      <c r="E5062" s="164"/>
      <c r="F5062" s="165"/>
    </row>
    <row r="5063" spans="1:6" x14ac:dyDescent="0.2">
      <c r="A5063" s="166"/>
      <c r="B5063" s="167"/>
      <c r="C5063" s="167"/>
      <c r="D5063" s="167"/>
      <c r="E5063" s="167"/>
      <c r="F5063" s="168"/>
    </row>
    <row r="5064" spans="1:6" x14ac:dyDescent="0.2">
      <c r="A5064" s="163"/>
      <c r="B5064" s="164"/>
      <c r="C5064" s="164"/>
      <c r="D5064" s="164"/>
      <c r="E5064" s="164"/>
      <c r="F5064" s="165"/>
    </row>
    <row r="5065" spans="1:6" x14ac:dyDescent="0.2">
      <c r="A5065" s="166"/>
      <c r="B5065" s="167"/>
      <c r="C5065" s="167"/>
      <c r="D5065" s="167"/>
      <c r="E5065" s="167"/>
      <c r="F5065" s="168"/>
    </row>
    <row r="5066" spans="1:6" x14ac:dyDescent="0.2">
      <c r="A5066" s="163"/>
      <c r="B5066" s="164"/>
      <c r="C5066" s="164"/>
      <c r="D5066" s="164"/>
      <c r="E5066" s="164"/>
      <c r="F5066" s="165"/>
    </row>
    <row r="5067" spans="1:6" x14ac:dyDescent="0.2">
      <c r="A5067" s="166"/>
      <c r="B5067" s="167"/>
      <c r="C5067" s="167"/>
      <c r="D5067" s="167"/>
      <c r="E5067" s="167"/>
      <c r="F5067" s="168"/>
    </row>
    <row r="5068" spans="1:6" x14ac:dyDescent="0.2">
      <c r="A5068" s="163"/>
      <c r="B5068" s="164"/>
      <c r="C5068" s="164"/>
      <c r="D5068" s="164"/>
      <c r="E5068" s="164"/>
      <c r="F5068" s="165"/>
    </row>
    <row r="5069" spans="1:6" x14ac:dyDescent="0.2">
      <c r="A5069" s="166"/>
      <c r="B5069" s="167"/>
      <c r="C5069" s="167"/>
      <c r="D5069" s="167"/>
      <c r="E5069" s="167"/>
      <c r="F5069" s="168"/>
    </row>
    <row r="5070" spans="1:6" x14ac:dyDescent="0.2">
      <c r="A5070" s="163"/>
      <c r="B5070" s="164"/>
      <c r="C5070" s="164"/>
      <c r="D5070" s="164"/>
      <c r="E5070" s="164"/>
      <c r="F5070" s="165"/>
    </row>
    <row r="5071" spans="1:6" x14ac:dyDescent="0.2">
      <c r="A5071" s="166"/>
      <c r="B5071" s="167"/>
      <c r="C5071" s="167"/>
      <c r="D5071" s="167"/>
      <c r="E5071" s="167"/>
      <c r="F5071" s="168"/>
    </row>
    <row r="5072" spans="1:6" x14ac:dyDescent="0.2">
      <c r="A5072" s="163"/>
      <c r="B5072" s="164"/>
      <c r="C5072" s="164"/>
      <c r="D5072" s="164"/>
      <c r="E5072" s="164"/>
      <c r="F5072" s="165"/>
    </row>
    <row r="5073" spans="1:6" x14ac:dyDescent="0.2">
      <c r="A5073" s="166"/>
      <c r="B5073" s="167"/>
      <c r="C5073" s="167"/>
      <c r="D5073" s="167"/>
      <c r="E5073" s="167"/>
      <c r="F5073" s="168"/>
    </row>
    <row r="5074" spans="1:6" x14ac:dyDescent="0.2">
      <c r="A5074" s="163"/>
      <c r="B5074" s="164"/>
      <c r="C5074" s="164"/>
      <c r="D5074" s="164"/>
      <c r="E5074" s="164"/>
      <c r="F5074" s="165"/>
    </row>
    <row r="5075" spans="1:6" x14ac:dyDescent="0.2">
      <c r="A5075" s="166"/>
      <c r="B5075" s="167"/>
      <c r="C5075" s="167"/>
      <c r="D5075" s="167"/>
      <c r="E5075" s="167"/>
      <c r="F5075" s="168"/>
    </row>
    <row r="5076" spans="1:6" x14ac:dyDescent="0.2">
      <c r="A5076" s="163"/>
      <c r="B5076" s="164"/>
      <c r="C5076" s="164"/>
      <c r="D5076" s="164"/>
      <c r="E5076" s="164"/>
      <c r="F5076" s="165"/>
    </row>
    <row r="5077" spans="1:6" x14ac:dyDescent="0.2">
      <c r="A5077" s="166"/>
      <c r="B5077" s="167"/>
      <c r="C5077" s="167"/>
      <c r="D5077" s="167"/>
      <c r="E5077" s="167"/>
      <c r="F5077" s="168"/>
    </row>
    <row r="5078" spans="1:6" x14ac:dyDescent="0.2">
      <c r="A5078" s="163"/>
      <c r="B5078" s="164"/>
      <c r="C5078" s="164"/>
      <c r="D5078" s="164"/>
      <c r="E5078" s="164"/>
      <c r="F5078" s="165"/>
    </row>
    <row r="5079" spans="1:6" x14ac:dyDescent="0.2">
      <c r="A5079" s="166"/>
      <c r="B5079" s="167"/>
      <c r="C5079" s="167"/>
      <c r="D5079" s="167"/>
      <c r="E5079" s="167"/>
      <c r="F5079" s="168"/>
    </row>
    <row r="5080" spans="1:6" x14ac:dyDescent="0.2">
      <c r="A5080" s="163"/>
      <c r="B5080" s="164"/>
      <c r="C5080" s="164"/>
      <c r="D5080" s="164"/>
      <c r="E5080" s="164"/>
      <c r="F5080" s="165"/>
    </row>
    <row r="5081" spans="1:6" x14ac:dyDescent="0.2">
      <c r="A5081" s="166"/>
      <c r="B5081" s="167"/>
      <c r="C5081" s="167"/>
      <c r="D5081" s="167"/>
      <c r="E5081" s="167"/>
      <c r="F5081" s="168"/>
    </row>
    <row r="5082" spans="1:6" x14ac:dyDescent="0.2">
      <c r="A5082" s="163"/>
      <c r="B5082" s="164"/>
      <c r="C5082" s="164"/>
      <c r="D5082" s="164"/>
      <c r="E5082" s="164"/>
      <c r="F5082" s="165"/>
    </row>
    <row r="5083" spans="1:6" x14ac:dyDescent="0.2">
      <c r="A5083" s="166"/>
      <c r="B5083" s="167"/>
      <c r="C5083" s="167"/>
      <c r="D5083" s="167"/>
      <c r="E5083" s="167"/>
      <c r="F5083" s="168"/>
    </row>
    <row r="5084" spans="1:6" x14ac:dyDescent="0.2">
      <c r="A5084" s="163"/>
      <c r="B5084" s="164"/>
      <c r="C5084" s="164"/>
      <c r="D5084" s="164"/>
      <c r="E5084" s="164"/>
      <c r="F5084" s="165"/>
    </row>
    <row r="5085" spans="1:6" x14ac:dyDescent="0.2">
      <c r="A5085" s="166"/>
      <c r="B5085" s="167"/>
      <c r="C5085" s="167"/>
      <c r="D5085" s="167"/>
      <c r="E5085" s="167"/>
      <c r="F5085" s="168"/>
    </row>
    <row r="5086" spans="1:6" x14ac:dyDescent="0.2">
      <c r="A5086" s="163"/>
      <c r="B5086" s="164"/>
      <c r="C5086" s="164"/>
      <c r="D5086" s="164"/>
      <c r="E5086" s="164"/>
      <c r="F5086" s="165"/>
    </row>
    <row r="5087" spans="1:6" x14ac:dyDescent="0.2">
      <c r="A5087" s="166"/>
      <c r="B5087" s="167"/>
      <c r="C5087" s="167"/>
      <c r="D5087" s="167"/>
      <c r="E5087" s="167"/>
      <c r="F5087" s="168"/>
    </row>
    <row r="5088" spans="1:6" x14ac:dyDescent="0.2">
      <c r="A5088" s="163"/>
      <c r="B5088" s="164"/>
      <c r="C5088" s="164"/>
      <c r="D5088" s="164"/>
      <c r="E5088" s="164"/>
      <c r="F5088" s="165"/>
    </row>
    <row r="5089" spans="1:6" x14ac:dyDescent="0.2">
      <c r="A5089" s="166"/>
      <c r="B5089" s="167"/>
      <c r="C5089" s="167"/>
      <c r="D5089" s="167"/>
      <c r="E5089" s="167"/>
      <c r="F5089" s="168"/>
    </row>
    <row r="5090" spans="1:6" x14ac:dyDescent="0.2">
      <c r="A5090" s="163"/>
      <c r="B5090" s="164"/>
      <c r="C5090" s="164"/>
      <c r="D5090" s="164"/>
      <c r="E5090" s="164"/>
      <c r="F5090" s="165"/>
    </row>
    <row r="5091" spans="1:6" x14ac:dyDescent="0.2">
      <c r="A5091" s="166"/>
      <c r="B5091" s="167"/>
      <c r="C5091" s="167"/>
      <c r="D5091" s="167"/>
      <c r="E5091" s="167"/>
      <c r="F5091" s="168"/>
    </row>
    <row r="5092" spans="1:6" x14ac:dyDescent="0.2">
      <c r="A5092" s="163"/>
      <c r="B5092" s="164"/>
      <c r="C5092" s="164"/>
      <c r="D5092" s="164"/>
      <c r="E5092" s="164"/>
      <c r="F5092" s="165"/>
    </row>
    <row r="5093" spans="1:6" x14ac:dyDescent="0.2">
      <c r="A5093" s="166"/>
      <c r="B5093" s="167"/>
      <c r="C5093" s="167"/>
      <c r="D5093" s="167"/>
      <c r="E5093" s="167"/>
      <c r="F5093" s="168"/>
    </row>
    <row r="5094" spans="1:6" x14ac:dyDescent="0.2">
      <c r="A5094" s="163"/>
      <c r="B5094" s="164"/>
      <c r="C5094" s="164"/>
      <c r="D5094" s="164"/>
      <c r="E5094" s="164"/>
      <c r="F5094" s="165"/>
    </row>
    <row r="5095" spans="1:6" x14ac:dyDescent="0.2">
      <c r="A5095" s="166"/>
      <c r="B5095" s="167"/>
      <c r="C5095" s="167"/>
      <c r="D5095" s="167"/>
      <c r="E5095" s="167"/>
      <c r="F5095" s="168"/>
    </row>
    <row r="5096" spans="1:6" x14ac:dyDescent="0.2">
      <c r="A5096" s="163"/>
      <c r="B5096" s="164"/>
      <c r="C5096" s="164"/>
      <c r="D5096" s="164"/>
      <c r="E5096" s="164"/>
      <c r="F5096" s="165"/>
    </row>
    <row r="5097" spans="1:6" x14ac:dyDescent="0.2">
      <c r="A5097" s="166"/>
      <c r="B5097" s="167"/>
      <c r="C5097" s="167"/>
      <c r="D5097" s="167"/>
      <c r="E5097" s="167"/>
      <c r="F5097" s="168"/>
    </row>
    <row r="5098" spans="1:6" x14ac:dyDescent="0.2">
      <c r="A5098" s="163"/>
      <c r="B5098" s="164"/>
      <c r="C5098" s="164"/>
      <c r="D5098" s="164"/>
      <c r="E5098" s="164"/>
      <c r="F5098" s="165"/>
    </row>
    <row r="5099" spans="1:6" x14ac:dyDescent="0.2">
      <c r="A5099" s="166"/>
      <c r="B5099" s="167"/>
      <c r="C5099" s="167"/>
      <c r="D5099" s="167"/>
      <c r="E5099" s="167"/>
      <c r="F5099" s="168"/>
    </row>
    <row r="5100" spans="1:6" x14ac:dyDescent="0.2">
      <c r="A5100" s="163"/>
      <c r="B5100" s="164"/>
      <c r="C5100" s="164"/>
      <c r="D5100" s="164"/>
      <c r="E5100" s="164"/>
      <c r="F5100" s="165"/>
    </row>
    <row r="5101" spans="1:6" x14ac:dyDescent="0.2">
      <c r="A5101" s="166"/>
      <c r="B5101" s="167"/>
      <c r="C5101" s="167"/>
      <c r="D5101" s="167"/>
      <c r="E5101" s="167"/>
      <c r="F5101" s="168"/>
    </row>
    <row r="5102" spans="1:6" x14ac:dyDescent="0.2">
      <c r="A5102" s="163"/>
      <c r="B5102" s="164"/>
      <c r="C5102" s="164"/>
      <c r="D5102" s="164"/>
      <c r="E5102" s="164"/>
      <c r="F5102" s="165"/>
    </row>
    <row r="5103" spans="1:6" x14ac:dyDescent="0.2">
      <c r="A5103" s="166"/>
      <c r="B5103" s="167"/>
      <c r="C5103" s="167"/>
      <c r="D5103" s="167"/>
      <c r="E5103" s="167"/>
      <c r="F5103" s="168"/>
    </row>
    <row r="5104" spans="1:6" x14ac:dyDescent="0.2">
      <c r="A5104" s="163"/>
      <c r="B5104" s="164"/>
      <c r="C5104" s="164"/>
      <c r="D5104" s="164"/>
      <c r="E5104" s="164"/>
      <c r="F5104" s="165"/>
    </row>
    <row r="5105" spans="1:6" x14ac:dyDescent="0.2">
      <c r="A5105" s="166"/>
      <c r="B5105" s="167"/>
      <c r="C5105" s="167"/>
      <c r="D5105" s="167"/>
      <c r="E5105" s="167"/>
      <c r="F5105" s="168"/>
    </row>
    <row r="5106" spans="1:6" x14ac:dyDescent="0.2">
      <c r="A5106" s="163"/>
      <c r="B5106" s="164"/>
      <c r="C5106" s="164"/>
      <c r="D5106" s="164"/>
      <c r="E5106" s="164"/>
      <c r="F5106" s="165"/>
    </row>
    <row r="5107" spans="1:6" x14ac:dyDescent="0.2">
      <c r="A5107" s="166"/>
      <c r="B5107" s="167"/>
      <c r="C5107" s="167"/>
      <c r="D5107" s="167"/>
      <c r="E5107" s="167"/>
      <c r="F5107" s="168"/>
    </row>
    <row r="5108" spans="1:6" x14ac:dyDescent="0.2">
      <c r="A5108" s="163"/>
      <c r="B5108" s="164"/>
      <c r="C5108" s="164"/>
      <c r="D5108" s="164"/>
      <c r="E5108" s="164"/>
      <c r="F5108" s="165"/>
    </row>
    <row r="5109" spans="1:6" x14ac:dyDescent="0.2">
      <c r="A5109" s="166"/>
      <c r="B5109" s="167"/>
      <c r="C5109" s="167"/>
      <c r="D5109" s="167"/>
      <c r="E5109" s="167"/>
      <c r="F5109" s="168"/>
    </row>
    <row r="5110" spans="1:6" x14ac:dyDescent="0.2">
      <c r="A5110" s="163"/>
      <c r="B5110" s="164"/>
      <c r="C5110" s="164"/>
      <c r="D5110" s="164"/>
      <c r="E5110" s="164"/>
      <c r="F5110" s="165"/>
    </row>
    <row r="5111" spans="1:6" x14ac:dyDescent="0.2">
      <c r="A5111" s="166"/>
      <c r="B5111" s="167"/>
      <c r="C5111" s="167"/>
      <c r="D5111" s="167"/>
      <c r="E5111" s="167"/>
      <c r="F5111" s="168"/>
    </row>
    <row r="5112" spans="1:6" x14ac:dyDescent="0.2">
      <c r="A5112" s="163"/>
      <c r="B5112" s="164"/>
      <c r="C5112" s="164"/>
      <c r="D5112" s="164"/>
      <c r="E5112" s="164"/>
      <c r="F5112" s="165"/>
    </row>
    <row r="5113" spans="1:6" x14ac:dyDescent="0.2">
      <c r="A5113" s="166"/>
      <c r="B5113" s="167"/>
      <c r="C5113" s="167"/>
      <c r="D5113" s="167"/>
      <c r="E5113" s="167"/>
      <c r="F5113" s="168"/>
    </row>
    <row r="5114" spans="1:6" x14ac:dyDescent="0.2">
      <c r="A5114" s="163"/>
      <c r="B5114" s="164"/>
      <c r="C5114" s="164"/>
      <c r="D5114" s="164"/>
      <c r="E5114" s="164"/>
      <c r="F5114" s="165"/>
    </row>
    <row r="5115" spans="1:6" x14ac:dyDescent="0.2">
      <c r="A5115" s="166"/>
      <c r="B5115" s="167"/>
      <c r="C5115" s="167"/>
      <c r="D5115" s="167"/>
      <c r="E5115" s="167"/>
      <c r="F5115" s="168"/>
    </row>
    <row r="5116" spans="1:6" x14ac:dyDescent="0.2">
      <c r="A5116" s="163"/>
      <c r="B5116" s="164"/>
      <c r="C5116" s="164"/>
      <c r="D5116" s="164"/>
      <c r="E5116" s="164"/>
      <c r="F5116" s="165"/>
    </row>
    <row r="5117" spans="1:6" x14ac:dyDescent="0.2">
      <c r="A5117" s="166"/>
      <c r="B5117" s="167"/>
      <c r="C5117" s="167"/>
      <c r="D5117" s="167"/>
      <c r="E5117" s="167"/>
      <c r="F5117" s="168"/>
    </row>
    <row r="5118" spans="1:6" x14ac:dyDescent="0.2">
      <c r="A5118" s="163"/>
      <c r="B5118" s="164"/>
      <c r="C5118" s="164"/>
      <c r="D5118" s="164"/>
      <c r="E5118" s="164"/>
      <c r="F5118" s="165"/>
    </row>
    <row r="5119" spans="1:6" x14ac:dyDescent="0.2">
      <c r="A5119" s="166"/>
      <c r="B5119" s="167"/>
      <c r="C5119" s="167"/>
      <c r="D5119" s="167"/>
      <c r="E5119" s="167"/>
      <c r="F5119" s="168"/>
    </row>
    <row r="5120" spans="1:6" x14ac:dyDescent="0.2">
      <c r="A5120" s="163"/>
      <c r="B5120" s="164"/>
      <c r="C5120" s="164"/>
      <c r="D5120" s="164"/>
      <c r="E5120" s="164"/>
      <c r="F5120" s="165"/>
    </row>
    <row r="5121" spans="1:6" x14ac:dyDescent="0.2">
      <c r="A5121" s="166"/>
      <c r="B5121" s="167"/>
      <c r="C5121" s="167"/>
      <c r="D5121" s="167"/>
      <c r="E5121" s="167"/>
      <c r="F5121" s="168"/>
    </row>
    <row r="5122" spans="1:6" x14ac:dyDescent="0.2">
      <c r="A5122" s="163"/>
      <c r="B5122" s="164"/>
      <c r="C5122" s="164"/>
      <c r="D5122" s="164"/>
      <c r="E5122" s="164"/>
      <c r="F5122" s="165"/>
    </row>
    <row r="5123" spans="1:6" x14ac:dyDescent="0.2">
      <c r="A5123" s="166"/>
      <c r="B5123" s="167"/>
      <c r="C5123" s="167"/>
      <c r="D5123" s="167"/>
      <c r="E5123" s="167"/>
      <c r="F5123" s="168"/>
    </row>
    <row r="5124" spans="1:6" x14ac:dyDescent="0.2">
      <c r="A5124" s="163"/>
      <c r="B5124" s="164"/>
      <c r="C5124" s="164"/>
      <c r="D5124" s="164"/>
      <c r="E5124" s="164"/>
      <c r="F5124" s="165"/>
    </row>
    <row r="5125" spans="1:6" x14ac:dyDescent="0.2">
      <c r="A5125" s="166"/>
      <c r="B5125" s="167"/>
      <c r="C5125" s="167"/>
      <c r="D5125" s="167"/>
      <c r="E5125" s="167"/>
      <c r="F5125" s="168"/>
    </row>
    <row r="5126" spans="1:6" x14ac:dyDescent="0.2">
      <c r="A5126" s="163"/>
      <c r="B5126" s="164"/>
      <c r="C5126" s="164"/>
      <c r="D5126" s="164"/>
      <c r="E5126" s="164"/>
      <c r="F5126" s="165"/>
    </row>
    <row r="5127" spans="1:6" x14ac:dyDescent="0.2">
      <c r="A5127" s="166"/>
      <c r="B5127" s="167"/>
      <c r="C5127" s="167"/>
      <c r="D5127" s="167"/>
      <c r="E5127" s="167"/>
      <c r="F5127" s="168"/>
    </row>
    <row r="5128" spans="1:6" x14ac:dyDescent="0.2">
      <c r="A5128" s="163"/>
      <c r="B5128" s="164"/>
      <c r="C5128" s="164"/>
      <c r="D5128" s="164"/>
      <c r="E5128" s="164"/>
      <c r="F5128" s="165"/>
    </row>
    <row r="5129" spans="1:6" x14ac:dyDescent="0.2">
      <c r="A5129" s="166"/>
      <c r="B5129" s="167"/>
      <c r="C5129" s="167"/>
      <c r="D5129" s="167"/>
      <c r="E5129" s="167"/>
      <c r="F5129" s="168"/>
    </row>
    <row r="5130" spans="1:6" x14ac:dyDescent="0.2">
      <c r="A5130" s="163"/>
      <c r="B5130" s="164"/>
      <c r="C5130" s="164"/>
      <c r="D5130" s="164"/>
      <c r="E5130" s="164"/>
      <c r="F5130" s="165"/>
    </row>
    <row r="5131" spans="1:6" x14ac:dyDescent="0.2">
      <c r="A5131" s="166"/>
      <c r="B5131" s="167"/>
      <c r="C5131" s="167"/>
      <c r="D5131" s="167"/>
      <c r="E5131" s="167"/>
      <c r="F5131" s="168"/>
    </row>
    <row r="5132" spans="1:6" x14ac:dyDescent="0.2">
      <c r="A5132" s="163"/>
      <c r="B5132" s="164"/>
      <c r="C5132" s="164"/>
      <c r="D5132" s="164"/>
      <c r="E5132" s="164"/>
      <c r="F5132" s="165"/>
    </row>
    <row r="5133" spans="1:6" x14ac:dyDescent="0.2">
      <c r="A5133" s="166"/>
      <c r="B5133" s="167"/>
      <c r="C5133" s="167"/>
      <c r="D5133" s="167"/>
      <c r="E5133" s="167"/>
      <c r="F5133" s="168"/>
    </row>
    <row r="5134" spans="1:6" x14ac:dyDescent="0.2">
      <c r="A5134" s="163"/>
      <c r="B5134" s="164"/>
      <c r="C5134" s="164"/>
      <c r="D5134" s="164"/>
      <c r="E5134" s="164"/>
      <c r="F5134" s="165"/>
    </row>
    <row r="5135" spans="1:6" x14ac:dyDescent="0.2">
      <c r="A5135" s="166"/>
      <c r="B5135" s="167"/>
      <c r="C5135" s="167"/>
      <c r="D5135" s="167"/>
      <c r="E5135" s="167"/>
      <c r="F5135" s="168"/>
    </row>
    <row r="5136" spans="1:6" x14ac:dyDescent="0.2">
      <c r="A5136" s="163"/>
      <c r="B5136" s="164"/>
      <c r="C5136" s="164"/>
      <c r="D5136" s="164"/>
      <c r="E5136" s="164"/>
      <c r="F5136" s="165"/>
    </row>
    <row r="5137" spans="1:6" x14ac:dyDescent="0.2">
      <c r="A5137" s="166"/>
      <c r="B5137" s="167"/>
      <c r="C5137" s="167"/>
      <c r="D5137" s="167"/>
      <c r="E5137" s="167"/>
      <c r="F5137" s="168"/>
    </row>
    <row r="5138" spans="1:6" x14ac:dyDescent="0.2">
      <c r="A5138" s="163"/>
      <c r="B5138" s="164"/>
      <c r="C5138" s="164"/>
      <c r="D5138" s="164"/>
      <c r="E5138" s="164"/>
      <c r="F5138" s="165"/>
    </row>
    <row r="5139" spans="1:6" x14ac:dyDescent="0.2">
      <c r="A5139" s="166"/>
      <c r="B5139" s="167"/>
      <c r="C5139" s="167"/>
      <c r="D5139" s="167"/>
      <c r="E5139" s="167"/>
      <c r="F5139" s="168"/>
    </row>
    <row r="5140" spans="1:6" x14ac:dyDescent="0.2">
      <c r="A5140" s="163"/>
      <c r="B5140" s="164"/>
      <c r="C5140" s="164"/>
      <c r="D5140" s="164"/>
      <c r="E5140" s="164"/>
      <c r="F5140" s="165"/>
    </row>
    <row r="5141" spans="1:6" x14ac:dyDescent="0.2">
      <c r="A5141" s="166"/>
      <c r="B5141" s="167"/>
      <c r="C5141" s="167"/>
      <c r="D5141" s="167"/>
      <c r="E5141" s="167"/>
      <c r="F5141" s="168"/>
    </row>
    <row r="5142" spans="1:6" x14ac:dyDescent="0.2">
      <c r="A5142" s="163"/>
      <c r="B5142" s="164"/>
      <c r="C5142" s="164"/>
      <c r="D5142" s="164"/>
      <c r="E5142" s="164"/>
      <c r="F5142" s="165"/>
    </row>
    <row r="5143" spans="1:6" x14ac:dyDescent="0.2">
      <c r="A5143" s="166"/>
      <c r="B5143" s="167"/>
      <c r="C5143" s="167"/>
      <c r="D5143" s="167"/>
      <c r="E5143" s="167"/>
      <c r="F5143" s="168"/>
    </row>
    <row r="5144" spans="1:6" x14ac:dyDescent="0.2">
      <c r="A5144" s="163"/>
      <c r="B5144" s="164"/>
      <c r="C5144" s="164"/>
      <c r="D5144" s="164"/>
      <c r="E5144" s="164"/>
      <c r="F5144" s="165"/>
    </row>
    <row r="5145" spans="1:6" x14ac:dyDescent="0.2">
      <c r="A5145" s="166"/>
      <c r="B5145" s="167"/>
      <c r="C5145" s="167"/>
      <c r="D5145" s="167"/>
      <c r="E5145" s="167"/>
      <c r="F5145" s="168"/>
    </row>
    <row r="5146" spans="1:6" x14ac:dyDescent="0.2">
      <c r="A5146" s="163"/>
      <c r="B5146" s="164"/>
      <c r="C5146" s="164"/>
      <c r="D5146" s="164"/>
      <c r="E5146" s="164"/>
      <c r="F5146" s="165"/>
    </row>
    <row r="5147" spans="1:6" x14ac:dyDescent="0.2">
      <c r="A5147" s="166"/>
      <c r="B5147" s="167"/>
      <c r="C5147" s="167"/>
      <c r="D5147" s="167"/>
      <c r="E5147" s="167"/>
      <c r="F5147" s="168"/>
    </row>
    <row r="5148" spans="1:6" x14ac:dyDescent="0.2">
      <c r="A5148" s="163"/>
      <c r="B5148" s="164"/>
      <c r="C5148" s="164"/>
      <c r="D5148" s="164"/>
      <c r="E5148" s="164"/>
      <c r="F5148" s="165"/>
    </row>
    <row r="5149" spans="1:6" x14ac:dyDescent="0.2">
      <c r="A5149" s="166"/>
      <c r="B5149" s="167"/>
      <c r="C5149" s="167"/>
      <c r="D5149" s="167"/>
      <c r="E5149" s="167"/>
      <c r="F5149" s="168"/>
    </row>
    <row r="5150" spans="1:6" x14ac:dyDescent="0.2">
      <c r="A5150" s="163"/>
      <c r="B5150" s="164"/>
      <c r="C5150" s="164"/>
      <c r="D5150" s="164"/>
      <c r="E5150" s="164"/>
      <c r="F5150" s="165"/>
    </row>
    <row r="5151" spans="1:6" x14ac:dyDescent="0.2">
      <c r="A5151" s="166"/>
      <c r="B5151" s="167"/>
      <c r="C5151" s="167"/>
      <c r="D5151" s="167"/>
      <c r="E5151" s="167"/>
      <c r="F5151" s="168"/>
    </row>
    <row r="5152" spans="1:6" x14ac:dyDescent="0.2">
      <c r="A5152" s="163"/>
      <c r="B5152" s="164"/>
      <c r="C5152" s="164"/>
      <c r="D5152" s="164"/>
      <c r="E5152" s="164"/>
      <c r="F5152" s="165"/>
    </row>
    <row r="5153" spans="1:6" x14ac:dyDescent="0.2">
      <c r="A5153" s="166"/>
      <c r="B5153" s="167"/>
      <c r="C5153" s="167"/>
      <c r="D5153" s="167"/>
      <c r="E5153" s="167"/>
      <c r="F5153" s="168"/>
    </row>
    <row r="5154" spans="1:6" x14ac:dyDescent="0.2">
      <c r="A5154" s="163"/>
      <c r="B5154" s="164"/>
      <c r="C5154" s="164"/>
      <c r="D5154" s="164"/>
      <c r="E5154" s="164"/>
      <c r="F5154" s="165"/>
    </row>
    <row r="5155" spans="1:6" x14ac:dyDescent="0.2">
      <c r="A5155" s="166"/>
      <c r="B5155" s="167"/>
      <c r="C5155" s="167"/>
      <c r="D5155" s="167"/>
      <c r="E5155" s="167"/>
      <c r="F5155" s="168"/>
    </row>
    <row r="5156" spans="1:6" x14ac:dyDescent="0.2">
      <c r="A5156" s="163"/>
      <c r="B5156" s="164"/>
      <c r="C5156" s="164"/>
      <c r="D5156" s="164"/>
      <c r="E5156" s="164"/>
      <c r="F5156" s="165"/>
    </row>
    <row r="5157" spans="1:6" x14ac:dyDescent="0.2">
      <c r="A5157" s="166"/>
      <c r="B5157" s="167"/>
      <c r="C5157" s="167"/>
      <c r="D5157" s="167"/>
      <c r="E5157" s="167"/>
      <c r="F5157" s="168"/>
    </row>
    <row r="5158" spans="1:6" x14ac:dyDescent="0.2">
      <c r="A5158" s="163"/>
      <c r="B5158" s="164"/>
      <c r="C5158" s="164"/>
      <c r="D5158" s="164"/>
      <c r="E5158" s="164"/>
      <c r="F5158" s="165"/>
    </row>
    <row r="5159" spans="1:6" x14ac:dyDescent="0.2">
      <c r="A5159" s="166"/>
      <c r="B5159" s="167"/>
      <c r="C5159" s="167"/>
      <c r="D5159" s="167"/>
      <c r="E5159" s="167"/>
      <c r="F5159" s="168"/>
    </row>
    <row r="5160" spans="1:6" x14ac:dyDescent="0.2">
      <c r="A5160" s="163"/>
      <c r="B5160" s="164"/>
      <c r="C5160" s="164"/>
      <c r="D5160" s="164"/>
      <c r="E5160" s="164"/>
      <c r="F5160" s="165"/>
    </row>
    <row r="5161" spans="1:6" x14ac:dyDescent="0.2">
      <c r="A5161" s="166"/>
      <c r="B5161" s="167"/>
      <c r="C5161" s="167"/>
      <c r="D5161" s="167"/>
      <c r="E5161" s="167"/>
      <c r="F5161" s="168"/>
    </row>
    <row r="5162" spans="1:6" x14ac:dyDescent="0.2">
      <c r="A5162" s="163"/>
      <c r="B5162" s="164"/>
      <c r="C5162" s="164"/>
      <c r="D5162" s="164"/>
      <c r="E5162" s="164"/>
      <c r="F5162" s="165"/>
    </row>
    <row r="5163" spans="1:6" x14ac:dyDescent="0.2">
      <c r="A5163" s="166"/>
      <c r="B5163" s="167"/>
      <c r="C5163" s="167"/>
      <c r="D5163" s="167"/>
      <c r="E5163" s="167"/>
      <c r="F5163" s="168"/>
    </row>
    <row r="5164" spans="1:6" x14ac:dyDescent="0.2">
      <c r="A5164" s="163"/>
      <c r="B5164" s="164"/>
      <c r="C5164" s="164"/>
      <c r="D5164" s="164"/>
      <c r="E5164" s="164"/>
      <c r="F5164" s="165"/>
    </row>
    <row r="5165" spans="1:6" x14ac:dyDescent="0.2">
      <c r="A5165" s="166"/>
      <c r="B5165" s="167"/>
      <c r="C5165" s="167"/>
      <c r="D5165" s="167"/>
      <c r="E5165" s="167"/>
      <c r="F5165" s="168"/>
    </row>
    <row r="5166" spans="1:6" x14ac:dyDescent="0.2">
      <c r="A5166" s="163"/>
      <c r="B5166" s="164"/>
      <c r="C5166" s="164"/>
      <c r="D5166" s="164"/>
      <c r="E5166" s="164"/>
      <c r="F5166" s="165"/>
    </row>
    <row r="5167" spans="1:6" x14ac:dyDescent="0.2">
      <c r="A5167" s="166"/>
      <c r="B5167" s="167"/>
      <c r="C5167" s="167"/>
      <c r="D5167" s="167"/>
      <c r="E5167" s="167"/>
      <c r="F5167" s="168"/>
    </row>
    <row r="5168" spans="1:6" x14ac:dyDescent="0.2">
      <c r="A5168" s="163"/>
      <c r="B5168" s="164"/>
      <c r="C5168" s="164"/>
      <c r="D5168" s="164"/>
      <c r="E5168" s="164"/>
      <c r="F5168" s="165"/>
    </row>
    <row r="5169" spans="1:6" x14ac:dyDescent="0.2">
      <c r="A5169" s="166"/>
      <c r="B5169" s="167"/>
      <c r="C5169" s="167"/>
      <c r="D5169" s="167"/>
      <c r="E5169" s="167"/>
      <c r="F5169" s="168"/>
    </row>
    <row r="5170" spans="1:6" x14ac:dyDescent="0.2">
      <c r="A5170" s="163"/>
      <c r="B5170" s="164"/>
      <c r="C5170" s="164"/>
      <c r="D5170" s="164"/>
      <c r="E5170" s="164"/>
      <c r="F5170" s="165"/>
    </row>
    <row r="5171" spans="1:6" x14ac:dyDescent="0.2">
      <c r="A5171" s="166"/>
      <c r="B5171" s="167"/>
      <c r="C5171" s="167"/>
      <c r="D5171" s="167"/>
      <c r="E5171" s="167"/>
      <c r="F5171" s="168"/>
    </row>
    <row r="5172" spans="1:6" x14ac:dyDescent="0.2">
      <c r="A5172" s="163"/>
      <c r="B5172" s="164"/>
      <c r="C5172" s="164"/>
      <c r="D5172" s="164"/>
      <c r="E5172" s="164"/>
      <c r="F5172" s="165"/>
    </row>
    <row r="5173" spans="1:6" x14ac:dyDescent="0.2">
      <c r="A5173" s="166"/>
      <c r="B5173" s="167"/>
      <c r="C5173" s="167"/>
      <c r="D5173" s="167"/>
      <c r="E5173" s="167"/>
      <c r="F5173" s="168"/>
    </row>
    <row r="5174" spans="1:6" x14ac:dyDescent="0.2">
      <c r="A5174" s="163"/>
      <c r="B5174" s="164"/>
      <c r="C5174" s="164"/>
      <c r="D5174" s="164"/>
      <c r="E5174" s="164"/>
      <c r="F5174" s="165"/>
    </row>
    <row r="5175" spans="1:6" x14ac:dyDescent="0.2">
      <c r="A5175" s="166"/>
      <c r="B5175" s="167"/>
      <c r="C5175" s="167"/>
      <c r="D5175" s="167"/>
      <c r="E5175" s="167"/>
      <c r="F5175" s="168"/>
    </row>
    <row r="5176" spans="1:6" x14ac:dyDescent="0.2">
      <c r="A5176" s="163"/>
      <c r="B5176" s="164"/>
      <c r="C5176" s="164"/>
      <c r="D5176" s="164"/>
      <c r="E5176" s="164"/>
      <c r="F5176" s="165"/>
    </row>
    <row r="5177" spans="1:6" x14ac:dyDescent="0.2">
      <c r="A5177" s="166"/>
      <c r="B5177" s="167"/>
      <c r="C5177" s="167"/>
      <c r="D5177" s="167"/>
      <c r="E5177" s="167"/>
      <c r="F5177" s="168"/>
    </row>
    <row r="5178" spans="1:6" x14ac:dyDescent="0.2">
      <c r="A5178" s="163"/>
      <c r="B5178" s="164"/>
      <c r="C5178" s="164"/>
      <c r="D5178" s="164"/>
      <c r="E5178" s="164"/>
      <c r="F5178" s="165"/>
    </row>
    <row r="5179" spans="1:6" x14ac:dyDescent="0.2">
      <c r="A5179" s="166"/>
      <c r="B5179" s="167"/>
      <c r="C5179" s="167"/>
      <c r="D5179" s="167"/>
      <c r="E5179" s="167"/>
      <c r="F5179" s="168"/>
    </row>
    <row r="5180" spans="1:6" x14ac:dyDescent="0.2">
      <c r="A5180" s="163"/>
      <c r="B5180" s="164"/>
      <c r="C5180" s="164"/>
      <c r="D5180" s="164"/>
      <c r="E5180" s="164"/>
      <c r="F5180" s="165"/>
    </row>
    <row r="5181" spans="1:6" x14ac:dyDescent="0.2">
      <c r="A5181" s="166"/>
      <c r="B5181" s="167"/>
      <c r="C5181" s="167"/>
      <c r="D5181" s="167"/>
      <c r="E5181" s="167"/>
      <c r="F5181" s="168"/>
    </row>
    <row r="5182" spans="1:6" x14ac:dyDescent="0.2">
      <c r="A5182" s="163"/>
      <c r="B5182" s="164"/>
      <c r="C5182" s="164"/>
      <c r="D5182" s="164"/>
      <c r="E5182" s="164"/>
      <c r="F5182" s="165"/>
    </row>
    <row r="5183" spans="1:6" x14ac:dyDescent="0.2">
      <c r="A5183" s="166"/>
      <c r="B5183" s="167"/>
      <c r="C5183" s="167"/>
      <c r="D5183" s="167"/>
      <c r="E5183" s="167"/>
      <c r="F5183" s="168"/>
    </row>
    <row r="5184" spans="1:6" x14ac:dyDescent="0.2">
      <c r="A5184" s="163"/>
      <c r="B5184" s="164"/>
      <c r="C5184" s="164"/>
      <c r="D5184" s="164"/>
      <c r="E5184" s="164"/>
      <c r="F5184" s="165"/>
    </row>
    <row r="5185" spans="1:6" x14ac:dyDescent="0.2">
      <c r="A5185" s="166"/>
      <c r="B5185" s="167"/>
      <c r="C5185" s="167"/>
      <c r="D5185" s="167"/>
      <c r="E5185" s="167"/>
      <c r="F5185" s="168"/>
    </row>
    <row r="5186" spans="1:6" x14ac:dyDescent="0.2">
      <c r="A5186" s="163"/>
      <c r="B5186" s="164"/>
      <c r="C5186" s="164"/>
      <c r="D5186" s="164"/>
      <c r="E5186" s="164"/>
      <c r="F5186" s="165"/>
    </row>
    <row r="5187" spans="1:6" x14ac:dyDescent="0.2">
      <c r="A5187" s="166"/>
      <c r="B5187" s="167"/>
      <c r="C5187" s="167"/>
      <c r="D5187" s="167"/>
      <c r="E5187" s="167"/>
      <c r="F5187" s="168"/>
    </row>
    <row r="5188" spans="1:6" x14ac:dyDescent="0.2">
      <c r="A5188" s="163"/>
      <c r="B5188" s="164"/>
      <c r="C5188" s="164"/>
      <c r="D5188" s="164"/>
      <c r="E5188" s="164"/>
      <c r="F5188" s="165"/>
    </row>
    <row r="5189" spans="1:6" x14ac:dyDescent="0.2">
      <c r="A5189" s="166"/>
      <c r="B5189" s="167"/>
      <c r="C5189" s="167"/>
      <c r="D5189" s="167"/>
      <c r="E5189" s="167"/>
      <c r="F5189" s="168"/>
    </row>
    <row r="5190" spans="1:6" x14ac:dyDescent="0.2">
      <c r="A5190" s="163"/>
      <c r="B5190" s="164"/>
      <c r="C5190" s="164"/>
      <c r="D5190" s="164"/>
      <c r="E5190" s="164"/>
      <c r="F5190" s="165"/>
    </row>
    <row r="5191" spans="1:6" x14ac:dyDescent="0.2">
      <c r="A5191" s="166"/>
      <c r="B5191" s="167"/>
      <c r="C5191" s="167"/>
      <c r="D5191" s="167"/>
      <c r="E5191" s="167"/>
      <c r="F5191" s="168"/>
    </row>
    <row r="5192" spans="1:6" x14ac:dyDescent="0.2">
      <c r="A5192" s="163"/>
      <c r="B5192" s="164"/>
      <c r="C5192" s="164"/>
      <c r="D5192" s="164"/>
      <c r="E5192" s="164"/>
      <c r="F5192" s="165"/>
    </row>
    <row r="5193" spans="1:6" x14ac:dyDescent="0.2">
      <c r="A5193" s="166"/>
      <c r="B5193" s="167"/>
      <c r="C5193" s="167"/>
      <c r="D5193" s="167"/>
      <c r="E5193" s="167"/>
      <c r="F5193" s="168"/>
    </row>
    <row r="5194" spans="1:6" x14ac:dyDescent="0.2">
      <c r="A5194" s="163"/>
      <c r="B5194" s="164"/>
      <c r="C5194" s="164"/>
      <c r="D5194" s="164"/>
      <c r="E5194" s="164"/>
      <c r="F5194" s="165"/>
    </row>
    <row r="5195" spans="1:6" x14ac:dyDescent="0.2">
      <c r="A5195" s="166"/>
      <c r="B5195" s="167"/>
      <c r="C5195" s="167"/>
      <c r="D5195" s="167"/>
      <c r="E5195" s="167"/>
      <c r="F5195" s="168"/>
    </row>
    <row r="5196" spans="1:6" x14ac:dyDescent="0.2">
      <c r="A5196" s="163"/>
      <c r="B5196" s="164"/>
      <c r="C5196" s="164"/>
      <c r="D5196" s="164"/>
      <c r="E5196" s="164"/>
      <c r="F5196" s="165"/>
    </row>
    <row r="5197" spans="1:6" x14ac:dyDescent="0.2">
      <c r="A5197" s="166"/>
      <c r="B5197" s="167"/>
      <c r="C5197" s="167"/>
      <c r="D5197" s="167"/>
      <c r="E5197" s="167"/>
      <c r="F5197" s="168"/>
    </row>
    <row r="5198" spans="1:6" x14ac:dyDescent="0.2">
      <c r="A5198" s="163"/>
      <c r="B5198" s="164"/>
      <c r="C5198" s="164"/>
      <c r="D5198" s="164"/>
      <c r="E5198" s="164"/>
      <c r="F5198" s="165"/>
    </row>
    <row r="5199" spans="1:6" x14ac:dyDescent="0.2">
      <c r="A5199" s="166"/>
      <c r="B5199" s="167"/>
      <c r="C5199" s="167"/>
      <c r="D5199" s="167"/>
      <c r="E5199" s="167"/>
      <c r="F5199" s="168"/>
    </row>
    <row r="5200" spans="1:6" x14ac:dyDescent="0.2">
      <c r="A5200" s="163"/>
      <c r="B5200" s="164"/>
      <c r="C5200" s="164"/>
      <c r="D5200" s="164"/>
      <c r="E5200" s="164"/>
      <c r="F5200" s="165"/>
    </row>
    <row r="5201" spans="1:6" x14ac:dyDescent="0.2">
      <c r="A5201" s="166"/>
      <c r="B5201" s="167"/>
      <c r="C5201" s="167"/>
      <c r="D5201" s="167"/>
      <c r="E5201" s="167"/>
      <c r="F5201" s="168"/>
    </row>
    <row r="5202" spans="1:6" x14ac:dyDescent="0.2">
      <c r="A5202" s="163"/>
      <c r="B5202" s="164"/>
      <c r="C5202" s="164"/>
      <c r="D5202" s="164"/>
      <c r="E5202" s="164"/>
      <c r="F5202" s="165"/>
    </row>
    <row r="5203" spans="1:6" x14ac:dyDescent="0.2">
      <c r="A5203" s="166"/>
      <c r="B5203" s="167"/>
      <c r="C5203" s="167"/>
      <c r="D5203" s="167"/>
      <c r="E5203" s="167"/>
      <c r="F5203" s="168"/>
    </row>
    <row r="5204" spans="1:6" x14ac:dyDescent="0.2">
      <c r="A5204" s="163"/>
      <c r="B5204" s="164"/>
      <c r="C5204" s="164"/>
      <c r="D5204" s="164"/>
      <c r="E5204" s="164"/>
      <c r="F5204" s="165"/>
    </row>
    <row r="5205" spans="1:6" x14ac:dyDescent="0.2">
      <c r="A5205" s="166"/>
      <c r="B5205" s="167"/>
      <c r="C5205" s="167"/>
      <c r="D5205" s="167"/>
      <c r="E5205" s="167"/>
      <c r="F5205" s="168"/>
    </row>
    <row r="5206" spans="1:6" x14ac:dyDescent="0.2">
      <c r="A5206" s="163"/>
      <c r="B5206" s="164"/>
      <c r="C5206" s="164"/>
      <c r="D5206" s="164"/>
      <c r="E5206" s="164"/>
      <c r="F5206" s="165"/>
    </row>
    <row r="5207" spans="1:6" x14ac:dyDescent="0.2">
      <c r="A5207" s="166"/>
      <c r="B5207" s="167"/>
      <c r="C5207" s="167"/>
      <c r="D5207" s="167"/>
      <c r="E5207" s="167"/>
      <c r="F5207" s="168"/>
    </row>
    <row r="5208" spans="1:6" x14ac:dyDescent="0.2">
      <c r="A5208" s="163"/>
      <c r="B5208" s="164"/>
      <c r="C5208" s="164"/>
      <c r="D5208" s="164"/>
      <c r="E5208" s="164"/>
      <c r="F5208" s="165"/>
    </row>
    <row r="5209" spans="1:6" x14ac:dyDescent="0.2">
      <c r="A5209" s="166"/>
      <c r="B5209" s="167"/>
      <c r="C5209" s="167"/>
      <c r="D5209" s="167"/>
      <c r="E5209" s="167"/>
      <c r="F5209" s="168"/>
    </row>
    <row r="5210" spans="1:6" x14ac:dyDescent="0.2">
      <c r="A5210" s="163"/>
      <c r="B5210" s="164"/>
      <c r="C5210" s="164"/>
      <c r="D5210" s="164"/>
      <c r="E5210" s="164"/>
      <c r="F5210" s="165"/>
    </row>
    <row r="5211" spans="1:6" x14ac:dyDescent="0.2">
      <c r="A5211" s="166"/>
      <c r="B5211" s="167"/>
      <c r="C5211" s="167"/>
      <c r="D5211" s="167"/>
      <c r="E5211" s="167"/>
      <c r="F5211" s="168"/>
    </row>
    <row r="5212" spans="1:6" x14ac:dyDescent="0.2">
      <c r="A5212" s="163"/>
      <c r="B5212" s="164"/>
      <c r="C5212" s="164"/>
      <c r="D5212" s="164"/>
      <c r="E5212" s="164"/>
      <c r="F5212" s="165"/>
    </row>
    <row r="5213" spans="1:6" x14ac:dyDescent="0.2">
      <c r="A5213" s="166"/>
      <c r="B5213" s="167"/>
      <c r="C5213" s="167"/>
      <c r="D5213" s="167"/>
      <c r="E5213" s="167"/>
      <c r="F5213" s="168"/>
    </row>
    <row r="5214" spans="1:6" x14ac:dyDescent="0.2">
      <c r="A5214" s="163"/>
      <c r="B5214" s="164"/>
      <c r="C5214" s="164"/>
      <c r="D5214" s="164"/>
      <c r="E5214" s="164"/>
      <c r="F5214" s="165"/>
    </row>
    <row r="5215" spans="1:6" x14ac:dyDescent="0.2">
      <c r="A5215" s="166"/>
      <c r="B5215" s="167"/>
      <c r="C5215" s="167"/>
      <c r="D5215" s="167"/>
      <c r="E5215" s="167"/>
      <c r="F5215" s="168"/>
    </row>
    <row r="5216" spans="1:6" x14ac:dyDescent="0.2">
      <c r="A5216" s="163"/>
      <c r="B5216" s="164"/>
      <c r="C5216" s="164"/>
      <c r="D5216" s="164"/>
      <c r="E5216" s="164"/>
      <c r="F5216" s="165"/>
    </row>
    <row r="5217" spans="1:6" x14ac:dyDescent="0.2">
      <c r="A5217" s="166"/>
      <c r="B5217" s="167"/>
      <c r="C5217" s="167"/>
      <c r="D5217" s="167"/>
      <c r="E5217" s="167"/>
      <c r="F5217" s="168"/>
    </row>
    <row r="5218" spans="1:6" x14ac:dyDescent="0.2">
      <c r="A5218" s="163"/>
      <c r="B5218" s="164"/>
      <c r="C5218" s="164"/>
      <c r="D5218" s="164"/>
      <c r="E5218" s="164"/>
      <c r="F5218" s="165"/>
    </row>
    <row r="5219" spans="1:6" x14ac:dyDescent="0.2">
      <c r="A5219" s="166"/>
      <c r="B5219" s="167"/>
      <c r="C5219" s="167"/>
      <c r="D5219" s="167"/>
      <c r="E5219" s="167"/>
      <c r="F5219" s="168"/>
    </row>
    <row r="5220" spans="1:6" x14ac:dyDescent="0.2">
      <c r="A5220" s="163"/>
      <c r="B5220" s="164"/>
      <c r="C5220" s="164"/>
      <c r="D5220" s="164"/>
      <c r="E5220" s="164"/>
      <c r="F5220" s="165"/>
    </row>
    <row r="5221" spans="1:6" x14ac:dyDescent="0.2">
      <c r="A5221" s="166"/>
      <c r="B5221" s="167"/>
      <c r="C5221" s="167"/>
      <c r="D5221" s="167"/>
      <c r="E5221" s="167"/>
      <c r="F5221" s="168"/>
    </row>
    <row r="5222" spans="1:6" x14ac:dyDescent="0.2">
      <c r="A5222" s="163"/>
      <c r="B5222" s="164"/>
      <c r="C5222" s="164"/>
      <c r="D5222" s="164"/>
      <c r="E5222" s="164"/>
      <c r="F5222" s="165"/>
    </row>
    <row r="5223" spans="1:6" x14ac:dyDescent="0.2">
      <c r="A5223" s="166"/>
      <c r="B5223" s="167"/>
      <c r="C5223" s="167"/>
      <c r="D5223" s="167"/>
      <c r="E5223" s="167"/>
      <c r="F5223" s="168"/>
    </row>
    <row r="5224" spans="1:6" x14ac:dyDescent="0.2">
      <c r="A5224" s="163"/>
      <c r="B5224" s="164"/>
      <c r="C5224" s="164"/>
      <c r="D5224" s="164"/>
      <c r="E5224" s="164"/>
      <c r="F5224" s="165"/>
    </row>
    <row r="5225" spans="1:6" x14ac:dyDescent="0.2">
      <c r="A5225" s="166"/>
      <c r="B5225" s="167"/>
      <c r="C5225" s="167"/>
      <c r="D5225" s="167"/>
      <c r="E5225" s="167"/>
      <c r="F5225" s="168"/>
    </row>
    <row r="5226" spans="1:6" x14ac:dyDescent="0.2">
      <c r="A5226" s="163"/>
      <c r="B5226" s="164"/>
      <c r="C5226" s="164"/>
      <c r="D5226" s="164"/>
      <c r="E5226" s="164"/>
      <c r="F5226" s="165"/>
    </row>
    <row r="5227" spans="1:6" x14ac:dyDescent="0.2">
      <c r="A5227" s="166"/>
      <c r="B5227" s="167"/>
      <c r="C5227" s="167"/>
      <c r="D5227" s="167"/>
      <c r="E5227" s="167"/>
      <c r="F5227" s="168"/>
    </row>
    <row r="5228" spans="1:6" x14ac:dyDescent="0.2">
      <c r="A5228" s="163"/>
      <c r="B5228" s="164"/>
      <c r="C5228" s="164"/>
      <c r="D5228" s="164"/>
      <c r="E5228" s="164"/>
      <c r="F5228" s="165"/>
    </row>
    <row r="5229" spans="1:6" x14ac:dyDescent="0.2">
      <c r="A5229" s="166"/>
      <c r="B5229" s="167"/>
      <c r="C5229" s="167"/>
      <c r="D5229" s="167"/>
      <c r="E5229" s="167"/>
      <c r="F5229" s="168"/>
    </row>
    <row r="5230" spans="1:6" x14ac:dyDescent="0.2">
      <c r="A5230" s="163"/>
      <c r="B5230" s="164"/>
      <c r="C5230" s="164"/>
      <c r="D5230" s="164"/>
      <c r="E5230" s="164"/>
      <c r="F5230" s="165"/>
    </row>
    <row r="5231" spans="1:6" x14ac:dyDescent="0.2">
      <c r="A5231" s="166"/>
      <c r="B5231" s="167"/>
      <c r="C5231" s="167"/>
      <c r="D5231" s="167"/>
      <c r="E5231" s="167"/>
      <c r="F5231" s="168"/>
    </row>
    <row r="5232" spans="1:6" x14ac:dyDescent="0.2">
      <c r="A5232" s="163"/>
      <c r="B5232" s="164"/>
      <c r="C5232" s="164"/>
      <c r="D5232" s="164"/>
      <c r="E5232" s="164"/>
      <c r="F5232" s="165"/>
    </row>
    <row r="5233" spans="1:6" x14ac:dyDescent="0.2">
      <c r="A5233" s="166"/>
      <c r="B5233" s="167"/>
      <c r="C5233" s="167"/>
      <c r="D5233" s="167"/>
      <c r="E5233" s="167"/>
      <c r="F5233" s="168"/>
    </row>
    <row r="5234" spans="1:6" x14ac:dyDescent="0.2">
      <c r="A5234" s="163"/>
      <c r="B5234" s="164"/>
      <c r="C5234" s="164"/>
      <c r="D5234" s="164"/>
      <c r="E5234" s="164"/>
      <c r="F5234" s="165"/>
    </row>
    <row r="5235" spans="1:6" x14ac:dyDescent="0.2">
      <c r="A5235" s="166"/>
      <c r="B5235" s="167"/>
      <c r="C5235" s="167"/>
      <c r="D5235" s="167"/>
      <c r="E5235" s="167"/>
      <c r="F5235" s="168"/>
    </row>
    <row r="5236" spans="1:6" x14ac:dyDescent="0.2">
      <c r="A5236" s="163"/>
      <c r="B5236" s="164"/>
      <c r="C5236" s="164"/>
      <c r="D5236" s="164"/>
      <c r="E5236" s="164"/>
      <c r="F5236" s="165"/>
    </row>
    <row r="5237" spans="1:6" x14ac:dyDescent="0.2">
      <c r="A5237" s="166"/>
      <c r="B5237" s="167"/>
      <c r="C5237" s="167"/>
      <c r="D5237" s="167"/>
      <c r="E5237" s="167"/>
      <c r="F5237" s="168"/>
    </row>
    <row r="5238" spans="1:6" x14ac:dyDescent="0.2">
      <c r="A5238" s="163"/>
      <c r="B5238" s="164"/>
      <c r="C5238" s="164"/>
      <c r="D5238" s="164"/>
      <c r="E5238" s="164"/>
      <c r="F5238" s="165"/>
    </row>
    <row r="5239" spans="1:6" x14ac:dyDescent="0.2">
      <c r="A5239" s="166"/>
      <c r="B5239" s="167"/>
      <c r="C5239" s="167"/>
      <c r="D5239" s="167"/>
      <c r="E5239" s="167"/>
      <c r="F5239" s="168"/>
    </row>
    <row r="5240" spans="1:6" x14ac:dyDescent="0.2">
      <c r="A5240" s="163"/>
      <c r="B5240" s="164"/>
      <c r="C5240" s="164"/>
      <c r="D5240" s="164"/>
      <c r="E5240" s="164"/>
      <c r="F5240" s="165"/>
    </row>
    <row r="5241" spans="1:6" x14ac:dyDescent="0.2">
      <c r="A5241" s="166"/>
      <c r="B5241" s="167"/>
      <c r="C5241" s="167"/>
      <c r="D5241" s="167"/>
      <c r="E5241" s="167"/>
      <c r="F5241" s="168"/>
    </row>
    <row r="5242" spans="1:6" x14ac:dyDescent="0.2">
      <c r="A5242" s="163"/>
      <c r="B5242" s="164"/>
      <c r="C5242" s="164"/>
      <c r="D5242" s="164"/>
      <c r="E5242" s="164"/>
      <c r="F5242" s="165"/>
    </row>
    <row r="5243" spans="1:6" x14ac:dyDescent="0.2">
      <c r="A5243" s="166"/>
      <c r="B5243" s="167"/>
      <c r="C5243" s="167"/>
      <c r="D5243" s="167"/>
      <c r="E5243" s="167"/>
      <c r="F5243" s="168"/>
    </row>
    <row r="5244" spans="1:6" x14ac:dyDescent="0.2">
      <c r="A5244" s="163"/>
      <c r="B5244" s="164"/>
      <c r="C5244" s="164"/>
      <c r="D5244" s="164"/>
      <c r="E5244" s="164"/>
      <c r="F5244" s="165"/>
    </row>
    <row r="5245" spans="1:6" x14ac:dyDescent="0.2">
      <c r="A5245" s="166"/>
      <c r="B5245" s="167"/>
      <c r="C5245" s="167"/>
      <c r="D5245" s="167"/>
      <c r="E5245" s="167"/>
      <c r="F5245" s="168"/>
    </row>
    <row r="5246" spans="1:6" x14ac:dyDescent="0.2">
      <c r="A5246" s="163"/>
      <c r="B5246" s="164"/>
      <c r="C5246" s="164"/>
      <c r="D5246" s="164"/>
      <c r="E5246" s="164"/>
      <c r="F5246" s="165"/>
    </row>
    <row r="5247" spans="1:6" x14ac:dyDescent="0.2">
      <c r="A5247" s="166"/>
      <c r="B5247" s="167"/>
      <c r="C5247" s="167"/>
      <c r="D5247" s="167"/>
      <c r="E5247" s="167"/>
      <c r="F5247" s="168"/>
    </row>
    <row r="5248" spans="1:6" x14ac:dyDescent="0.2">
      <c r="A5248" s="163"/>
      <c r="B5248" s="164"/>
      <c r="C5248" s="164"/>
      <c r="D5248" s="164"/>
      <c r="E5248" s="164"/>
      <c r="F5248" s="165"/>
    </row>
    <row r="5249" spans="1:6" x14ac:dyDescent="0.2">
      <c r="A5249" s="166"/>
      <c r="B5249" s="167"/>
      <c r="C5249" s="167"/>
      <c r="D5249" s="167"/>
      <c r="E5249" s="167"/>
      <c r="F5249" s="168"/>
    </row>
    <row r="5250" spans="1:6" x14ac:dyDescent="0.2">
      <c r="A5250" s="163"/>
      <c r="B5250" s="164"/>
      <c r="C5250" s="164"/>
      <c r="D5250" s="164"/>
      <c r="E5250" s="164"/>
      <c r="F5250" s="165"/>
    </row>
    <row r="5251" spans="1:6" x14ac:dyDescent="0.2">
      <c r="A5251" s="166"/>
      <c r="B5251" s="167"/>
      <c r="C5251" s="167"/>
      <c r="D5251" s="167"/>
      <c r="E5251" s="167"/>
      <c r="F5251" s="168"/>
    </row>
    <row r="5252" spans="1:6" x14ac:dyDescent="0.2">
      <c r="A5252" s="163"/>
      <c r="B5252" s="164"/>
      <c r="C5252" s="164"/>
      <c r="D5252" s="164"/>
      <c r="E5252" s="164"/>
      <c r="F5252" s="165"/>
    </row>
    <row r="5253" spans="1:6" x14ac:dyDescent="0.2">
      <c r="A5253" s="166"/>
      <c r="B5253" s="167"/>
      <c r="C5253" s="167"/>
      <c r="D5253" s="167"/>
      <c r="E5253" s="167"/>
      <c r="F5253" s="168"/>
    </row>
    <row r="5254" spans="1:6" x14ac:dyDescent="0.2">
      <c r="A5254" s="163"/>
      <c r="B5254" s="164"/>
      <c r="C5254" s="164"/>
      <c r="D5254" s="164"/>
      <c r="E5254" s="164"/>
      <c r="F5254" s="165"/>
    </row>
    <row r="5255" spans="1:6" x14ac:dyDescent="0.2">
      <c r="A5255" s="166"/>
      <c r="B5255" s="167"/>
      <c r="C5255" s="167"/>
      <c r="D5255" s="167"/>
      <c r="E5255" s="167"/>
      <c r="F5255" s="168"/>
    </row>
    <row r="5256" spans="1:6" x14ac:dyDescent="0.2">
      <c r="A5256" s="163"/>
      <c r="B5256" s="164"/>
      <c r="C5256" s="164"/>
      <c r="D5256" s="164"/>
      <c r="E5256" s="164"/>
      <c r="F5256" s="165"/>
    </row>
    <row r="5257" spans="1:6" x14ac:dyDescent="0.2">
      <c r="A5257" s="166"/>
      <c r="B5257" s="167"/>
      <c r="C5257" s="167"/>
      <c r="D5257" s="167"/>
      <c r="E5257" s="167"/>
      <c r="F5257" s="168"/>
    </row>
    <row r="5258" spans="1:6" x14ac:dyDescent="0.2">
      <c r="A5258" s="163"/>
      <c r="B5258" s="164"/>
      <c r="C5258" s="164"/>
      <c r="D5258" s="164"/>
      <c r="E5258" s="164"/>
      <c r="F5258" s="165"/>
    </row>
    <row r="5259" spans="1:6" x14ac:dyDescent="0.2">
      <c r="A5259" s="166"/>
      <c r="B5259" s="167"/>
      <c r="C5259" s="167"/>
      <c r="D5259" s="167"/>
      <c r="E5259" s="167"/>
      <c r="F5259" s="168"/>
    </row>
    <row r="5260" spans="1:6" x14ac:dyDescent="0.2">
      <c r="A5260" s="163"/>
      <c r="B5260" s="164"/>
      <c r="C5260" s="164"/>
      <c r="D5260" s="164"/>
      <c r="E5260" s="164"/>
      <c r="F5260" s="165"/>
    </row>
    <row r="5261" spans="1:6" x14ac:dyDescent="0.2">
      <c r="A5261" s="166"/>
      <c r="B5261" s="167"/>
      <c r="C5261" s="167"/>
      <c r="D5261" s="167"/>
      <c r="E5261" s="167"/>
      <c r="F5261" s="168"/>
    </row>
    <row r="5262" spans="1:6" x14ac:dyDescent="0.2">
      <c r="A5262" s="163"/>
      <c r="B5262" s="164"/>
      <c r="C5262" s="164"/>
      <c r="D5262" s="164"/>
      <c r="E5262" s="164"/>
      <c r="F5262" s="165"/>
    </row>
    <row r="5263" spans="1:6" x14ac:dyDescent="0.2">
      <c r="A5263" s="166"/>
      <c r="B5263" s="167"/>
      <c r="C5263" s="167"/>
      <c r="D5263" s="167"/>
      <c r="E5263" s="167"/>
      <c r="F5263" s="168"/>
    </row>
    <row r="5264" spans="1:6" x14ac:dyDescent="0.2">
      <c r="A5264" s="163"/>
      <c r="B5264" s="164"/>
      <c r="C5264" s="164"/>
      <c r="D5264" s="164"/>
      <c r="E5264" s="164"/>
      <c r="F5264" s="165"/>
    </row>
    <row r="5265" spans="1:6" x14ac:dyDescent="0.2">
      <c r="A5265" s="166"/>
      <c r="B5265" s="167"/>
      <c r="C5265" s="167"/>
      <c r="D5265" s="167"/>
      <c r="E5265" s="167"/>
      <c r="F5265" s="168"/>
    </row>
    <row r="5266" spans="1:6" x14ac:dyDescent="0.2">
      <c r="A5266" s="163"/>
      <c r="B5266" s="164"/>
      <c r="C5266" s="164"/>
      <c r="D5266" s="164"/>
      <c r="E5266" s="164"/>
      <c r="F5266" s="165"/>
    </row>
    <row r="5267" spans="1:6" x14ac:dyDescent="0.2">
      <c r="A5267" s="166"/>
      <c r="B5267" s="167"/>
      <c r="C5267" s="167"/>
      <c r="D5267" s="167"/>
      <c r="E5267" s="167"/>
      <c r="F5267" s="168"/>
    </row>
    <row r="5268" spans="1:6" x14ac:dyDescent="0.2">
      <c r="A5268" s="163"/>
      <c r="B5268" s="164"/>
      <c r="C5268" s="164"/>
      <c r="D5268" s="164"/>
      <c r="E5268" s="164"/>
      <c r="F5268" s="165"/>
    </row>
    <row r="5269" spans="1:6" x14ac:dyDescent="0.2">
      <c r="A5269" s="166"/>
      <c r="B5269" s="167"/>
      <c r="C5269" s="167"/>
      <c r="D5269" s="167"/>
      <c r="E5269" s="167"/>
      <c r="F5269" s="168"/>
    </row>
    <row r="5270" spans="1:6" x14ac:dyDescent="0.2">
      <c r="A5270" s="163"/>
      <c r="B5270" s="164"/>
      <c r="C5270" s="164"/>
      <c r="D5270" s="164"/>
      <c r="E5270" s="164"/>
      <c r="F5270" s="165"/>
    </row>
    <row r="5271" spans="1:6" x14ac:dyDescent="0.2">
      <c r="A5271" s="166"/>
      <c r="B5271" s="167"/>
      <c r="C5271" s="167"/>
      <c r="D5271" s="167"/>
      <c r="E5271" s="167"/>
      <c r="F5271" s="168"/>
    </row>
    <row r="5272" spans="1:6" x14ac:dyDescent="0.2">
      <c r="A5272" s="163"/>
      <c r="B5272" s="164"/>
      <c r="C5272" s="164"/>
      <c r="D5272" s="164"/>
      <c r="E5272" s="164"/>
      <c r="F5272" s="165"/>
    </row>
    <row r="5273" spans="1:6" x14ac:dyDescent="0.2">
      <c r="A5273" s="166"/>
      <c r="B5273" s="167"/>
      <c r="C5273" s="167"/>
      <c r="D5273" s="167"/>
      <c r="E5273" s="167"/>
      <c r="F5273" s="168"/>
    </row>
    <row r="5274" spans="1:6" x14ac:dyDescent="0.2">
      <c r="A5274" s="163"/>
      <c r="B5274" s="164"/>
      <c r="C5274" s="164"/>
      <c r="D5274" s="164"/>
      <c r="E5274" s="164"/>
      <c r="F5274" s="165"/>
    </row>
    <row r="5275" spans="1:6" x14ac:dyDescent="0.2">
      <c r="A5275" s="166"/>
      <c r="B5275" s="167"/>
      <c r="C5275" s="167"/>
      <c r="D5275" s="167"/>
      <c r="E5275" s="167"/>
      <c r="F5275" s="168"/>
    </row>
    <row r="5276" spans="1:6" x14ac:dyDescent="0.2">
      <c r="A5276" s="163"/>
      <c r="B5276" s="164"/>
      <c r="C5276" s="164"/>
      <c r="D5276" s="164"/>
      <c r="E5276" s="164"/>
      <c r="F5276" s="165"/>
    </row>
    <row r="5277" spans="1:6" x14ac:dyDescent="0.2">
      <c r="A5277" s="166"/>
      <c r="B5277" s="167"/>
      <c r="C5277" s="167"/>
      <c r="D5277" s="167"/>
      <c r="E5277" s="167"/>
      <c r="F5277" s="168"/>
    </row>
    <row r="5278" spans="1:6" x14ac:dyDescent="0.2">
      <c r="A5278" s="163"/>
      <c r="B5278" s="164"/>
      <c r="C5278" s="164"/>
      <c r="D5278" s="164"/>
      <c r="E5278" s="164"/>
      <c r="F5278" s="165"/>
    </row>
    <row r="5279" spans="1:6" x14ac:dyDescent="0.2">
      <c r="A5279" s="166"/>
      <c r="B5279" s="167"/>
      <c r="C5279" s="167"/>
      <c r="D5279" s="167"/>
      <c r="E5279" s="167"/>
      <c r="F5279" s="168"/>
    </row>
    <row r="5280" spans="1:6" x14ac:dyDescent="0.2">
      <c r="A5280" s="163"/>
      <c r="B5280" s="164"/>
      <c r="C5280" s="164"/>
      <c r="D5280" s="164"/>
      <c r="E5280" s="164"/>
      <c r="F5280" s="165"/>
    </row>
    <row r="5281" spans="1:6" x14ac:dyDescent="0.2">
      <c r="A5281" s="166"/>
      <c r="B5281" s="167"/>
      <c r="C5281" s="167"/>
      <c r="D5281" s="167"/>
      <c r="E5281" s="167"/>
      <c r="F5281" s="168"/>
    </row>
    <row r="5282" spans="1:6" x14ac:dyDescent="0.2">
      <c r="A5282" s="163"/>
      <c r="B5282" s="164"/>
      <c r="C5282" s="164"/>
      <c r="D5282" s="164"/>
      <c r="E5282" s="164"/>
      <c r="F5282" s="165"/>
    </row>
    <row r="5283" spans="1:6" x14ac:dyDescent="0.2">
      <c r="A5283" s="166"/>
      <c r="B5283" s="167"/>
      <c r="C5283" s="167"/>
      <c r="D5283" s="167"/>
      <c r="E5283" s="167"/>
      <c r="F5283" s="168"/>
    </row>
    <row r="5284" spans="1:6" x14ac:dyDescent="0.2">
      <c r="A5284" s="163"/>
      <c r="B5284" s="164"/>
      <c r="C5284" s="164"/>
      <c r="D5284" s="164"/>
      <c r="E5284" s="164"/>
      <c r="F5284" s="165"/>
    </row>
    <row r="5285" spans="1:6" x14ac:dyDescent="0.2">
      <c r="A5285" s="166"/>
      <c r="B5285" s="167"/>
      <c r="C5285" s="167"/>
      <c r="D5285" s="167"/>
      <c r="E5285" s="167"/>
      <c r="F5285" s="168"/>
    </row>
    <row r="5286" spans="1:6" x14ac:dyDescent="0.2">
      <c r="A5286" s="163"/>
      <c r="B5286" s="164"/>
      <c r="C5286" s="164"/>
      <c r="D5286" s="164"/>
      <c r="E5286" s="164"/>
      <c r="F5286" s="165"/>
    </row>
    <row r="5287" spans="1:6" x14ac:dyDescent="0.2">
      <c r="A5287" s="166"/>
      <c r="B5287" s="167"/>
      <c r="C5287" s="167"/>
      <c r="D5287" s="167"/>
      <c r="E5287" s="167"/>
      <c r="F5287" s="168"/>
    </row>
    <row r="5288" spans="1:6" x14ac:dyDescent="0.2">
      <c r="A5288" s="163"/>
      <c r="B5288" s="164"/>
      <c r="C5288" s="164"/>
      <c r="D5288" s="164"/>
      <c r="E5288" s="164"/>
      <c r="F5288" s="165"/>
    </row>
    <row r="5289" spans="1:6" x14ac:dyDescent="0.2">
      <c r="A5289" s="166"/>
      <c r="B5289" s="167"/>
      <c r="C5289" s="167"/>
      <c r="D5289" s="167"/>
      <c r="E5289" s="167"/>
      <c r="F5289" s="168"/>
    </row>
    <row r="5290" spans="1:6" x14ac:dyDescent="0.2">
      <c r="A5290" s="163"/>
      <c r="B5290" s="164"/>
      <c r="C5290" s="164"/>
      <c r="D5290" s="164"/>
      <c r="E5290" s="164"/>
      <c r="F5290" s="165"/>
    </row>
    <row r="5291" spans="1:6" x14ac:dyDescent="0.2">
      <c r="A5291" s="166"/>
      <c r="B5291" s="167"/>
      <c r="C5291" s="167"/>
      <c r="D5291" s="167"/>
      <c r="E5291" s="167"/>
      <c r="F5291" s="168"/>
    </row>
    <row r="5292" spans="1:6" x14ac:dyDescent="0.2">
      <c r="A5292" s="163"/>
      <c r="B5292" s="164"/>
      <c r="C5292" s="164"/>
      <c r="D5292" s="164"/>
      <c r="E5292" s="164"/>
      <c r="F5292" s="165"/>
    </row>
    <row r="5293" spans="1:6" x14ac:dyDescent="0.2">
      <c r="A5293" s="166"/>
      <c r="B5293" s="167"/>
      <c r="C5293" s="167"/>
      <c r="D5293" s="167"/>
      <c r="E5293" s="167"/>
      <c r="F5293" s="168"/>
    </row>
    <row r="5294" spans="1:6" x14ac:dyDescent="0.2">
      <c r="A5294" s="163"/>
      <c r="B5294" s="164"/>
      <c r="C5294" s="164"/>
      <c r="D5294" s="164"/>
      <c r="E5294" s="164"/>
      <c r="F5294" s="165"/>
    </row>
    <row r="5295" spans="1:6" x14ac:dyDescent="0.2">
      <c r="A5295" s="166"/>
      <c r="B5295" s="167"/>
      <c r="C5295" s="167"/>
      <c r="D5295" s="167"/>
      <c r="E5295" s="167"/>
      <c r="F5295" s="168"/>
    </row>
    <row r="5296" spans="1:6" x14ac:dyDescent="0.2">
      <c r="A5296" s="163"/>
      <c r="B5296" s="164"/>
      <c r="C5296" s="164"/>
      <c r="D5296" s="164"/>
      <c r="E5296" s="164"/>
      <c r="F5296" s="165"/>
    </row>
    <row r="5297" spans="1:6" x14ac:dyDescent="0.2">
      <c r="A5297" s="166"/>
      <c r="B5297" s="167"/>
      <c r="C5297" s="167"/>
      <c r="D5297" s="167"/>
      <c r="E5297" s="167"/>
      <c r="F5297" s="168"/>
    </row>
    <row r="5298" spans="1:6" x14ac:dyDescent="0.2">
      <c r="A5298" s="163"/>
      <c r="B5298" s="164"/>
      <c r="C5298" s="164"/>
      <c r="D5298" s="164"/>
      <c r="E5298" s="164"/>
      <c r="F5298" s="165"/>
    </row>
    <row r="5299" spans="1:6" x14ac:dyDescent="0.2">
      <c r="A5299" s="166"/>
      <c r="B5299" s="167"/>
      <c r="C5299" s="167"/>
      <c r="D5299" s="167"/>
      <c r="E5299" s="167"/>
      <c r="F5299" s="168"/>
    </row>
    <row r="5300" spans="1:6" x14ac:dyDescent="0.2">
      <c r="A5300" s="163"/>
      <c r="B5300" s="164"/>
      <c r="C5300" s="164"/>
      <c r="D5300" s="164"/>
      <c r="E5300" s="164"/>
      <c r="F5300" s="165"/>
    </row>
    <row r="5301" spans="1:6" x14ac:dyDescent="0.2">
      <c r="A5301" s="166"/>
      <c r="B5301" s="167"/>
      <c r="C5301" s="167"/>
      <c r="D5301" s="167"/>
      <c r="E5301" s="167"/>
      <c r="F5301" s="168"/>
    </row>
    <row r="5302" spans="1:6" x14ac:dyDescent="0.2">
      <c r="A5302" s="163"/>
      <c r="B5302" s="164"/>
      <c r="C5302" s="164"/>
      <c r="D5302" s="164"/>
      <c r="E5302" s="164"/>
      <c r="F5302" s="165"/>
    </row>
    <row r="5303" spans="1:6" x14ac:dyDescent="0.2">
      <c r="A5303" s="166"/>
      <c r="B5303" s="167"/>
      <c r="C5303" s="167"/>
      <c r="D5303" s="167"/>
      <c r="E5303" s="167"/>
      <c r="F5303" s="168"/>
    </row>
    <row r="5304" spans="1:6" x14ac:dyDescent="0.2">
      <c r="A5304" s="163"/>
      <c r="B5304" s="164"/>
      <c r="C5304" s="164"/>
      <c r="D5304" s="164"/>
      <c r="E5304" s="164"/>
      <c r="F5304" s="165"/>
    </row>
    <row r="5305" spans="1:6" x14ac:dyDescent="0.2">
      <c r="A5305" s="166"/>
      <c r="B5305" s="167"/>
      <c r="C5305" s="167"/>
      <c r="D5305" s="167"/>
      <c r="E5305" s="167"/>
      <c r="F5305" s="168"/>
    </row>
    <row r="5306" spans="1:6" x14ac:dyDescent="0.2">
      <c r="A5306" s="163"/>
      <c r="B5306" s="164"/>
      <c r="C5306" s="164"/>
      <c r="D5306" s="164"/>
      <c r="E5306" s="164"/>
      <c r="F5306" s="165"/>
    </row>
    <row r="5307" spans="1:6" x14ac:dyDescent="0.2">
      <c r="A5307" s="166"/>
      <c r="B5307" s="167"/>
      <c r="C5307" s="167"/>
      <c r="D5307" s="167"/>
      <c r="E5307" s="167"/>
      <c r="F5307" s="168"/>
    </row>
    <row r="5308" spans="1:6" x14ac:dyDescent="0.2">
      <c r="A5308" s="163"/>
      <c r="B5308" s="164"/>
      <c r="C5308" s="164"/>
      <c r="D5308" s="164"/>
      <c r="E5308" s="164"/>
      <c r="F5308" s="165"/>
    </row>
    <row r="5309" spans="1:6" x14ac:dyDescent="0.2">
      <c r="A5309" s="166"/>
      <c r="B5309" s="167"/>
      <c r="C5309" s="167"/>
      <c r="D5309" s="167"/>
      <c r="E5309" s="167"/>
      <c r="F5309" s="168"/>
    </row>
    <row r="5310" spans="1:6" x14ac:dyDescent="0.2">
      <c r="A5310" s="163"/>
      <c r="B5310" s="164"/>
      <c r="C5310" s="164"/>
      <c r="D5310" s="164"/>
      <c r="E5310" s="164"/>
      <c r="F5310" s="165"/>
    </row>
    <row r="5311" spans="1:6" x14ac:dyDescent="0.2">
      <c r="A5311" s="166"/>
      <c r="B5311" s="167"/>
      <c r="C5311" s="167"/>
      <c r="D5311" s="167"/>
      <c r="E5311" s="167"/>
      <c r="F5311" s="168"/>
    </row>
    <row r="5312" spans="1:6" x14ac:dyDescent="0.2">
      <c r="A5312" s="163"/>
      <c r="B5312" s="164"/>
      <c r="C5312" s="164"/>
      <c r="D5312" s="164"/>
      <c r="E5312" s="164"/>
      <c r="F5312" s="165"/>
    </row>
    <row r="5313" spans="1:6" x14ac:dyDescent="0.2">
      <c r="A5313" s="166"/>
      <c r="B5313" s="167"/>
      <c r="C5313" s="167"/>
      <c r="D5313" s="167"/>
      <c r="E5313" s="167"/>
      <c r="F5313" s="168"/>
    </row>
    <row r="5314" spans="1:6" x14ac:dyDescent="0.2">
      <c r="A5314" s="163"/>
      <c r="B5314" s="164"/>
      <c r="C5314" s="164"/>
      <c r="D5314" s="164"/>
      <c r="E5314" s="164"/>
      <c r="F5314" s="165"/>
    </row>
    <row r="5315" spans="1:6" x14ac:dyDescent="0.2">
      <c r="A5315" s="166"/>
      <c r="B5315" s="167"/>
      <c r="C5315" s="167"/>
      <c r="D5315" s="167"/>
      <c r="E5315" s="167"/>
      <c r="F5315" s="168"/>
    </row>
    <row r="5316" spans="1:6" x14ac:dyDescent="0.2">
      <c r="A5316" s="163"/>
      <c r="B5316" s="164"/>
      <c r="C5316" s="164"/>
      <c r="D5316" s="164"/>
      <c r="E5316" s="164"/>
      <c r="F5316" s="165"/>
    </row>
    <row r="5317" spans="1:6" x14ac:dyDescent="0.2">
      <c r="A5317" s="166"/>
      <c r="B5317" s="167"/>
      <c r="C5317" s="167"/>
      <c r="D5317" s="167"/>
      <c r="E5317" s="167"/>
      <c r="F5317" s="168"/>
    </row>
    <row r="5318" spans="1:6" x14ac:dyDescent="0.2">
      <c r="A5318" s="163"/>
      <c r="B5318" s="164"/>
      <c r="C5318" s="164"/>
      <c r="D5318" s="164"/>
      <c r="E5318" s="164"/>
      <c r="F5318" s="165"/>
    </row>
    <row r="5319" spans="1:6" x14ac:dyDescent="0.2">
      <c r="A5319" s="166"/>
      <c r="B5319" s="167"/>
      <c r="C5319" s="167"/>
      <c r="D5319" s="167"/>
      <c r="E5319" s="167"/>
      <c r="F5319" s="168"/>
    </row>
    <row r="5320" spans="1:6" x14ac:dyDescent="0.2">
      <c r="A5320" s="163"/>
      <c r="B5320" s="164"/>
      <c r="C5320" s="164"/>
      <c r="D5320" s="164"/>
      <c r="E5320" s="164"/>
      <c r="F5320" s="165"/>
    </row>
    <row r="5321" spans="1:6" x14ac:dyDescent="0.2">
      <c r="A5321" s="166"/>
      <c r="B5321" s="167"/>
      <c r="C5321" s="167"/>
      <c r="D5321" s="167"/>
      <c r="E5321" s="167"/>
      <c r="F5321" s="168"/>
    </row>
    <row r="5322" spans="1:6" x14ac:dyDescent="0.2">
      <c r="A5322" s="163"/>
      <c r="B5322" s="164"/>
      <c r="C5322" s="164"/>
      <c r="D5322" s="164"/>
      <c r="E5322" s="164"/>
      <c r="F5322" s="165"/>
    </row>
    <row r="5323" spans="1:6" x14ac:dyDescent="0.2">
      <c r="A5323" s="166"/>
      <c r="B5323" s="167"/>
      <c r="C5323" s="167"/>
      <c r="D5323" s="167"/>
      <c r="E5323" s="167"/>
      <c r="F5323" s="168"/>
    </row>
    <row r="5324" spans="1:6" x14ac:dyDescent="0.2">
      <c r="A5324" s="163"/>
      <c r="B5324" s="164"/>
      <c r="C5324" s="164"/>
      <c r="D5324" s="164"/>
      <c r="E5324" s="164"/>
      <c r="F5324" s="165"/>
    </row>
    <row r="5325" spans="1:6" x14ac:dyDescent="0.2">
      <c r="A5325" s="166"/>
      <c r="B5325" s="167"/>
      <c r="C5325" s="167"/>
      <c r="D5325" s="167"/>
      <c r="E5325" s="167"/>
      <c r="F5325" s="168"/>
    </row>
    <row r="5326" spans="1:6" x14ac:dyDescent="0.2">
      <c r="A5326" s="163"/>
      <c r="B5326" s="164"/>
      <c r="C5326" s="164"/>
      <c r="D5326" s="164"/>
      <c r="E5326" s="164"/>
      <c r="F5326" s="165"/>
    </row>
    <row r="5327" spans="1:6" x14ac:dyDescent="0.2">
      <c r="A5327" s="166"/>
      <c r="B5327" s="167"/>
      <c r="C5327" s="167"/>
      <c r="D5327" s="167"/>
      <c r="E5327" s="167"/>
      <c r="F5327" s="168"/>
    </row>
    <row r="5328" spans="1:6" x14ac:dyDescent="0.2">
      <c r="A5328" s="163"/>
      <c r="B5328" s="164"/>
      <c r="C5328" s="164"/>
      <c r="D5328" s="164"/>
      <c r="E5328" s="164"/>
      <c r="F5328" s="165"/>
    </row>
    <row r="5329" spans="1:6" x14ac:dyDescent="0.2">
      <c r="A5329" s="166"/>
      <c r="B5329" s="167"/>
      <c r="C5329" s="167"/>
      <c r="D5329" s="167"/>
      <c r="E5329" s="167"/>
      <c r="F5329" s="168"/>
    </row>
    <row r="5330" spans="1:6" x14ac:dyDescent="0.2">
      <c r="A5330" s="163"/>
      <c r="B5330" s="164"/>
      <c r="C5330" s="164"/>
      <c r="D5330" s="164"/>
      <c r="E5330" s="164"/>
      <c r="F5330" s="165"/>
    </row>
    <row r="5331" spans="1:6" x14ac:dyDescent="0.2">
      <c r="A5331" s="166"/>
      <c r="B5331" s="167"/>
      <c r="C5331" s="167"/>
      <c r="D5331" s="167"/>
      <c r="E5331" s="167"/>
      <c r="F5331" s="168"/>
    </row>
    <row r="5332" spans="1:6" x14ac:dyDescent="0.2">
      <c r="A5332" s="163"/>
      <c r="B5332" s="164"/>
      <c r="C5332" s="164"/>
      <c r="D5332" s="164"/>
      <c r="E5332" s="164"/>
      <c r="F5332" s="165"/>
    </row>
    <row r="5333" spans="1:6" x14ac:dyDescent="0.2">
      <c r="A5333" s="166"/>
      <c r="B5333" s="167"/>
      <c r="C5333" s="167"/>
      <c r="D5333" s="167"/>
      <c r="E5333" s="167"/>
      <c r="F5333" s="168"/>
    </row>
    <row r="5334" spans="1:6" x14ac:dyDescent="0.2">
      <c r="A5334" s="163"/>
      <c r="B5334" s="164"/>
      <c r="C5334" s="164"/>
      <c r="D5334" s="164"/>
      <c r="E5334" s="164"/>
      <c r="F5334" s="165"/>
    </row>
    <row r="5335" spans="1:6" x14ac:dyDescent="0.2">
      <c r="A5335" s="166"/>
      <c r="B5335" s="167"/>
      <c r="C5335" s="167"/>
      <c r="D5335" s="167"/>
      <c r="E5335" s="167"/>
      <c r="F5335" s="168"/>
    </row>
    <row r="5336" spans="1:6" x14ac:dyDescent="0.2">
      <c r="A5336" s="163"/>
      <c r="B5336" s="164"/>
      <c r="C5336" s="164"/>
      <c r="D5336" s="164"/>
      <c r="E5336" s="164"/>
      <c r="F5336" s="165"/>
    </row>
    <row r="5337" spans="1:6" x14ac:dyDescent="0.2">
      <c r="A5337" s="166"/>
      <c r="B5337" s="167"/>
      <c r="C5337" s="167"/>
      <c r="D5337" s="167"/>
      <c r="E5337" s="167"/>
      <c r="F5337" s="168"/>
    </row>
    <row r="5338" spans="1:6" x14ac:dyDescent="0.2">
      <c r="A5338" s="163"/>
      <c r="B5338" s="164"/>
      <c r="C5338" s="164"/>
      <c r="D5338" s="164"/>
      <c r="E5338" s="164"/>
      <c r="F5338" s="165"/>
    </row>
    <row r="5339" spans="1:6" x14ac:dyDescent="0.2">
      <c r="A5339" s="166"/>
      <c r="B5339" s="167"/>
      <c r="C5339" s="167"/>
      <c r="D5339" s="167"/>
      <c r="E5339" s="167"/>
      <c r="F5339" s="168"/>
    </row>
    <row r="5340" spans="1:6" x14ac:dyDescent="0.2">
      <c r="A5340" s="163"/>
      <c r="B5340" s="164"/>
      <c r="C5340" s="164"/>
      <c r="D5340" s="164"/>
      <c r="E5340" s="164"/>
      <c r="F5340" s="165"/>
    </row>
    <row r="5341" spans="1:6" x14ac:dyDescent="0.2">
      <c r="A5341" s="166"/>
      <c r="B5341" s="167"/>
      <c r="C5341" s="167"/>
      <c r="D5341" s="167"/>
      <c r="E5341" s="167"/>
      <c r="F5341" s="168"/>
    </row>
    <row r="5342" spans="1:6" x14ac:dyDescent="0.2">
      <c r="A5342" s="163"/>
      <c r="B5342" s="164"/>
      <c r="C5342" s="164"/>
      <c r="D5342" s="164"/>
      <c r="E5342" s="164"/>
      <c r="F5342" s="165"/>
    </row>
    <row r="5343" spans="1:6" x14ac:dyDescent="0.2">
      <c r="A5343" s="166"/>
      <c r="B5343" s="167"/>
      <c r="C5343" s="167"/>
      <c r="D5343" s="167"/>
      <c r="E5343" s="167"/>
      <c r="F5343" s="168"/>
    </row>
    <row r="5344" spans="1:6" x14ac:dyDescent="0.2">
      <c r="A5344" s="163"/>
      <c r="B5344" s="164"/>
      <c r="C5344" s="164"/>
      <c r="D5344" s="164"/>
      <c r="E5344" s="164"/>
      <c r="F5344" s="165"/>
    </row>
    <row r="5345" spans="1:6" x14ac:dyDescent="0.2">
      <c r="A5345" s="166"/>
      <c r="B5345" s="167"/>
      <c r="C5345" s="167"/>
      <c r="D5345" s="167"/>
      <c r="E5345" s="167"/>
      <c r="F5345" s="168"/>
    </row>
    <row r="5346" spans="1:6" x14ac:dyDescent="0.2">
      <c r="A5346" s="163"/>
      <c r="B5346" s="164"/>
      <c r="C5346" s="164"/>
      <c r="D5346" s="164"/>
      <c r="E5346" s="164"/>
      <c r="F5346" s="165"/>
    </row>
    <row r="5347" spans="1:6" x14ac:dyDescent="0.2">
      <c r="A5347" s="166"/>
      <c r="B5347" s="167"/>
      <c r="C5347" s="167"/>
      <c r="D5347" s="167"/>
      <c r="E5347" s="167"/>
      <c r="F5347" s="168"/>
    </row>
    <row r="5348" spans="1:6" x14ac:dyDescent="0.2">
      <c r="A5348" s="163"/>
      <c r="B5348" s="164"/>
      <c r="C5348" s="164"/>
      <c r="D5348" s="164"/>
      <c r="E5348" s="164"/>
      <c r="F5348" s="165"/>
    </row>
    <row r="5349" spans="1:6" x14ac:dyDescent="0.2">
      <c r="A5349" s="166"/>
      <c r="B5349" s="167"/>
      <c r="C5349" s="167"/>
      <c r="D5349" s="167"/>
      <c r="E5349" s="167"/>
      <c r="F5349" s="168"/>
    </row>
    <row r="5350" spans="1:6" x14ac:dyDescent="0.2">
      <c r="A5350" s="163"/>
      <c r="B5350" s="164"/>
      <c r="C5350" s="164"/>
      <c r="D5350" s="164"/>
      <c r="E5350" s="164"/>
      <c r="F5350" s="165"/>
    </row>
    <row r="5351" spans="1:6" x14ac:dyDescent="0.2">
      <c r="A5351" s="166"/>
      <c r="B5351" s="167"/>
      <c r="C5351" s="167"/>
      <c r="D5351" s="167"/>
      <c r="E5351" s="167"/>
      <c r="F5351" s="168"/>
    </row>
    <row r="5352" spans="1:6" x14ac:dyDescent="0.2">
      <c r="A5352" s="163"/>
      <c r="B5352" s="164"/>
      <c r="C5352" s="164"/>
      <c r="D5352" s="164"/>
      <c r="E5352" s="164"/>
      <c r="F5352" s="165"/>
    </row>
    <row r="5353" spans="1:6" x14ac:dyDescent="0.2">
      <c r="A5353" s="166"/>
      <c r="B5353" s="167"/>
      <c r="C5353" s="167"/>
      <c r="D5353" s="167"/>
      <c r="E5353" s="167"/>
      <c r="F5353" s="168"/>
    </row>
    <row r="5354" spans="1:6" x14ac:dyDescent="0.2">
      <c r="A5354" s="163"/>
      <c r="B5354" s="164"/>
      <c r="C5354" s="164"/>
      <c r="D5354" s="164"/>
      <c r="E5354" s="164"/>
      <c r="F5354" s="165"/>
    </row>
    <row r="5355" spans="1:6" x14ac:dyDescent="0.2">
      <c r="A5355" s="166"/>
      <c r="B5355" s="167"/>
      <c r="C5355" s="167"/>
      <c r="D5355" s="167"/>
      <c r="E5355" s="167"/>
      <c r="F5355" s="168"/>
    </row>
    <row r="5356" spans="1:6" x14ac:dyDescent="0.2">
      <c r="A5356" s="163"/>
      <c r="B5356" s="164"/>
      <c r="C5356" s="164"/>
      <c r="D5356" s="164"/>
      <c r="E5356" s="164"/>
      <c r="F5356" s="165"/>
    </row>
    <row r="5357" spans="1:6" x14ac:dyDescent="0.2">
      <c r="A5357" s="166"/>
      <c r="B5357" s="167"/>
      <c r="C5357" s="167"/>
      <c r="D5357" s="167"/>
      <c r="E5357" s="167"/>
      <c r="F5357" s="168"/>
    </row>
    <row r="5358" spans="1:6" x14ac:dyDescent="0.2">
      <c r="A5358" s="163"/>
      <c r="B5358" s="164"/>
      <c r="C5358" s="164"/>
      <c r="D5358" s="164"/>
      <c r="E5358" s="164"/>
      <c r="F5358" s="165"/>
    </row>
    <row r="5359" spans="1:6" x14ac:dyDescent="0.2">
      <c r="A5359" s="166"/>
      <c r="B5359" s="167"/>
      <c r="C5359" s="167"/>
      <c r="D5359" s="167"/>
      <c r="E5359" s="167"/>
      <c r="F5359" s="168"/>
    </row>
    <row r="5360" spans="1:6" x14ac:dyDescent="0.2">
      <c r="A5360" s="163"/>
      <c r="B5360" s="164"/>
      <c r="C5360" s="164"/>
      <c r="D5360" s="164"/>
      <c r="E5360" s="164"/>
      <c r="F5360" s="165"/>
    </row>
    <row r="5361" spans="1:6" x14ac:dyDescent="0.2">
      <c r="A5361" s="166"/>
      <c r="B5361" s="167"/>
      <c r="C5361" s="167"/>
      <c r="D5361" s="167"/>
      <c r="E5361" s="167"/>
      <c r="F5361" s="168"/>
    </row>
    <row r="5362" spans="1:6" x14ac:dyDescent="0.2">
      <c r="A5362" s="163"/>
      <c r="B5362" s="164"/>
      <c r="C5362" s="164"/>
      <c r="D5362" s="164"/>
      <c r="E5362" s="164"/>
      <c r="F5362" s="165"/>
    </row>
    <row r="5363" spans="1:6" x14ac:dyDescent="0.2">
      <c r="A5363" s="166"/>
      <c r="B5363" s="167"/>
      <c r="C5363" s="167"/>
      <c r="D5363" s="167"/>
      <c r="E5363" s="167"/>
      <c r="F5363" s="168"/>
    </row>
    <row r="5364" spans="1:6" x14ac:dyDescent="0.2">
      <c r="A5364" s="163"/>
      <c r="B5364" s="164"/>
      <c r="C5364" s="164"/>
      <c r="D5364" s="164"/>
      <c r="E5364" s="164"/>
      <c r="F5364" s="165"/>
    </row>
    <row r="5365" spans="1:6" x14ac:dyDescent="0.2">
      <c r="A5365" s="166"/>
      <c r="B5365" s="167"/>
      <c r="C5365" s="167"/>
      <c r="D5365" s="167"/>
      <c r="E5365" s="167"/>
      <c r="F5365" s="168"/>
    </row>
    <row r="5366" spans="1:6" x14ac:dyDescent="0.2">
      <c r="A5366" s="163"/>
      <c r="B5366" s="164"/>
      <c r="C5366" s="164"/>
      <c r="D5366" s="164"/>
      <c r="E5366" s="164"/>
      <c r="F5366" s="165"/>
    </row>
    <row r="5367" spans="1:6" x14ac:dyDescent="0.2">
      <c r="A5367" s="166"/>
      <c r="B5367" s="167"/>
      <c r="C5367" s="167"/>
      <c r="D5367" s="167"/>
      <c r="E5367" s="167"/>
      <c r="F5367" s="168"/>
    </row>
    <row r="5368" spans="1:6" x14ac:dyDescent="0.2">
      <c r="A5368" s="163"/>
      <c r="B5368" s="164"/>
      <c r="C5368" s="164"/>
      <c r="D5368" s="164"/>
      <c r="E5368" s="164"/>
      <c r="F5368" s="165"/>
    </row>
    <row r="5369" spans="1:6" x14ac:dyDescent="0.2">
      <c r="A5369" s="166"/>
      <c r="B5369" s="167"/>
      <c r="C5369" s="167"/>
      <c r="D5369" s="167"/>
      <c r="E5369" s="167"/>
      <c r="F5369" s="168"/>
    </row>
    <row r="5370" spans="1:6" x14ac:dyDescent="0.2">
      <c r="A5370" s="163"/>
      <c r="B5370" s="164"/>
      <c r="C5370" s="164"/>
      <c r="D5370" s="164"/>
      <c r="E5370" s="164"/>
      <c r="F5370" s="165"/>
    </row>
    <row r="5371" spans="1:6" x14ac:dyDescent="0.2">
      <c r="A5371" s="166"/>
      <c r="B5371" s="167"/>
      <c r="C5371" s="167"/>
      <c r="D5371" s="167"/>
      <c r="E5371" s="167"/>
      <c r="F5371" s="168"/>
    </row>
    <row r="5372" spans="1:6" x14ac:dyDescent="0.2">
      <c r="A5372" s="163"/>
      <c r="B5372" s="164"/>
      <c r="C5372" s="164"/>
      <c r="D5372" s="164"/>
      <c r="E5372" s="164"/>
      <c r="F5372" s="165"/>
    </row>
    <row r="5373" spans="1:6" x14ac:dyDescent="0.2">
      <c r="A5373" s="166"/>
      <c r="B5373" s="167"/>
      <c r="C5373" s="167"/>
      <c r="D5373" s="167"/>
      <c r="E5373" s="167"/>
      <c r="F5373" s="168"/>
    </row>
    <row r="5374" spans="1:6" x14ac:dyDescent="0.2">
      <c r="A5374" s="163"/>
      <c r="B5374" s="164"/>
      <c r="C5374" s="164"/>
      <c r="D5374" s="164"/>
      <c r="E5374" s="164"/>
      <c r="F5374" s="165"/>
    </row>
    <row r="5375" spans="1:6" x14ac:dyDescent="0.2">
      <c r="A5375" s="166"/>
      <c r="B5375" s="167"/>
      <c r="C5375" s="167"/>
      <c r="D5375" s="167"/>
      <c r="E5375" s="167"/>
      <c r="F5375" s="168"/>
    </row>
    <row r="5376" spans="1:6" x14ac:dyDescent="0.2">
      <c r="A5376" s="163"/>
      <c r="B5376" s="164"/>
      <c r="C5376" s="164"/>
      <c r="D5376" s="164"/>
      <c r="E5376" s="164"/>
      <c r="F5376" s="165"/>
    </row>
    <row r="5377" spans="1:6" x14ac:dyDescent="0.2">
      <c r="A5377" s="166"/>
      <c r="B5377" s="167"/>
      <c r="C5377" s="167"/>
      <c r="D5377" s="167"/>
      <c r="E5377" s="167"/>
      <c r="F5377" s="168"/>
    </row>
    <row r="5378" spans="1:6" x14ac:dyDescent="0.2">
      <c r="A5378" s="163"/>
      <c r="B5378" s="164"/>
      <c r="C5378" s="164"/>
      <c r="D5378" s="164"/>
      <c r="E5378" s="164"/>
      <c r="F5378" s="165"/>
    </row>
    <row r="5379" spans="1:6" x14ac:dyDescent="0.2">
      <c r="A5379" s="166"/>
      <c r="B5379" s="167"/>
      <c r="C5379" s="167"/>
      <c r="D5379" s="167"/>
      <c r="E5379" s="167"/>
      <c r="F5379" s="168"/>
    </row>
    <row r="5380" spans="1:6" x14ac:dyDescent="0.2">
      <c r="A5380" s="163"/>
      <c r="B5380" s="164"/>
      <c r="C5380" s="164"/>
      <c r="D5380" s="164"/>
      <c r="E5380" s="164"/>
      <c r="F5380" s="165"/>
    </row>
    <row r="5381" spans="1:6" x14ac:dyDescent="0.2">
      <c r="A5381" s="166"/>
      <c r="B5381" s="167"/>
      <c r="C5381" s="167"/>
      <c r="D5381" s="167"/>
      <c r="E5381" s="167"/>
      <c r="F5381" s="168"/>
    </row>
    <row r="5382" spans="1:6" x14ac:dyDescent="0.2">
      <c r="A5382" s="163"/>
      <c r="B5382" s="164"/>
      <c r="C5382" s="164"/>
      <c r="D5382" s="164"/>
      <c r="E5382" s="164"/>
      <c r="F5382" s="165"/>
    </row>
    <row r="5383" spans="1:6" x14ac:dyDescent="0.2">
      <c r="A5383" s="166"/>
      <c r="B5383" s="167"/>
      <c r="C5383" s="167"/>
      <c r="D5383" s="167"/>
      <c r="E5383" s="167"/>
      <c r="F5383" s="168"/>
    </row>
    <row r="5384" spans="1:6" x14ac:dyDescent="0.2">
      <c r="A5384" s="163"/>
      <c r="B5384" s="164"/>
      <c r="C5384" s="164"/>
      <c r="D5384" s="164"/>
      <c r="E5384" s="164"/>
      <c r="F5384" s="165"/>
    </row>
    <row r="5385" spans="1:6" x14ac:dyDescent="0.2">
      <c r="A5385" s="166"/>
      <c r="B5385" s="167"/>
      <c r="C5385" s="167"/>
      <c r="D5385" s="167"/>
      <c r="E5385" s="167"/>
      <c r="F5385" s="168"/>
    </row>
    <row r="5386" spans="1:6" x14ac:dyDescent="0.2">
      <c r="A5386" s="163"/>
      <c r="B5386" s="164"/>
      <c r="C5386" s="164"/>
      <c r="D5386" s="164"/>
      <c r="E5386" s="164"/>
      <c r="F5386" s="165"/>
    </row>
    <row r="5387" spans="1:6" x14ac:dyDescent="0.2">
      <c r="A5387" s="166"/>
      <c r="B5387" s="167"/>
      <c r="C5387" s="167"/>
      <c r="D5387" s="167"/>
      <c r="E5387" s="167"/>
      <c r="F5387" s="168"/>
    </row>
    <row r="5388" spans="1:6" x14ac:dyDescent="0.2">
      <c r="A5388" s="163"/>
      <c r="B5388" s="164"/>
      <c r="C5388" s="164"/>
      <c r="D5388" s="164"/>
      <c r="E5388" s="164"/>
      <c r="F5388" s="165"/>
    </row>
    <row r="5389" spans="1:6" x14ac:dyDescent="0.2">
      <c r="A5389" s="166"/>
      <c r="B5389" s="167"/>
      <c r="C5389" s="167"/>
      <c r="D5389" s="167"/>
      <c r="E5389" s="167"/>
      <c r="F5389" s="168"/>
    </row>
    <row r="5390" spans="1:6" x14ac:dyDescent="0.2">
      <c r="A5390" s="163"/>
      <c r="B5390" s="164"/>
      <c r="C5390" s="164"/>
      <c r="D5390" s="164"/>
      <c r="E5390" s="164"/>
      <c r="F5390" s="165"/>
    </row>
    <row r="5391" spans="1:6" x14ac:dyDescent="0.2">
      <c r="A5391" s="166"/>
      <c r="B5391" s="167"/>
      <c r="C5391" s="167"/>
      <c r="D5391" s="167"/>
      <c r="E5391" s="167"/>
      <c r="F5391" s="168"/>
    </row>
    <row r="5392" spans="1:6" x14ac:dyDescent="0.2">
      <c r="A5392" s="163"/>
      <c r="B5392" s="164"/>
      <c r="C5392" s="164"/>
      <c r="D5392" s="164"/>
      <c r="E5392" s="164"/>
      <c r="F5392" s="165"/>
    </row>
    <row r="5393" spans="1:6" x14ac:dyDescent="0.2">
      <c r="A5393" s="166"/>
      <c r="B5393" s="167"/>
      <c r="C5393" s="167"/>
      <c r="D5393" s="167"/>
      <c r="E5393" s="167"/>
      <c r="F5393" s="168"/>
    </row>
    <row r="5394" spans="1:6" x14ac:dyDescent="0.2">
      <c r="A5394" s="163"/>
      <c r="B5394" s="164"/>
      <c r="C5394" s="164"/>
      <c r="D5394" s="164"/>
      <c r="E5394" s="164"/>
      <c r="F5394" s="165"/>
    </row>
    <row r="5395" spans="1:6" x14ac:dyDescent="0.2">
      <c r="A5395" s="166"/>
      <c r="B5395" s="167"/>
      <c r="C5395" s="167"/>
      <c r="D5395" s="167"/>
      <c r="E5395" s="167"/>
      <c r="F5395" s="168"/>
    </row>
    <row r="5396" spans="1:6" x14ac:dyDescent="0.2">
      <c r="A5396" s="163"/>
      <c r="B5396" s="164"/>
      <c r="C5396" s="164"/>
      <c r="D5396" s="164"/>
      <c r="E5396" s="164"/>
      <c r="F5396" s="165"/>
    </row>
    <row r="5397" spans="1:6" x14ac:dyDescent="0.2">
      <c r="A5397" s="166"/>
      <c r="B5397" s="167"/>
      <c r="C5397" s="167"/>
      <c r="D5397" s="167"/>
      <c r="E5397" s="167"/>
      <c r="F5397" s="168"/>
    </row>
    <row r="5398" spans="1:6" x14ac:dyDescent="0.2">
      <c r="A5398" s="163"/>
      <c r="B5398" s="164"/>
      <c r="C5398" s="164"/>
      <c r="D5398" s="164"/>
      <c r="E5398" s="164"/>
      <c r="F5398" s="165"/>
    </row>
    <row r="5399" spans="1:6" x14ac:dyDescent="0.2">
      <c r="A5399" s="166"/>
      <c r="B5399" s="167"/>
      <c r="C5399" s="167"/>
      <c r="D5399" s="167"/>
      <c r="E5399" s="167"/>
      <c r="F5399" s="168"/>
    </row>
    <row r="5400" spans="1:6" x14ac:dyDescent="0.2">
      <c r="A5400" s="163"/>
      <c r="B5400" s="164"/>
      <c r="C5400" s="164"/>
      <c r="D5400" s="164"/>
      <c r="E5400" s="164"/>
      <c r="F5400" s="165"/>
    </row>
    <row r="5401" spans="1:6" x14ac:dyDescent="0.2">
      <c r="A5401" s="166"/>
      <c r="B5401" s="167"/>
      <c r="C5401" s="167"/>
      <c r="D5401" s="167"/>
      <c r="E5401" s="167"/>
      <c r="F5401" s="168"/>
    </row>
    <row r="5402" spans="1:6" x14ac:dyDescent="0.2">
      <c r="A5402" s="163"/>
      <c r="B5402" s="164"/>
      <c r="C5402" s="164"/>
      <c r="D5402" s="164"/>
      <c r="E5402" s="164"/>
      <c r="F5402" s="165"/>
    </row>
    <row r="5403" spans="1:6" x14ac:dyDescent="0.2">
      <c r="A5403" s="166"/>
      <c r="B5403" s="167"/>
      <c r="C5403" s="167"/>
      <c r="D5403" s="167"/>
      <c r="E5403" s="167"/>
      <c r="F5403" s="168"/>
    </row>
    <row r="5404" spans="1:6" x14ac:dyDescent="0.2">
      <c r="A5404" s="163"/>
      <c r="B5404" s="164"/>
      <c r="C5404" s="164"/>
      <c r="D5404" s="164"/>
      <c r="E5404" s="164"/>
      <c r="F5404" s="165"/>
    </row>
    <row r="5405" spans="1:6" x14ac:dyDescent="0.2">
      <c r="A5405" s="166"/>
      <c r="B5405" s="167"/>
      <c r="C5405" s="167"/>
      <c r="D5405" s="167"/>
      <c r="E5405" s="167"/>
      <c r="F5405" s="168"/>
    </row>
    <row r="5406" spans="1:6" x14ac:dyDescent="0.2">
      <c r="A5406" s="163"/>
      <c r="B5406" s="164"/>
      <c r="C5406" s="164"/>
      <c r="D5406" s="164"/>
      <c r="E5406" s="164"/>
      <c r="F5406" s="165"/>
    </row>
    <row r="5407" spans="1:6" x14ac:dyDescent="0.2">
      <c r="A5407" s="166"/>
      <c r="B5407" s="167"/>
      <c r="C5407" s="167"/>
      <c r="D5407" s="167"/>
      <c r="E5407" s="167"/>
      <c r="F5407" s="168"/>
    </row>
    <row r="5408" spans="1:6" x14ac:dyDescent="0.2">
      <c r="A5408" s="163"/>
      <c r="B5408" s="164"/>
      <c r="C5408" s="164"/>
      <c r="D5408" s="164"/>
      <c r="E5408" s="164"/>
      <c r="F5408" s="165"/>
    </row>
    <row r="5409" spans="1:6" x14ac:dyDescent="0.2">
      <c r="A5409" s="166"/>
      <c r="B5409" s="167"/>
      <c r="C5409" s="167"/>
      <c r="D5409" s="167"/>
      <c r="E5409" s="167"/>
      <c r="F5409" s="168"/>
    </row>
    <row r="5410" spans="1:6" x14ac:dyDescent="0.2">
      <c r="A5410" s="163"/>
      <c r="B5410" s="164"/>
      <c r="C5410" s="164"/>
      <c r="D5410" s="164"/>
      <c r="E5410" s="164"/>
      <c r="F5410" s="165"/>
    </row>
    <row r="5411" spans="1:6" x14ac:dyDescent="0.2">
      <c r="A5411" s="166"/>
      <c r="B5411" s="167"/>
      <c r="C5411" s="167"/>
      <c r="D5411" s="167"/>
      <c r="E5411" s="167"/>
      <c r="F5411" s="168"/>
    </row>
    <row r="5412" spans="1:6" x14ac:dyDescent="0.2">
      <c r="A5412" s="163"/>
      <c r="B5412" s="164"/>
      <c r="C5412" s="164"/>
      <c r="D5412" s="164"/>
      <c r="E5412" s="164"/>
      <c r="F5412" s="165"/>
    </row>
    <row r="5413" spans="1:6" x14ac:dyDescent="0.2">
      <c r="A5413" s="166"/>
      <c r="B5413" s="167"/>
      <c r="C5413" s="167"/>
      <c r="D5413" s="167"/>
      <c r="E5413" s="167"/>
      <c r="F5413" s="168"/>
    </row>
    <row r="5414" spans="1:6" x14ac:dyDescent="0.2">
      <c r="A5414" s="163"/>
      <c r="B5414" s="164"/>
      <c r="C5414" s="164"/>
      <c r="D5414" s="164"/>
      <c r="E5414" s="164"/>
      <c r="F5414" s="165"/>
    </row>
    <row r="5415" spans="1:6" x14ac:dyDescent="0.2">
      <c r="A5415" s="166"/>
      <c r="B5415" s="167"/>
      <c r="C5415" s="167"/>
      <c r="D5415" s="167"/>
      <c r="E5415" s="167"/>
      <c r="F5415" s="168"/>
    </row>
    <row r="5416" spans="1:6" x14ac:dyDescent="0.2">
      <c r="A5416" s="163"/>
      <c r="B5416" s="164"/>
      <c r="C5416" s="164"/>
      <c r="D5416" s="164"/>
      <c r="E5416" s="164"/>
      <c r="F5416" s="165"/>
    </row>
    <row r="5417" spans="1:6" x14ac:dyDescent="0.2">
      <c r="A5417" s="166"/>
      <c r="B5417" s="167"/>
      <c r="C5417" s="167"/>
      <c r="D5417" s="167"/>
      <c r="E5417" s="167"/>
      <c r="F5417" s="168"/>
    </row>
    <row r="5418" spans="1:6" x14ac:dyDescent="0.2">
      <c r="A5418" s="163"/>
      <c r="B5418" s="164"/>
      <c r="C5418" s="164"/>
      <c r="D5418" s="164"/>
      <c r="E5418" s="164"/>
      <c r="F5418" s="165"/>
    </row>
    <row r="5419" spans="1:6" x14ac:dyDescent="0.2">
      <c r="A5419" s="166"/>
      <c r="B5419" s="167"/>
      <c r="C5419" s="167"/>
      <c r="D5419" s="167"/>
      <c r="E5419" s="167"/>
      <c r="F5419" s="168"/>
    </row>
    <row r="5420" spans="1:6" x14ac:dyDescent="0.2">
      <c r="A5420" s="163"/>
      <c r="B5420" s="164"/>
      <c r="C5420" s="164"/>
      <c r="D5420" s="164"/>
      <c r="E5420" s="164"/>
      <c r="F5420" s="165"/>
    </row>
    <row r="5421" spans="1:6" x14ac:dyDescent="0.2">
      <c r="A5421" s="166"/>
      <c r="B5421" s="167"/>
      <c r="C5421" s="167"/>
      <c r="D5421" s="167"/>
      <c r="E5421" s="167"/>
      <c r="F5421" s="168"/>
    </row>
    <row r="5422" spans="1:6" x14ac:dyDescent="0.2">
      <c r="A5422" s="163"/>
      <c r="B5422" s="164"/>
      <c r="C5422" s="164"/>
      <c r="D5422" s="164"/>
      <c r="E5422" s="164"/>
      <c r="F5422" s="165"/>
    </row>
    <row r="5423" spans="1:6" x14ac:dyDescent="0.2">
      <c r="A5423" s="166"/>
      <c r="B5423" s="167"/>
      <c r="C5423" s="167"/>
      <c r="D5423" s="167"/>
      <c r="E5423" s="167"/>
      <c r="F5423" s="168"/>
    </row>
    <row r="5424" spans="1:6" x14ac:dyDescent="0.2">
      <c r="A5424" s="163"/>
      <c r="B5424" s="164"/>
      <c r="C5424" s="164"/>
      <c r="D5424" s="164"/>
      <c r="E5424" s="164"/>
      <c r="F5424" s="165"/>
    </row>
    <row r="5425" spans="1:6" x14ac:dyDescent="0.2">
      <c r="A5425" s="166"/>
      <c r="B5425" s="167"/>
      <c r="C5425" s="167"/>
      <c r="D5425" s="167"/>
      <c r="E5425" s="167"/>
      <c r="F5425" s="168"/>
    </row>
    <row r="5426" spans="1:6" x14ac:dyDescent="0.2">
      <c r="A5426" s="163"/>
      <c r="B5426" s="164"/>
      <c r="C5426" s="164"/>
      <c r="D5426" s="164"/>
      <c r="E5426" s="164"/>
      <c r="F5426" s="165"/>
    </row>
    <row r="5427" spans="1:6" x14ac:dyDescent="0.2">
      <c r="A5427" s="166"/>
      <c r="B5427" s="167"/>
      <c r="C5427" s="167"/>
      <c r="D5427" s="167"/>
      <c r="E5427" s="167"/>
      <c r="F5427" s="168"/>
    </row>
    <row r="5428" spans="1:6" x14ac:dyDescent="0.2">
      <c r="A5428" s="163"/>
      <c r="B5428" s="164"/>
      <c r="C5428" s="164"/>
      <c r="D5428" s="164"/>
      <c r="E5428" s="164"/>
      <c r="F5428" s="165"/>
    </row>
    <row r="5429" spans="1:6" x14ac:dyDescent="0.2">
      <c r="A5429" s="166"/>
      <c r="B5429" s="167"/>
      <c r="C5429" s="167"/>
      <c r="D5429" s="167"/>
      <c r="E5429" s="167"/>
      <c r="F5429" s="168"/>
    </row>
    <row r="5430" spans="1:6" x14ac:dyDescent="0.2">
      <c r="A5430" s="163"/>
      <c r="B5430" s="164"/>
      <c r="C5430" s="164"/>
      <c r="D5430" s="164"/>
      <c r="E5430" s="164"/>
      <c r="F5430" s="165"/>
    </row>
    <row r="5431" spans="1:6" x14ac:dyDescent="0.2">
      <c r="A5431" s="166"/>
      <c r="B5431" s="167"/>
      <c r="C5431" s="167"/>
      <c r="D5431" s="167"/>
      <c r="E5431" s="167"/>
      <c r="F5431" s="168"/>
    </row>
    <row r="5432" spans="1:6" x14ac:dyDescent="0.2">
      <c r="A5432" s="163"/>
      <c r="B5432" s="164"/>
      <c r="C5432" s="164"/>
      <c r="D5432" s="164"/>
      <c r="E5432" s="164"/>
      <c r="F5432" s="165"/>
    </row>
    <row r="5433" spans="1:6" x14ac:dyDescent="0.2">
      <c r="A5433" s="166"/>
      <c r="B5433" s="167"/>
      <c r="C5433" s="167"/>
      <c r="D5433" s="167"/>
      <c r="E5433" s="167"/>
      <c r="F5433" s="168"/>
    </row>
    <row r="5434" spans="1:6" x14ac:dyDescent="0.2">
      <c r="A5434" s="163"/>
      <c r="B5434" s="164"/>
      <c r="C5434" s="164"/>
      <c r="D5434" s="164"/>
      <c r="E5434" s="164"/>
      <c r="F5434" s="165"/>
    </row>
    <row r="5435" spans="1:6" x14ac:dyDescent="0.2">
      <c r="A5435" s="166"/>
      <c r="B5435" s="167"/>
      <c r="C5435" s="167"/>
      <c r="D5435" s="167"/>
      <c r="E5435" s="167"/>
      <c r="F5435" s="168"/>
    </row>
    <row r="5436" spans="1:6" x14ac:dyDescent="0.2">
      <c r="A5436" s="163"/>
      <c r="B5436" s="164"/>
      <c r="C5436" s="164"/>
      <c r="D5436" s="164"/>
      <c r="E5436" s="164"/>
      <c r="F5436" s="165"/>
    </row>
    <row r="5437" spans="1:6" x14ac:dyDescent="0.2">
      <c r="A5437" s="166"/>
      <c r="B5437" s="167"/>
      <c r="C5437" s="167"/>
      <c r="D5437" s="167"/>
      <c r="E5437" s="167"/>
      <c r="F5437" s="168"/>
    </row>
    <row r="5438" spans="1:6" x14ac:dyDescent="0.2">
      <c r="A5438" s="163"/>
      <c r="B5438" s="164"/>
      <c r="C5438" s="164"/>
      <c r="D5438" s="164"/>
      <c r="E5438" s="164"/>
      <c r="F5438" s="165"/>
    </row>
    <row r="5439" spans="1:6" x14ac:dyDescent="0.2">
      <c r="A5439" s="166"/>
      <c r="B5439" s="167"/>
      <c r="C5439" s="167"/>
      <c r="D5439" s="167"/>
      <c r="E5439" s="167"/>
      <c r="F5439" s="168"/>
    </row>
    <row r="5440" spans="1:6" x14ac:dyDescent="0.2">
      <c r="A5440" s="163"/>
      <c r="B5440" s="164"/>
      <c r="C5440" s="164"/>
      <c r="D5440" s="164"/>
      <c r="E5440" s="164"/>
      <c r="F5440" s="165"/>
    </row>
    <row r="5441" spans="1:6" x14ac:dyDescent="0.2">
      <c r="A5441" s="166"/>
      <c r="B5441" s="167"/>
      <c r="C5441" s="167"/>
      <c r="D5441" s="167"/>
      <c r="E5441" s="167"/>
      <c r="F5441" s="168"/>
    </row>
    <row r="5442" spans="1:6" x14ac:dyDescent="0.2">
      <c r="A5442" s="163"/>
      <c r="B5442" s="164"/>
      <c r="C5442" s="164"/>
      <c r="D5442" s="164"/>
      <c r="E5442" s="164"/>
      <c r="F5442" s="165"/>
    </row>
    <row r="5443" spans="1:6" x14ac:dyDescent="0.2">
      <c r="A5443" s="166"/>
      <c r="B5443" s="167"/>
      <c r="C5443" s="167"/>
      <c r="D5443" s="167"/>
      <c r="E5443" s="167"/>
      <c r="F5443" s="168"/>
    </row>
    <row r="5444" spans="1:6" x14ac:dyDescent="0.2">
      <c r="A5444" s="163"/>
      <c r="B5444" s="164"/>
      <c r="C5444" s="164"/>
      <c r="D5444" s="164"/>
      <c r="E5444" s="164"/>
      <c r="F5444" s="165"/>
    </row>
    <row r="5445" spans="1:6" x14ac:dyDescent="0.2">
      <c r="A5445" s="166"/>
      <c r="B5445" s="167"/>
      <c r="C5445" s="167"/>
      <c r="D5445" s="167"/>
      <c r="E5445" s="167"/>
      <c r="F5445" s="168"/>
    </row>
    <row r="5446" spans="1:6" x14ac:dyDescent="0.2">
      <c r="A5446" s="163"/>
      <c r="B5446" s="164"/>
      <c r="C5446" s="164"/>
      <c r="D5446" s="164"/>
      <c r="E5446" s="164"/>
      <c r="F5446" s="165"/>
    </row>
    <row r="5447" spans="1:6" x14ac:dyDescent="0.2">
      <c r="A5447" s="166"/>
      <c r="B5447" s="167"/>
      <c r="C5447" s="167"/>
      <c r="D5447" s="167"/>
      <c r="E5447" s="167"/>
      <c r="F5447" s="168"/>
    </row>
    <row r="5448" spans="1:6" x14ac:dyDescent="0.2">
      <c r="A5448" s="163"/>
      <c r="B5448" s="164"/>
      <c r="C5448" s="164"/>
      <c r="D5448" s="164"/>
      <c r="E5448" s="164"/>
      <c r="F5448" s="165"/>
    </row>
    <row r="5449" spans="1:6" x14ac:dyDescent="0.2">
      <c r="A5449" s="166"/>
      <c r="B5449" s="167"/>
      <c r="C5449" s="167"/>
      <c r="D5449" s="167"/>
      <c r="E5449" s="167"/>
      <c r="F5449" s="168"/>
    </row>
    <row r="5450" spans="1:6" x14ac:dyDescent="0.2">
      <c r="A5450" s="163"/>
      <c r="B5450" s="164"/>
      <c r="C5450" s="164"/>
      <c r="D5450" s="164"/>
      <c r="E5450" s="164"/>
      <c r="F5450" s="165"/>
    </row>
    <row r="5451" spans="1:6" x14ac:dyDescent="0.2">
      <c r="A5451" s="166"/>
      <c r="B5451" s="167"/>
      <c r="C5451" s="167"/>
      <c r="D5451" s="167"/>
      <c r="E5451" s="167"/>
      <c r="F5451" s="168"/>
    </row>
    <row r="5452" spans="1:6" x14ac:dyDescent="0.2">
      <c r="A5452" s="163"/>
      <c r="B5452" s="164"/>
      <c r="C5452" s="164"/>
      <c r="D5452" s="164"/>
      <c r="E5452" s="164"/>
      <c r="F5452" s="165"/>
    </row>
    <row r="5453" spans="1:6" x14ac:dyDescent="0.2">
      <c r="A5453" s="166"/>
      <c r="B5453" s="167"/>
      <c r="C5453" s="167"/>
      <c r="D5453" s="167"/>
      <c r="E5453" s="167"/>
      <c r="F5453" s="168"/>
    </row>
    <row r="5454" spans="1:6" x14ac:dyDescent="0.2">
      <c r="A5454" s="163"/>
      <c r="B5454" s="164"/>
      <c r="C5454" s="164"/>
      <c r="D5454" s="164"/>
      <c r="E5454" s="164"/>
      <c r="F5454" s="165"/>
    </row>
    <row r="5455" spans="1:6" x14ac:dyDescent="0.2">
      <c r="A5455" s="166"/>
      <c r="B5455" s="167"/>
      <c r="C5455" s="167"/>
      <c r="D5455" s="167"/>
      <c r="E5455" s="167"/>
      <c r="F5455" s="168"/>
    </row>
    <row r="5456" spans="1:6" x14ac:dyDescent="0.2">
      <c r="A5456" s="163"/>
      <c r="B5456" s="164"/>
      <c r="C5456" s="164"/>
      <c r="D5456" s="164"/>
      <c r="E5456" s="164"/>
      <c r="F5456" s="165"/>
    </row>
    <row r="5457" spans="1:6" x14ac:dyDescent="0.2">
      <c r="A5457" s="166"/>
      <c r="B5457" s="167"/>
      <c r="C5457" s="167"/>
      <c r="D5457" s="167"/>
      <c r="E5457" s="167"/>
      <c r="F5457" s="168"/>
    </row>
    <row r="5458" spans="1:6" x14ac:dyDescent="0.2">
      <c r="A5458" s="163"/>
      <c r="B5458" s="164"/>
      <c r="C5458" s="164"/>
      <c r="D5458" s="164"/>
      <c r="E5458" s="164"/>
      <c r="F5458" s="165"/>
    </row>
    <row r="5459" spans="1:6" x14ac:dyDescent="0.2">
      <c r="A5459" s="166"/>
      <c r="B5459" s="167"/>
      <c r="C5459" s="167"/>
      <c r="D5459" s="167"/>
      <c r="E5459" s="167"/>
      <c r="F5459" s="168"/>
    </row>
    <row r="5460" spans="1:6" x14ac:dyDescent="0.2">
      <c r="A5460" s="163"/>
      <c r="B5460" s="164"/>
      <c r="C5460" s="164"/>
      <c r="D5460" s="164"/>
      <c r="E5460" s="164"/>
      <c r="F5460" s="165"/>
    </row>
    <row r="5461" spans="1:6" x14ac:dyDescent="0.2">
      <c r="A5461" s="166"/>
      <c r="B5461" s="167"/>
      <c r="C5461" s="167"/>
      <c r="D5461" s="167"/>
      <c r="E5461" s="167"/>
      <c r="F5461" s="168"/>
    </row>
    <row r="5462" spans="1:6" x14ac:dyDescent="0.2">
      <c r="A5462" s="163"/>
      <c r="B5462" s="164"/>
      <c r="C5462" s="164"/>
      <c r="D5462" s="164"/>
      <c r="E5462" s="164"/>
      <c r="F5462" s="165"/>
    </row>
    <row r="5463" spans="1:6" x14ac:dyDescent="0.2">
      <c r="A5463" s="166"/>
      <c r="B5463" s="167"/>
      <c r="C5463" s="167"/>
      <c r="D5463" s="167"/>
      <c r="E5463" s="167"/>
      <c r="F5463" s="168"/>
    </row>
    <row r="5464" spans="1:6" x14ac:dyDescent="0.2">
      <c r="A5464" s="163"/>
      <c r="B5464" s="164"/>
      <c r="C5464" s="164"/>
      <c r="D5464" s="164"/>
      <c r="E5464" s="164"/>
      <c r="F5464" s="165"/>
    </row>
    <row r="5465" spans="1:6" x14ac:dyDescent="0.2">
      <c r="A5465" s="166"/>
      <c r="B5465" s="167"/>
      <c r="C5465" s="167"/>
      <c r="D5465" s="167"/>
      <c r="E5465" s="167"/>
      <c r="F5465" s="168"/>
    </row>
    <row r="5466" spans="1:6" x14ac:dyDescent="0.2">
      <c r="A5466" s="163"/>
      <c r="B5466" s="164"/>
      <c r="C5466" s="164"/>
      <c r="D5466" s="164"/>
      <c r="E5466" s="164"/>
      <c r="F5466" s="165"/>
    </row>
    <row r="5467" spans="1:6" x14ac:dyDescent="0.2">
      <c r="A5467" s="166"/>
      <c r="B5467" s="167"/>
      <c r="C5467" s="167"/>
      <c r="D5467" s="167"/>
      <c r="E5467" s="167"/>
      <c r="F5467" s="168"/>
    </row>
    <row r="5468" spans="1:6" x14ac:dyDescent="0.2">
      <c r="A5468" s="163"/>
      <c r="B5468" s="164"/>
      <c r="C5468" s="164"/>
      <c r="D5468" s="164"/>
      <c r="E5468" s="164"/>
      <c r="F5468" s="165"/>
    </row>
    <row r="5469" spans="1:6" x14ac:dyDescent="0.2">
      <c r="A5469" s="166"/>
      <c r="B5469" s="167"/>
      <c r="C5469" s="167"/>
      <c r="D5469" s="167"/>
      <c r="E5469" s="167"/>
      <c r="F5469" s="168"/>
    </row>
    <row r="5470" spans="1:6" x14ac:dyDescent="0.2">
      <c r="A5470" s="163"/>
      <c r="B5470" s="164"/>
      <c r="C5470" s="164"/>
      <c r="D5470" s="164"/>
      <c r="E5470" s="164"/>
      <c r="F5470" s="165"/>
    </row>
    <row r="5471" spans="1:6" x14ac:dyDescent="0.2">
      <c r="A5471" s="166"/>
      <c r="B5471" s="167"/>
      <c r="C5471" s="167"/>
      <c r="D5471" s="167"/>
      <c r="E5471" s="167"/>
      <c r="F5471" s="168"/>
    </row>
    <row r="5472" spans="1:6" x14ac:dyDescent="0.2">
      <c r="A5472" s="163"/>
      <c r="B5472" s="164"/>
      <c r="C5472" s="164"/>
      <c r="D5472" s="164"/>
      <c r="E5472" s="164"/>
      <c r="F5472" s="165"/>
    </row>
    <row r="5473" spans="1:6" x14ac:dyDescent="0.2">
      <c r="A5473" s="166"/>
      <c r="B5473" s="167"/>
      <c r="C5473" s="167"/>
      <c r="D5473" s="167"/>
      <c r="E5473" s="167"/>
      <c r="F5473" s="168"/>
    </row>
    <row r="5474" spans="1:6" x14ac:dyDescent="0.2">
      <c r="A5474" s="163"/>
      <c r="B5474" s="164"/>
      <c r="C5474" s="164"/>
      <c r="D5474" s="164"/>
      <c r="E5474" s="164"/>
      <c r="F5474" s="165"/>
    </row>
    <row r="5475" spans="1:6" x14ac:dyDescent="0.2">
      <c r="A5475" s="166"/>
      <c r="B5475" s="167"/>
      <c r="C5475" s="167"/>
      <c r="D5475" s="167"/>
      <c r="E5475" s="167"/>
      <c r="F5475" s="168"/>
    </row>
    <row r="5476" spans="1:6" x14ac:dyDescent="0.2">
      <c r="A5476" s="163"/>
      <c r="B5476" s="164"/>
      <c r="C5476" s="164"/>
      <c r="D5476" s="164"/>
      <c r="E5476" s="164"/>
      <c r="F5476" s="165"/>
    </row>
    <row r="5477" spans="1:6" x14ac:dyDescent="0.2">
      <c r="A5477" s="166"/>
      <c r="B5477" s="167"/>
      <c r="C5477" s="167"/>
      <c r="D5477" s="167"/>
      <c r="E5477" s="167"/>
      <c r="F5477" s="168"/>
    </row>
    <row r="5478" spans="1:6" x14ac:dyDescent="0.2">
      <c r="A5478" s="163"/>
      <c r="B5478" s="164"/>
      <c r="C5478" s="164"/>
      <c r="D5478" s="164"/>
      <c r="E5478" s="164"/>
      <c r="F5478" s="165"/>
    </row>
    <row r="5479" spans="1:6" x14ac:dyDescent="0.2">
      <c r="A5479" s="166"/>
      <c r="B5479" s="167"/>
      <c r="C5479" s="167"/>
      <c r="D5479" s="167"/>
      <c r="E5479" s="167"/>
      <c r="F5479" s="168"/>
    </row>
    <row r="5480" spans="1:6" x14ac:dyDescent="0.2">
      <c r="A5480" s="163"/>
      <c r="B5480" s="164"/>
      <c r="C5480" s="164"/>
      <c r="D5480" s="164"/>
      <c r="E5480" s="164"/>
      <c r="F5480" s="165"/>
    </row>
    <row r="5481" spans="1:6" x14ac:dyDescent="0.2">
      <c r="A5481" s="166"/>
      <c r="B5481" s="167"/>
      <c r="C5481" s="167"/>
      <c r="D5481" s="167"/>
      <c r="E5481" s="167"/>
      <c r="F5481" s="168"/>
    </row>
    <row r="5482" spans="1:6" x14ac:dyDescent="0.2">
      <c r="A5482" s="163"/>
      <c r="B5482" s="164"/>
      <c r="C5482" s="164"/>
      <c r="D5482" s="164"/>
      <c r="E5482" s="164"/>
      <c r="F5482" s="165"/>
    </row>
    <row r="5483" spans="1:6" x14ac:dyDescent="0.2">
      <c r="A5483" s="166"/>
      <c r="B5483" s="167"/>
      <c r="C5483" s="167"/>
      <c r="D5483" s="167"/>
      <c r="E5483" s="167"/>
      <c r="F5483" s="168"/>
    </row>
    <row r="5484" spans="1:6" x14ac:dyDescent="0.2">
      <c r="A5484" s="163"/>
      <c r="B5484" s="164"/>
      <c r="C5484" s="164"/>
      <c r="D5484" s="164"/>
      <c r="E5484" s="164"/>
      <c r="F5484" s="165"/>
    </row>
    <row r="5485" spans="1:6" x14ac:dyDescent="0.2">
      <c r="A5485" s="166"/>
      <c r="B5485" s="167"/>
      <c r="C5485" s="167"/>
      <c r="D5485" s="167"/>
      <c r="E5485" s="167"/>
      <c r="F5485" s="168"/>
    </row>
    <row r="5486" spans="1:6" x14ac:dyDescent="0.2">
      <c r="A5486" s="163"/>
      <c r="B5486" s="164"/>
      <c r="C5486" s="164"/>
      <c r="D5486" s="164"/>
      <c r="E5486" s="164"/>
      <c r="F5486" s="165"/>
    </row>
    <row r="5487" spans="1:6" x14ac:dyDescent="0.2">
      <c r="A5487" s="166"/>
      <c r="B5487" s="167"/>
      <c r="C5487" s="167"/>
      <c r="D5487" s="167"/>
      <c r="E5487" s="167"/>
      <c r="F5487" s="168"/>
    </row>
    <row r="5488" spans="1:6" x14ac:dyDescent="0.2">
      <c r="A5488" s="163"/>
      <c r="B5488" s="164"/>
      <c r="C5488" s="164"/>
      <c r="D5488" s="164"/>
      <c r="E5488" s="164"/>
      <c r="F5488" s="165"/>
    </row>
    <row r="5489" spans="1:6" x14ac:dyDescent="0.2">
      <c r="A5489" s="166"/>
      <c r="B5489" s="167"/>
      <c r="C5489" s="167"/>
      <c r="D5489" s="167"/>
      <c r="E5489" s="167"/>
      <c r="F5489" s="168"/>
    </row>
    <row r="5490" spans="1:6" x14ac:dyDescent="0.2">
      <c r="A5490" s="163"/>
      <c r="B5490" s="164"/>
      <c r="C5490" s="164"/>
      <c r="D5490" s="164"/>
      <c r="E5490" s="164"/>
      <c r="F5490" s="165"/>
    </row>
    <row r="5491" spans="1:6" x14ac:dyDescent="0.2">
      <c r="A5491" s="166"/>
      <c r="B5491" s="167"/>
      <c r="C5491" s="167"/>
      <c r="D5491" s="167"/>
      <c r="E5491" s="167"/>
      <c r="F5491" s="168"/>
    </row>
    <row r="5492" spans="1:6" x14ac:dyDescent="0.2">
      <c r="A5492" s="163"/>
      <c r="B5492" s="164"/>
      <c r="C5492" s="164"/>
      <c r="D5492" s="164"/>
      <c r="E5492" s="164"/>
      <c r="F5492" s="165"/>
    </row>
    <row r="5493" spans="1:6" x14ac:dyDescent="0.2">
      <c r="A5493" s="166"/>
      <c r="B5493" s="167"/>
      <c r="C5493" s="167"/>
      <c r="D5493" s="167"/>
      <c r="E5493" s="167"/>
      <c r="F5493" s="168"/>
    </row>
    <row r="5494" spans="1:6" x14ac:dyDescent="0.2">
      <c r="A5494" s="163"/>
      <c r="B5494" s="164"/>
      <c r="C5494" s="164"/>
      <c r="D5494" s="164"/>
      <c r="E5494" s="164"/>
      <c r="F5494" s="165"/>
    </row>
    <row r="5495" spans="1:6" x14ac:dyDescent="0.2">
      <c r="A5495" s="166"/>
      <c r="B5495" s="167"/>
      <c r="C5495" s="167"/>
      <c r="D5495" s="167"/>
      <c r="E5495" s="167"/>
      <c r="F5495" s="168"/>
    </row>
    <row r="5496" spans="1:6" x14ac:dyDescent="0.2">
      <c r="A5496" s="163"/>
      <c r="B5496" s="164"/>
      <c r="C5496" s="164"/>
      <c r="D5496" s="164"/>
      <c r="E5496" s="164"/>
      <c r="F5496" s="165"/>
    </row>
    <row r="5497" spans="1:6" x14ac:dyDescent="0.2">
      <c r="A5497" s="166"/>
      <c r="B5497" s="167"/>
      <c r="C5497" s="167"/>
      <c r="D5497" s="167"/>
      <c r="E5497" s="167"/>
      <c r="F5497" s="168"/>
    </row>
    <row r="5498" spans="1:6" x14ac:dyDescent="0.2">
      <c r="A5498" s="163"/>
      <c r="B5498" s="164"/>
      <c r="C5498" s="164"/>
      <c r="D5498" s="164"/>
      <c r="E5498" s="164"/>
      <c r="F5498" s="165"/>
    </row>
    <row r="5499" spans="1:6" x14ac:dyDescent="0.2">
      <c r="A5499" s="166"/>
      <c r="B5499" s="167"/>
      <c r="C5499" s="167"/>
      <c r="D5499" s="167"/>
      <c r="E5499" s="167"/>
      <c r="F5499" s="168"/>
    </row>
    <row r="5500" spans="1:6" x14ac:dyDescent="0.2">
      <c r="A5500" s="163"/>
      <c r="B5500" s="164"/>
      <c r="C5500" s="164"/>
      <c r="D5500" s="164"/>
      <c r="E5500" s="164"/>
      <c r="F5500" s="165"/>
    </row>
    <row r="5501" spans="1:6" x14ac:dyDescent="0.2">
      <c r="A5501" s="166"/>
      <c r="B5501" s="167"/>
      <c r="C5501" s="167"/>
      <c r="D5501" s="167"/>
      <c r="E5501" s="167"/>
      <c r="F5501" s="168"/>
    </row>
    <row r="5502" spans="1:6" x14ac:dyDescent="0.2">
      <c r="A5502" s="163"/>
      <c r="B5502" s="164"/>
      <c r="C5502" s="164"/>
      <c r="D5502" s="164"/>
      <c r="E5502" s="164"/>
      <c r="F5502" s="165"/>
    </row>
    <row r="5503" spans="1:6" x14ac:dyDescent="0.2">
      <c r="A5503" s="166"/>
      <c r="B5503" s="167"/>
      <c r="C5503" s="167"/>
      <c r="D5503" s="167"/>
      <c r="E5503" s="167"/>
      <c r="F5503" s="168"/>
    </row>
    <row r="5504" spans="1:6" x14ac:dyDescent="0.2">
      <c r="A5504" s="163"/>
      <c r="B5504" s="164"/>
      <c r="C5504" s="164"/>
      <c r="D5504" s="164"/>
      <c r="E5504" s="164"/>
      <c r="F5504" s="165"/>
    </row>
    <row r="5505" spans="1:6" x14ac:dyDescent="0.2">
      <c r="A5505" s="166"/>
      <c r="B5505" s="167"/>
      <c r="C5505" s="167"/>
      <c r="D5505" s="167"/>
      <c r="E5505" s="167"/>
      <c r="F5505" s="168"/>
    </row>
    <row r="5506" spans="1:6" x14ac:dyDescent="0.2">
      <c r="A5506" s="163"/>
      <c r="B5506" s="164"/>
      <c r="C5506" s="164"/>
      <c r="D5506" s="164"/>
      <c r="E5506" s="164"/>
      <c r="F5506" s="165"/>
    </row>
    <row r="5507" spans="1:6" x14ac:dyDescent="0.2">
      <c r="A5507" s="166"/>
      <c r="B5507" s="167"/>
      <c r="C5507" s="167"/>
      <c r="D5507" s="167"/>
      <c r="E5507" s="167"/>
      <c r="F5507" s="168"/>
    </row>
    <row r="5508" spans="1:6" x14ac:dyDescent="0.2">
      <c r="A5508" s="163"/>
      <c r="B5508" s="164"/>
      <c r="C5508" s="164"/>
      <c r="D5508" s="164"/>
      <c r="E5508" s="164"/>
      <c r="F5508" s="165"/>
    </row>
    <row r="5509" spans="1:6" x14ac:dyDescent="0.2">
      <c r="A5509" s="166"/>
      <c r="B5509" s="167"/>
      <c r="C5509" s="167"/>
      <c r="D5509" s="167"/>
      <c r="E5509" s="167"/>
      <c r="F5509" s="168"/>
    </row>
    <row r="5510" spans="1:6" x14ac:dyDescent="0.2">
      <c r="A5510" s="163"/>
      <c r="B5510" s="164"/>
      <c r="C5510" s="164"/>
      <c r="D5510" s="164"/>
      <c r="E5510" s="164"/>
      <c r="F5510" s="165"/>
    </row>
    <row r="5511" spans="1:6" x14ac:dyDescent="0.2">
      <c r="A5511" s="166"/>
      <c r="B5511" s="167"/>
      <c r="C5511" s="167"/>
      <c r="D5511" s="167"/>
      <c r="E5511" s="167"/>
      <c r="F5511" s="168"/>
    </row>
    <row r="5512" spans="1:6" x14ac:dyDescent="0.2">
      <c r="A5512" s="163"/>
      <c r="B5512" s="164"/>
      <c r="C5512" s="164"/>
      <c r="D5512" s="164"/>
      <c r="E5512" s="164"/>
      <c r="F5512" s="165"/>
    </row>
    <row r="5513" spans="1:6" x14ac:dyDescent="0.2">
      <c r="A5513" s="166"/>
      <c r="B5513" s="167"/>
      <c r="C5513" s="167"/>
      <c r="D5513" s="167"/>
      <c r="E5513" s="167"/>
      <c r="F5513" s="168"/>
    </row>
    <row r="5514" spans="1:6" x14ac:dyDescent="0.2">
      <c r="A5514" s="163"/>
      <c r="B5514" s="164"/>
      <c r="C5514" s="164"/>
      <c r="D5514" s="164"/>
      <c r="E5514" s="164"/>
      <c r="F5514" s="165"/>
    </row>
    <row r="5515" spans="1:6" x14ac:dyDescent="0.2">
      <c r="A5515" s="166"/>
      <c r="B5515" s="167"/>
      <c r="C5515" s="167"/>
      <c r="D5515" s="167"/>
      <c r="E5515" s="167"/>
      <c r="F5515" s="168"/>
    </row>
    <row r="5516" spans="1:6" x14ac:dyDescent="0.2">
      <c r="A5516" s="163"/>
      <c r="B5516" s="164"/>
      <c r="C5516" s="164"/>
      <c r="D5516" s="164"/>
      <c r="E5516" s="164"/>
      <c r="F5516" s="165"/>
    </row>
    <row r="5517" spans="1:6" x14ac:dyDescent="0.2">
      <c r="A5517" s="166"/>
      <c r="B5517" s="167"/>
      <c r="C5517" s="167"/>
      <c r="D5517" s="167"/>
      <c r="E5517" s="167"/>
      <c r="F5517" s="168"/>
    </row>
    <row r="5518" spans="1:6" x14ac:dyDescent="0.2">
      <c r="A5518" s="163"/>
      <c r="B5518" s="164"/>
      <c r="C5518" s="164"/>
      <c r="D5518" s="164"/>
      <c r="E5518" s="164"/>
      <c r="F5518" s="165"/>
    </row>
    <row r="5519" spans="1:6" x14ac:dyDescent="0.2">
      <c r="A5519" s="166"/>
      <c r="B5519" s="167"/>
      <c r="C5519" s="167"/>
      <c r="D5519" s="167"/>
      <c r="E5519" s="167"/>
      <c r="F5519" s="168"/>
    </row>
    <row r="5520" spans="1:6" x14ac:dyDescent="0.2">
      <c r="A5520" s="163"/>
      <c r="B5520" s="164"/>
      <c r="C5520" s="164"/>
      <c r="D5520" s="164"/>
      <c r="E5520" s="164"/>
      <c r="F5520" s="165"/>
    </row>
    <row r="5521" spans="1:6" x14ac:dyDescent="0.2">
      <c r="A5521" s="166"/>
      <c r="B5521" s="167"/>
      <c r="C5521" s="167"/>
      <c r="D5521" s="167"/>
      <c r="E5521" s="167"/>
      <c r="F5521" s="168"/>
    </row>
    <row r="5522" spans="1:6" x14ac:dyDescent="0.2">
      <c r="A5522" s="163"/>
      <c r="B5522" s="164"/>
      <c r="C5522" s="164"/>
      <c r="D5522" s="164"/>
      <c r="E5522" s="164"/>
      <c r="F5522" s="165"/>
    </row>
    <row r="5523" spans="1:6" x14ac:dyDescent="0.2">
      <c r="A5523" s="166"/>
      <c r="B5523" s="167"/>
      <c r="C5523" s="167"/>
      <c r="D5523" s="167"/>
      <c r="E5523" s="167"/>
      <c r="F5523" s="168"/>
    </row>
    <row r="5524" spans="1:6" x14ac:dyDescent="0.2">
      <c r="A5524" s="163"/>
      <c r="B5524" s="164"/>
      <c r="C5524" s="164"/>
      <c r="D5524" s="164"/>
      <c r="E5524" s="164"/>
      <c r="F5524" s="165"/>
    </row>
    <row r="5525" spans="1:6" x14ac:dyDescent="0.2">
      <c r="A5525" s="166"/>
      <c r="B5525" s="167"/>
      <c r="C5525" s="167"/>
      <c r="D5525" s="167"/>
      <c r="E5525" s="167"/>
      <c r="F5525" s="168"/>
    </row>
    <row r="5526" spans="1:6" x14ac:dyDescent="0.2">
      <c r="A5526" s="163"/>
      <c r="B5526" s="164"/>
      <c r="C5526" s="164"/>
      <c r="D5526" s="164"/>
      <c r="E5526" s="164"/>
      <c r="F5526" s="165"/>
    </row>
    <row r="5527" spans="1:6" x14ac:dyDescent="0.2">
      <c r="A5527" s="166"/>
      <c r="B5527" s="167"/>
      <c r="C5527" s="167"/>
      <c r="D5527" s="167"/>
      <c r="E5527" s="167"/>
      <c r="F5527" s="168"/>
    </row>
    <row r="5528" spans="1:6" x14ac:dyDescent="0.2">
      <c r="A5528" s="163"/>
      <c r="B5528" s="164"/>
      <c r="C5528" s="164"/>
      <c r="D5528" s="164"/>
      <c r="E5528" s="164"/>
      <c r="F5528" s="165"/>
    </row>
    <row r="5529" spans="1:6" x14ac:dyDescent="0.2">
      <c r="A5529" s="166"/>
      <c r="B5529" s="167"/>
      <c r="C5529" s="167"/>
      <c r="D5529" s="167"/>
      <c r="E5529" s="167"/>
      <c r="F5529" s="168"/>
    </row>
    <row r="5530" spans="1:6" x14ac:dyDescent="0.2">
      <c r="A5530" s="163"/>
      <c r="B5530" s="164"/>
      <c r="C5530" s="164"/>
      <c r="D5530" s="164"/>
      <c r="E5530" s="164"/>
      <c r="F5530" s="165"/>
    </row>
    <row r="5531" spans="1:6" x14ac:dyDescent="0.2">
      <c r="A5531" s="166"/>
      <c r="B5531" s="167"/>
      <c r="C5531" s="167"/>
      <c r="D5531" s="167"/>
      <c r="E5531" s="167"/>
      <c r="F5531" s="168"/>
    </row>
    <row r="5532" spans="1:6" x14ac:dyDescent="0.2">
      <c r="A5532" s="163"/>
      <c r="B5532" s="164"/>
      <c r="C5532" s="164"/>
      <c r="D5532" s="164"/>
      <c r="E5532" s="164"/>
      <c r="F5532" s="165"/>
    </row>
    <row r="5533" spans="1:6" x14ac:dyDescent="0.2">
      <c r="A5533" s="166"/>
      <c r="B5533" s="167"/>
      <c r="C5533" s="167"/>
      <c r="D5533" s="167"/>
      <c r="E5533" s="167"/>
      <c r="F5533" s="168"/>
    </row>
    <row r="5534" spans="1:6" x14ac:dyDescent="0.2">
      <c r="A5534" s="163"/>
      <c r="B5534" s="164"/>
      <c r="C5534" s="164"/>
      <c r="D5534" s="164"/>
      <c r="E5534" s="164"/>
      <c r="F5534" s="165"/>
    </row>
    <row r="5535" spans="1:6" x14ac:dyDescent="0.2">
      <c r="A5535" s="166"/>
      <c r="B5535" s="167"/>
      <c r="C5535" s="167"/>
      <c r="D5535" s="167"/>
      <c r="E5535" s="167"/>
      <c r="F5535" s="168"/>
    </row>
    <row r="5536" spans="1:6" x14ac:dyDescent="0.2">
      <c r="A5536" s="163"/>
      <c r="B5536" s="164"/>
      <c r="C5536" s="164"/>
      <c r="D5536" s="164"/>
      <c r="E5536" s="164"/>
      <c r="F5536" s="165"/>
    </row>
    <row r="5537" spans="1:6" x14ac:dyDescent="0.2">
      <c r="A5537" s="166"/>
      <c r="B5537" s="167"/>
      <c r="C5537" s="167"/>
      <c r="D5537" s="167"/>
      <c r="E5537" s="167"/>
      <c r="F5537" s="168"/>
    </row>
    <row r="5538" spans="1:6" x14ac:dyDescent="0.2">
      <c r="A5538" s="163"/>
      <c r="B5538" s="164"/>
      <c r="C5538" s="164"/>
      <c r="D5538" s="164"/>
      <c r="E5538" s="164"/>
      <c r="F5538" s="165"/>
    </row>
    <row r="5539" spans="1:6" x14ac:dyDescent="0.2">
      <c r="A5539" s="166"/>
      <c r="B5539" s="167"/>
      <c r="C5539" s="167"/>
      <c r="D5539" s="167"/>
      <c r="E5539" s="167"/>
      <c r="F5539" s="168"/>
    </row>
    <row r="5540" spans="1:6" x14ac:dyDescent="0.2">
      <c r="A5540" s="163"/>
      <c r="B5540" s="164"/>
      <c r="C5540" s="164"/>
      <c r="D5540" s="164"/>
      <c r="E5540" s="164"/>
      <c r="F5540" s="165"/>
    </row>
    <row r="5541" spans="1:6" x14ac:dyDescent="0.2">
      <c r="A5541" s="166"/>
      <c r="B5541" s="167"/>
      <c r="C5541" s="167"/>
      <c r="D5541" s="167"/>
      <c r="E5541" s="167"/>
      <c r="F5541" s="168"/>
    </row>
    <row r="5542" spans="1:6" x14ac:dyDescent="0.2">
      <c r="A5542" s="163"/>
      <c r="B5542" s="164"/>
      <c r="C5542" s="164"/>
      <c r="D5542" s="164"/>
      <c r="E5542" s="164"/>
      <c r="F5542" s="165"/>
    </row>
    <row r="5543" spans="1:6" x14ac:dyDescent="0.2">
      <c r="A5543" s="166"/>
      <c r="B5543" s="167"/>
      <c r="C5543" s="167"/>
      <c r="D5543" s="167"/>
      <c r="E5543" s="167"/>
      <c r="F5543" s="168"/>
    </row>
    <row r="5544" spans="1:6" x14ac:dyDescent="0.2">
      <c r="A5544" s="163"/>
      <c r="B5544" s="164"/>
      <c r="C5544" s="164"/>
      <c r="D5544" s="164"/>
      <c r="E5544" s="164"/>
      <c r="F5544" s="165"/>
    </row>
    <row r="5545" spans="1:6" x14ac:dyDescent="0.2">
      <c r="A5545" s="166"/>
      <c r="B5545" s="167"/>
      <c r="C5545" s="167"/>
      <c r="D5545" s="167"/>
      <c r="E5545" s="167"/>
      <c r="F5545" s="168"/>
    </row>
    <row r="5546" spans="1:6" x14ac:dyDescent="0.2">
      <c r="A5546" s="163"/>
      <c r="B5546" s="164"/>
      <c r="C5546" s="164"/>
      <c r="D5546" s="164"/>
      <c r="E5546" s="164"/>
      <c r="F5546" s="165"/>
    </row>
    <row r="5547" spans="1:6" x14ac:dyDescent="0.2">
      <c r="A5547" s="166"/>
      <c r="B5547" s="167"/>
      <c r="C5547" s="167"/>
      <c r="D5547" s="167"/>
      <c r="E5547" s="167"/>
      <c r="F5547" s="168"/>
    </row>
    <row r="5548" spans="1:6" x14ac:dyDescent="0.2">
      <c r="A5548" s="163"/>
      <c r="B5548" s="164"/>
      <c r="C5548" s="164"/>
      <c r="D5548" s="164"/>
      <c r="E5548" s="164"/>
      <c r="F5548" s="165"/>
    </row>
    <row r="5549" spans="1:6" x14ac:dyDescent="0.2">
      <c r="A5549" s="166"/>
      <c r="B5549" s="167"/>
      <c r="C5549" s="167"/>
      <c r="D5549" s="167"/>
      <c r="E5549" s="167"/>
      <c r="F5549" s="168"/>
    </row>
    <row r="5550" spans="1:6" x14ac:dyDescent="0.2">
      <c r="A5550" s="163"/>
      <c r="B5550" s="164"/>
      <c r="C5550" s="164"/>
      <c r="D5550" s="164"/>
      <c r="E5550" s="164"/>
      <c r="F5550" s="165"/>
    </row>
    <row r="5551" spans="1:6" x14ac:dyDescent="0.2">
      <c r="A5551" s="166"/>
      <c r="B5551" s="167"/>
      <c r="C5551" s="167"/>
      <c r="D5551" s="167"/>
      <c r="E5551" s="167"/>
      <c r="F5551" s="168"/>
    </row>
    <row r="5552" spans="1:6" x14ac:dyDescent="0.2">
      <c r="A5552" s="163"/>
      <c r="B5552" s="164"/>
      <c r="C5552" s="164"/>
      <c r="D5552" s="164"/>
      <c r="E5552" s="164"/>
      <c r="F5552" s="165"/>
    </row>
    <row r="5553" spans="1:6" x14ac:dyDescent="0.2">
      <c r="A5553" s="166"/>
      <c r="B5553" s="167"/>
      <c r="C5553" s="167"/>
      <c r="D5553" s="167"/>
      <c r="E5553" s="167"/>
      <c r="F5553" s="168"/>
    </row>
    <row r="5554" spans="1:6" x14ac:dyDescent="0.2">
      <c r="A5554" s="163"/>
      <c r="B5554" s="164"/>
      <c r="C5554" s="164"/>
      <c r="D5554" s="164"/>
      <c r="E5554" s="164"/>
      <c r="F5554" s="165"/>
    </row>
    <row r="5555" spans="1:6" x14ac:dyDescent="0.2">
      <c r="A5555" s="166"/>
      <c r="B5555" s="167"/>
      <c r="C5555" s="167"/>
      <c r="D5555" s="167"/>
      <c r="E5555" s="167"/>
      <c r="F5555" s="168"/>
    </row>
    <row r="5556" spans="1:6" x14ac:dyDescent="0.2">
      <c r="A5556" s="163"/>
      <c r="B5556" s="164"/>
      <c r="C5556" s="164"/>
      <c r="D5556" s="164"/>
      <c r="E5556" s="164"/>
      <c r="F5556" s="165"/>
    </row>
    <row r="5557" spans="1:6" x14ac:dyDescent="0.2">
      <c r="A5557" s="166"/>
      <c r="B5557" s="167"/>
      <c r="C5557" s="167"/>
      <c r="D5557" s="167"/>
      <c r="E5557" s="167"/>
      <c r="F5557" s="168"/>
    </row>
    <row r="5558" spans="1:6" x14ac:dyDescent="0.2">
      <c r="A5558" s="163"/>
      <c r="B5558" s="164"/>
      <c r="C5558" s="164"/>
      <c r="D5558" s="164"/>
      <c r="E5558" s="164"/>
      <c r="F5558" s="165"/>
    </row>
    <row r="5559" spans="1:6" x14ac:dyDescent="0.2">
      <c r="A5559" s="166"/>
      <c r="B5559" s="167"/>
      <c r="C5559" s="167"/>
      <c r="D5559" s="167"/>
      <c r="E5559" s="167"/>
      <c r="F5559" s="168"/>
    </row>
    <row r="5560" spans="1:6" x14ac:dyDescent="0.2">
      <c r="A5560" s="163"/>
      <c r="B5560" s="164"/>
      <c r="C5560" s="164"/>
      <c r="D5560" s="164"/>
      <c r="E5560" s="164"/>
      <c r="F5560" s="165"/>
    </row>
    <row r="5561" spans="1:6" x14ac:dyDescent="0.2">
      <c r="A5561" s="166"/>
      <c r="B5561" s="167"/>
      <c r="C5561" s="167"/>
      <c r="D5561" s="167"/>
      <c r="E5561" s="167"/>
      <c r="F5561" s="168"/>
    </row>
    <row r="5562" spans="1:6" x14ac:dyDescent="0.2">
      <c r="A5562" s="163"/>
      <c r="B5562" s="164"/>
      <c r="C5562" s="164"/>
      <c r="D5562" s="164"/>
      <c r="E5562" s="164"/>
      <c r="F5562" s="165"/>
    </row>
    <row r="5563" spans="1:6" x14ac:dyDescent="0.2">
      <c r="A5563" s="166"/>
      <c r="B5563" s="167"/>
      <c r="C5563" s="167"/>
      <c r="D5563" s="167"/>
      <c r="E5563" s="167"/>
      <c r="F5563" s="168"/>
    </row>
    <row r="5564" spans="1:6" x14ac:dyDescent="0.2">
      <c r="A5564" s="163"/>
      <c r="B5564" s="164"/>
      <c r="C5564" s="164"/>
      <c r="D5564" s="164"/>
      <c r="E5564" s="164"/>
      <c r="F5564" s="165"/>
    </row>
    <row r="5565" spans="1:6" x14ac:dyDescent="0.2">
      <c r="A5565" s="166"/>
      <c r="B5565" s="167"/>
      <c r="C5565" s="167"/>
      <c r="D5565" s="167"/>
      <c r="E5565" s="167"/>
      <c r="F5565" s="168"/>
    </row>
    <row r="5566" spans="1:6" x14ac:dyDescent="0.2">
      <c r="A5566" s="163"/>
      <c r="B5566" s="164"/>
      <c r="C5566" s="164"/>
      <c r="D5566" s="164"/>
      <c r="E5566" s="164"/>
      <c r="F5566" s="165"/>
    </row>
    <row r="5567" spans="1:6" x14ac:dyDescent="0.2">
      <c r="A5567" s="166"/>
      <c r="B5567" s="167"/>
      <c r="C5567" s="167"/>
      <c r="D5567" s="167"/>
      <c r="E5567" s="167"/>
      <c r="F5567" s="168"/>
    </row>
    <row r="5568" spans="1:6" x14ac:dyDescent="0.2">
      <c r="A5568" s="163"/>
      <c r="B5568" s="164"/>
      <c r="C5568" s="164"/>
      <c r="D5568" s="164"/>
      <c r="E5568" s="164"/>
      <c r="F5568" s="165"/>
    </row>
    <row r="5569" spans="1:6" x14ac:dyDescent="0.2">
      <c r="A5569" s="166"/>
      <c r="B5569" s="167"/>
      <c r="C5569" s="167"/>
      <c r="D5569" s="167"/>
      <c r="E5569" s="167"/>
      <c r="F5569" s="168"/>
    </row>
    <row r="5570" spans="1:6" x14ac:dyDescent="0.2">
      <c r="A5570" s="163"/>
      <c r="B5570" s="164"/>
      <c r="C5570" s="164"/>
      <c r="D5570" s="164"/>
      <c r="E5570" s="164"/>
      <c r="F5570" s="165"/>
    </row>
    <row r="5571" spans="1:6" x14ac:dyDescent="0.2">
      <c r="A5571" s="166"/>
      <c r="B5571" s="167"/>
      <c r="C5571" s="167"/>
      <c r="D5571" s="167"/>
      <c r="E5571" s="167"/>
      <c r="F5571" s="168"/>
    </row>
    <row r="5572" spans="1:6" x14ac:dyDescent="0.2">
      <c r="A5572" s="163"/>
      <c r="B5572" s="164"/>
      <c r="C5572" s="164"/>
      <c r="D5572" s="164"/>
      <c r="E5572" s="164"/>
      <c r="F5572" s="165"/>
    </row>
    <row r="5573" spans="1:6" x14ac:dyDescent="0.2">
      <c r="A5573" s="166"/>
      <c r="B5573" s="167"/>
      <c r="C5573" s="167"/>
      <c r="D5573" s="167"/>
      <c r="E5573" s="167"/>
      <c r="F5573" s="168"/>
    </row>
    <row r="5574" spans="1:6" x14ac:dyDescent="0.2">
      <c r="A5574" s="163"/>
      <c r="B5574" s="164"/>
      <c r="C5574" s="164"/>
      <c r="D5574" s="164"/>
      <c r="E5574" s="164"/>
      <c r="F5574" s="165"/>
    </row>
    <row r="5575" spans="1:6" x14ac:dyDescent="0.2">
      <c r="A5575" s="166"/>
      <c r="B5575" s="167"/>
      <c r="C5575" s="167"/>
      <c r="D5575" s="167"/>
      <c r="E5575" s="167"/>
      <c r="F5575" s="168"/>
    </row>
    <row r="5576" spans="1:6" x14ac:dyDescent="0.2">
      <c r="A5576" s="163"/>
      <c r="B5576" s="164"/>
      <c r="C5576" s="164"/>
      <c r="D5576" s="164"/>
      <c r="E5576" s="164"/>
      <c r="F5576" s="165"/>
    </row>
    <row r="5577" spans="1:6" x14ac:dyDescent="0.2">
      <c r="A5577" s="166"/>
      <c r="B5577" s="167"/>
      <c r="C5577" s="167"/>
      <c r="D5577" s="167"/>
      <c r="E5577" s="167"/>
      <c r="F5577" s="168"/>
    </row>
    <row r="5578" spans="1:6" x14ac:dyDescent="0.2">
      <c r="A5578" s="163"/>
      <c r="B5578" s="164"/>
      <c r="C5578" s="164"/>
      <c r="D5578" s="164"/>
      <c r="E5578" s="164"/>
      <c r="F5578" s="165"/>
    </row>
    <row r="5579" spans="1:6" x14ac:dyDescent="0.2">
      <c r="A5579" s="166"/>
      <c r="B5579" s="167"/>
      <c r="C5579" s="167"/>
      <c r="D5579" s="167"/>
      <c r="E5579" s="167"/>
      <c r="F5579" s="168"/>
    </row>
    <row r="5580" spans="1:6" x14ac:dyDescent="0.2">
      <c r="A5580" s="163"/>
      <c r="B5580" s="164"/>
      <c r="C5580" s="164"/>
      <c r="D5580" s="164"/>
      <c r="E5580" s="164"/>
      <c r="F5580" s="165"/>
    </row>
    <row r="5581" spans="1:6" x14ac:dyDescent="0.2">
      <c r="A5581" s="166"/>
      <c r="B5581" s="167"/>
      <c r="C5581" s="167"/>
      <c r="D5581" s="167"/>
      <c r="E5581" s="167"/>
      <c r="F5581" s="168"/>
    </row>
    <row r="5582" spans="1:6" x14ac:dyDescent="0.2">
      <c r="A5582" s="163"/>
      <c r="B5582" s="164"/>
      <c r="C5582" s="164"/>
      <c r="D5582" s="164"/>
      <c r="E5582" s="164"/>
      <c r="F5582" s="165"/>
    </row>
    <row r="5583" spans="1:6" x14ac:dyDescent="0.2">
      <c r="A5583" s="166"/>
      <c r="B5583" s="167"/>
      <c r="C5583" s="167"/>
      <c r="D5583" s="167"/>
      <c r="E5583" s="167"/>
      <c r="F5583" s="168"/>
    </row>
    <row r="5584" spans="1:6" x14ac:dyDescent="0.2">
      <c r="A5584" s="163"/>
      <c r="B5584" s="164"/>
      <c r="C5584" s="164"/>
      <c r="D5584" s="164"/>
      <c r="E5584" s="164"/>
      <c r="F5584" s="165"/>
    </row>
    <row r="5585" spans="1:6" x14ac:dyDescent="0.2">
      <c r="A5585" s="166"/>
      <c r="B5585" s="167"/>
      <c r="C5585" s="167"/>
      <c r="D5585" s="167"/>
      <c r="E5585" s="167"/>
      <c r="F5585" s="168"/>
    </row>
    <row r="5586" spans="1:6" x14ac:dyDescent="0.2">
      <c r="A5586" s="163"/>
      <c r="B5586" s="164"/>
      <c r="C5586" s="164"/>
      <c r="D5586" s="164"/>
      <c r="E5586" s="164"/>
      <c r="F5586" s="165"/>
    </row>
    <row r="5587" spans="1:6" x14ac:dyDescent="0.2">
      <c r="A5587" s="166"/>
      <c r="B5587" s="167"/>
      <c r="C5587" s="167"/>
      <c r="D5587" s="167"/>
      <c r="E5587" s="167"/>
      <c r="F5587" s="168"/>
    </row>
    <row r="5588" spans="1:6" x14ac:dyDescent="0.2">
      <c r="A5588" s="163"/>
      <c r="B5588" s="164"/>
      <c r="C5588" s="164"/>
      <c r="D5588" s="164"/>
      <c r="E5588" s="164"/>
      <c r="F5588" s="165"/>
    </row>
    <row r="5589" spans="1:6" x14ac:dyDescent="0.2">
      <c r="A5589" s="166"/>
      <c r="B5589" s="167"/>
      <c r="C5589" s="167"/>
      <c r="D5589" s="167"/>
      <c r="E5589" s="167"/>
      <c r="F5589" s="168"/>
    </row>
    <row r="5590" spans="1:6" x14ac:dyDescent="0.2">
      <c r="A5590" s="163"/>
      <c r="B5590" s="164"/>
      <c r="C5590" s="164"/>
      <c r="D5590" s="164"/>
      <c r="E5590" s="164"/>
      <c r="F5590" s="165"/>
    </row>
    <row r="5591" spans="1:6" x14ac:dyDescent="0.2">
      <c r="A5591" s="166"/>
      <c r="B5591" s="167"/>
      <c r="C5591" s="167"/>
      <c r="D5591" s="167"/>
      <c r="E5591" s="167"/>
      <c r="F5591" s="168"/>
    </row>
    <row r="5592" spans="1:6" x14ac:dyDescent="0.2">
      <c r="A5592" s="163"/>
      <c r="B5592" s="164"/>
      <c r="C5592" s="164"/>
      <c r="D5592" s="164"/>
      <c r="E5592" s="164"/>
      <c r="F5592" s="165"/>
    </row>
    <row r="5593" spans="1:6" x14ac:dyDescent="0.2">
      <c r="A5593" s="166"/>
      <c r="B5593" s="167"/>
      <c r="C5593" s="167"/>
      <c r="D5593" s="167"/>
      <c r="E5593" s="167"/>
      <c r="F5593" s="168"/>
    </row>
    <row r="5594" spans="1:6" x14ac:dyDescent="0.2">
      <c r="A5594" s="163"/>
      <c r="B5594" s="164"/>
      <c r="C5594" s="164"/>
      <c r="D5594" s="164"/>
      <c r="E5594" s="164"/>
      <c r="F5594" s="165"/>
    </row>
    <row r="5595" spans="1:6" x14ac:dyDescent="0.2">
      <c r="A5595" s="166"/>
      <c r="B5595" s="167"/>
      <c r="C5595" s="167"/>
      <c r="D5595" s="167"/>
      <c r="E5595" s="167"/>
      <c r="F5595" s="168"/>
    </row>
    <row r="5596" spans="1:6" x14ac:dyDescent="0.2">
      <c r="A5596" s="163"/>
      <c r="B5596" s="164"/>
      <c r="C5596" s="164"/>
      <c r="D5596" s="164"/>
      <c r="E5596" s="164"/>
      <c r="F5596" s="165"/>
    </row>
    <row r="5597" spans="1:6" x14ac:dyDescent="0.2">
      <c r="A5597" s="166"/>
      <c r="B5597" s="167"/>
      <c r="C5597" s="167"/>
      <c r="D5597" s="167"/>
      <c r="E5597" s="167"/>
      <c r="F5597" s="168"/>
    </row>
    <row r="5598" spans="1:6" x14ac:dyDescent="0.2">
      <c r="A5598" s="163"/>
      <c r="B5598" s="164"/>
      <c r="C5598" s="164"/>
      <c r="D5598" s="164"/>
      <c r="E5598" s="164"/>
      <c r="F5598" s="165"/>
    </row>
    <row r="5599" spans="1:6" x14ac:dyDescent="0.2">
      <c r="A5599" s="166"/>
      <c r="B5599" s="167"/>
      <c r="C5599" s="167"/>
      <c r="D5599" s="167"/>
      <c r="E5599" s="167"/>
      <c r="F5599" s="168"/>
    </row>
    <row r="5600" spans="1:6" x14ac:dyDescent="0.2">
      <c r="A5600" s="163"/>
      <c r="B5600" s="164"/>
      <c r="C5600" s="164"/>
      <c r="D5600" s="164"/>
      <c r="E5600" s="164"/>
      <c r="F5600" s="165"/>
    </row>
    <row r="5601" spans="1:6" x14ac:dyDescent="0.2">
      <c r="A5601" s="166"/>
      <c r="B5601" s="167"/>
      <c r="C5601" s="167"/>
      <c r="D5601" s="167"/>
      <c r="E5601" s="167"/>
      <c r="F5601" s="168"/>
    </row>
    <row r="5602" spans="1:6" x14ac:dyDescent="0.2">
      <c r="A5602" s="163"/>
      <c r="B5602" s="164"/>
      <c r="C5602" s="164"/>
      <c r="D5602" s="164"/>
      <c r="E5602" s="164"/>
      <c r="F5602" s="165"/>
    </row>
    <row r="5603" spans="1:6" x14ac:dyDescent="0.2">
      <c r="A5603" s="166"/>
      <c r="B5603" s="167"/>
      <c r="C5603" s="167"/>
      <c r="D5603" s="167"/>
      <c r="E5603" s="167"/>
      <c r="F5603" s="168"/>
    </row>
    <row r="5604" spans="1:6" x14ac:dyDescent="0.2">
      <c r="A5604" s="163"/>
      <c r="B5604" s="164"/>
      <c r="C5604" s="164"/>
      <c r="D5604" s="164"/>
      <c r="E5604" s="164"/>
      <c r="F5604" s="165"/>
    </row>
    <row r="5605" spans="1:6" x14ac:dyDescent="0.2">
      <c r="A5605" s="166"/>
      <c r="B5605" s="167"/>
      <c r="C5605" s="167"/>
      <c r="D5605" s="167"/>
      <c r="E5605" s="167"/>
      <c r="F5605" s="168"/>
    </row>
    <row r="5606" spans="1:6" x14ac:dyDescent="0.2">
      <c r="A5606" s="163"/>
      <c r="B5606" s="164"/>
      <c r="C5606" s="164"/>
      <c r="D5606" s="164"/>
      <c r="E5606" s="164"/>
      <c r="F5606" s="165"/>
    </row>
    <row r="5607" spans="1:6" x14ac:dyDescent="0.2">
      <c r="A5607" s="166"/>
      <c r="B5607" s="167"/>
      <c r="C5607" s="167"/>
      <c r="D5607" s="167"/>
      <c r="E5607" s="167"/>
      <c r="F5607" s="168"/>
    </row>
    <row r="5608" spans="1:6" x14ac:dyDescent="0.2">
      <c r="A5608" s="163"/>
      <c r="B5608" s="164"/>
      <c r="C5608" s="164"/>
      <c r="D5608" s="164"/>
      <c r="E5608" s="164"/>
      <c r="F5608" s="165"/>
    </row>
    <row r="5609" spans="1:6" x14ac:dyDescent="0.2">
      <c r="A5609" s="166"/>
      <c r="B5609" s="167"/>
      <c r="C5609" s="167"/>
      <c r="D5609" s="167"/>
      <c r="E5609" s="167"/>
      <c r="F5609" s="168"/>
    </row>
    <row r="5610" spans="1:6" x14ac:dyDescent="0.2">
      <c r="A5610" s="163"/>
      <c r="B5610" s="164"/>
      <c r="C5610" s="164"/>
      <c r="D5610" s="164"/>
      <c r="E5610" s="164"/>
      <c r="F5610" s="165"/>
    </row>
    <row r="5611" spans="1:6" x14ac:dyDescent="0.2">
      <c r="A5611" s="166"/>
      <c r="B5611" s="167"/>
      <c r="C5611" s="167"/>
      <c r="D5611" s="167"/>
      <c r="E5611" s="167"/>
      <c r="F5611" s="168"/>
    </row>
    <row r="5612" spans="1:6" x14ac:dyDescent="0.2">
      <c r="A5612" s="163"/>
      <c r="B5612" s="164"/>
      <c r="C5612" s="164"/>
      <c r="D5612" s="164"/>
      <c r="E5612" s="164"/>
      <c r="F5612" s="165"/>
    </row>
    <row r="5613" spans="1:6" x14ac:dyDescent="0.2">
      <c r="A5613" s="166"/>
      <c r="B5613" s="167"/>
      <c r="C5613" s="167"/>
      <c r="D5613" s="167"/>
      <c r="E5613" s="167"/>
      <c r="F5613" s="168"/>
    </row>
    <row r="5614" spans="1:6" x14ac:dyDescent="0.2">
      <c r="A5614" s="163"/>
      <c r="B5614" s="164"/>
      <c r="C5614" s="164"/>
      <c r="D5614" s="164"/>
      <c r="E5614" s="164"/>
      <c r="F5614" s="165"/>
    </row>
    <row r="5615" spans="1:6" x14ac:dyDescent="0.2">
      <c r="A5615" s="166"/>
      <c r="B5615" s="167"/>
      <c r="C5615" s="167"/>
      <c r="D5615" s="167"/>
      <c r="E5615" s="167"/>
      <c r="F5615" s="168"/>
    </row>
    <row r="5616" spans="1:6" x14ac:dyDescent="0.2">
      <c r="A5616" s="163"/>
      <c r="B5616" s="164"/>
      <c r="C5616" s="164"/>
      <c r="D5616" s="164"/>
      <c r="E5616" s="164"/>
      <c r="F5616" s="165"/>
    </row>
    <row r="5617" spans="1:6" x14ac:dyDescent="0.2">
      <c r="A5617" s="166"/>
      <c r="B5617" s="167"/>
      <c r="C5617" s="167"/>
      <c r="D5617" s="167"/>
      <c r="E5617" s="167"/>
      <c r="F5617" s="168"/>
    </row>
    <row r="5618" spans="1:6" x14ac:dyDescent="0.2">
      <c r="A5618" s="163"/>
      <c r="B5618" s="164"/>
      <c r="C5618" s="164"/>
      <c r="D5618" s="164"/>
      <c r="E5618" s="164"/>
      <c r="F5618" s="165"/>
    </row>
    <row r="5619" spans="1:6" x14ac:dyDescent="0.2">
      <c r="A5619" s="166"/>
      <c r="B5619" s="167"/>
      <c r="C5619" s="167"/>
      <c r="D5619" s="167"/>
      <c r="E5619" s="167"/>
      <c r="F5619" s="168"/>
    </row>
    <row r="5620" spans="1:6" x14ac:dyDescent="0.2">
      <c r="A5620" s="163"/>
      <c r="B5620" s="164"/>
      <c r="C5620" s="164"/>
      <c r="D5620" s="164"/>
      <c r="E5620" s="164"/>
      <c r="F5620" s="165"/>
    </row>
    <row r="5621" spans="1:6" x14ac:dyDescent="0.2">
      <c r="A5621" s="166"/>
      <c r="B5621" s="167"/>
      <c r="C5621" s="167"/>
      <c r="D5621" s="167"/>
      <c r="E5621" s="167"/>
      <c r="F5621" s="168"/>
    </row>
    <row r="5622" spans="1:6" x14ac:dyDescent="0.2">
      <c r="A5622" s="163"/>
      <c r="B5622" s="164"/>
      <c r="C5622" s="164"/>
      <c r="D5622" s="164"/>
      <c r="E5622" s="164"/>
      <c r="F5622" s="165"/>
    </row>
    <row r="5623" spans="1:6" x14ac:dyDescent="0.2">
      <c r="A5623" s="166"/>
      <c r="B5623" s="167"/>
      <c r="C5623" s="167"/>
      <c r="D5623" s="167"/>
      <c r="E5623" s="167"/>
      <c r="F5623" s="168"/>
    </row>
    <row r="5624" spans="1:6" x14ac:dyDescent="0.2">
      <c r="A5624" s="163"/>
      <c r="B5624" s="164"/>
      <c r="C5624" s="164"/>
      <c r="D5624" s="164"/>
      <c r="E5624" s="164"/>
      <c r="F5624" s="165"/>
    </row>
    <row r="5625" spans="1:6" x14ac:dyDescent="0.2">
      <c r="A5625" s="166"/>
      <c r="B5625" s="167"/>
      <c r="C5625" s="167"/>
      <c r="D5625" s="167"/>
      <c r="E5625" s="167"/>
      <c r="F5625" s="168"/>
    </row>
    <row r="5626" spans="1:6" x14ac:dyDescent="0.2">
      <c r="A5626" s="163"/>
      <c r="B5626" s="164"/>
      <c r="C5626" s="164"/>
      <c r="D5626" s="164"/>
      <c r="E5626" s="164"/>
      <c r="F5626" s="165"/>
    </row>
    <row r="5627" spans="1:6" x14ac:dyDescent="0.2">
      <c r="A5627" s="166"/>
      <c r="B5627" s="167"/>
      <c r="C5627" s="167"/>
      <c r="D5627" s="167"/>
      <c r="E5627" s="167"/>
      <c r="F5627" s="168"/>
    </row>
    <row r="5628" spans="1:6" x14ac:dyDescent="0.2">
      <c r="A5628" s="163"/>
      <c r="B5628" s="164"/>
      <c r="C5628" s="164"/>
      <c r="D5628" s="164"/>
      <c r="E5628" s="164"/>
      <c r="F5628" s="165"/>
    </row>
    <row r="5629" spans="1:6" x14ac:dyDescent="0.2">
      <c r="A5629" s="166"/>
      <c r="B5629" s="167"/>
      <c r="C5629" s="167"/>
      <c r="D5629" s="167"/>
      <c r="E5629" s="167"/>
      <c r="F5629" s="168"/>
    </row>
    <row r="5630" spans="1:6" x14ac:dyDescent="0.2">
      <c r="A5630" s="163"/>
      <c r="B5630" s="164"/>
      <c r="C5630" s="164"/>
      <c r="D5630" s="164"/>
      <c r="E5630" s="164"/>
      <c r="F5630" s="165"/>
    </row>
    <row r="5631" spans="1:6" x14ac:dyDescent="0.2">
      <c r="A5631" s="166"/>
      <c r="B5631" s="167"/>
      <c r="C5631" s="167"/>
      <c r="D5631" s="167"/>
      <c r="E5631" s="167"/>
      <c r="F5631" s="168"/>
    </row>
    <row r="5632" spans="1:6" x14ac:dyDescent="0.2">
      <c r="A5632" s="163"/>
      <c r="B5632" s="164"/>
      <c r="C5632" s="164"/>
      <c r="D5632" s="164"/>
      <c r="E5632" s="164"/>
      <c r="F5632" s="165"/>
    </row>
    <row r="5633" spans="1:6" x14ac:dyDescent="0.2">
      <c r="A5633" s="166"/>
      <c r="B5633" s="167"/>
      <c r="C5633" s="167"/>
      <c r="D5633" s="167"/>
      <c r="E5633" s="167"/>
      <c r="F5633" s="168"/>
    </row>
    <row r="5634" spans="1:6" x14ac:dyDescent="0.2">
      <c r="A5634" s="163"/>
      <c r="B5634" s="164"/>
      <c r="C5634" s="164"/>
      <c r="D5634" s="164"/>
      <c r="E5634" s="164"/>
      <c r="F5634" s="165"/>
    </row>
    <row r="5635" spans="1:6" x14ac:dyDescent="0.2">
      <c r="A5635" s="166"/>
      <c r="B5635" s="167"/>
      <c r="C5635" s="167"/>
      <c r="D5635" s="167"/>
      <c r="E5635" s="167"/>
      <c r="F5635" s="168"/>
    </row>
    <row r="5636" spans="1:6" x14ac:dyDescent="0.2">
      <c r="A5636" s="163"/>
      <c r="B5636" s="164"/>
      <c r="C5636" s="164"/>
      <c r="D5636" s="164"/>
      <c r="E5636" s="164"/>
      <c r="F5636" s="165"/>
    </row>
    <row r="5637" spans="1:6" x14ac:dyDescent="0.2">
      <c r="A5637" s="166"/>
      <c r="B5637" s="167"/>
      <c r="C5637" s="167"/>
      <c r="D5637" s="167"/>
      <c r="E5637" s="167"/>
      <c r="F5637" s="168"/>
    </row>
    <row r="5638" spans="1:6" x14ac:dyDescent="0.2">
      <c r="A5638" s="163"/>
      <c r="B5638" s="164"/>
      <c r="C5638" s="164"/>
      <c r="D5638" s="164"/>
      <c r="E5638" s="164"/>
      <c r="F5638" s="165"/>
    </row>
    <row r="5639" spans="1:6" x14ac:dyDescent="0.2">
      <c r="A5639" s="166"/>
      <c r="B5639" s="167"/>
      <c r="C5639" s="167"/>
      <c r="D5639" s="167"/>
      <c r="E5639" s="167"/>
      <c r="F5639" s="168"/>
    </row>
    <row r="5640" spans="1:6" x14ac:dyDescent="0.2">
      <c r="A5640" s="163"/>
      <c r="B5640" s="164"/>
      <c r="C5640" s="164"/>
      <c r="D5640" s="164"/>
      <c r="E5640" s="164"/>
      <c r="F5640" s="165"/>
    </row>
    <row r="5641" spans="1:6" x14ac:dyDescent="0.2">
      <c r="A5641" s="166"/>
      <c r="B5641" s="167"/>
      <c r="C5641" s="167"/>
      <c r="D5641" s="167"/>
      <c r="E5641" s="167"/>
      <c r="F5641" s="168"/>
    </row>
    <row r="5642" spans="1:6" x14ac:dyDescent="0.2">
      <c r="A5642" s="163"/>
      <c r="B5642" s="164"/>
      <c r="C5642" s="164"/>
      <c r="D5642" s="164"/>
      <c r="E5642" s="164"/>
      <c r="F5642" s="165"/>
    </row>
    <row r="5643" spans="1:6" x14ac:dyDescent="0.2">
      <c r="A5643" s="166"/>
      <c r="B5643" s="167"/>
      <c r="C5643" s="167"/>
      <c r="D5643" s="167"/>
      <c r="E5643" s="167"/>
      <c r="F5643" s="168"/>
    </row>
    <row r="5644" spans="1:6" x14ac:dyDescent="0.2">
      <c r="A5644" s="163"/>
      <c r="B5644" s="164"/>
      <c r="C5644" s="164"/>
      <c r="D5644" s="164"/>
      <c r="E5644" s="164"/>
      <c r="F5644" s="165"/>
    </row>
    <row r="5645" spans="1:6" x14ac:dyDescent="0.2">
      <c r="A5645" s="166"/>
      <c r="B5645" s="167"/>
      <c r="C5645" s="167"/>
      <c r="D5645" s="167"/>
      <c r="E5645" s="167"/>
      <c r="F5645" s="168"/>
    </row>
    <row r="5646" spans="1:6" x14ac:dyDescent="0.2">
      <c r="A5646" s="163"/>
      <c r="B5646" s="164"/>
      <c r="C5646" s="164"/>
      <c r="D5646" s="164"/>
      <c r="E5646" s="164"/>
      <c r="F5646" s="165"/>
    </row>
    <row r="5647" spans="1:6" x14ac:dyDescent="0.2">
      <c r="A5647" s="166"/>
      <c r="B5647" s="167"/>
      <c r="C5647" s="167"/>
      <c r="D5647" s="167"/>
      <c r="E5647" s="167"/>
      <c r="F5647" s="168"/>
    </row>
    <row r="5648" spans="1:6" x14ac:dyDescent="0.2">
      <c r="A5648" s="163"/>
      <c r="B5648" s="164"/>
      <c r="C5648" s="164"/>
      <c r="D5648" s="164"/>
      <c r="E5648" s="164"/>
      <c r="F5648" s="165"/>
    </row>
    <row r="5649" spans="1:6" x14ac:dyDescent="0.2">
      <c r="A5649" s="166"/>
      <c r="B5649" s="167"/>
      <c r="C5649" s="167"/>
      <c r="D5649" s="167"/>
      <c r="E5649" s="167"/>
      <c r="F5649" s="168"/>
    </row>
    <row r="5650" spans="1:6" x14ac:dyDescent="0.2">
      <c r="A5650" s="163"/>
      <c r="B5650" s="164"/>
      <c r="C5650" s="164"/>
      <c r="D5650" s="164"/>
      <c r="E5650" s="164"/>
      <c r="F5650" s="165"/>
    </row>
    <row r="5651" spans="1:6" x14ac:dyDescent="0.2">
      <c r="A5651" s="166"/>
      <c r="B5651" s="167"/>
      <c r="C5651" s="167"/>
      <c r="D5651" s="167"/>
      <c r="E5651" s="167"/>
      <c r="F5651" s="168"/>
    </row>
    <row r="5652" spans="1:6" x14ac:dyDescent="0.2">
      <c r="A5652" s="163"/>
      <c r="B5652" s="164"/>
      <c r="C5652" s="164"/>
      <c r="D5652" s="164"/>
      <c r="E5652" s="164"/>
      <c r="F5652" s="165"/>
    </row>
    <row r="5653" spans="1:6" x14ac:dyDescent="0.2">
      <c r="A5653" s="166"/>
      <c r="B5653" s="167"/>
      <c r="C5653" s="167"/>
      <c r="D5653" s="167"/>
      <c r="E5653" s="167"/>
      <c r="F5653" s="168"/>
    </row>
    <row r="5654" spans="1:6" x14ac:dyDescent="0.2">
      <c r="A5654" s="163"/>
      <c r="B5654" s="164"/>
      <c r="C5654" s="164"/>
      <c r="D5654" s="164"/>
      <c r="E5654" s="164"/>
      <c r="F5654" s="165"/>
    </row>
    <row r="5655" spans="1:6" x14ac:dyDescent="0.2">
      <c r="A5655" s="166"/>
      <c r="B5655" s="167"/>
      <c r="C5655" s="167"/>
      <c r="D5655" s="167"/>
      <c r="E5655" s="167"/>
      <c r="F5655" s="168"/>
    </row>
    <row r="5656" spans="1:6" x14ac:dyDescent="0.2">
      <c r="A5656" s="163"/>
      <c r="B5656" s="164"/>
      <c r="C5656" s="164"/>
      <c r="D5656" s="164"/>
      <c r="E5656" s="164"/>
      <c r="F5656" s="165"/>
    </row>
    <row r="5657" spans="1:6" x14ac:dyDescent="0.2">
      <c r="A5657" s="166"/>
      <c r="B5657" s="167"/>
      <c r="C5657" s="167"/>
      <c r="D5657" s="167"/>
      <c r="E5657" s="167"/>
      <c r="F5657" s="168"/>
    </row>
    <row r="5658" spans="1:6" x14ac:dyDescent="0.2">
      <c r="A5658" s="163"/>
      <c r="B5658" s="164"/>
      <c r="C5658" s="164"/>
      <c r="D5658" s="164"/>
      <c r="E5658" s="164"/>
      <c r="F5658" s="165"/>
    </row>
    <row r="5659" spans="1:6" x14ac:dyDescent="0.2">
      <c r="A5659" s="166"/>
      <c r="B5659" s="167"/>
      <c r="C5659" s="167"/>
      <c r="D5659" s="167"/>
      <c r="E5659" s="167"/>
      <c r="F5659" s="168"/>
    </row>
    <row r="5660" spans="1:6" x14ac:dyDescent="0.2">
      <c r="A5660" s="163"/>
      <c r="B5660" s="164"/>
      <c r="C5660" s="164"/>
      <c r="D5660" s="164"/>
      <c r="E5660" s="164"/>
      <c r="F5660" s="165"/>
    </row>
    <row r="5661" spans="1:6" x14ac:dyDescent="0.2">
      <c r="A5661" s="166"/>
      <c r="B5661" s="167"/>
      <c r="C5661" s="167"/>
      <c r="D5661" s="167"/>
      <c r="E5661" s="167"/>
      <c r="F5661" s="168"/>
    </row>
    <row r="5662" spans="1:6" x14ac:dyDescent="0.2">
      <c r="A5662" s="163"/>
      <c r="B5662" s="164"/>
      <c r="C5662" s="164"/>
      <c r="D5662" s="164"/>
      <c r="E5662" s="164"/>
      <c r="F5662" s="165"/>
    </row>
    <row r="5663" spans="1:6" x14ac:dyDescent="0.2">
      <c r="A5663" s="166"/>
      <c r="B5663" s="167"/>
      <c r="C5663" s="167"/>
      <c r="D5663" s="167"/>
      <c r="E5663" s="167"/>
      <c r="F5663" s="168"/>
    </row>
    <row r="5664" spans="1:6" x14ac:dyDescent="0.2">
      <c r="A5664" s="163"/>
      <c r="B5664" s="164"/>
      <c r="C5664" s="164"/>
      <c r="D5664" s="164"/>
      <c r="E5664" s="164"/>
      <c r="F5664" s="165"/>
    </row>
    <row r="5665" spans="1:6" x14ac:dyDescent="0.2">
      <c r="A5665" s="166"/>
      <c r="B5665" s="167"/>
      <c r="C5665" s="167"/>
      <c r="D5665" s="167"/>
      <c r="E5665" s="167"/>
      <c r="F5665" s="168"/>
    </row>
    <row r="5666" spans="1:6" x14ac:dyDescent="0.2">
      <c r="A5666" s="163"/>
      <c r="B5666" s="164"/>
      <c r="C5666" s="164"/>
      <c r="D5666" s="164"/>
      <c r="E5666" s="164"/>
      <c r="F5666" s="165"/>
    </row>
    <row r="5667" spans="1:6" x14ac:dyDescent="0.2">
      <c r="A5667" s="166"/>
      <c r="B5667" s="167"/>
      <c r="C5667" s="167"/>
      <c r="D5667" s="167"/>
      <c r="E5667" s="167"/>
      <c r="F5667" s="168"/>
    </row>
    <row r="5668" spans="1:6" x14ac:dyDescent="0.2">
      <c r="A5668" s="163"/>
      <c r="B5668" s="164"/>
      <c r="C5668" s="164"/>
      <c r="D5668" s="164"/>
      <c r="E5668" s="164"/>
      <c r="F5668" s="165"/>
    </row>
    <row r="5669" spans="1:6" x14ac:dyDescent="0.2">
      <c r="A5669" s="166"/>
      <c r="B5669" s="167"/>
      <c r="C5669" s="167"/>
      <c r="D5669" s="167"/>
      <c r="E5669" s="167"/>
      <c r="F5669" s="168"/>
    </row>
    <row r="5670" spans="1:6" x14ac:dyDescent="0.2">
      <c r="A5670" s="163"/>
      <c r="B5670" s="164"/>
      <c r="C5670" s="164"/>
      <c r="D5670" s="164"/>
      <c r="E5670" s="164"/>
      <c r="F5670" s="165"/>
    </row>
    <row r="5671" spans="1:6" x14ac:dyDescent="0.2">
      <c r="A5671" s="166"/>
      <c r="B5671" s="167"/>
      <c r="C5671" s="167"/>
      <c r="D5671" s="167"/>
      <c r="E5671" s="167"/>
      <c r="F5671" s="168"/>
    </row>
    <row r="5672" spans="1:6" x14ac:dyDescent="0.2">
      <c r="A5672" s="163"/>
      <c r="B5672" s="164"/>
      <c r="C5672" s="164"/>
      <c r="D5672" s="164"/>
      <c r="E5672" s="164"/>
      <c r="F5672" s="165"/>
    </row>
    <row r="5673" spans="1:6" x14ac:dyDescent="0.2">
      <c r="A5673" s="166"/>
      <c r="B5673" s="167"/>
      <c r="C5673" s="167"/>
      <c r="D5673" s="167"/>
      <c r="E5673" s="167"/>
      <c r="F5673" s="168"/>
    </row>
    <row r="5674" spans="1:6" x14ac:dyDescent="0.2">
      <c r="A5674" s="163"/>
      <c r="B5674" s="164"/>
      <c r="C5674" s="164"/>
      <c r="D5674" s="164"/>
      <c r="E5674" s="164"/>
      <c r="F5674" s="165"/>
    </row>
    <row r="5675" spans="1:6" x14ac:dyDescent="0.2">
      <c r="A5675" s="166"/>
      <c r="B5675" s="167"/>
      <c r="C5675" s="167"/>
      <c r="D5675" s="167"/>
      <c r="E5675" s="167"/>
      <c r="F5675" s="168"/>
    </row>
    <row r="5676" spans="1:6" x14ac:dyDescent="0.2">
      <c r="A5676" s="163"/>
      <c r="B5676" s="164"/>
      <c r="C5676" s="164"/>
      <c r="D5676" s="164"/>
      <c r="E5676" s="164"/>
      <c r="F5676" s="165"/>
    </row>
    <row r="5677" spans="1:6" x14ac:dyDescent="0.2">
      <c r="A5677" s="166"/>
      <c r="B5677" s="167"/>
      <c r="C5677" s="167"/>
      <c r="D5677" s="167"/>
      <c r="E5677" s="167"/>
      <c r="F5677" s="168"/>
    </row>
    <row r="5678" spans="1:6" x14ac:dyDescent="0.2">
      <c r="A5678" s="163"/>
      <c r="B5678" s="164"/>
      <c r="C5678" s="164"/>
      <c r="D5678" s="164"/>
      <c r="E5678" s="164"/>
      <c r="F5678" s="165"/>
    </row>
    <row r="5679" spans="1:6" x14ac:dyDescent="0.2">
      <c r="A5679" s="166"/>
      <c r="B5679" s="167"/>
      <c r="C5679" s="167"/>
      <c r="D5679" s="167"/>
      <c r="E5679" s="167"/>
      <c r="F5679" s="168"/>
    </row>
    <row r="5680" spans="1:6" x14ac:dyDescent="0.2">
      <c r="A5680" s="163"/>
      <c r="B5680" s="164"/>
      <c r="C5680" s="164"/>
      <c r="D5680" s="164"/>
      <c r="E5680" s="164"/>
      <c r="F5680" s="165"/>
    </row>
    <row r="5681" spans="1:6" x14ac:dyDescent="0.2">
      <c r="A5681" s="166"/>
      <c r="B5681" s="167"/>
      <c r="C5681" s="167"/>
      <c r="D5681" s="167"/>
      <c r="E5681" s="167"/>
      <c r="F5681" s="168"/>
    </row>
    <row r="5682" spans="1:6" x14ac:dyDescent="0.2">
      <c r="A5682" s="163"/>
      <c r="B5682" s="164"/>
      <c r="C5682" s="164"/>
      <c r="D5682" s="164"/>
      <c r="E5682" s="164"/>
      <c r="F5682" s="165"/>
    </row>
    <row r="5683" spans="1:6" x14ac:dyDescent="0.2">
      <c r="A5683" s="166"/>
      <c r="B5683" s="167"/>
      <c r="C5683" s="167"/>
      <c r="D5683" s="167"/>
      <c r="E5683" s="167"/>
      <c r="F5683" s="168"/>
    </row>
    <row r="5684" spans="1:6" x14ac:dyDescent="0.2">
      <c r="A5684" s="163"/>
      <c r="B5684" s="164"/>
      <c r="C5684" s="164"/>
      <c r="D5684" s="164"/>
      <c r="E5684" s="164"/>
      <c r="F5684" s="165"/>
    </row>
    <row r="5685" spans="1:6" x14ac:dyDescent="0.2">
      <c r="A5685" s="166"/>
      <c r="B5685" s="167"/>
      <c r="C5685" s="167"/>
      <c r="D5685" s="167"/>
      <c r="E5685" s="167"/>
      <c r="F5685" s="168"/>
    </row>
    <row r="5686" spans="1:6" x14ac:dyDescent="0.2">
      <c r="A5686" s="163"/>
      <c r="B5686" s="164"/>
      <c r="C5686" s="164"/>
      <c r="D5686" s="164"/>
      <c r="E5686" s="164"/>
      <c r="F5686" s="165"/>
    </row>
    <row r="5687" spans="1:6" x14ac:dyDescent="0.2">
      <c r="A5687" s="166"/>
      <c r="B5687" s="167"/>
      <c r="C5687" s="167"/>
      <c r="D5687" s="167"/>
      <c r="E5687" s="167"/>
      <c r="F5687" s="168"/>
    </row>
    <row r="5688" spans="1:6" x14ac:dyDescent="0.2">
      <c r="A5688" s="163"/>
      <c r="B5688" s="164"/>
      <c r="C5688" s="164"/>
      <c r="D5688" s="164"/>
      <c r="E5688" s="164"/>
      <c r="F5688" s="165"/>
    </row>
    <row r="5689" spans="1:6" x14ac:dyDescent="0.2">
      <c r="A5689" s="166"/>
      <c r="B5689" s="167"/>
      <c r="C5689" s="167"/>
      <c r="D5689" s="167"/>
      <c r="E5689" s="167"/>
      <c r="F5689" s="168"/>
    </row>
    <row r="5690" spans="1:6" x14ac:dyDescent="0.2">
      <c r="A5690" s="163"/>
      <c r="B5690" s="164"/>
      <c r="C5690" s="164"/>
      <c r="D5690" s="164"/>
      <c r="E5690" s="164"/>
      <c r="F5690" s="165"/>
    </row>
    <row r="5691" spans="1:6" x14ac:dyDescent="0.2">
      <c r="A5691" s="166"/>
      <c r="B5691" s="167"/>
      <c r="C5691" s="167"/>
      <c r="D5691" s="167"/>
      <c r="E5691" s="167"/>
      <c r="F5691" s="168"/>
    </row>
    <row r="5692" spans="1:6" x14ac:dyDescent="0.2">
      <c r="A5692" s="163"/>
      <c r="B5692" s="164"/>
      <c r="C5692" s="164"/>
      <c r="D5692" s="164"/>
      <c r="E5692" s="164"/>
      <c r="F5692" s="165"/>
    </row>
    <row r="5693" spans="1:6" x14ac:dyDescent="0.2">
      <c r="A5693" s="166"/>
      <c r="B5693" s="167"/>
      <c r="C5693" s="167"/>
      <c r="D5693" s="167"/>
      <c r="E5693" s="167"/>
      <c r="F5693" s="168"/>
    </row>
    <row r="5694" spans="1:6" x14ac:dyDescent="0.2">
      <c r="A5694" s="163"/>
      <c r="B5694" s="164"/>
      <c r="C5694" s="164"/>
      <c r="D5694" s="164"/>
      <c r="E5694" s="164"/>
      <c r="F5694" s="165"/>
    </row>
    <row r="5695" spans="1:6" x14ac:dyDescent="0.2">
      <c r="A5695" s="166"/>
      <c r="B5695" s="167"/>
      <c r="C5695" s="167"/>
      <c r="D5695" s="167"/>
      <c r="E5695" s="167"/>
      <c r="F5695" s="168"/>
    </row>
    <row r="5696" spans="1:6" x14ac:dyDescent="0.2">
      <c r="A5696" s="163"/>
      <c r="B5696" s="164"/>
      <c r="C5696" s="164"/>
      <c r="D5696" s="164"/>
      <c r="E5696" s="164"/>
      <c r="F5696" s="165"/>
    </row>
    <row r="5697" spans="1:6" x14ac:dyDescent="0.2">
      <c r="A5697" s="166"/>
      <c r="B5697" s="167"/>
      <c r="C5697" s="167"/>
      <c r="D5697" s="167"/>
      <c r="E5697" s="167"/>
      <c r="F5697" s="168"/>
    </row>
    <row r="5698" spans="1:6" x14ac:dyDescent="0.2">
      <c r="A5698" s="163"/>
      <c r="B5698" s="164"/>
      <c r="C5698" s="164"/>
      <c r="D5698" s="164"/>
      <c r="E5698" s="164"/>
      <c r="F5698" s="165"/>
    </row>
    <row r="5699" spans="1:6" x14ac:dyDescent="0.2">
      <c r="A5699" s="166"/>
      <c r="B5699" s="167"/>
      <c r="C5699" s="167"/>
      <c r="D5699" s="167"/>
      <c r="E5699" s="167"/>
      <c r="F5699" s="168"/>
    </row>
    <row r="5700" spans="1:6" x14ac:dyDescent="0.2">
      <c r="A5700" s="163"/>
      <c r="B5700" s="164"/>
      <c r="C5700" s="164"/>
      <c r="D5700" s="164"/>
      <c r="E5700" s="164"/>
      <c r="F5700" s="165"/>
    </row>
    <row r="5701" spans="1:6" x14ac:dyDescent="0.2">
      <c r="A5701" s="166"/>
      <c r="B5701" s="167"/>
      <c r="C5701" s="167"/>
      <c r="D5701" s="167"/>
      <c r="E5701" s="167"/>
      <c r="F5701" s="168"/>
    </row>
    <row r="5702" spans="1:6" x14ac:dyDescent="0.2">
      <c r="A5702" s="163"/>
      <c r="B5702" s="164"/>
      <c r="C5702" s="164"/>
      <c r="D5702" s="164"/>
      <c r="E5702" s="164"/>
      <c r="F5702" s="165"/>
    </row>
    <row r="5703" spans="1:6" x14ac:dyDescent="0.2">
      <c r="A5703" s="166"/>
      <c r="B5703" s="167"/>
      <c r="C5703" s="167"/>
      <c r="D5703" s="167"/>
      <c r="E5703" s="167"/>
      <c r="F5703" s="168"/>
    </row>
    <row r="5704" spans="1:6" x14ac:dyDescent="0.2">
      <c r="A5704" s="163"/>
      <c r="B5704" s="164"/>
      <c r="C5704" s="164"/>
      <c r="D5704" s="164"/>
      <c r="E5704" s="164"/>
      <c r="F5704" s="165"/>
    </row>
    <row r="5705" spans="1:6" x14ac:dyDescent="0.2">
      <c r="A5705" s="166"/>
      <c r="B5705" s="167"/>
      <c r="C5705" s="167"/>
      <c r="D5705" s="167"/>
      <c r="E5705" s="167"/>
      <c r="F5705" s="168"/>
    </row>
    <row r="5706" spans="1:6" x14ac:dyDescent="0.2">
      <c r="A5706" s="163"/>
      <c r="B5706" s="164"/>
      <c r="C5706" s="164"/>
      <c r="D5706" s="164"/>
      <c r="E5706" s="164"/>
      <c r="F5706" s="165"/>
    </row>
    <row r="5707" spans="1:6" x14ac:dyDescent="0.2">
      <c r="A5707" s="166"/>
      <c r="B5707" s="167"/>
      <c r="C5707" s="167"/>
      <c r="D5707" s="167"/>
      <c r="E5707" s="167"/>
      <c r="F5707" s="168"/>
    </row>
    <row r="5708" spans="1:6" x14ac:dyDescent="0.2">
      <c r="A5708" s="163"/>
      <c r="B5708" s="164"/>
      <c r="C5708" s="164"/>
      <c r="D5708" s="164"/>
      <c r="E5708" s="164"/>
      <c r="F5708" s="165"/>
    </row>
    <row r="5709" spans="1:6" x14ac:dyDescent="0.2">
      <c r="A5709" s="166"/>
      <c r="B5709" s="167"/>
      <c r="C5709" s="167"/>
      <c r="D5709" s="167"/>
      <c r="E5709" s="167"/>
      <c r="F5709" s="168"/>
    </row>
    <row r="5710" spans="1:6" x14ac:dyDescent="0.2">
      <c r="A5710" s="163"/>
      <c r="B5710" s="164"/>
      <c r="C5710" s="164"/>
      <c r="D5710" s="164"/>
      <c r="E5710" s="164"/>
      <c r="F5710" s="165"/>
    </row>
    <row r="5711" spans="1:6" x14ac:dyDescent="0.2">
      <c r="A5711" s="166"/>
      <c r="B5711" s="167"/>
      <c r="C5711" s="167"/>
      <c r="D5711" s="167"/>
      <c r="E5711" s="167"/>
      <c r="F5711" s="168"/>
    </row>
    <row r="5712" spans="1:6" x14ac:dyDescent="0.2">
      <c r="A5712" s="163"/>
      <c r="B5712" s="164"/>
      <c r="C5712" s="164"/>
      <c r="D5712" s="164"/>
      <c r="E5712" s="164"/>
      <c r="F5712" s="165"/>
    </row>
    <row r="5713" spans="1:6" x14ac:dyDescent="0.2">
      <c r="A5713" s="166"/>
      <c r="B5713" s="167"/>
      <c r="C5713" s="167"/>
      <c r="D5713" s="167"/>
      <c r="E5713" s="167"/>
      <c r="F5713" s="168"/>
    </row>
    <row r="5714" spans="1:6" x14ac:dyDescent="0.2">
      <c r="A5714" s="163"/>
      <c r="B5714" s="164"/>
      <c r="C5714" s="164"/>
      <c r="D5714" s="164"/>
      <c r="E5714" s="164"/>
      <c r="F5714" s="165"/>
    </row>
    <row r="5715" spans="1:6" x14ac:dyDescent="0.2">
      <c r="A5715" s="166"/>
      <c r="B5715" s="167"/>
      <c r="C5715" s="167"/>
      <c r="D5715" s="167"/>
      <c r="E5715" s="167"/>
      <c r="F5715" s="168"/>
    </row>
    <row r="5716" spans="1:6" x14ac:dyDescent="0.2">
      <c r="A5716" s="163"/>
      <c r="B5716" s="164"/>
      <c r="C5716" s="164"/>
      <c r="D5716" s="164"/>
      <c r="E5716" s="164"/>
      <c r="F5716" s="165"/>
    </row>
    <row r="5717" spans="1:6" x14ac:dyDescent="0.2">
      <c r="A5717" s="166"/>
      <c r="B5717" s="167"/>
      <c r="C5717" s="167"/>
      <c r="D5717" s="167"/>
      <c r="E5717" s="167"/>
      <c r="F5717" s="168"/>
    </row>
    <row r="5718" spans="1:6" x14ac:dyDescent="0.2">
      <c r="A5718" s="163"/>
      <c r="B5718" s="164"/>
      <c r="C5718" s="164"/>
      <c r="D5718" s="164"/>
      <c r="E5718" s="164"/>
      <c r="F5718" s="165"/>
    </row>
    <row r="5719" spans="1:6" x14ac:dyDescent="0.2">
      <c r="A5719" s="166"/>
      <c r="B5719" s="167"/>
      <c r="C5719" s="167"/>
      <c r="D5719" s="167"/>
      <c r="E5719" s="167"/>
      <c r="F5719" s="168"/>
    </row>
    <row r="5720" spans="1:6" x14ac:dyDescent="0.2">
      <c r="A5720" s="163"/>
      <c r="B5720" s="164"/>
      <c r="C5720" s="164"/>
      <c r="D5720" s="164"/>
      <c r="E5720" s="164"/>
      <c r="F5720" s="165"/>
    </row>
    <row r="5721" spans="1:6" x14ac:dyDescent="0.2">
      <c r="A5721" s="166"/>
      <c r="B5721" s="167"/>
      <c r="C5721" s="167"/>
      <c r="D5721" s="167"/>
      <c r="E5721" s="167"/>
      <c r="F5721" s="168"/>
    </row>
    <row r="5722" spans="1:6" x14ac:dyDescent="0.2">
      <c r="A5722" s="163"/>
      <c r="B5722" s="164"/>
      <c r="C5722" s="164"/>
      <c r="D5722" s="164"/>
      <c r="E5722" s="164"/>
      <c r="F5722" s="165"/>
    </row>
    <row r="5723" spans="1:6" x14ac:dyDescent="0.2">
      <c r="A5723" s="166"/>
      <c r="B5723" s="167"/>
      <c r="C5723" s="167"/>
      <c r="D5723" s="167"/>
      <c r="E5723" s="167"/>
      <c r="F5723" s="168"/>
    </row>
    <row r="5724" spans="1:6" x14ac:dyDescent="0.2">
      <c r="A5724" s="163"/>
      <c r="B5724" s="164"/>
      <c r="C5724" s="164"/>
      <c r="D5724" s="164"/>
      <c r="E5724" s="164"/>
      <c r="F5724" s="165"/>
    </row>
    <row r="5725" spans="1:6" x14ac:dyDescent="0.2">
      <c r="A5725" s="166"/>
      <c r="B5725" s="167"/>
      <c r="C5725" s="167"/>
      <c r="D5725" s="167"/>
      <c r="E5725" s="167"/>
      <c r="F5725" s="168"/>
    </row>
    <row r="5726" spans="1:6" x14ac:dyDescent="0.2">
      <c r="A5726" s="163"/>
      <c r="B5726" s="164"/>
      <c r="C5726" s="164"/>
      <c r="D5726" s="164"/>
      <c r="E5726" s="164"/>
      <c r="F5726" s="165"/>
    </row>
    <row r="5727" spans="1:6" x14ac:dyDescent="0.2">
      <c r="A5727" s="166"/>
      <c r="B5727" s="167"/>
      <c r="C5727" s="167"/>
      <c r="D5727" s="167"/>
      <c r="E5727" s="167"/>
      <c r="F5727" s="168"/>
    </row>
    <row r="5728" spans="1:6" x14ac:dyDescent="0.2">
      <c r="A5728" s="163"/>
      <c r="B5728" s="164"/>
      <c r="C5728" s="164"/>
      <c r="D5728" s="164"/>
      <c r="E5728" s="164"/>
      <c r="F5728" s="165"/>
    </row>
    <row r="5729" spans="1:6" x14ac:dyDescent="0.2">
      <c r="A5729" s="166"/>
      <c r="B5729" s="167"/>
      <c r="C5729" s="167"/>
      <c r="D5729" s="167"/>
      <c r="E5729" s="167"/>
      <c r="F5729" s="168"/>
    </row>
    <row r="5730" spans="1:6" x14ac:dyDescent="0.2">
      <c r="A5730" s="163"/>
      <c r="B5730" s="164"/>
      <c r="C5730" s="164"/>
      <c r="D5730" s="164"/>
      <c r="E5730" s="164"/>
      <c r="F5730" s="165"/>
    </row>
    <row r="5731" spans="1:6" x14ac:dyDescent="0.2">
      <c r="A5731" s="166"/>
      <c r="B5731" s="167"/>
      <c r="C5731" s="167"/>
      <c r="D5731" s="167"/>
      <c r="E5731" s="167"/>
      <c r="F5731" s="168"/>
    </row>
    <row r="5732" spans="1:6" x14ac:dyDescent="0.2">
      <c r="A5732" s="163"/>
      <c r="B5732" s="164"/>
      <c r="C5732" s="164"/>
      <c r="D5732" s="164"/>
      <c r="E5732" s="164"/>
      <c r="F5732" s="165"/>
    </row>
    <row r="5733" spans="1:6" x14ac:dyDescent="0.2">
      <c r="A5733" s="166"/>
      <c r="B5733" s="167"/>
      <c r="C5733" s="167"/>
      <c r="D5733" s="167"/>
      <c r="E5733" s="167"/>
      <c r="F5733" s="168"/>
    </row>
    <row r="5734" spans="1:6" x14ac:dyDescent="0.2">
      <c r="A5734" s="163"/>
      <c r="B5734" s="164"/>
      <c r="C5734" s="164"/>
      <c r="D5734" s="164"/>
      <c r="E5734" s="164"/>
      <c r="F5734" s="165"/>
    </row>
    <row r="5735" spans="1:6" x14ac:dyDescent="0.2">
      <c r="A5735" s="166"/>
      <c r="B5735" s="167"/>
      <c r="C5735" s="167"/>
      <c r="D5735" s="167"/>
      <c r="E5735" s="167"/>
      <c r="F5735" s="168"/>
    </row>
    <row r="5736" spans="1:6" x14ac:dyDescent="0.2">
      <c r="A5736" s="163"/>
      <c r="B5736" s="164"/>
      <c r="C5736" s="164"/>
      <c r="D5736" s="164"/>
      <c r="E5736" s="164"/>
      <c r="F5736" s="165"/>
    </row>
    <row r="5737" spans="1:6" x14ac:dyDescent="0.2">
      <c r="A5737" s="166"/>
      <c r="B5737" s="167"/>
      <c r="C5737" s="167"/>
      <c r="D5737" s="167"/>
      <c r="E5737" s="167"/>
      <c r="F5737" s="168"/>
    </row>
    <row r="5738" spans="1:6" x14ac:dyDescent="0.2">
      <c r="A5738" s="163"/>
      <c r="B5738" s="164"/>
      <c r="C5738" s="164"/>
      <c r="D5738" s="164"/>
      <c r="E5738" s="164"/>
      <c r="F5738" s="165"/>
    </row>
    <row r="5739" spans="1:6" x14ac:dyDescent="0.2">
      <c r="A5739" s="166"/>
      <c r="B5739" s="167"/>
      <c r="C5739" s="167"/>
      <c r="D5739" s="167"/>
      <c r="E5739" s="167"/>
      <c r="F5739" s="168"/>
    </row>
    <row r="5740" spans="1:6" x14ac:dyDescent="0.2">
      <c r="A5740" s="163"/>
      <c r="B5740" s="164"/>
      <c r="C5740" s="164"/>
      <c r="D5740" s="164"/>
      <c r="E5740" s="164"/>
      <c r="F5740" s="165"/>
    </row>
    <row r="5741" spans="1:6" x14ac:dyDescent="0.2">
      <c r="A5741" s="166"/>
      <c r="B5741" s="167"/>
      <c r="C5741" s="167"/>
      <c r="D5741" s="167"/>
      <c r="E5741" s="167"/>
      <c r="F5741" s="168"/>
    </row>
    <row r="5742" spans="1:6" x14ac:dyDescent="0.2">
      <c r="A5742" s="163"/>
      <c r="B5742" s="164"/>
      <c r="C5742" s="164"/>
      <c r="D5742" s="164"/>
      <c r="E5742" s="164"/>
      <c r="F5742" s="165"/>
    </row>
    <row r="5743" spans="1:6" x14ac:dyDescent="0.2">
      <c r="A5743" s="166"/>
      <c r="B5743" s="167"/>
      <c r="C5743" s="167"/>
      <c r="D5743" s="167"/>
      <c r="E5743" s="167"/>
      <c r="F5743" s="168"/>
    </row>
    <row r="5744" spans="1:6" x14ac:dyDescent="0.2">
      <c r="A5744" s="163"/>
      <c r="B5744" s="164"/>
      <c r="C5744" s="164"/>
      <c r="D5744" s="164"/>
      <c r="E5744" s="164"/>
      <c r="F5744" s="165"/>
    </row>
    <row r="5745" spans="1:6" x14ac:dyDescent="0.2">
      <c r="A5745" s="166"/>
      <c r="B5745" s="167"/>
      <c r="C5745" s="167"/>
      <c r="D5745" s="167"/>
      <c r="E5745" s="167"/>
      <c r="F5745" s="168"/>
    </row>
    <row r="5746" spans="1:6" x14ac:dyDescent="0.2">
      <c r="A5746" s="163"/>
      <c r="B5746" s="164"/>
      <c r="C5746" s="164"/>
      <c r="D5746" s="164"/>
      <c r="E5746" s="164"/>
      <c r="F5746" s="165"/>
    </row>
    <row r="5747" spans="1:6" x14ac:dyDescent="0.2">
      <c r="A5747" s="166"/>
      <c r="B5747" s="167"/>
      <c r="C5747" s="167"/>
      <c r="D5747" s="167"/>
      <c r="E5747" s="167"/>
      <c r="F5747" s="168"/>
    </row>
    <row r="5748" spans="1:6" x14ac:dyDescent="0.2">
      <c r="A5748" s="163"/>
      <c r="B5748" s="164"/>
      <c r="C5748" s="164"/>
      <c r="D5748" s="164"/>
      <c r="E5748" s="164"/>
      <c r="F5748" s="165"/>
    </row>
    <row r="5749" spans="1:6" x14ac:dyDescent="0.2">
      <c r="A5749" s="166"/>
      <c r="B5749" s="167"/>
      <c r="C5749" s="167"/>
      <c r="D5749" s="167"/>
      <c r="E5749" s="167"/>
      <c r="F5749" s="168"/>
    </row>
    <row r="5750" spans="1:6" x14ac:dyDescent="0.2">
      <c r="A5750" s="163"/>
      <c r="B5750" s="164"/>
      <c r="C5750" s="164"/>
      <c r="D5750" s="164"/>
      <c r="E5750" s="164"/>
      <c r="F5750" s="165"/>
    </row>
    <row r="5751" spans="1:6" x14ac:dyDescent="0.2">
      <c r="A5751" s="166"/>
      <c r="B5751" s="167"/>
      <c r="C5751" s="167"/>
      <c r="D5751" s="167"/>
      <c r="E5751" s="167"/>
      <c r="F5751" s="168"/>
    </row>
    <row r="5752" spans="1:6" x14ac:dyDescent="0.2">
      <c r="A5752" s="163"/>
      <c r="B5752" s="164"/>
      <c r="C5752" s="164"/>
      <c r="D5752" s="164"/>
      <c r="E5752" s="164"/>
      <c r="F5752" s="165"/>
    </row>
    <row r="5753" spans="1:6" x14ac:dyDescent="0.2">
      <c r="A5753" s="166"/>
      <c r="B5753" s="167"/>
      <c r="C5753" s="167"/>
      <c r="D5753" s="167"/>
      <c r="E5753" s="167"/>
      <c r="F5753" s="168"/>
    </row>
    <row r="5754" spans="1:6" x14ac:dyDescent="0.2">
      <c r="A5754" s="163"/>
      <c r="B5754" s="164"/>
      <c r="C5754" s="164"/>
      <c r="D5754" s="164"/>
      <c r="E5754" s="164"/>
      <c r="F5754" s="165"/>
    </row>
    <row r="5755" spans="1:6" x14ac:dyDescent="0.2">
      <c r="A5755" s="166"/>
      <c r="B5755" s="167"/>
      <c r="C5755" s="167"/>
      <c r="D5755" s="167"/>
      <c r="E5755" s="167"/>
      <c r="F5755" s="168"/>
    </row>
    <row r="5756" spans="1:6" x14ac:dyDescent="0.2">
      <c r="A5756" s="163"/>
      <c r="B5756" s="164"/>
      <c r="C5756" s="164"/>
      <c r="D5756" s="164"/>
      <c r="E5756" s="164"/>
      <c r="F5756" s="165"/>
    </row>
    <row r="5757" spans="1:6" x14ac:dyDescent="0.2">
      <c r="A5757" s="166"/>
      <c r="B5757" s="167"/>
      <c r="C5757" s="167"/>
      <c r="D5757" s="167"/>
      <c r="E5757" s="167"/>
      <c r="F5757" s="168"/>
    </row>
    <row r="5758" spans="1:6" x14ac:dyDescent="0.2">
      <c r="A5758" s="163"/>
      <c r="B5758" s="164"/>
      <c r="C5758" s="164"/>
      <c r="D5758" s="164"/>
      <c r="E5758" s="164"/>
      <c r="F5758" s="165"/>
    </row>
    <row r="5759" spans="1:6" x14ac:dyDescent="0.2">
      <c r="A5759" s="166"/>
      <c r="B5759" s="167"/>
      <c r="C5759" s="167"/>
      <c r="D5759" s="167"/>
      <c r="E5759" s="167"/>
      <c r="F5759" s="168"/>
    </row>
    <row r="5760" spans="1:6" x14ac:dyDescent="0.2">
      <c r="A5760" s="163"/>
      <c r="B5760" s="164"/>
      <c r="C5760" s="164"/>
      <c r="D5760" s="164"/>
      <c r="E5760" s="164"/>
      <c r="F5760" s="165"/>
    </row>
    <row r="5761" spans="1:6" x14ac:dyDescent="0.2">
      <c r="A5761" s="166"/>
      <c r="B5761" s="167"/>
      <c r="C5761" s="167"/>
      <c r="D5761" s="167"/>
      <c r="E5761" s="167"/>
      <c r="F5761" s="168"/>
    </row>
    <row r="5762" spans="1:6" x14ac:dyDescent="0.2">
      <c r="A5762" s="163"/>
      <c r="B5762" s="164"/>
      <c r="C5762" s="164"/>
      <c r="D5762" s="164"/>
      <c r="E5762" s="164"/>
      <c r="F5762" s="165"/>
    </row>
    <row r="5763" spans="1:6" x14ac:dyDescent="0.2">
      <c r="A5763" s="166"/>
      <c r="B5763" s="167"/>
      <c r="C5763" s="167"/>
      <c r="D5763" s="167"/>
      <c r="E5763" s="167"/>
      <c r="F5763" s="168"/>
    </row>
    <row r="5764" spans="1:6" x14ac:dyDescent="0.2">
      <c r="A5764" s="163"/>
      <c r="B5764" s="164"/>
      <c r="C5764" s="164"/>
      <c r="D5764" s="164"/>
      <c r="E5764" s="164"/>
      <c r="F5764" s="165"/>
    </row>
    <row r="5765" spans="1:6" x14ac:dyDescent="0.2">
      <c r="A5765" s="166"/>
      <c r="B5765" s="167"/>
      <c r="C5765" s="167"/>
      <c r="D5765" s="167"/>
      <c r="E5765" s="167"/>
      <c r="F5765" s="168"/>
    </row>
    <row r="5766" spans="1:6" x14ac:dyDescent="0.2">
      <c r="A5766" s="163"/>
      <c r="B5766" s="164"/>
      <c r="C5766" s="164"/>
      <c r="D5766" s="164"/>
      <c r="E5766" s="164"/>
      <c r="F5766" s="165"/>
    </row>
    <row r="5767" spans="1:6" x14ac:dyDescent="0.2">
      <c r="A5767" s="166"/>
      <c r="B5767" s="167"/>
      <c r="C5767" s="167"/>
      <c r="D5767" s="167"/>
      <c r="E5767" s="167"/>
      <c r="F5767" s="168"/>
    </row>
    <row r="5768" spans="1:6" x14ac:dyDescent="0.2">
      <c r="A5768" s="163"/>
      <c r="B5768" s="164"/>
      <c r="C5768" s="164"/>
      <c r="D5768" s="164"/>
      <c r="E5768" s="164"/>
      <c r="F5768" s="165"/>
    </row>
    <row r="5769" spans="1:6" x14ac:dyDescent="0.2">
      <c r="A5769" s="166"/>
      <c r="B5769" s="167"/>
      <c r="C5769" s="167"/>
      <c r="D5769" s="167"/>
      <c r="E5769" s="167"/>
      <c r="F5769" s="168"/>
    </row>
    <row r="5770" spans="1:6" x14ac:dyDescent="0.2">
      <c r="A5770" s="163"/>
      <c r="B5770" s="164"/>
      <c r="C5770" s="164"/>
      <c r="D5770" s="164"/>
      <c r="E5770" s="164"/>
      <c r="F5770" s="165"/>
    </row>
    <row r="5771" spans="1:6" x14ac:dyDescent="0.2">
      <c r="A5771" s="166"/>
      <c r="B5771" s="167"/>
      <c r="C5771" s="167"/>
      <c r="D5771" s="167"/>
      <c r="E5771" s="167"/>
      <c r="F5771" s="168"/>
    </row>
    <row r="5772" spans="1:6" x14ac:dyDescent="0.2">
      <c r="A5772" s="163"/>
      <c r="B5772" s="164"/>
      <c r="C5772" s="164"/>
      <c r="D5772" s="164"/>
      <c r="E5772" s="164"/>
      <c r="F5772" s="165"/>
    </row>
    <row r="5773" spans="1:6" x14ac:dyDescent="0.2">
      <c r="A5773" s="166"/>
      <c r="B5773" s="167"/>
      <c r="C5773" s="167"/>
      <c r="D5773" s="167"/>
      <c r="E5773" s="167"/>
      <c r="F5773" s="168"/>
    </row>
    <row r="5774" spans="1:6" x14ac:dyDescent="0.2">
      <c r="A5774" s="163"/>
      <c r="B5774" s="164"/>
      <c r="C5774" s="164"/>
      <c r="D5774" s="164"/>
      <c r="E5774" s="164"/>
      <c r="F5774" s="165"/>
    </row>
    <row r="5775" spans="1:6" x14ac:dyDescent="0.2">
      <c r="A5775" s="166"/>
      <c r="B5775" s="167"/>
      <c r="C5775" s="167"/>
      <c r="D5775" s="167"/>
      <c r="E5775" s="167"/>
      <c r="F5775" s="168"/>
    </row>
    <row r="5776" spans="1:6" x14ac:dyDescent="0.2">
      <c r="A5776" s="163"/>
      <c r="B5776" s="164"/>
      <c r="C5776" s="164"/>
      <c r="D5776" s="164"/>
      <c r="E5776" s="164"/>
      <c r="F5776" s="165"/>
    </row>
    <row r="5777" spans="1:6" x14ac:dyDescent="0.2">
      <c r="A5777" s="166"/>
      <c r="B5777" s="167"/>
      <c r="C5777" s="167"/>
      <c r="D5777" s="167"/>
      <c r="E5777" s="167"/>
      <c r="F5777" s="168"/>
    </row>
    <row r="5778" spans="1:6" x14ac:dyDescent="0.2">
      <c r="A5778" s="163"/>
      <c r="B5778" s="164"/>
      <c r="C5778" s="164"/>
      <c r="D5778" s="164"/>
      <c r="E5778" s="164"/>
      <c r="F5778" s="165"/>
    </row>
    <row r="5779" spans="1:6" x14ac:dyDescent="0.2">
      <c r="A5779" s="166"/>
      <c r="B5779" s="167"/>
      <c r="C5779" s="167"/>
      <c r="D5779" s="167"/>
      <c r="E5779" s="167"/>
      <c r="F5779" s="168"/>
    </row>
    <row r="5780" spans="1:6" x14ac:dyDescent="0.2">
      <c r="A5780" s="163"/>
      <c r="B5780" s="164"/>
      <c r="C5780" s="164"/>
      <c r="D5780" s="164"/>
      <c r="E5780" s="164"/>
      <c r="F5780" s="165"/>
    </row>
    <row r="5781" spans="1:6" x14ac:dyDescent="0.2">
      <c r="A5781" s="166"/>
      <c r="B5781" s="167"/>
      <c r="C5781" s="167"/>
      <c r="D5781" s="167"/>
      <c r="E5781" s="167"/>
      <c r="F5781" s="168"/>
    </row>
    <row r="5782" spans="1:6" x14ac:dyDescent="0.2">
      <c r="A5782" s="163"/>
      <c r="B5782" s="164"/>
      <c r="C5782" s="164"/>
      <c r="D5782" s="164"/>
      <c r="E5782" s="164"/>
      <c r="F5782" s="165"/>
    </row>
    <row r="5783" spans="1:6" x14ac:dyDescent="0.2">
      <c r="A5783" s="166"/>
      <c r="B5783" s="167"/>
      <c r="C5783" s="167"/>
      <c r="D5783" s="167"/>
      <c r="E5783" s="167"/>
      <c r="F5783" s="168"/>
    </row>
    <row r="5784" spans="1:6" x14ac:dyDescent="0.2">
      <c r="A5784" s="163"/>
      <c r="B5784" s="164"/>
      <c r="C5784" s="164"/>
      <c r="D5784" s="164"/>
      <c r="E5784" s="164"/>
      <c r="F5784" s="165"/>
    </row>
    <row r="5785" spans="1:6" x14ac:dyDescent="0.2">
      <c r="A5785" s="166"/>
      <c r="B5785" s="167"/>
      <c r="C5785" s="167"/>
      <c r="D5785" s="167"/>
      <c r="E5785" s="167"/>
      <c r="F5785" s="168"/>
    </row>
    <row r="5786" spans="1:6" x14ac:dyDescent="0.2">
      <c r="A5786" s="163"/>
      <c r="B5786" s="164"/>
      <c r="C5786" s="164"/>
      <c r="D5786" s="164"/>
      <c r="E5786" s="164"/>
      <c r="F5786" s="165"/>
    </row>
    <row r="5787" spans="1:6" x14ac:dyDescent="0.2">
      <c r="A5787" s="166"/>
      <c r="B5787" s="167"/>
      <c r="C5787" s="167"/>
      <c r="D5787" s="167"/>
      <c r="E5787" s="167"/>
      <c r="F5787" s="168"/>
    </row>
    <row r="5788" spans="1:6" x14ac:dyDescent="0.2">
      <c r="A5788" s="163"/>
      <c r="B5788" s="164"/>
      <c r="C5788" s="164"/>
      <c r="D5788" s="164"/>
      <c r="E5788" s="164"/>
      <c r="F5788" s="165"/>
    </row>
    <row r="5789" spans="1:6" x14ac:dyDescent="0.2">
      <c r="A5789" s="166"/>
      <c r="B5789" s="167"/>
      <c r="C5789" s="167"/>
      <c r="D5789" s="167"/>
      <c r="E5789" s="167"/>
      <c r="F5789" s="168"/>
    </row>
    <row r="5790" spans="1:6" x14ac:dyDescent="0.2">
      <c r="A5790" s="163"/>
      <c r="B5790" s="164"/>
      <c r="C5790" s="164"/>
      <c r="D5790" s="164"/>
      <c r="E5790" s="164"/>
      <c r="F5790" s="165"/>
    </row>
    <row r="5791" spans="1:6" x14ac:dyDescent="0.2">
      <c r="A5791" s="166"/>
      <c r="B5791" s="167"/>
      <c r="C5791" s="167"/>
      <c r="D5791" s="167"/>
      <c r="E5791" s="167"/>
      <c r="F5791" s="168"/>
    </row>
    <row r="5792" spans="1:6" x14ac:dyDescent="0.2">
      <c r="A5792" s="163"/>
      <c r="B5792" s="164"/>
      <c r="C5792" s="164"/>
      <c r="D5792" s="164"/>
      <c r="E5792" s="164"/>
      <c r="F5792" s="165"/>
    </row>
    <row r="5793" spans="1:6" x14ac:dyDescent="0.2">
      <c r="A5793" s="166"/>
      <c r="B5793" s="167"/>
      <c r="C5793" s="167"/>
      <c r="D5793" s="167"/>
      <c r="E5793" s="167"/>
      <c r="F5793" s="168"/>
    </row>
    <row r="5794" spans="1:6" x14ac:dyDescent="0.2">
      <c r="A5794" s="163"/>
      <c r="B5794" s="164"/>
      <c r="C5794" s="164"/>
      <c r="D5794" s="164"/>
      <c r="E5794" s="164"/>
      <c r="F5794" s="165"/>
    </row>
    <row r="5795" spans="1:6" x14ac:dyDescent="0.2">
      <c r="A5795" s="166"/>
      <c r="B5795" s="167"/>
      <c r="C5795" s="167"/>
      <c r="D5795" s="167"/>
      <c r="E5795" s="167"/>
      <c r="F5795" s="168"/>
    </row>
    <row r="5796" spans="1:6" x14ac:dyDescent="0.2">
      <c r="A5796" s="163"/>
      <c r="B5796" s="164"/>
      <c r="C5796" s="164"/>
      <c r="D5796" s="164"/>
      <c r="E5796" s="164"/>
      <c r="F5796" s="165"/>
    </row>
    <row r="5797" spans="1:6" x14ac:dyDescent="0.2">
      <c r="A5797" s="166"/>
      <c r="B5797" s="167"/>
      <c r="C5797" s="167"/>
      <c r="D5797" s="167"/>
      <c r="E5797" s="167"/>
      <c r="F5797" s="168"/>
    </row>
    <row r="5798" spans="1:6" x14ac:dyDescent="0.2">
      <c r="A5798" s="163"/>
      <c r="B5798" s="164"/>
      <c r="C5798" s="164"/>
      <c r="D5798" s="164"/>
      <c r="E5798" s="164"/>
      <c r="F5798" s="165"/>
    </row>
    <row r="5799" spans="1:6" x14ac:dyDescent="0.2">
      <c r="A5799" s="166"/>
      <c r="B5799" s="167"/>
      <c r="C5799" s="167"/>
      <c r="D5799" s="167"/>
      <c r="E5799" s="167"/>
      <c r="F5799" s="168"/>
    </row>
    <row r="5800" spans="1:6" x14ac:dyDescent="0.2">
      <c r="A5800" s="163"/>
      <c r="B5800" s="164"/>
      <c r="C5800" s="164"/>
      <c r="D5800" s="164"/>
      <c r="E5800" s="164"/>
      <c r="F5800" s="165"/>
    </row>
    <row r="5801" spans="1:6" x14ac:dyDescent="0.2">
      <c r="A5801" s="166"/>
      <c r="B5801" s="167"/>
      <c r="C5801" s="167"/>
      <c r="D5801" s="167"/>
      <c r="E5801" s="167"/>
      <c r="F5801" s="168"/>
    </row>
    <row r="5802" spans="1:6" x14ac:dyDescent="0.2">
      <c r="A5802" s="163"/>
      <c r="B5802" s="164"/>
      <c r="C5802" s="164"/>
      <c r="D5802" s="164"/>
      <c r="E5802" s="164"/>
      <c r="F5802" s="165"/>
    </row>
    <row r="5803" spans="1:6" x14ac:dyDescent="0.2">
      <c r="A5803" s="166"/>
      <c r="B5803" s="167"/>
      <c r="C5803" s="167"/>
      <c r="D5803" s="167"/>
      <c r="E5803" s="167"/>
      <c r="F5803" s="168"/>
    </row>
    <row r="5804" spans="1:6" x14ac:dyDescent="0.2">
      <c r="A5804" s="163"/>
      <c r="B5804" s="164"/>
      <c r="C5804" s="164"/>
      <c r="D5804" s="164"/>
      <c r="E5804" s="164"/>
      <c r="F5804" s="165"/>
    </row>
    <row r="5805" spans="1:6" x14ac:dyDescent="0.2">
      <c r="A5805" s="166"/>
      <c r="B5805" s="167"/>
      <c r="C5805" s="167"/>
      <c r="D5805" s="167"/>
      <c r="E5805" s="167"/>
      <c r="F5805" s="168"/>
    </row>
    <row r="5806" spans="1:6" x14ac:dyDescent="0.2">
      <c r="A5806" s="163"/>
      <c r="B5806" s="164"/>
      <c r="C5806" s="164"/>
      <c r="D5806" s="164"/>
      <c r="E5806" s="164"/>
      <c r="F5806" s="165"/>
    </row>
    <row r="5807" spans="1:6" x14ac:dyDescent="0.2">
      <c r="A5807" s="166"/>
      <c r="B5807" s="167"/>
      <c r="C5807" s="167"/>
      <c r="D5807" s="167"/>
      <c r="E5807" s="167"/>
      <c r="F5807" s="168"/>
    </row>
    <row r="5808" spans="1:6" x14ac:dyDescent="0.2">
      <c r="A5808" s="163"/>
      <c r="B5808" s="164"/>
      <c r="C5808" s="164"/>
      <c r="D5808" s="164"/>
      <c r="E5808" s="164"/>
      <c r="F5808" s="165"/>
    </row>
    <row r="5809" spans="1:6" x14ac:dyDescent="0.2">
      <c r="A5809" s="166"/>
      <c r="B5809" s="167"/>
      <c r="C5809" s="167"/>
      <c r="D5809" s="167"/>
      <c r="E5809" s="167"/>
      <c r="F5809" s="168"/>
    </row>
    <row r="5810" spans="1:6" x14ac:dyDescent="0.2">
      <c r="A5810" s="163"/>
      <c r="B5810" s="164"/>
      <c r="C5810" s="164"/>
      <c r="D5810" s="164"/>
      <c r="E5810" s="164"/>
      <c r="F5810" s="165"/>
    </row>
    <row r="5811" spans="1:6" x14ac:dyDescent="0.2">
      <c r="A5811" s="166"/>
      <c r="B5811" s="167"/>
      <c r="C5811" s="167"/>
      <c r="D5811" s="167"/>
      <c r="E5811" s="167"/>
      <c r="F5811" s="168"/>
    </row>
    <row r="5812" spans="1:6" x14ac:dyDescent="0.2">
      <c r="A5812" s="163"/>
      <c r="B5812" s="164"/>
      <c r="C5812" s="164"/>
      <c r="D5812" s="164"/>
      <c r="E5812" s="164"/>
      <c r="F5812" s="165"/>
    </row>
    <row r="5813" spans="1:6" x14ac:dyDescent="0.2">
      <c r="A5813" s="166"/>
      <c r="B5813" s="167"/>
      <c r="C5813" s="167"/>
      <c r="D5813" s="167"/>
      <c r="E5813" s="167"/>
      <c r="F5813" s="168"/>
    </row>
    <row r="5814" spans="1:6" x14ac:dyDescent="0.2">
      <c r="A5814" s="163"/>
      <c r="B5814" s="164"/>
      <c r="C5814" s="164"/>
      <c r="D5814" s="164"/>
      <c r="E5814" s="164"/>
      <c r="F5814" s="165"/>
    </row>
    <row r="5815" spans="1:6" x14ac:dyDescent="0.2">
      <c r="A5815" s="166"/>
      <c r="B5815" s="167"/>
      <c r="C5815" s="167"/>
      <c r="D5815" s="167"/>
      <c r="E5815" s="167"/>
      <c r="F5815" s="168"/>
    </row>
    <row r="5816" spans="1:6" x14ac:dyDescent="0.2">
      <c r="A5816" s="163"/>
      <c r="B5816" s="164"/>
      <c r="C5816" s="164"/>
      <c r="D5816" s="164"/>
      <c r="E5816" s="164"/>
      <c r="F5816" s="165"/>
    </row>
    <row r="5817" spans="1:6" x14ac:dyDescent="0.2">
      <c r="A5817" s="166"/>
      <c r="B5817" s="167"/>
      <c r="C5817" s="167"/>
      <c r="D5817" s="167"/>
      <c r="E5817" s="167"/>
      <c r="F5817" s="168"/>
    </row>
    <row r="5818" spans="1:6" x14ac:dyDescent="0.2">
      <c r="A5818" s="163"/>
      <c r="B5818" s="164"/>
      <c r="C5818" s="164"/>
      <c r="D5818" s="164"/>
      <c r="E5818" s="164"/>
      <c r="F5818" s="165"/>
    </row>
    <row r="5819" spans="1:6" x14ac:dyDescent="0.2">
      <c r="A5819" s="166"/>
      <c r="B5819" s="167"/>
      <c r="C5819" s="167"/>
      <c r="D5819" s="167"/>
      <c r="E5819" s="167"/>
      <c r="F5819" s="168"/>
    </row>
    <row r="5820" spans="1:6" x14ac:dyDescent="0.2">
      <c r="A5820" s="163"/>
      <c r="B5820" s="164"/>
      <c r="C5820" s="164"/>
      <c r="D5820" s="164"/>
      <c r="E5820" s="164"/>
      <c r="F5820" s="165"/>
    </row>
    <row r="5821" spans="1:6" x14ac:dyDescent="0.2">
      <c r="A5821" s="166"/>
      <c r="B5821" s="167"/>
      <c r="C5821" s="167"/>
      <c r="D5821" s="167"/>
      <c r="E5821" s="167"/>
      <c r="F5821" s="168"/>
    </row>
    <row r="5822" spans="1:6" x14ac:dyDescent="0.2">
      <c r="A5822" s="163"/>
      <c r="B5822" s="164"/>
      <c r="C5822" s="164"/>
      <c r="D5822" s="164"/>
      <c r="E5822" s="164"/>
      <c r="F5822" s="165"/>
    </row>
    <row r="5823" spans="1:6" x14ac:dyDescent="0.2">
      <c r="A5823" s="166"/>
      <c r="B5823" s="167"/>
      <c r="C5823" s="167"/>
      <c r="D5823" s="167"/>
      <c r="E5823" s="167"/>
      <c r="F5823" s="168"/>
    </row>
    <row r="5824" spans="1:6" x14ac:dyDescent="0.2">
      <c r="A5824" s="163"/>
      <c r="B5824" s="164"/>
      <c r="C5824" s="164"/>
      <c r="D5824" s="164"/>
      <c r="E5824" s="164"/>
      <c r="F5824" s="165"/>
    </row>
    <row r="5825" spans="1:6" x14ac:dyDescent="0.2">
      <c r="A5825" s="166"/>
      <c r="B5825" s="167"/>
      <c r="C5825" s="167"/>
      <c r="D5825" s="167"/>
      <c r="E5825" s="167"/>
      <c r="F5825" s="168"/>
    </row>
    <row r="5826" spans="1:6" x14ac:dyDescent="0.2">
      <c r="A5826" s="163"/>
      <c r="B5826" s="164"/>
      <c r="C5826" s="164"/>
      <c r="D5826" s="164"/>
      <c r="E5826" s="164"/>
      <c r="F5826" s="165"/>
    </row>
    <row r="5827" spans="1:6" x14ac:dyDescent="0.2">
      <c r="A5827" s="166"/>
      <c r="B5827" s="167"/>
      <c r="C5827" s="167"/>
      <c r="D5827" s="167"/>
      <c r="E5827" s="167"/>
      <c r="F5827" s="168"/>
    </row>
    <row r="5828" spans="1:6" x14ac:dyDescent="0.2">
      <c r="A5828" s="163"/>
      <c r="B5828" s="164"/>
      <c r="C5828" s="164"/>
      <c r="D5828" s="164"/>
      <c r="E5828" s="164"/>
      <c r="F5828" s="165"/>
    </row>
    <row r="5829" spans="1:6" x14ac:dyDescent="0.2">
      <c r="A5829" s="166"/>
      <c r="B5829" s="167"/>
      <c r="C5829" s="167"/>
      <c r="D5829" s="167"/>
      <c r="E5829" s="167"/>
      <c r="F5829" s="168"/>
    </row>
    <row r="5830" spans="1:6" x14ac:dyDescent="0.2">
      <c r="A5830" s="163"/>
      <c r="B5830" s="164"/>
      <c r="C5830" s="164"/>
      <c r="D5830" s="164"/>
      <c r="E5830" s="164"/>
      <c r="F5830" s="165"/>
    </row>
    <row r="5831" spans="1:6" x14ac:dyDescent="0.2">
      <c r="A5831" s="166"/>
      <c r="B5831" s="167"/>
      <c r="C5831" s="167"/>
      <c r="D5831" s="167"/>
      <c r="E5831" s="167"/>
      <c r="F5831" s="168"/>
    </row>
    <row r="5832" spans="1:6" x14ac:dyDescent="0.2">
      <c r="A5832" s="163"/>
      <c r="B5832" s="164"/>
      <c r="C5832" s="164"/>
      <c r="D5832" s="164"/>
      <c r="E5832" s="164"/>
      <c r="F5832" s="165"/>
    </row>
    <row r="5833" spans="1:6" x14ac:dyDescent="0.2">
      <c r="A5833" s="166"/>
      <c r="B5833" s="167"/>
      <c r="C5833" s="167"/>
      <c r="D5833" s="167"/>
      <c r="E5833" s="167"/>
      <c r="F5833" s="168"/>
    </row>
    <row r="5834" spans="1:6" x14ac:dyDescent="0.2">
      <c r="A5834" s="163"/>
      <c r="B5834" s="164"/>
      <c r="C5834" s="164"/>
      <c r="D5834" s="164"/>
      <c r="E5834" s="164"/>
      <c r="F5834" s="165"/>
    </row>
    <row r="5835" spans="1:6" x14ac:dyDescent="0.2">
      <c r="A5835" s="166"/>
      <c r="B5835" s="167"/>
      <c r="C5835" s="167"/>
      <c r="D5835" s="167"/>
      <c r="E5835" s="167"/>
      <c r="F5835" s="168"/>
    </row>
    <row r="5836" spans="1:6" x14ac:dyDescent="0.2">
      <c r="A5836" s="163"/>
      <c r="B5836" s="164"/>
      <c r="C5836" s="164"/>
      <c r="D5836" s="164"/>
      <c r="E5836" s="164"/>
      <c r="F5836" s="165"/>
    </row>
    <row r="5837" spans="1:6" x14ac:dyDescent="0.2">
      <c r="A5837" s="166"/>
      <c r="B5837" s="167"/>
      <c r="C5837" s="167"/>
      <c r="D5837" s="167"/>
      <c r="E5837" s="167"/>
      <c r="F5837" s="168"/>
    </row>
    <row r="5838" spans="1:6" x14ac:dyDescent="0.2">
      <c r="A5838" s="163"/>
      <c r="B5838" s="164"/>
      <c r="C5838" s="164"/>
      <c r="D5838" s="164"/>
      <c r="E5838" s="164"/>
      <c r="F5838" s="165"/>
    </row>
    <row r="5839" spans="1:6" x14ac:dyDescent="0.2">
      <c r="A5839" s="166"/>
      <c r="B5839" s="167"/>
      <c r="C5839" s="167"/>
      <c r="D5839" s="167"/>
      <c r="E5839" s="167"/>
      <c r="F5839" s="168"/>
    </row>
    <row r="5840" spans="1:6" x14ac:dyDescent="0.2">
      <c r="A5840" s="163"/>
      <c r="B5840" s="164"/>
      <c r="C5840" s="164"/>
      <c r="D5840" s="164"/>
      <c r="E5840" s="164"/>
      <c r="F5840" s="165"/>
    </row>
    <row r="5841" spans="1:6" x14ac:dyDescent="0.2">
      <c r="A5841" s="166"/>
      <c r="B5841" s="167"/>
      <c r="C5841" s="167"/>
      <c r="D5841" s="167"/>
      <c r="E5841" s="167"/>
      <c r="F5841" s="168"/>
    </row>
    <row r="5842" spans="1:6" x14ac:dyDescent="0.2">
      <c r="A5842" s="163"/>
      <c r="B5842" s="164"/>
      <c r="C5842" s="164"/>
      <c r="D5842" s="164"/>
      <c r="E5842" s="164"/>
      <c r="F5842" s="165"/>
    </row>
    <row r="5843" spans="1:6" x14ac:dyDescent="0.2">
      <c r="A5843" s="166"/>
      <c r="B5843" s="167"/>
      <c r="C5843" s="167"/>
      <c r="D5843" s="167"/>
      <c r="E5843" s="167"/>
      <c r="F5843" s="168"/>
    </row>
    <row r="5844" spans="1:6" x14ac:dyDescent="0.2">
      <c r="A5844" s="163"/>
      <c r="B5844" s="164"/>
      <c r="C5844" s="164"/>
      <c r="D5844" s="164"/>
      <c r="E5844" s="164"/>
      <c r="F5844" s="165"/>
    </row>
    <row r="5845" spans="1:6" x14ac:dyDescent="0.2">
      <c r="A5845" s="166"/>
      <c r="B5845" s="167"/>
      <c r="C5845" s="167"/>
      <c r="D5845" s="167"/>
      <c r="E5845" s="167"/>
      <c r="F5845" s="168"/>
    </row>
    <row r="5846" spans="1:6" x14ac:dyDescent="0.2">
      <c r="A5846" s="163"/>
      <c r="B5846" s="164"/>
      <c r="C5846" s="164"/>
      <c r="D5846" s="164"/>
      <c r="E5846" s="164"/>
      <c r="F5846" s="165"/>
    </row>
    <row r="5847" spans="1:6" x14ac:dyDescent="0.2">
      <c r="A5847" s="166"/>
      <c r="B5847" s="167"/>
      <c r="C5847" s="167"/>
      <c r="D5847" s="167"/>
      <c r="E5847" s="167"/>
      <c r="F5847" s="168"/>
    </row>
    <row r="5848" spans="1:6" x14ac:dyDescent="0.2">
      <c r="A5848" s="163"/>
      <c r="B5848" s="164"/>
      <c r="C5848" s="164"/>
      <c r="D5848" s="164"/>
      <c r="E5848" s="164"/>
      <c r="F5848" s="165"/>
    </row>
    <row r="5849" spans="1:6" x14ac:dyDescent="0.2">
      <c r="A5849" s="166"/>
      <c r="B5849" s="167"/>
      <c r="C5849" s="167"/>
      <c r="D5849" s="167"/>
      <c r="E5849" s="167"/>
      <c r="F5849" s="168"/>
    </row>
    <row r="5850" spans="1:6" x14ac:dyDescent="0.2">
      <c r="A5850" s="163"/>
      <c r="B5850" s="164"/>
      <c r="C5850" s="164"/>
      <c r="D5850" s="164"/>
      <c r="E5850" s="164"/>
      <c r="F5850" s="165"/>
    </row>
    <row r="5851" spans="1:6" x14ac:dyDescent="0.2">
      <c r="A5851" s="166"/>
      <c r="B5851" s="167"/>
      <c r="C5851" s="167"/>
      <c r="D5851" s="167"/>
      <c r="E5851" s="167"/>
      <c r="F5851" s="168"/>
    </row>
    <row r="5852" spans="1:6" x14ac:dyDescent="0.2">
      <c r="A5852" s="163"/>
      <c r="B5852" s="164"/>
      <c r="C5852" s="164"/>
      <c r="D5852" s="164"/>
      <c r="E5852" s="164"/>
      <c r="F5852" s="165"/>
    </row>
    <row r="5853" spans="1:6" x14ac:dyDescent="0.2">
      <c r="A5853" s="166"/>
      <c r="B5853" s="167"/>
      <c r="C5853" s="167"/>
      <c r="D5853" s="167"/>
      <c r="E5853" s="167"/>
      <c r="F5853" s="168"/>
    </row>
    <row r="5854" spans="1:6" x14ac:dyDescent="0.2">
      <c r="A5854" s="163"/>
      <c r="B5854" s="164"/>
      <c r="C5854" s="164"/>
      <c r="D5854" s="164"/>
      <c r="E5854" s="164"/>
      <c r="F5854" s="165"/>
    </row>
    <row r="5855" spans="1:6" x14ac:dyDescent="0.2">
      <c r="A5855" s="166"/>
      <c r="B5855" s="167"/>
      <c r="C5855" s="167"/>
      <c r="D5855" s="167"/>
      <c r="E5855" s="167"/>
      <c r="F5855" s="168"/>
    </row>
    <row r="5856" spans="1:6" x14ac:dyDescent="0.2">
      <c r="A5856" s="163"/>
      <c r="B5856" s="164"/>
      <c r="C5856" s="164"/>
      <c r="D5856" s="164"/>
      <c r="E5856" s="164"/>
      <c r="F5856" s="165"/>
    </row>
    <row r="5857" spans="1:6" x14ac:dyDescent="0.2">
      <c r="A5857" s="166"/>
      <c r="B5857" s="167"/>
      <c r="C5857" s="167"/>
      <c r="D5857" s="167"/>
      <c r="E5857" s="167"/>
      <c r="F5857" s="168"/>
    </row>
    <row r="5858" spans="1:6" x14ac:dyDescent="0.2">
      <c r="A5858" s="163"/>
      <c r="B5858" s="164"/>
      <c r="C5858" s="164"/>
      <c r="D5858" s="164"/>
      <c r="E5858" s="164"/>
      <c r="F5858" s="165"/>
    </row>
    <row r="5859" spans="1:6" x14ac:dyDescent="0.2">
      <c r="A5859" s="166"/>
      <c r="B5859" s="167"/>
      <c r="C5859" s="167"/>
      <c r="D5859" s="167"/>
      <c r="E5859" s="167"/>
      <c r="F5859" s="168"/>
    </row>
    <row r="5860" spans="1:6" x14ac:dyDescent="0.2">
      <c r="A5860" s="163"/>
      <c r="B5860" s="164"/>
      <c r="C5860" s="164"/>
      <c r="D5860" s="164"/>
      <c r="E5860" s="164"/>
      <c r="F5860" s="165"/>
    </row>
    <row r="5861" spans="1:6" x14ac:dyDescent="0.2">
      <c r="A5861" s="166"/>
      <c r="B5861" s="167"/>
      <c r="C5861" s="167"/>
      <c r="D5861" s="167"/>
      <c r="E5861" s="167"/>
      <c r="F5861" s="168"/>
    </row>
    <row r="5862" spans="1:6" x14ac:dyDescent="0.2">
      <c r="A5862" s="163"/>
      <c r="B5862" s="164"/>
      <c r="C5862" s="164"/>
      <c r="D5862" s="164"/>
      <c r="E5862" s="164"/>
      <c r="F5862" s="165"/>
    </row>
    <row r="5863" spans="1:6" x14ac:dyDescent="0.2">
      <c r="A5863" s="166"/>
      <c r="B5863" s="167"/>
      <c r="C5863" s="167"/>
      <c r="D5863" s="167"/>
      <c r="E5863" s="167"/>
      <c r="F5863" s="168"/>
    </row>
    <row r="5864" spans="1:6" x14ac:dyDescent="0.2">
      <c r="A5864" s="163"/>
      <c r="B5864" s="164"/>
      <c r="C5864" s="164"/>
      <c r="D5864" s="164"/>
      <c r="E5864" s="164"/>
      <c r="F5864" s="165"/>
    </row>
    <row r="5865" spans="1:6" x14ac:dyDescent="0.2">
      <c r="A5865" s="166"/>
      <c r="B5865" s="167"/>
      <c r="C5865" s="167"/>
      <c r="D5865" s="167"/>
      <c r="E5865" s="167"/>
      <c r="F5865" s="168"/>
    </row>
    <row r="5866" spans="1:6" x14ac:dyDescent="0.2">
      <c r="A5866" s="163"/>
      <c r="B5866" s="164"/>
      <c r="C5866" s="164"/>
      <c r="D5866" s="164"/>
      <c r="E5866" s="164"/>
      <c r="F5866" s="165"/>
    </row>
    <row r="5867" spans="1:6" x14ac:dyDescent="0.2">
      <c r="A5867" s="166"/>
      <c r="B5867" s="167"/>
      <c r="C5867" s="167"/>
      <c r="D5867" s="167"/>
      <c r="E5867" s="167"/>
      <c r="F5867" s="168"/>
    </row>
    <row r="5868" spans="1:6" x14ac:dyDescent="0.2">
      <c r="A5868" s="163"/>
      <c r="B5868" s="164"/>
      <c r="C5868" s="164"/>
      <c r="D5868" s="164"/>
      <c r="E5868" s="164"/>
      <c r="F5868" s="165"/>
    </row>
    <row r="5869" spans="1:6" x14ac:dyDescent="0.2">
      <c r="A5869" s="166"/>
      <c r="B5869" s="167"/>
      <c r="C5869" s="167"/>
      <c r="D5869" s="167"/>
      <c r="E5869" s="167"/>
      <c r="F5869" s="168"/>
    </row>
    <row r="5870" spans="1:6" x14ac:dyDescent="0.2">
      <c r="A5870" s="163"/>
      <c r="B5870" s="164"/>
      <c r="C5870" s="164"/>
      <c r="D5870" s="164"/>
      <c r="E5870" s="164"/>
      <c r="F5870" s="165"/>
    </row>
    <row r="5871" spans="1:6" x14ac:dyDescent="0.2">
      <c r="A5871" s="166"/>
      <c r="B5871" s="167"/>
      <c r="C5871" s="167"/>
      <c r="D5871" s="167"/>
      <c r="E5871" s="167"/>
      <c r="F5871" s="168"/>
    </row>
    <row r="5872" spans="1:6" x14ac:dyDescent="0.2">
      <c r="A5872" s="163"/>
      <c r="B5872" s="164"/>
      <c r="C5872" s="164"/>
      <c r="D5872" s="164"/>
      <c r="E5872" s="164"/>
      <c r="F5872" s="165"/>
    </row>
    <row r="5873" spans="1:6" x14ac:dyDescent="0.2">
      <c r="A5873" s="166"/>
      <c r="B5873" s="167"/>
      <c r="C5873" s="167"/>
      <c r="D5873" s="167"/>
      <c r="E5873" s="167"/>
      <c r="F5873" s="168"/>
    </row>
    <row r="5874" spans="1:6" x14ac:dyDescent="0.2">
      <c r="A5874" s="163"/>
      <c r="B5874" s="164"/>
      <c r="C5874" s="164"/>
      <c r="D5874" s="164"/>
      <c r="E5874" s="164"/>
      <c r="F5874" s="165"/>
    </row>
    <row r="5875" spans="1:6" x14ac:dyDescent="0.2">
      <c r="A5875" s="166"/>
      <c r="B5875" s="167"/>
      <c r="C5875" s="167"/>
      <c r="D5875" s="167"/>
      <c r="E5875" s="167"/>
      <c r="F5875" s="168"/>
    </row>
    <row r="5876" spans="1:6" x14ac:dyDescent="0.2">
      <c r="A5876" s="163"/>
      <c r="B5876" s="164"/>
      <c r="C5876" s="164"/>
      <c r="D5876" s="164"/>
      <c r="E5876" s="164"/>
      <c r="F5876" s="165"/>
    </row>
    <row r="5877" spans="1:6" x14ac:dyDescent="0.2">
      <c r="A5877" s="166"/>
      <c r="B5877" s="167"/>
      <c r="C5877" s="167"/>
      <c r="D5877" s="167"/>
      <c r="E5877" s="167"/>
      <c r="F5877" s="168"/>
    </row>
    <row r="5878" spans="1:6" x14ac:dyDescent="0.2">
      <c r="A5878" s="163"/>
      <c r="B5878" s="164"/>
      <c r="C5878" s="164"/>
      <c r="D5878" s="164"/>
      <c r="E5878" s="164"/>
      <c r="F5878" s="165"/>
    </row>
    <row r="5879" spans="1:6" x14ac:dyDescent="0.2">
      <c r="A5879" s="166"/>
      <c r="B5879" s="167"/>
      <c r="C5879" s="167"/>
      <c r="D5879" s="167"/>
      <c r="E5879" s="167"/>
      <c r="F5879" s="168"/>
    </row>
    <row r="5880" spans="1:6" x14ac:dyDescent="0.2">
      <c r="A5880" s="163"/>
      <c r="B5880" s="164"/>
      <c r="C5880" s="164"/>
      <c r="D5880" s="164"/>
      <c r="E5880" s="164"/>
      <c r="F5880" s="165"/>
    </row>
    <row r="5881" spans="1:6" x14ac:dyDescent="0.2">
      <c r="A5881" s="166"/>
      <c r="B5881" s="167"/>
      <c r="C5881" s="167"/>
      <c r="D5881" s="167"/>
      <c r="E5881" s="167"/>
      <c r="F5881" s="168"/>
    </row>
    <row r="5882" spans="1:6" x14ac:dyDescent="0.2">
      <c r="A5882" s="163"/>
      <c r="B5882" s="164"/>
      <c r="C5882" s="164"/>
      <c r="D5882" s="164"/>
      <c r="E5882" s="164"/>
      <c r="F5882" s="165"/>
    </row>
    <row r="5883" spans="1:6" x14ac:dyDescent="0.2">
      <c r="A5883" s="166"/>
      <c r="B5883" s="167"/>
      <c r="C5883" s="167"/>
      <c r="D5883" s="167"/>
      <c r="E5883" s="167"/>
      <c r="F5883" s="168"/>
    </row>
    <row r="5884" spans="1:6" x14ac:dyDescent="0.2">
      <c r="A5884" s="163"/>
      <c r="B5884" s="164"/>
      <c r="C5884" s="164"/>
      <c r="D5884" s="164"/>
      <c r="E5884" s="164"/>
      <c r="F5884" s="165"/>
    </row>
    <row r="5885" spans="1:6" x14ac:dyDescent="0.2">
      <c r="A5885" s="166"/>
      <c r="B5885" s="167"/>
      <c r="C5885" s="167"/>
      <c r="D5885" s="167"/>
      <c r="E5885" s="167"/>
      <c r="F5885" s="168"/>
    </row>
    <row r="5886" spans="1:6" x14ac:dyDescent="0.2">
      <c r="A5886" s="163"/>
      <c r="B5886" s="164"/>
      <c r="C5886" s="164"/>
      <c r="D5886" s="164"/>
      <c r="E5886" s="164"/>
      <c r="F5886" s="165"/>
    </row>
    <row r="5887" spans="1:6" x14ac:dyDescent="0.2">
      <c r="A5887" s="166"/>
      <c r="B5887" s="167"/>
      <c r="C5887" s="167"/>
      <c r="D5887" s="167"/>
      <c r="E5887" s="167"/>
      <c r="F5887" s="168"/>
    </row>
    <row r="5888" spans="1:6" x14ac:dyDescent="0.2">
      <c r="A5888" s="163"/>
      <c r="B5888" s="164"/>
      <c r="C5888" s="164"/>
      <c r="D5888" s="164"/>
      <c r="E5888" s="164"/>
      <c r="F5888" s="165"/>
    </row>
    <row r="5889" spans="1:6" x14ac:dyDescent="0.2">
      <c r="A5889" s="166"/>
      <c r="B5889" s="167"/>
      <c r="C5889" s="167"/>
      <c r="D5889" s="167"/>
      <c r="E5889" s="167"/>
      <c r="F5889" s="168"/>
    </row>
    <row r="5890" spans="1:6" x14ac:dyDescent="0.2">
      <c r="A5890" s="163"/>
      <c r="B5890" s="164"/>
      <c r="C5890" s="164"/>
      <c r="D5890" s="164"/>
      <c r="E5890" s="164"/>
      <c r="F5890" s="165"/>
    </row>
    <row r="5891" spans="1:6" x14ac:dyDescent="0.2">
      <c r="A5891" s="166"/>
      <c r="B5891" s="167"/>
      <c r="C5891" s="167"/>
      <c r="D5891" s="167"/>
      <c r="E5891" s="167"/>
      <c r="F5891" s="168"/>
    </row>
    <row r="5892" spans="1:6" x14ac:dyDescent="0.2">
      <c r="A5892" s="163"/>
      <c r="B5892" s="164"/>
      <c r="C5892" s="164"/>
      <c r="D5892" s="164"/>
      <c r="E5892" s="164"/>
      <c r="F5892" s="165"/>
    </row>
    <row r="5893" spans="1:6" x14ac:dyDescent="0.2">
      <c r="A5893" s="166"/>
      <c r="B5893" s="167"/>
      <c r="C5893" s="167"/>
      <c r="D5893" s="167"/>
      <c r="E5893" s="167"/>
      <c r="F5893" s="168"/>
    </row>
    <row r="5894" spans="1:6" x14ac:dyDescent="0.2">
      <c r="A5894" s="163"/>
      <c r="B5894" s="164"/>
      <c r="C5894" s="164"/>
      <c r="D5894" s="164"/>
      <c r="E5894" s="164"/>
      <c r="F5894" s="165"/>
    </row>
    <row r="5895" spans="1:6" x14ac:dyDescent="0.2">
      <c r="A5895" s="166"/>
      <c r="B5895" s="167"/>
      <c r="C5895" s="167"/>
      <c r="D5895" s="167"/>
      <c r="E5895" s="167"/>
      <c r="F5895" s="168"/>
    </row>
    <row r="5896" spans="1:6" x14ac:dyDescent="0.2">
      <c r="A5896" s="163"/>
      <c r="B5896" s="164"/>
      <c r="C5896" s="164"/>
      <c r="D5896" s="164"/>
      <c r="E5896" s="164"/>
      <c r="F5896" s="165"/>
    </row>
    <row r="5897" spans="1:6" x14ac:dyDescent="0.2">
      <c r="A5897" s="166"/>
      <c r="B5897" s="167"/>
      <c r="C5897" s="167"/>
      <c r="D5897" s="167"/>
      <c r="E5897" s="167"/>
      <c r="F5897" s="168"/>
    </row>
    <row r="5898" spans="1:6" x14ac:dyDescent="0.2">
      <c r="A5898" s="163"/>
      <c r="B5898" s="164"/>
      <c r="C5898" s="164"/>
      <c r="D5898" s="164"/>
      <c r="E5898" s="164"/>
      <c r="F5898" s="165"/>
    </row>
    <row r="5899" spans="1:6" x14ac:dyDescent="0.2">
      <c r="A5899" s="166"/>
      <c r="B5899" s="167"/>
      <c r="C5899" s="167"/>
      <c r="D5899" s="167"/>
      <c r="E5899" s="167"/>
      <c r="F5899" s="168"/>
    </row>
    <row r="5900" spans="1:6" x14ac:dyDescent="0.2">
      <c r="A5900" s="163"/>
      <c r="B5900" s="164"/>
      <c r="C5900" s="164"/>
      <c r="D5900" s="164"/>
      <c r="E5900" s="164"/>
      <c r="F5900" s="165"/>
    </row>
    <row r="5901" spans="1:6" x14ac:dyDescent="0.2">
      <c r="A5901" s="166"/>
      <c r="B5901" s="167"/>
      <c r="C5901" s="167"/>
      <c r="D5901" s="167"/>
      <c r="E5901" s="167"/>
      <c r="F5901" s="168"/>
    </row>
    <row r="5902" spans="1:6" x14ac:dyDescent="0.2">
      <c r="A5902" s="163"/>
      <c r="B5902" s="164"/>
      <c r="C5902" s="164"/>
      <c r="D5902" s="164"/>
      <c r="E5902" s="164"/>
      <c r="F5902" s="165"/>
    </row>
    <row r="5903" spans="1:6" x14ac:dyDescent="0.2">
      <c r="A5903" s="166"/>
      <c r="B5903" s="167"/>
      <c r="C5903" s="167"/>
      <c r="D5903" s="167"/>
      <c r="E5903" s="167"/>
      <c r="F5903" s="168"/>
    </row>
    <row r="5904" spans="1:6" x14ac:dyDescent="0.2">
      <c r="A5904" s="163"/>
      <c r="B5904" s="164"/>
      <c r="C5904" s="164"/>
      <c r="D5904" s="164"/>
      <c r="E5904" s="164"/>
      <c r="F5904" s="165"/>
    </row>
    <row r="5905" spans="1:6" x14ac:dyDescent="0.2">
      <c r="A5905" s="166"/>
      <c r="B5905" s="167"/>
      <c r="C5905" s="167"/>
      <c r="D5905" s="167"/>
      <c r="E5905" s="167"/>
      <c r="F5905" s="168"/>
    </row>
    <row r="5906" spans="1:6" x14ac:dyDescent="0.2">
      <c r="A5906" s="163"/>
      <c r="B5906" s="164"/>
      <c r="C5906" s="164"/>
      <c r="D5906" s="164"/>
      <c r="E5906" s="164"/>
      <c r="F5906" s="165"/>
    </row>
    <row r="5907" spans="1:6" x14ac:dyDescent="0.2">
      <c r="A5907" s="166"/>
      <c r="B5907" s="167"/>
      <c r="C5907" s="167"/>
      <c r="D5907" s="167"/>
      <c r="E5907" s="167"/>
      <c r="F5907" s="168"/>
    </row>
    <row r="5908" spans="1:6" x14ac:dyDescent="0.2">
      <c r="A5908" s="163"/>
      <c r="B5908" s="164"/>
      <c r="C5908" s="164"/>
      <c r="D5908" s="164"/>
      <c r="E5908" s="164"/>
      <c r="F5908" s="165"/>
    </row>
    <row r="5909" spans="1:6" x14ac:dyDescent="0.2">
      <c r="A5909" s="166"/>
      <c r="B5909" s="167"/>
      <c r="C5909" s="167"/>
      <c r="D5909" s="167"/>
      <c r="E5909" s="167"/>
      <c r="F5909" s="168"/>
    </row>
    <row r="5910" spans="1:6" x14ac:dyDescent="0.2">
      <c r="A5910" s="163"/>
      <c r="B5910" s="164"/>
      <c r="C5910" s="164"/>
      <c r="D5910" s="164"/>
      <c r="E5910" s="164"/>
      <c r="F5910" s="165"/>
    </row>
    <row r="5911" spans="1:6" x14ac:dyDescent="0.2">
      <c r="A5911" s="166"/>
      <c r="B5911" s="167"/>
      <c r="C5911" s="167"/>
      <c r="D5911" s="167"/>
      <c r="E5911" s="167"/>
      <c r="F5911" s="168"/>
    </row>
    <row r="5912" spans="1:6" x14ac:dyDescent="0.2">
      <c r="A5912" s="163"/>
      <c r="B5912" s="164"/>
      <c r="C5912" s="164"/>
      <c r="D5912" s="164"/>
      <c r="E5912" s="164"/>
      <c r="F5912" s="165"/>
    </row>
    <row r="5913" spans="1:6" x14ac:dyDescent="0.2">
      <c r="A5913" s="166"/>
      <c r="B5913" s="167"/>
      <c r="C5913" s="167"/>
      <c r="D5913" s="167"/>
      <c r="E5913" s="167"/>
      <c r="F5913" s="168"/>
    </row>
    <row r="5914" spans="1:6" x14ac:dyDescent="0.2">
      <c r="A5914" s="163"/>
      <c r="B5914" s="164"/>
      <c r="C5914" s="164"/>
      <c r="D5914" s="164"/>
      <c r="E5914" s="164"/>
      <c r="F5914" s="165"/>
    </row>
    <row r="5915" spans="1:6" x14ac:dyDescent="0.2">
      <c r="A5915" s="166"/>
      <c r="B5915" s="167"/>
      <c r="C5915" s="167"/>
      <c r="D5915" s="167"/>
      <c r="E5915" s="167"/>
      <c r="F5915" s="168"/>
    </row>
    <row r="5916" spans="1:6" x14ac:dyDescent="0.2">
      <c r="A5916" s="163"/>
      <c r="B5916" s="164"/>
      <c r="C5916" s="164"/>
      <c r="D5916" s="164"/>
      <c r="E5916" s="164"/>
      <c r="F5916" s="165"/>
    </row>
    <row r="5917" spans="1:6" x14ac:dyDescent="0.2">
      <c r="A5917" s="166"/>
      <c r="B5917" s="167"/>
      <c r="C5917" s="167"/>
      <c r="D5917" s="167"/>
      <c r="E5917" s="167"/>
      <c r="F5917" s="168"/>
    </row>
    <row r="5918" spans="1:6" x14ac:dyDescent="0.2">
      <c r="A5918" s="163"/>
      <c r="B5918" s="164"/>
      <c r="C5918" s="164"/>
      <c r="D5918" s="164"/>
      <c r="E5918" s="164"/>
      <c r="F5918" s="165"/>
    </row>
    <row r="5919" spans="1:6" x14ac:dyDescent="0.2">
      <c r="A5919" s="166"/>
      <c r="B5919" s="167"/>
      <c r="C5919" s="167"/>
      <c r="D5919" s="167"/>
      <c r="E5919" s="167"/>
      <c r="F5919" s="168"/>
    </row>
    <row r="5920" spans="1:6" x14ac:dyDescent="0.2">
      <c r="A5920" s="163"/>
      <c r="B5920" s="164"/>
      <c r="C5920" s="164"/>
      <c r="D5920" s="164"/>
      <c r="E5920" s="164"/>
      <c r="F5920" s="165"/>
    </row>
    <row r="5921" spans="1:6" x14ac:dyDescent="0.2">
      <c r="A5921" s="166"/>
      <c r="B5921" s="167"/>
      <c r="C5921" s="167"/>
      <c r="D5921" s="167"/>
      <c r="E5921" s="167"/>
      <c r="F5921" s="168"/>
    </row>
    <row r="5922" spans="1:6" x14ac:dyDescent="0.2">
      <c r="A5922" s="163"/>
      <c r="B5922" s="164"/>
      <c r="C5922" s="164"/>
      <c r="D5922" s="164"/>
      <c r="E5922" s="164"/>
      <c r="F5922" s="165"/>
    </row>
    <row r="5923" spans="1:6" x14ac:dyDescent="0.2">
      <c r="A5923" s="166"/>
      <c r="B5923" s="167"/>
      <c r="C5923" s="167"/>
      <c r="D5923" s="167"/>
      <c r="E5923" s="167"/>
      <c r="F5923" s="168"/>
    </row>
    <row r="5924" spans="1:6" x14ac:dyDescent="0.2">
      <c r="A5924" s="163"/>
      <c r="B5924" s="164"/>
      <c r="C5924" s="164"/>
      <c r="D5924" s="164"/>
      <c r="E5924" s="164"/>
      <c r="F5924" s="165"/>
    </row>
    <row r="5925" spans="1:6" x14ac:dyDescent="0.2">
      <c r="A5925" s="166"/>
      <c r="B5925" s="167"/>
      <c r="C5925" s="167"/>
      <c r="D5925" s="167"/>
      <c r="E5925" s="167"/>
      <c r="F5925" s="168"/>
    </row>
    <row r="5926" spans="1:6" x14ac:dyDescent="0.2">
      <c r="A5926" s="163"/>
      <c r="B5926" s="164"/>
      <c r="C5926" s="164"/>
      <c r="D5926" s="164"/>
      <c r="E5926" s="164"/>
      <c r="F5926" s="165"/>
    </row>
    <row r="5927" spans="1:6" x14ac:dyDescent="0.2">
      <c r="A5927" s="166"/>
      <c r="B5927" s="167"/>
      <c r="C5927" s="167"/>
      <c r="D5927" s="167"/>
      <c r="E5927" s="167"/>
      <c r="F5927" s="168"/>
    </row>
    <row r="5928" spans="1:6" x14ac:dyDescent="0.2">
      <c r="A5928" s="163"/>
      <c r="B5928" s="164"/>
      <c r="C5928" s="164"/>
      <c r="D5928" s="164"/>
      <c r="E5928" s="164"/>
      <c r="F5928" s="165"/>
    </row>
    <row r="5929" spans="1:6" x14ac:dyDescent="0.2">
      <c r="A5929" s="166"/>
      <c r="B5929" s="167"/>
      <c r="C5929" s="167"/>
      <c r="D5929" s="167"/>
      <c r="E5929" s="167"/>
      <c r="F5929" s="168"/>
    </row>
    <row r="5930" spans="1:6" x14ac:dyDescent="0.2">
      <c r="A5930" s="163"/>
      <c r="B5930" s="164"/>
      <c r="C5930" s="164"/>
      <c r="D5930" s="164"/>
      <c r="E5930" s="164"/>
      <c r="F5930" s="165"/>
    </row>
    <row r="5931" spans="1:6" x14ac:dyDescent="0.2">
      <c r="A5931" s="166"/>
      <c r="B5931" s="167"/>
      <c r="C5931" s="167"/>
      <c r="D5931" s="167"/>
      <c r="E5931" s="167"/>
      <c r="F5931" s="168"/>
    </row>
    <row r="5932" spans="1:6" x14ac:dyDescent="0.2">
      <c r="A5932" s="163"/>
      <c r="B5932" s="164"/>
      <c r="C5932" s="164"/>
      <c r="D5932" s="164"/>
      <c r="E5932" s="164"/>
      <c r="F5932" s="165"/>
    </row>
    <row r="5933" spans="1:6" x14ac:dyDescent="0.2">
      <c r="A5933" s="166"/>
      <c r="B5933" s="167"/>
      <c r="C5933" s="167"/>
      <c r="D5933" s="167"/>
      <c r="E5933" s="167"/>
      <c r="F5933" s="168"/>
    </row>
    <row r="5934" spans="1:6" x14ac:dyDescent="0.2">
      <c r="A5934" s="163"/>
      <c r="B5934" s="164"/>
      <c r="C5934" s="164"/>
      <c r="D5934" s="164"/>
      <c r="E5934" s="164"/>
      <c r="F5934" s="165"/>
    </row>
    <row r="5935" spans="1:6" x14ac:dyDescent="0.2">
      <c r="A5935" s="166"/>
      <c r="B5935" s="167"/>
      <c r="C5935" s="167"/>
      <c r="D5935" s="167"/>
      <c r="E5935" s="167"/>
      <c r="F5935" s="168"/>
    </row>
    <row r="5936" spans="1:6" x14ac:dyDescent="0.2">
      <c r="A5936" s="163"/>
      <c r="B5936" s="164"/>
      <c r="C5936" s="164"/>
      <c r="D5936" s="164"/>
      <c r="E5936" s="164"/>
      <c r="F5936" s="165"/>
    </row>
    <row r="5937" spans="1:6" x14ac:dyDescent="0.2">
      <c r="A5937" s="166"/>
      <c r="B5937" s="167"/>
      <c r="C5937" s="167"/>
      <c r="D5937" s="167"/>
      <c r="E5937" s="167"/>
      <c r="F5937" s="168"/>
    </row>
    <row r="5938" spans="1:6" x14ac:dyDescent="0.2">
      <c r="A5938" s="163"/>
      <c r="B5938" s="164"/>
      <c r="C5938" s="164"/>
      <c r="D5938" s="164"/>
      <c r="E5938" s="164"/>
      <c r="F5938" s="165"/>
    </row>
    <row r="5939" spans="1:6" x14ac:dyDescent="0.2">
      <c r="A5939" s="166"/>
      <c r="B5939" s="167"/>
      <c r="C5939" s="167"/>
      <c r="D5939" s="167"/>
      <c r="E5939" s="167"/>
      <c r="F5939" s="168"/>
    </row>
    <row r="5940" spans="1:6" x14ac:dyDescent="0.2">
      <c r="A5940" s="163"/>
      <c r="B5940" s="164"/>
      <c r="C5940" s="164"/>
      <c r="D5940" s="164"/>
      <c r="E5940" s="164"/>
      <c r="F5940" s="165"/>
    </row>
    <row r="5941" spans="1:6" x14ac:dyDescent="0.2">
      <c r="A5941" s="166"/>
      <c r="B5941" s="167"/>
      <c r="C5941" s="167"/>
      <c r="D5941" s="167"/>
      <c r="E5941" s="167"/>
      <c r="F5941" s="168"/>
    </row>
    <row r="5942" spans="1:6" x14ac:dyDescent="0.2">
      <c r="A5942" s="163"/>
      <c r="B5942" s="164"/>
      <c r="C5942" s="164"/>
      <c r="D5942" s="164"/>
      <c r="E5942" s="164"/>
      <c r="F5942" s="165"/>
    </row>
    <row r="5943" spans="1:6" x14ac:dyDescent="0.2">
      <c r="A5943" s="166"/>
      <c r="B5943" s="167"/>
      <c r="C5943" s="167"/>
      <c r="D5943" s="167"/>
      <c r="E5943" s="167"/>
      <c r="F5943" s="168"/>
    </row>
    <row r="5944" spans="1:6" x14ac:dyDescent="0.2">
      <c r="A5944" s="163"/>
      <c r="B5944" s="164"/>
      <c r="C5944" s="164"/>
      <c r="D5944" s="164"/>
      <c r="E5944" s="164"/>
      <c r="F5944" s="165"/>
    </row>
    <row r="5945" spans="1:6" x14ac:dyDescent="0.2">
      <c r="A5945" s="166"/>
      <c r="B5945" s="167"/>
      <c r="C5945" s="167"/>
      <c r="D5945" s="167"/>
      <c r="E5945" s="167"/>
      <c r="F5945" s="168"/>
    </row>
    <row r="5946" spans="1:6" x14ac:dyDescent="0.2">
      <c r="A5946" s="163"/>
      <c r="B5946" s="164"/>
      <c r="C5946" s="164"/>
      <c r="D5946" s="164"/>
      <c r="E5946" s="164"/>
      <c r="F5946" s="165"/>
    </row>
    <row r="5947" spans="1:6" x14ac:dyDescent="0.2">
      <c r="A5947" s="166"/>
      <c r="B5947" s="167"/>
      <c r="C5947" s="167"/>
      <c r="D5947" s="167"/>
      <c r="E5947" s="167"/>
      <c r="F5947" s="168"/>
    </row>
    <row r="5948" spans="1:6" x14ac:dyDescent="0.2">
      <c r="A5948" s="163"/>
      <c r="B5948" s="164"/>
      <c r="C5948" s="164"/>
      <c r="D5948" s="164"/>
      <c r="E5948" s="164"/>
      <c r="F5948" s="165"/>
    </row>
    <row r="5949" spans="1:6" x14ac:dyDescent="0.2">
      <c r="A5949" s="166"/>
      <c r="B5949" s="167"/>
      <c r="C5949" s="167"/>
      <c r="D5949" s="167"/>
      <c r="E5949" s="167"/>
      <c r="F5949" s="168"/>
    </row>
    <row r="5950" spans="1:6" x14ac:dyDescent="0.2">
      <c r="A5950" s="163"/>
      <c r="B5950" s="164"/>
      <c r="C5950" s="164"/>
      <c r="D5950" s="164"/>
      <c r="E5950" s="164"/>
      <c r="F5950" s="165"/>
    </row>
    <row r="5951" spans="1:6" x14ac:dyDescent="0.2">
      <c r="A5951" s="166"/>
      <c r="B5951" s="167"/>
      <c r="C5951" s="167"/>
      <c r="D5951" s="167"/>
      <c r="E5951" s="167"/>
      <c r="F5951" s="168"/>
    </row>
    <row r="5952" spans="1:6" x14ac:dyDescent="0.2">
      <c r="A5952" s="163"/>
      <c r="B5952" s="164"/>
      <c r="C5952" s="164"/>
      <c r="D5952" s="164"/>
      <c r="E5952" s="164"/>
      <c r="F5952" s="165"/>
    </row>
    <row r="5953" spans="1:6" x14ac:dyDescent="0.2">
      <c r="A5953" s="166"/>
      <c r="B5953" s="167"/>
      <c r="C5953" s="167"/>
      <c r="D5953" s="167"/>
      <c r="E5953" s="167"/>
      <c r="F5953" s="168"/>
    </row>
    <row r="5954" spans="1:6" x14ac:dyDescent="0.2">
      <c r="A5954" s="163"/>
      <c r="B5954" s="164"/>
      <c r="C5954" s="164"/>
      <c r="D5954" s="164"/>
      <c r="E5954" s="164"/>
      <c r="F5954" s="165"/>
    </row>
    <row r="5955" spans="1:6" x14ac:dyDescent="0.2">
      <c r="A5955" s="166"/>
      <c r="B5955" s="167"/>
      <c r="C5955" s="167"/>
      <c r="D5955" s="167"/>
      <c r="E5955" s="167"/>
      <c r="F5955" s="168"/>
    </row>
    <row r="5956" spans="1:6" x14ac:dyDescent="0.2">
      <c r="A5956" s="163"/>
      <c r="B5956" s="164"/>
      <c r="C5956" s="164"/>
      <c r="D5956" s="164"/>
      <c r="E5956" s="164"/>
      <c r="F5956" s="165"/>
    </row>
    <row r="5957" spans="1:6" x14ac:dyDescent="0.2">
      <c r="A5957" s="166"/>
      <c r="B5957" s="167"/>
      <c r="C5957" s="167"/>
      <c r="D5957" s="167"/>
      <c r="E5957" s="167"/>
      <c r="F5957" s="168"/>
    </row>
    <row r="5958" spans="1:6" x14ac:dyDescent="0.2">
      <c r="A5958" s="163"/>
      <c r="B5958" s="164"/>
      <c r="C5958" s="164"/>
      <c r="D5958" s="164"/>
      <c r="E5958" s="164"/>
      <c r="F5958" s="165"/>
    </row>
    <row r="5959" spans="1:6" x14ac:dyDescent="0.2">
      <c r="A5959" s="166"/>
      <c r="B5959" s="167"/>
      <c r="C5959" s="167"/>
      <c r="D5959" s="167"/>
      <c r="E5959" s="167"/>
      <c r="F5959" s="168"/>
    </row>
    <row r="5960" spans="1:6" x14ac:dyDescent="0.2">
      <c r="A5960" s="163"/>
      <c r="B5960" s="164"/>
      <c r="C5960" s="164"/>
      <c r="D5960" s="164"/>
      <c r="E5960" s="164"/>
      <c r="F5960" s="165"/>
    </row>
    <row r="5961" spans="1:6" x14ac:dyDescent="0.2">
      <c r="A5961" s="166"/>
      <c r="B5961" s="167"/>
      <c r="C5961" s="167"/>
      <c r="D5961" s="167"/>
      <c r="E5961" s="167"/>
      <c r="F5961" s="168"/>
    </row>
    <row r="5962" spans="1:6" x14ac:dyDescent="0.2">
      <c r="A5962" s="163"/>
      <c r="B5962" s="164"/>
      <c r="C5962" s="164"/>
      <c r="D5962" s="164"/>
      <c r="E5962" s="164"/>
      <c r="F5962" s="165"/>
    </row>
    <row r="5963" spans="1:6" x14ac:dyDescent="0.2">
      <c r="A5963" s="166"/>
      <c r="B5963" s="167"/>
      <c r="C5963" s="167"/>
      <c r="D5963" s="167"/>
      <c r="E5963" s="167"/>
      <c r="F5963" s="168"/>
    </row>
    <row r="5964" spans="1:6" x14ac:dyDescent="0.2">
      <c r="A5964" s="163"/>
      <c r="B5964" s="164"/>
      <c r="C5964" s="164"/>
      <c r="D5964" s="164"/>
      <c r="E5964" s="164"/>
      <c r="F5964" s="165"/>
    </row>
    <row r="5965" spans="1:6" x14ac:dyDescent="0.2">
      <c r="A5965" s="166"/>
      <c r="B5965" s="167"/>
      <c r="C5965" s="167"/>
      <c r="D5965" s="167"/>
      <c r="E5965" s="167"/>
      <c r="F5965" s="168"/>
    </row>
    <row r="5966" spans="1:6" x14ac:dyDescent="0.2">
      <c r="A5966" s="163"/>
      <c r="B5966" s="164"/>
      <c r="C5966" s="164"/>
      <c r="D5966" s="164"/>
      <c r="E5966" s="164"/>
      <c r="F5966" s="165"/>
    </row>
    <row r="5967" spans="1:6" x14ac:dyDescent="0.2">
      <c r="A5967" s="166"/>
      <c r="B5967" s="167"/>
      <c r="C5967" s="167"/>
      <c r="D5967" s="167"/>
      <c r="E5967" s="167"/>
      <c r="F5967" s="168"/>
    </row>
    <row r="5968" spans="1:6" x14ac:dyDescent="0.2">
      <c r="A5968" s="163"/>
      <c r="B5968" s="164"/>
      <c r="C5968" s="164"/>
      <c r="D5968" s="164"/>
      <c r="E5968" s="164"/>
      <c r="F5968" s="165"/>
    </row>
    <row r="5969" spans="1:6" x14ac:dyDescent="0.2">
      <c r="A5969" s="166"/>
      <c r="B5969" s="167"/>
      <c r="C5969" s="167"/>
      <c r="D5969" s="167"/>
      <c r="E5969" s="167"/>
      <c r="F5969" s="168"/>
    </row>
    <row r="5970" spans="1:6" x14ac:dyDescent="0.2">
      <c r="A5970" s="163"/>
      <c r="B5970" s="164"/>
      <c r="C5970" s="164"/>
      <c r="D5970" s="164"/>
      <c r="E5970" s="164"/>
      <c r="F5970" s="165"/>
    </row>
    <row r="5971" spans="1:6" x14ac:dyDescent="0.2">
      <c r="A5971" s="166"/>
      <c r="B5971" s="167"/>
      <c r="C5971" s="167"/>
      <c r="D5971" s="167"/>
      <c r="E5971" s="167"/>
      <c r="F5971" s="168"/>
    </row>
    <row r="5972" spans="1:6" x14ac:dyDescent="0.2">
      <c r="A5972" s="163"/>
      <c r="B5972" s="164"/>
      <c r="C5972" s="164"/>
      <c r="D5972" s="164"/>
      <c r="E5972" s="164"/>
      <c r="F5972" s="165"/>
    </row>
    <row r="5973" spans="1:6" x14ac:dyDescent="0.2">
      <c r="A5973" s="166"/>
      <c r="B5973" s="167"/>
      <c r="C5973" s="167"/>
      <c r="D5973" s="167"/>
      <c r="E5973" s="167"/>
      <c r="F5973" s="168"/>
    </row>
    <row r="5974" spans="1:6" x14ac:dyDescent="0.2">
      <c r="A5974" s="163"/>
      <c r="B5974" s="164"/>
      <c r="C5974" s="164"/>
      <c r="D5974" s="164"/>
      <c r="E5974" s="164"/>
      <c r="F5974" s="165"/>
    </row>
    <row r="5975" spans="1:6" x14ac:dyDescent="0.2">
      <c r="A5975" s="166"/>
      <c r="B5975" s="167"/>
      <c r="C5975" s="167"/>
      <c r="D5975" s="167"/>
      <c r="E5975" s="167"/>
      <c r="F5975" s="168"/>
    </row>
    <row r="5976" spans="1:6" x14ac:dyDescent="0.2">
      <c r="A5976" s="163"/>
      <c r="B5976" s="164"/>
      <c r="C5976" s="164"/>
      <c r="D5976" s="164"/>
      <c r="E5976" s="164"/>
      <c r="F5976" s="165"/>
    </row>
    <row r="5977" spans="1:6" x14ac:dyDescent="0.2">
      <c r="A5977" s="166"/>
      <c r="B5977" s="167"/>
      <c r="C5977" s="167"/>
      <c r="D5977" s="167"/>
      <c r="E5977" s="167"/>
      <c r="F5977" s="168"/>
    </row>
    <row r="5978" spans="1:6" x14ac:dyDescent="0.2">
      <c r="A5978" s="163"/>
      <c r="B5978" s="164"/>
      <c r="C5978" s="164"/>
      <c r="D5978" s="164"/>
      <c r="E5978" s="164"/>
      <c r="F5978" s="165"/>
    </row>
    <row r="5979" spans="1:6" x14ac:dyDescent="0.2">
      <c r="A5979" s="166"/>
      <c r="B5979" s="167"/>
      <c r="C5979" s="167"/>
      <c r="D5979" s="167"/>
      <c r="E5979" s="167"/>
      <c r="F5979" s="168"/>
    </row>
    <row r="5980" spans="1:6" x14ac:dyDescent="0.2">
      <c r="A5980" s="163"/>
      <c r="B5980" s="164"/>
      <c r="C5980" s="164"/>
      <c r="D5980" s="164"/>
      <c r="E5980" s="164"/>
      <c r="F5980" s="165"/>
    </row>
    <row r="5981" spans="1:6" x14ac:dyDescent="0.2">
      <c r="A5981" s="166"/>
      <c r="B5981" s="167"/>
      <c r="C5981" s="167"/>
      <c r="D5981" s="167"/>
      <c r="E5981" s="167"/>
      <c r="F5981" s="168"/>
    </row>
    <row r="5982" spans="1:6" x14ac:dyDescent="0.2">
      <c r="A5982" s="163"/>
      <c r="B5982" s="164"/>
      <c r="C5982" s="164"/>
      <c r="D5982" s="164"/>
      <c r="E5982" s="164"/>
      <c r="F5982" s="165"/>
    </row>
    <row r="5983" spans="1:6" x14ac:dyDescent="0.2">
      <c r="A5983" s="166"/>
      <c r="B5983" s="167"/>
      <c r="C5983" s="167"/>
      <c r="D5983" s="167"/>
      <c r="E5983" s="167"/>
      <c r="F5983" s="168"/>
    </row>
    <row r="5984" spans="1:6" x14ac:dyDescent="0.2">
      <c r="A5984" s="163"/>
      <c r="B5984" s="164"/>
      <c r="C5984" s="164"/>
      <c r="D5984" s="164"/>
      <c r="E5984" s="164"/>
      <c r="F5984" s="165"/>
    </row>
    <row r="5985" spans="1:6" x14ac:dyDescent="0.2">
      <c r="A5985" s="166"/>
      <c r="B5985" s="167"/>
      <c r="C5985" s="167"/>
      <c r="D5985" s="167"/>
      <c r="E5985" s="167"/>
      <c r="F5985" s="168"/>
    </row>
    <row r="5986" spans="1:6" x14ac:dyDescent="0.2">
      <c r="A5986" s="163"/>
      <c r="B5986" s="164"/>
      <c r="C5986" s="164"/>
      <c r="D5986" s="164"/>
      <c r="E5986" s="164"/>
      <c r="F5986" s="165"/>
    </row>
    <row r="5987" spans="1:6" x14ac:dyDescent="0.2">
      <c r="A5987" s="166"/>
      <c r="B5987" s="167"/>
      <c r="C5987" s="167"/>
      <c r="D5987" s="167"/>
      <c r="E5987" s="167"/>
      <c r="F5987" s="168"/>
    </row>
    <row r="5988" spans="1:6" x14ac:dyDescent="0.2">
      <c r="A5988" s="163"/>
      <c r="B5988" s="164"/>
      <c r="C5988" s="164"/>
      <c r="D5988" s="164"/>
      <c r="E5988" s="164"/>
      <c r="F5988" s="165"/>
    </row>
    <row r="5989" spans="1:6" x14ac:dyDescent="0.2">
      <c r="A5989" s="166"/>
      <c r="B5989" s="167"/>
      <c r="C5989" s="167"/>
      <c r="D5989" s="167"/>
      <c r="E5989" s="167"/>
      <c r="F5989" s="168"/>
    </row>
    <row r="5990" spans="1:6" x14ac:dyDescent="0.2">
      <c r="A5990" s="163"/>
      <c r="B5990" s="164"/>
      <c r="C5990" s="164"/>
      <c r="D5990" s="164"/>
      <c r="E5990" s="164"/>
      <c r="F5990" s="165"/>
    </row>
    <row r="5991" spans="1:6" x14ac:dyDescent="0.2">
      <c r="A5991" s="166"/>
      <c r="B5991" s="167"/>
      <c r="C5991" s="167"/>
      <c r="D5991" s="167"/>
      <c r="E5991" s="167"/>
      <c r="F5991" s="168"/>
    </row>
    <row r="5992" spans="1:6" x14ac:dyDescent="0.2">
      <c r="A5992" s="163"/>
      <c r="B5992" s="164"/>
      <c r="C5992" s="164"/>
      <c r="D5992" s="164"/>
      <c r="E5992" s="164"/>
      <c r="F5992" s="165"/>
    </row>
    <row r="5993" spans="1:6" x14ac:dyDescent="0.2">
      <c r="A5993" s="166"/>
      <c r="B5993" s="167"/>
      <c r="C5993" s="167"/>
      <c r="D5993" s="167"/>
      <c r="E5993" s="167"/>
      <c r="F5993" s="168"/>
    </row>
    <row r="5994" spans="1:6" x14ac:dyDescent="0.2">
      <c r="A5994" s="163"/>
      <c r="B5994" s="164"/>
      <c r="C5994" s="164"/>
      <c r="D5994" s="164"/>
      <c r="E5994" s="164"/>
      <c r="F5994" s="165"/>
    </row>
    <row r="5995" spans="1:6" x14ac:dyDescent="0.2">
      <c r="A5995" s="166"/>
      <c r="B5995" s="167"/>
      <c r="C5995" s="167"/>
      <c r="D5995" s="167"/>
      <c r="E5995" s="167"/>
      <c r="F5995" s="168"/>
    </row>
    <row r="5996" spans="1:6" x14ac:dyDescent="0.2">
      <c r="A5996" s="163"/>
      <c r="B5996" s="164"/>
      <c r="C5996" s="164"/>
      <c r="D5996" s="164"/>
      <c r="E5996" s="164"/>
      <c r="F5996" s="165"/>
    </row>
    <row r="5997" spans="1:6" x14ac:dyDescent="0.2">
      <c r="A5997" s="166"/>
      <c r="B5997" s="167"/>
      <c r="C5997" s="167"/>
      <c r="D5997" s="167"/>
      <c r="E5997" s="167"/>
      <c r="F5997" s="168"/>
    </row>
    <row r="5998" spans="1:6" x14ac:dyDescent="0.2">
      <c r="A5998" s="163"/>
      <c r="B5998" s="164"/>
      <c r="C5998" s="164"/>
      <c r="D5998" s="164"/>
      <c r="E5998" s="164"/>
      <c r="F5998" s="165"/>
    </row>
    <row r="5999" spans="1:6" x14ac:dyDescent="0.2">
      <c r="A5999" s="166"/>
      <c r="B5999" s="167"/>
      <c r="C5999" s="167"/>
      <c r="D5999" s="167"/>
      <c r="E5999" s="167"/>
      <c r="F5999" s="168"/>
    </row>
    <row r="6000" spans="1:6" x14ac:dyDescent="0.2">
      <c r="A6000" s="163"/>
      <c r="B6000" s="164"/>
      <c r="C6000" s="164"/>
      <c r="D6000" s="164"/>
      <c r="E6000" s="164"/>
      <c r="F6000" s="165"/>
    </row>
    <row r="6001" spans="1:6" x14ac:dyDescent="0.2">
      <c r="A6001" s="166"/>
      <c r="B6001" s="167"/>
      <c r="C6001" s="167"/>
      <c r="D6001" s="167"/>
      <c r="E6001" s="167"/>
      <c r="F6001" s="168"/>
    </row>
    <row r="6002" spans="1:6" x14ac:dyDescent="0.2">
      <c r="A6002" s="163"/>
      <c r="B6002" s="164"/>
      <c r="C6002" s="164"/>
      <c r="D6002" s="164"/>
      <c r="E6002" s="164"/>
      <c r="F6002" s="165"/>
    </row>
    <row r="6003" spans="1:6" x14ac:dyDescent="0.2">
      <c r="A6003" s="166"/>
      <c r="B6003" s="167"/>
      <c r="C6003" s="167"/>
      <c r="D6003" s="167"/>
      <c r="E6003" s="167"/>
      <c r="F6003" s="168"/>
    </row>
    <row r="6004" spans="1:6" x14ac:dyDescent="0.2">
      <c r="A6004" s="163"/>
      <c r="B6004" s="164"/>
      <c r="C6004" s="164"/>
      <c r="D6004" s="164"/>
      <c r="E6004" s="164"/>
      <c r="F6004" s="165"/>
    </row>
    <row r="6005" spans="1:6" x14ac:dyDescent="0.2">
      <c r="A6005" s="166"/>
      <c r="B6005" s="167"/>
      <c r="C6005" s="167"/>
      <c r="D6005" s="167"/>
      <c r="E6005" s="167"/>
      <c r="F6005" s="168"/>
    </row>
    <row r="6006" spans="1:6" x14ac:dyDescent="0.2">
      <c r="A6006" s="163"/>
      <c r="B6006" s="164"/>
      <c r="C6006" s="164"/>
      <c r="D6006" s="164"/>
      <c r="E6006" s="164"/>
      <c r="F6006" s="165"/>
    </row>
    <row r="6007" spans="1:6" x14ac:dyDescent="0.2">
      <c r="A6007" s="166"/>
      <c r="B6007" s="167"/>
      <c r="C6007" s="167"/>
      <c r="D6007" s="167"/>
      <c r="E6007" s="167"/>
      <c r="F6007" s="168"/>
    </row>
    <row r="6008" spans="1:6" x14ac:dyDescent="0.2">
      <c r="A6008" s="163"/>
      <c r="B6008" s="164"/>
      <c r="C6008" s="164"/>
      <c r="D6008" s="164"/>
      <c r="E6008" s="164"/>
      <c r="F6008" s="165"/>
    </row>
    <row r="6009" spans="1:6" x14ac:dyDescent="0.2">
      <c r="A6009" s="166"/>
      <c r="B6009" s="167"/>
      <c r="C6009" s="167"/>
      <c r="D6009" s="167"/>
      <c r="E6009" s="167"/>
      <c r="F6009" s="168"/>
    </row>
    <row r="6010" spans="1:6" x14ac:dyDescent="0.2">
      <c r="A6010" s="163"/>
      <c r="B6010" s="164"/>
      <c r="C6010" s="164"/>
      <c r="D6010" s="164"/>
      <c r="E6010" s="164"/>
      <c r="F6010" s="165"/>
    </row>
    <row r="6011" spans="1:6" x14ac:dyDescent="0.2">
      <c r="A6011" s="166"/>
      <c r="B6011" s="167"/>
      <c r="C6011" s="167"/>
      <c r="D6011" s="167"/>
      <c r="E6011" s="167"/>
      <c r="F6011" s="168"/>
    </row>
    <row r="6012" spans="1:6" x14ac:dyDescent="0.2">
      <c r="A6012" s="163"/>
      <c r="B6012" s="164"/>
      <c r="C6012" s="164"/>
      <c r="D6012" s="164"/>
      <c r="E6012" s="164"/>
      <c r="F6012" s="165"/>
    </row>
    <row r="6013" spans="1:6" x14ac:dyDescent="0.2">
      <c r="A6013" s="166"/>
      <c r="B6013" s="167"/>
      <c r="C6013" s="167"/>
      <c r="D6013" s="167"/>
      <c r="E6013" s="167"/>
      <c r="F6013" s="168"/>
    </row>
    <row r="6014" spans="1:6" x14ac:dyDescent="0.2">
      <c r="A6014" s="163"/>
      <c r="B6014" s="164"/>
      <c r="C6014" s="164"/>
      <c r="D6014" s="164"/>
      <c r="E6014" s="164"/>
      <c r="F6014" s="165"/>
    </row>
    <row r="6015" spans="1:6" x14ac:dyDescent="0.2">
      <c r="A6015" s="166"/>
      <c r="B6015" s="167"/>
      <c r="C6015" s="167"/>
      <c r="D6015" s="167"/>
      <c r="E6015" s="167"/>
      <c r="F6015" s="168"/>
    </row>
    <row r="6016" spans="1:6" x14ac:dyDescent="0.2">
      <c r="A6016" s="163"/>
      <c r="B6016" s="164"/>
      <c r="C6016" s="164"/>
      <c r="D6016" s="164"/>
      <c r="E6016" s="164"/>
      <c r="F6016" s="165"/>
    </row>
    <row r="6017" spans="1:6" x14ac:dyDescent="0.2">
      <c r="A6017" s="166"/>
      <c r="B6017" s="167"/>
      <c r="C6017" s="167"/>
      <c r="D6017" s="167"/>
      <c r="E6017" s="167"/>
      <c r="F6017" s="168"/>
    </row>
    <row r="6018" spans="1:6" x14ac:dyDescent="0.2">
      <c r="A6018" s="163"/>
      <c r="B6018" s="164"/>
      <c r="C6018" s="164"/>
      <c r="D6018" s="164"/>
      <c r="E6018" s="164"/>
      <c r="F6018" s="165"/>
    </row>
    <row r="6019" spans="1:6" x14ac:dyDescent="0.2">
      <c r="A6019" s="166"/>
      <c r="B6019" s="167"/>
      <c r="C6019" s="167"/>
      <c r="D6019" s="167"/>
      <c r="E6019" s="167"/>
      <c r="F6019" s="168"/>
    </row>
    <row r="6020" spans="1:6" x14ac:dyDescent="0.2">
      <c r="A6020" s="163"/>
      <c r="B6020" s="164"/>
      <c r="C6020" s="164"/>
      <c r="D6020" s="164"/>
      <c r="E6020" s="164"/>
      <c r="F6020" s="165"/>
    </row>
    <row r="6021" spans="1:6" x14ac:dyDescent="0.2">
      <c r="A6021" s="166"/>
      <c r="B6021" s="167"/>
      <c r="C6021" s="167"/>
      <c r="D6021" s="167"/>
      <c r="E6021" s="167"/>
      <c r="F6021" s="168"/>
    </row>
    <row r="6022" spans="1:6" x14ac:dyDescent="0.2">
      <c r="A6022" s="163"/>
      <c r="B6022" s="164"/>
      <c r="C6022" s="164"/>
      <c r="D6022" s="164"/>
      <c r="E6022" s="164"/>
      <c r="F6022" s="165"/>
    </row>
    <row r="6023" spans="1:6" x14ac:dyDescent="0.2">
      <c r="A6023" s="166"/>
      <c r="B6023" s="167"/>
      <c r="C6023" s="167"/>
      <c r="D6023" s="167"/>
      <c r="E6023" s="167"/>
      <c r="F6023" s="168"/>
    </row>
    <row r="6024" spans="1:6" x14ac:dyDescent="0.2">
      <c r="A6024" s="163"/>
      <c r="B6024" s="164"/>
      <c r="C6024" s="164"/>
      <c r="D6024" s="164"/>
      <c r="E6024" s="164"/>
      <c r="F6024" s="165"/>
    </row>
    <row r="6025" spans="1:6" x14ac:dyDescent="0.2">
      <c r="A6025" s="166"/>
      <c r="B6025" s="167"/>
      <c r="C6025" s="167"/>
      <c r="D6025" s="167"/>
      <c r="E6025" s="167"/>
      <c r="F6025" s="168"/>
    </row>
    <row r="6026" spans="1:6" x14ac:dyDescent="0.2">
      <c r="A6026" s="163"/>
      <c r="B6026" s="164"/>
      <c r="C6026" s="164"/>
      <c r="D6026" s="164"/>
      <c r="E6026" s="164"/>
      <c r="F6026" s="165"/>
    </row>
    <row r="6027" spans="1:6" x14ac:dyDescent="0.2">
      <c r="A6027" s="166"/>
      <c r="B6027" s="167"/>
      <c r="C6027" s="167"/>
      <c r="D6027" s="167"/>
      <c r="E6027" s="167"/>
      <c r="F6027" s="168"/>
    </row>
    <row r="6028" spans="1:6" x14ac:dyDescent="0.2">
      <c r="A6028" s="163"/>
      <c r="B6028" s="164"/>
      <c r="C6028" s="164"/>
      <c r="D6028" s="164"/>
      <c r="E6028" s="164"/>
      <c r="F6028" s="165"/>
    </row>
    <row r="6029" spans="1:6" x14ac:dyDescent="0.2">
      <c r="A6029" s="166"/>
      <c r="B6029" s="167"/>
      <c r="C6029" s="167"/>
      <c r="D6029" s="167"/>
      <c r="E6029" s="167"/>
      <c r="F6029" s="168"/>
    </row>
    <row r="6030" spans="1:6" x14ac:dyDescent="0.2">
      <c r="A6030" s="163"/>
      <c r="B6030" s="164"/>
      <c r="C6030" s="164"/>
      <c r="D6030" s="164"/>
      <c r="E6030" s="164"/>
      <c r="F6030" s="165"/>
    </row>
    <row r="6031" spans="1:6" x14ac:dyDescent="0.2">
      <c r="A6031" s="166"/>
      <c r="B6031" s="167"/>
      <c r="C6031" s="167"/>
      <c r="D6031" s="167"/>
      <c r="E6031" s="167"/>
      <c r="F6031" s="168"/>
    </row>
    <row r="6032" spans="1:6" x14ac:dyDescent="0.2">
      <c r="A6032" s="163"/>
      <c r="B6032" s="164"/>
      <c r="C6032" s="164"/>
      <c r="D6032" s="164"/>
      <c r="E6032" s="164"/>
      <c r="F6032" s="165"/>
    </row>
    <row r="6033" spans="1:6" x14ac:dyDescent="0.2">
      <c r="A6033" s="166"/>
      <c r="B6033" s="167"/>
      <c r="C6033" s="167"/>
      <c r="D6033" s="167"/>
      <c r="E6033" s="167"/>
      <c r="F6033" s="168"/>
    </row>
    <row r="6034" spans="1:6" x14ac:dyDescent="0.2">
      <c r="A6034" s="163"/>
      <c r="B6034" s="164"/>
      <c r="C6034" s="164"/>
      <c r="D6034" s="164"/>
      <c r="E6034" s="164"/>
      <c r="F6034" s="165"/>
    </row>
    <row r="6035" spans="1:6" x14ac:dyDescent="0.2">
      <c r="A6035" s="166"/>
      <c r="B6035" s="167"/>
      <c r="C6035" s="167"/>
      <c r="D6035" s="167"/>
      <c r="E6035" s="167"/>
      <c r="F6035" s="168"/>
    </row>
    <row r="6036" spans="1:6" x14ac:dyDescent="0.2">
      <c r="A6036" s="163"/>
      <c r="B6036" s="164"/>
      <c r="C6036" s="164"/>
      <c r="D6036" s="164"/>
      <c r="E6036" s="164"/>
      <c r="F6036" s="165"/>
    </row>
    <row r="6037" spans="1:6" x14ac:dyDescent="0.2">
      <c r="A6037" s="166"/>
      <c r="B6037" s="167"/>
      <c r="C6037" s="167"/>
      <c r="D6037" s="167"/>
      <c r="E6037" s="167"/>
      <c r="F6037" s="168"/>
    </row>
    <row r="6038" spans="1:6" x14ac:dyDescent="0.2">
      <c r="A6038" s="163"/>
      <c r="B6038" s="164"/>
      <c r="C6038" s="164"/>
      <c r="D6038" s="164"/>
      <c r="E6038" s="164"/>
      <c r="F6038" s="165"/>
    </row>
    <row r="6039" spans="1:6" x14ac:dyDescent="0.2">
      <c r="A6039" s="166"/>
      <c r="B6039" s="167"/>
      <c r="C6039" s="167"/>
      <c r="D6039" s="167"/>
      <c r="E6039" s="167"/>
      <c r="F6039" s="168"/>
    </row>
    <row r="6040" spans="1:6" x14ac:dyDescent="0.2">
      <c r="A6040" s="163"/>
      <c r="B6040" s="164"/>
      <c r="C6040" s="164"/>
      <c r="D6040" s="164"/>
      <c r="E6040" s="164"/>
      <c r="F6040" s="165"/>
    </row>
    <row r="6041" spans="1:6" x14ac:dyDescent="0.2">
      <c r="A6041" s="166"/>
      <c r="B6041" s="167"/>
      <c r="C6041" s="167"/>
      <c r="D6041" s="167"/>
      <c r="E6041" s="167"/>
      <c r="F6041" s="168"/>
    </row>
    <row r="6042" spans="1:6" x14ac:dyDescent="0.2">
      <c r="A6042" s="163"/>
      <c r="B6042" s="164"/>
      <c r="C6042" s="164"/>
      <c r="D6042" s="164"/>
      <c r="E6042" s="164"/>
      <c r="F6042" s="165"/>
    </row>
    <row r="6043" spans="1:6" x14ac:dyDescent="0.2">
      <c r="A6043" s="166"/>
      <c r="B6043" s="167"/>
      <c r="C6043" s="167"/>
      <c r="D6043" s="167"/>
      <c r="E6043" s="167"/>
      <c r="F6043" s="168"/>
    </row>
    <row r="6044" spans="1:6" x14ac:dyDescent="0.2">
      <c r="A6044" s="163"/>
      <c r="B6044" s="164"/>
      <c r="C6044" s="164"/>
      <c r="D6044" s="164"/>
      <c r="E6044" s="164"/>
      <c r="F6044" s="165"/>
    </row>
    <row r="6045" spans="1:6" x14ac:dyDescent="0.2">
      <c r="A6045" s="166"/>
      <c r="B6045" s="167"/>
      <c r="C6045" s="167"/>
      <c r="D6045" s="167"/>
      <c r="E6045" s="167"/>
      <c r="F6045" s="168"/>
    </row>
    <row r="6046" spans="1:6" x14ac:dyDescent="0.2">
      <c r="A6046" s="163"/>
      <c r="B6046" s="164"/>
      <c r="C6046" s="164"/>
      <c r="D6046" s="164"/>
      <c r="E6046" s="164"/>
      <c r="F6046" s="165"/>
    </row>
    <row r="6047" spans="1:6" x14ac:dyDescent="0.2">
      <c r="A6047" s="166"/>
      <c r="B6047" s="167"/>
      <c r="C6047" s="167"/>
      <c r="D6047" s="167"/>
      <c r="E6047" s="167"/>
      <c r="F6047" s="168"/>
    </row>
    <row r="6048" spans="1:6" x14ac:dyDescent="0.2">
      <c r="A6048" s="163"/>
      <c r="B6048" s="164"/>
      <c r="C6048" s="164"/>
      <c r="D6048" s="164"/>
      <c r="E6048" s="164"/>
      <c r="F6048" s="165"/>
    </row>
    <row r="6049" spans="1:6" x14ac:dyDescent="0.2">
      <c r="A6049" s="166"/>
      <c r="B6049" s="167"/>
      <c r="C6049" s="167"/>
      <c r="D6049" s="167"/>
      <c r="E6049" s="167"/>
      <c r="F6049" s="168"/>
    </row>
    <row r="6050" spans="1:6" x14ac:dyDescent="0.2">
      <c r="A6050" s="163"/>
      <c r="B6050" s="164"/>
      <c r="C6050" s="164"/>
      <c r="D6050" s="164"/>
      <c r="E6050" s="164"/>
      <c r="F6050" s="165"/>
    </row>
    <row r="6051" spans="1:6" x14ac:dyDescent="0.2">
      <c r="A6051" s="166"/>
      <c r="B6051" s="167"/>
      <c r="C6051" s="167"/>
      <c r="D6051" s="167"/>
      <c r="E6051" s="167"/>
      <c r="F6051" s="168"/>
    </row>
    <row r="6052" spans="1:6" x14ac:dyDescent="0.2">
      <c r="A6052" s="163"/>
      <c r="B6052" s="164"/>
      <c r="C6052" s="164"/>
      <c r="D6052" s="164"/>
      <c r="E6052" s="164"/>
      <c r="F6052" s="165"/>
    </row>
    <row r="6053" spans="1:6" x14ac:dyDescent="0.2">
      <c r="A6053" s="166"/>
      <c r="B6053" s="167"/>
      <c r="C6053" s="167"/>
      <c r="D6053" s="167"/>
      <c r="E6053" s="167"/>
      <c r="F6053" s="168"/>
    </row>
    <row r="6054" spans="1:6" x14ac:dyDescent="0.2">
      <c r="A6054" s="163"/>
      <c r="B6054" s="164"/>
      <c r="C6054" s="164"/>
      <c r="D6054" s="164"/>
      <c r="E6054" s="164"/>
      <c r="F6054" s="165"/>
    </row>
    <row r="6055" spans="1:6" x14ac:dyDescent="0.2">
      <c r="A6055" s="166"/>
      <c r="B6055" s="167"/>
      <c r="C6055" s="167"/>
      <c r="D6055" s="167"/>
      <c r="E6055" s="167"/>
      <c r="F6055" s="168"/>
    </row>
    <row r="6056" spans="1:6" x14ac:dyDescent="0.2">
      <c r="A6056" s="163"/>
      <c r="B6056" s="164"/>
      <c r="C6056" s="164"/>
      <c r="D6056" s="164"/>
      <c r="E6056" s="164"/>
      <c r="F6056" s="165"/>
    </row>
    <row r="6057" spans="1:6" x14ac:dyDescent="0.2">
      <c r="A6057" s="166"/>
      <c r="B6057" s="167"/>
      <c r="C6057" s="167"/>
      <c r="D6057" s="167"/>
      <c r="E6057" s="167"/>
      <c r="F6057" s="168"/>
    </row>
    <row r="6058" spans="1:6" x14ac:dyDescent="0.2">
      <c r="A6058" s="163"/>
      <c r="B6058" s="164"/>
      <c r="C6058" s="164"/>
      <c r="D6058" s="164"/>
      <c r="E6058" s="164"/>
      <c r="F6058" s="165"/>
    </row>
    <row r="6059" spans="1:6" x14ac:dyDescent="0.2">
      <c r="A6059" s="166"/>
      <c r="B6059" s="167"/>
      <c r="C6059" s="167"/>
      <c r="D6059" s="167"/>
      <c r="E6059" s="167"/>
      <c r="F6059" s="168"/>
    </row>
    <row r="6060" spans="1:6" x14ac:dyDescent="0.2">
      <c r="A6060" s="163"/>
      <c r="B6060" s="164"/>
      <c r="C6060" s="164"/>
      <c r="D6060" s="164"/>
      <c r="E6060" s="164"/>
      <c r="F6060" s="165"/>
    </row>
    <row r="6061" spans="1:6" x14ac:dyDescent="0.2">
      <c r="A6061" s="166"/>
      <c r="B6061" s="167"/>
      <c r="C6061" s="167"/>
      <c r="D6061" s="167"/>
      <c r="E6061" s="167"/>
      <c r="F6061" s="168"/>
    </row>
    <row r="6062" spans="1:6" x14ac:dyDescent="0.2">
      <c r="A6062" s="163"/>
      <c r="B6062" s="164"/>
      <c r="C6062" s="164"/>
      <c r="D6062" s="164"/>
      <c r="E6062" s="164"/>
      <c r="F6062" s="165"/>
    </row>
    <row r="6063" spans="1:6" x14ac:dyDescent="0.2">
      <c r="A6063" s="166"/>
      <c r="B6063" s="167"/>
      <c r="C6063" s="167"/>
      <c r="D6063" s="167"/>
      <c r="E6063" s="167"/>
      <c r="F6063" s="168"/>
    </row>
    <row r="6064" spans="1:6" x14ac:dyDescent="0.2">
      <c r="A6064" s="163"/>
      <c r="B6064" s="164"/>
      <c r="C6064" s="164"/>
      <c r="D6064" s="164"/>
      <c r="E6064" s="164"/>
      <c r="F6064" s="165"/>
    </row>
    <row r="6065" spans="1:6" x14ac:dyDescent="0.2">
      <c r="A6065" s="166"/>
      <c r="B6065" s="167"/>
      <c r="C6065" s="167"/>
      <c r="D6065" s="167"/>
      <c r="E6065" s="167"/>
      <c r="F6065" s="168"/>
    </row>
    <row r="6066" spans="1:6" x14ac:dyDescent="0.2">
      <c r="A6066" s="163"/>
      <c r="B6066" s="164"/>
      <c r="C6066" s="164"/>
      <c r="D6066" s="164"/>
      <c r="E6066" s="164"/>
      <c r="F6066" s="165"/>
    </row>
    <row r="6067" spans="1:6" x14ac:dyDescent="0.2">
      <c r="A6067" s="166"/>
      <c r="B6067" s="167"/>
      <c r="C6067" s="167"/>
      <c r="D6067" s="167"/>
      <c r="E6067" s="167"/>
      <c r="F6067" s="168"/>
    </row>
    <row r="6068" spans="1:6" x14ac:dyDescent="0.2">
      <c r="A6068" s="163"/>
      <c r="B6068" s="164"/>
      <c r="C6068" s="164"/>
      <c r="D6068" s="164"/>
      <c r="E6068" s="164"/>
      <c r="F6068" s="165"/>
    </row>
    <row r="6069" spans="1:6" x14ac:dyDescent="0.2">
      <c r="A6069" s="166"/>
      <c r="B6069" s="167"/>
      <c r="C6069" s="167"/>
      <c r="D6069" s="167"/>
      <c r="E6069" s="167"/>
      <c r="F6069" s="168"/>
    </row>
    <row r="6070" spans="1:6" x14ac:dyDescent="0.2">
      <c r="A6070" s="163"/>
      <c r="B6070" s="164"/>
      <c r="C6070" s="164"/>
      <c r="D6070" s="164"/>
      <c r="E6070" s="164"/>
      <c r="F6070" s="165"/>
    </row>
    <row r="6071" spans="1:6" x14ac:dyDescent="0.2">
      <c r="A6071" s="166"/>
      <c r="B6071" s="167"/>
      <c r="C6071" s="167"/>
      <c r="D6071" s="167"/>
      <c r="E6071" s="167"/>
      <c r="F6071" s="168"/>
    </row>
    <row r="6072" spans="1:6" x14ac:dyDescent="0.2">
      <c r="A6072" s="163"/>
      <c r="B6072" s="164"/>
      <c r="C6072" s="164"/>
      <c r="D6072" s="164"/>
      <c r="E6072" s="164"/>
      <c r="F6072" s="165"/>
    </row>
    <row r="6073" spans="1:6" x14ac:dyDescent="0.2">
      <c r="A6073" s="166"/>
      <c r="B6073" s="167"/>
      <c r="C6073" s="167"/>
      <c r="D6073" s="167"/>
      <c r="E6073" s="167"/>
      <c r="F6073" s="168"/>
    </row>
    <row r="6074" spans="1:6" x14ac:dyDescent="0.2">
      <c r="A6074" s="163"/>
      <c r="B6074" s="164"/>
      <c r="C6074" s="164"/>
      <c r="D6074" s="164"/>
      <c r="E6074" s="164"/>
      <c r="F6074" s="165"/>
    </row>
    <row r="6075" spans="1:6" x14ac:dyDescent="0.2">
      <c r="A6075" s="166"/>
      <c r="B6075" s="167"/>
      <c r="C6075" s="167"/>
      <c r="D6075" s="167"/>
      <c r="E6075" s="167"/>
      <c r="F6075" s="168"/>
    </row>
    <row r="6076" spans="1:6" x14ac:dyDescent="0.2">
      <c r="A6076" s="163"/>
      <c r="B6076" s="164"/>
      <c r="C6076" s="164"/>
      <c r="D6076" s="164"/>
      <c r="E6076" s="164"/>
      <c r="F6076" s="165"/>
    </row>
    <row r="6077" spans="1:6" x14ac:dyDescent="0.2">
      <c r="A6077" s="166"/>
      <c r="B6077" s="167"/>
      <c r="C6077" s="167"/>
      <c r="D6077" s="167"/>
      <c r="E6077" s="167"/>
      <c r="F6077" s="168"/>
    </row>
    <row r="6078" spans="1:6" x14ac:dyDescent="0.2">
      <c r="A6078" s="163"/>
      <c r="B6078" s="164"/>
      <c r="C6078" s="164"/>
      <c r="D6078" s="164"/>
      <c r="E6078" s="164"/>
      <c r="F6078" s="165"/>
    </row>
    <row r="6079" spans="1:6" x14ac:dyDescent="0.2">
      <c r="A6079" s="166"/>
      <c r="B6079" s="167"/>
      <c r="C6079" s="167"/>
      <c r="D6079" s="167"/>
      <c r="E6079" s="167"/>
      <c r="F6079" s="168"/>
    </row>
    <row r="6080" spans="1:6" x14ac:dyDescent="0.2">
      <c r="A6080" s="163"/>
      <c r="B6080" s="164"/>
      <c r="C6080" s="164"/>
      <c r="D6080" s="164"/>
      <c r="E6080" s="164"/>
      <c r="F6080" s="165"/>
    </row>
    <row r="6081" spans="1:6" x14ac:dyDescent="0.2">
      <c r="A6081" s="166"/>
      <c r="B6081" s="167"/>
      <c r="C6081" s="167"/>
      <c r="D6081" s="167"/>
      <c r="E6081" s="167"/>
      <c r="F6081" s="168"/>
    </row>
    <row r="6082" spans="1:6" x14ac:dyDescent="0.2">
      <c r="A6082" s="163"/>
      <c r="B6082" s="164"/>
      <c r="C6082" s="164"/>
      <c r="D6082" s="164"/>
      <c r="E6082" s="164"/>
      <c r="F6082" s="165"/>
    </row>
    <row r="6083" spans="1:6" x14ac:dyDescent="0.2">
      <c r="A6083" s="166"/>
      <c r="B6083" s="167"/>
      <c r="C6083" s="167"/>
      <c r="D6083" s="167"/>
      <c r="E6083" s="167"/>
      <c r="F6083" s="168"/>
    </row>
    <row r="6084" spans="1:6" x14ac:dyDescent="0.2">
      <c r="A6084" s="163"/>
      <c r="B6084" s="164"/>
      <c r="C6084" s="164"/>
      <c r="D6084" s="164"/>
      <c r="E6084" s="164"/>
      <c r="F6084" s="165"/>
    </row>
    <row r="6085" spans="1:6" x14ac:dyDescent="0.2">
      <c r="A6085" s="166"/>
      <c r="B6085" s="167"/>
      <c r="C6085" s="167"/>
      <c r="D6085" s="167"/>
      <c r="E6085" s="167"/>
      <c r="F6085" s="168"/>
    </row>
    <row r="6086" spans="1:6" x14ac:dyDescent="0.2">
      <c r="A6086" s="163"/>
      <c r="B6086" s="164"/>
      <c r="C6086" s="164"/>
      <c r="D6086" s="164"/>
      <c r="E6086" s="164"/>
      <c r="F6086" s="165"/>
    </row>
    <row r="6087" spans="1:6" x14ac:dyDescent="0.2">
      <c r="A6087" s="166"/>
      <c r="B6087" s="167"/>
      <c r="C6087" s="167"/>
      <c r="D6087" s="167"/>
      <c r="E6087" s="167"/>
      <c r="F6087" s="168"/>
    </row>
    <row r="6088" spans="1:6" x14ac:dyDescent="0.2">
      <c r="A6088" s="163"/>
      <c r="B6088" s="164"/>
      <c r="C6088" s="164"/>
      <c r="D6088" s="164"/>
      <c r="E6088" s="164"/>
      <c r="F6088" s="165"/>
    </row>
    <row r="6089" spans="1:6" x14ac:dyDescent="0.2">
      <c r="A6089" s="166"/>
      <c r="B6089" s="167"/>
      <c r="C6089" s="167"/>
      <c r="D6089" s="167"/>
      <c r="E6089" s="167"/>
      <c r="F6089" s="168"/>
    </row>
    <row r="6090" spans="1:6" x14ac:dyDescent="0.2">
      <c r="A6090" s="163"/>
      <c r="B6090" s="164"/>
      <c r="C6090" s="164"/>
      <c r="D6090" s="164"/>
      <c r="E6090" s="164"/>
      <c r="F6090" s="165"/>
    </row>
    <row r="6091" spans="1:6" x14ac:dyDescent="0.2">
      <c r="A6091" s="166"/>
      <c r="B6091" s="167"/>
      <c r="C6091" s="167"/>
      <c r="D6091" s="167"/>
      <c r="E6091" s="167"/>
      <c r="F6091" s="168"/>
    </row>
    <row r="6092" spans="1:6" x14ac:dyDescent="0.2">
      <c r="A6092" s="163"/>
      <c r="B6092" s="164"/>
      <c r="C6092" s="164"/>
      <c r="D6092" s="164"/>
      <c r="E6092" s="164"/>
      <c r="F6092" s="165"/>
    </row>
    <row r="6093" spans="1:6" x14ac:dyDescent="0.2">
      <c r="A6093" s="166"/>
      <c r="B6093" s="167"/>
      <c r="C6093" s="167"/>
      <c r="D6093" s="167"/>
      <c r="E6093" s="167"/>
      <c r="F6093" s="168"/>
    </row>
    <row r="6094" spans="1:6" x14ac:dyDescent="0.2">
      <c r="A6094" s="163"/>
      <c r="B6094" s="164"/>
      <c r="C6094" s="164"/>
      <c r="D6094" s="164"/>
      <c r="E6094" s="164"/>
      <c r="F6094" s="165"/>
    </row>
    <row r="6095" spans="1:6" x14ac:dyDescent="0.2">
      <c r="A6095" s="166"/>
      <c r="B6095" s="167"/>
      <c r="C6095" s="167"/>
      <c r="D6095" s="167"/>
      <c r="E6095" s="167"/>
      <c r="F6095" s="168"/>
    </row>
    <row r="6096" spans="1:6" x14ac:dyDescent="0.2">
      <c r="A6096" s="163"/>
      <c r="B6096" s="164"/>
      <c r="C6096" s="164"/>
      <c r="D6096" s="164"/>
      <c r="E6096" s="164"/>
      <c r="F6096" s="165"/>
    </row>
    <row r="6097" spans="1:6" x14ac:dyDescent="0.2">
      <c r="A6097" s="166"/>
      <c r="B6097" s="167"/>
      <c r="C6097" s="167"/>
      <c r="D6097" s="167"/>
      <c r="E6097" s="167"/>
      <c r="F6097" s="168"/>
    </row>
    <row r="6098" spans="1:6" x14ac:dyDescent="0.2">
      <c r="A6098" s="163"/>
      <c r="B6098" s="164"/>
      <c r="C6098" s="164"/>
      <c r="D6098" s="164"/>
      <c r="E6098" s="164"/>
      <c r="F6098" s="165"/>
    </row>
    <row r="6099" spans="1:6" x14ac:dyDescent="0.2">
      <c r="A6099" s="166"/>
      <c r="B6099" s="167"/>
      <c r="C6099" s="167"/>
      <c r="D6099" s="167"/>
      <c r="E6099" s="167"/>
      <c r="F6099" s="168"/>
    </row>
    <row r="6100" spans="1:6" x14ac:dyDescent="0.2">
      <c r="A6100" s="163"/>
      <c r="B6100" s="164"/>
      <c r="C6100" s="164"/>
      <c r="D6100" s="164"/>
      <c r="E6100" s="164"/>
      <c r="F6100" s="165"/>
    </row>
    <row r="6101" spans="1:6" x14ac:dyDescent="0.2">
      <c r="A6101" s="166"/>
      <c r="B6101" s="167"/>
      <c r="C6101" s="167"/>
      <c r="D6101" s="167"/>
      <c r="E6101" s="167"/>
      <c r="F6101" s="168"/>
    </row>
    <row r="6102" spans="1:6" x14ac:dyDescent="0.2">
      <c r="A6102" s="163"/>
      <c r="B6102" s="164"/>
      <c r="C6102" s="164"/>
      <c r="D6102" s="164"/>
      <c r="E6102" s="164"/>
      <c r="F6102" s="165"/>
    </row>
    <row r="6103" spans="1:6" x14ac:dyDescent="0.2">
      <c r="A6103" s="166"/>
      <c r="B6103" s="167"/>
      <c r="C6103" s="167"/>
      <c r="D6103" s="167"/>
      <c r="E6103" s="167"/>
      <c r="F6103" s="168"/>
    </row>
    <row r="6104" spans="1:6" x14ac:dyDescent="0.2">
      <c r="A6104" s="163"/>
      <c r="B6104" s="164"/>
      <c r="C6104" s="164"/>
      <c r="D6104" s="164"/>
      <c r="E6104" s="164"/>
      <c r="F6104" s="165"/>
    </row>
    <row r="6105" spans="1:6" x14ac:dyDescent="0.2">
      <c r="A6105" s="166"/>
      <c r="B6105" s="167"/>
      <c r="C6105" s="167"/>
      <c r="D6105" s="167"/>
      <c r="E6105" s="167"/>
      <c r="F6105" s="168"/>
    </row>
    <row r="6106" spans="1:6" x14ac:dyDescent="0.2">
      <c r="A6106" s="163"/>
      <c r="B6106" s="164"/>
      <c r="C6106" s="164"/>
      <c r="D6106" s="164"/>
      <c r="E6106" s="164"/>
      <c r="F6106" s="165"/>
    </row>
    <row r="6107" spans="1:6" x14ac:dyDescent="0.2">
      <c r="A6107" s="166"/>
      <c r="B6107" s="167"/>
      <c r="C6107" s="167"/>
      <c r="D6107" s="167"/>
      <c r="E6107" s="167"/>
      <c r="F6107" s="168"/>
    </row>
    <row r="6108" spans="1:6" x14ac:dyDescent="0.2">
      <c r="A6108" s="163"/>
      <c r="B6108" s="164"/>
      <c r="C6108" s="164"/>
      <c r="D6108" s="164"/>
      <c r="E6108" s="164"/>
      <c r="F6108" s="165"/>
    </row>
    <row r="6109" spans="1:6" x14ac:dyDescent="0.2">
      <c r="A6109" s="166"/>
      <c r="B6109" s="167"/>
      <c r="C6109" s="167"/>
      <c r="D6109" s="167"/>
      <c r="E6109" s="167"/>
      <c r="F6109" s="168"/>
    </row>
    <row r="6110" spans="1:6" x14ac:dyDescent="0.2">
      <c r="A6110" s="163"/>
      <c r="B6110" s="164"/>
      <c r="C6110" s="164"/>
      <c r="D6110" s="164"/>
      <c r="E6110" s="164"/>
      <c r="F6110" s="165"/>
    </row>
    <row r="6111" spans="1:6" x14ac:dyDescent="0.2">
      <c r="A6111" s="166"/>
      <c r="B6111" s="167"/>
      <c r="C6111" s="167"/>
      <c r="D6111" s="167"/>
      <c r="E6111" s="167"/>
      <c r="F6111" s="168"/>
    </row>
    <row r="6112" spans="1:6" x14ac:dyDescent="0.2">
      <c r="A6112" s="163"/>
      <c r="B6112" s="164"/>
      <c r="C6112" s="164"/>
      <c r="D6112" s="164"/>
      <c r="E6112" s="164"/>
      <c r="F6112" s="165"/>
    </row>
    <row r="6113" spans="1:6" x14ac:dyDescent="0.2">
      <c r="A6113" s="166"/>
      <c r="B6113" s="167"/>
      <c r="C6113" s="167"/>
      <c r="D6113" s="167"/>
      <c r="E6113" s="167"/>
      <c r="F6113" s="168"/>
    </row>
    <row r="6114" spans="1:6" x14ac:dyDescent="0.2">
      <c r="A6114" s="163"/>
      <c r="B6114" s="164"/>
      <c r="C6114" s="164"/>
      <c r="D6114" s="164"/>
      <c r="E6114" s="164"/>
      <c r="F6114" s="165"/>
    </row>
    <row r="6115" spans="1:6" x14ac:dyDescent="0.2">
      <c r="A6115" s="166"/>
      <c r="B6115" s="167"/>
      <c r="C6115" s="167"/>
      <c r="D6115" s="167"/>
      <c r="E6115" s="167"/>
      <c r="F6115" s="168"/>
    </row>
    <row r="6116" spans="1:6" x14ac:dyDescent="0.2">
      <c r="A6116" s="163"/>
      <c r="B6116" s="164"/>
      <c r="C6116" s="164"/>
      <c r="D6116" s="164"/>
      <c r="E6116" s="164"/>
      <c r="F6116" s="165"/>
    </row>
    <row r="6117" spans="1:6" x14ac:dyDescent="0.2">
      <c r="A6117" s="166"/>
      <c r="B6117" s="167"/>
      <c r="C6117" s="167"/>
      <c r="D6117" s="167"/>
      <c r="E6117" s="167"/>
      <c r="F6117" s="168"/>
    </row>
    <row r="6118" spans="1:6" x14ac:dyDescent="0.2">
      <c r="A6118" s="163"/>
      <c r="B6118" s="164"/>
      <c r="C6118" s="164"/>
      <c r="D6118" s="164"/>
      <c r="E6118" s="164"/>
      <c r="F6118" s="165"/>
    </row>
    <row r="6119" spans="1:6" x14ac:dyDescent="0.2">
      <c r="A6119" s="166"/>
      <c r="B6119" s="167"/>
      <c r="C6119" s="167"/>
      <c r="D6119" s="167"/>
      <c r="E6119" s="167"/>
      <c r="F6119" s="168"/>
    </row>
    <row r="6120" spans="1:6" x14ac:dyDescent="0.2">
      <c r="A6120" s="163"/>
      <c r="B6120" s="164"/>
      <c r="C6120" s="164"/>
      <c r="D6120" s="164"/>
      <c r="E6120" s="164"/>
      <c r="F6120" s="165"/>
    </row>
    <row r="6121" spans="1:6" x14ac:dyDescent="0.2">
      <c r="A6121" s="166"/>
      <c r="B6121" s="167"/>
      <c r="C6121" s="167"/>
      <c r="D6121" s="167"/>
      <c r="E6121" s="167"/>
      <c r="F6121" s="168"/>
    </row>
    <row r="6122" spans="1:6" x14ac:dyDescent="0.2">
      <c r="A6122" s="163"/>
      <c r="B6122" s="164"/>
      <c r="C6122" s="164"/>
      <c r="D6122" s="164"/>
      <c r="E6122" s="164"/>
      <c r="F6122" s="165"/>
    </row>
    <row r="6123" spans="1:6" x14ac:dyDescent="0.2">
      <c r="A6123" s="166"/>
      <c r="B6123" s="167"/>
      <c r="C6123" s="167"/>
      <c r="D6123" s="167"/>
      <c r="E6123" s="167"/>
      <c r="F6123" s="168"/>
    </row>
    <row r="6124" spans="1:6" x14ac:dyDescent="0.2">
      <c r="A6124" s="163"/>
      <c r="B6124" s="164"/>
      <c r="C6124" s="164"/>
      <c r="D6124" s="164"/>
      <c r="E6124" s="164"/>
      <c r="F6124" s="165"/>
    </row>
    <row r="6125" spans="1:6" x14ac:dyDescent="0.2">
      <c r="A6125" s="166"/>
      <c r="B6125" s="167"/>
      <c r="C6125" s="167"/>
      <c r="D6125" s="167"/>
      <c r="E6125" s="167"/>
      <c r="F6125" s="168"/>
    </row>
    <row r="6126" spans="1:6" x14ac:dyDescent="0.2">
      <c r="A6126" s="163"/>
      <c r="B6126" s="164"/>
      <c r="C6126" s="164"/>
      <c r="D6126" s="164"/>
      <c r="E6126" s="164"/>
      <c r="F6126" s="165"/>
    </row>
    <row r="6127" spans="1:6" x14ac:dyDescent="0.2">
      <c r="A6127" s="166"/>
      <c r="B6127" s="167"/>
      <c r="C6127" s="167"/>
      <c r="D6127" s="167"/>
      <c r="E6127" s="167"/>
      <c r="F6127" s="168"/>
    </row>
    <row r="6128" spans="1:6" x14ac:dyDescent="0.2">
      <c r="A6128" s="163"/>
      <c r="B6128" s="164"/>
      <c r="C6128" s="164"/>
      <c r="D6128" s="164"/>
      <c r="E6128" s="164"/>
      <c r="F6128" s="165"/>
    </row>
    <row r="6129" spans="1:6" x14ac:dyDescent="0.2">
      <c r="A6129" s="166"/>
      <c r="B6129" s="167"/>
      <c r="C6129" s="167"/>
      <c r="D6129" s="167"/>
      <c r="E6129" s="167"/>
      <c r="F6129" s="168"/>
    </row>
    <row r="6130" spans="1:6" x14ac:dyDescent="0.2">
      <c r="A6130" s="163"/>
      <c r="B6130" s="164"/>
      <c r="C6130" s="164"/>
      <c r="D6130" s="164"/>
      <c r="E6130" s="164"/>
      <c r="F6130" s="165"/>
    </row>
    <row r="6131" spans="1:6" x14ac:dyDescent="0.2">
      <c r="A6131" s="166"/>
      <c r="B6131" s="167"/>
      <c r="C6131" s="167"/>
      <c r="D6131" s="167"/>
      <c r="E6131" s="167"/>
      <c r="F6131" s="168"/>
    </row>
    <row r="6132" spans="1:6" x14ac:dyDescent="0.2">
      <c r="A6132" s="163"/>
      <c r="B6132" s="164"/>
      <c r="C6132" s="164"/>
      <c r="D6132" s="164"/>
      <c r="E6132" s="164"/>
      <c r="F6132" s="165"/>
    </row>
    <row r="6133" spans="1:6" x14ac:dyDescent="0.2">
      <c r="A6133" s="166"/>
      <c r="B6133" s="167"/>
      <c r="C6133" s="167"/>
      <c r="D6133" s="167"/>
      <c r="E6133" s="167"/>
      <c r="F6133" s="168"/>
    </row>
    <row r="6134" spans="1:6" x14ac:dyDescent="0.2">
      <c r="A6134" s="163"/>
      <c r="B6134" s="164"/>
      <c r="C6134" s="164"/>
      <c r="D6134" s="164"/>
      <c r="E6134" s="164"/>
      <c r="F6134" s="165"/>
    </row>
    <row r="6135" spans="1:6" x14ac:dyDescent="0.2">
      <c r="A6135" s="166"/>
      <c r="B6135" s="167"/>
      <c r="C6135" s="167"/>
      <c r="D6135" s="167"/>
      <c r="E6135" s="167"/>
      <c r="F6135" s="168"/>
    </row>
    <row r="6136" spans="1:6" x14ac:dyDescent="0.2">
      <c r="A6136" s="163"/>
      <c r="B6136" s="164"/>
      <c r="C6136" s="164"/>
      <c r="D6136" s="164"/>
      <c r="E6136" s="164"/>
      <c r="F6136" s="165"/>
    </row>
    <row r="6137" spans="1:6" x14ac:dyDescent="0.2">
      <c r="A6137" s="166"/>
      <c r="B6137" s="167"/>
      <c r="C6137" s="167"/>
      <c r="D6137" s="167"/>
      <c r="E6137" s="167"/>
      <c r="F6137" s="168"/>
    </row>
    <row r="6138" spans="1:6" x14ac:dyDescent="0.2">
      <c r="A6138" s="163"/>
      <c r="B6138" s="164"/>
      <c r="C6138" s="164"/>
      <c r="D6138" s="164"/>
      <c r="E6138" s="164"/>
      <c r="F6138" s="165"/>
    </row>
    <row r="6139" spans="1:6" x14ac:dyDescent="0.2">
      <c r="A6139" s="166"/>
      <c r="B6139" s="167"/>
      <c r="C6139" s="167"/>
      <c r="D6139" s="167"/>
      <c r="E6139" s="167"/>
      <c r="F6139" s="168"/>
    </row>
    <row r="6140" spans="1:6" x14ac:dyDescent="0.2">
      <c r="A6140" s="163"/>
      <c r="B6140" s="164"/>
      <c r="C6140" s="164"/>
      <c r="D6140" s="164"/>
      <c r="E6140" s="164"/>
      <c r="F6140" s="165"/>
    </row>
    <row r="6141" spans="1:6" x14ac:dyDescent="0.2">
      <c r="A6141" s="166"/>
      <c r="B6141" s="167"/>
      <c r="C6141" s="167"/>
      <c r="D6141" s="167"/>
      <c r="E6141" s="167"/>
      <c r="F6141" s="168"/>
    </row>
    <row r="6142" spans="1:6" x14ac:dyDescent="0.2">
      <c r="A6142" s="163"/>
      <c r="B6142" s="164"/>
      <c r="C6142" s="164"/>
      <c r="D6142" s="164"/>
      <c r="E6142" s="164"/>
      <c r="F6142" s="165"/>
    </row>
    <row r="6143" spans="1:6" x14ac:dyDescent="0.2">
      <c r="A6143" s="166"/>
      <c r="B6143" s="167"/>
      <c r="C6143" s="167"/>
      <c r="D6143" s="167"/>
      <c r="E6143" s="167"/>
      <c r="F6143" s="168"/>
    </row>
    <row r="6144" spans="1:6" x14ac:dyDescent="0.2">
      <c r="A6144" s="163"/>
      <c r="B6144" s="164"/>
      <c r="C6144" s="164"/>
      <c r="D6144" s="164"/>
      <c r="E6144" s="164"/>
      <c r="F6144" s="165"/>
    </row>
    <row r="6145" spans="1:6" x14ac:dyDescent="0.2">
      <c r="A6145" s="166"/>
      <c r="B6145" s="167"/>
      <c r="C6145" s="167"/>
      <c r="D6145" s="167"/>
      <c r="E6145" s="167"/>
      <c r="F6145" s="168"/>
    </row>
    <row r="6146" spans="1:6" x14ac:dyDescent="0.2">
      <c r="A6146" s="163"/>
      <c r="B6146" s="164"/>
      <c r="C6146" s="164"/>
      <c r="D6146" s="164"/>
      <c r="E6146" s="164"/>
      <c r="F6146" s="165"/>
    </row>
    <row r="6147" spans="1:6" x14ac:dyDescent="0.2">
      <c r="A6147" s="166"/>
      <c r="B6147" s="167"/>
      <c r="C6147" s="167"/>
      <c r="D6147" s="167"/>
      <c r="E6147" s="167"/>
      <c r="F6147" s="168"/>
    </row>
    <row r="6148" spans="1:6" x14ac:dyDescent="0.2">
      <c r="A6148" s="163"/>
      <c r="B6148" s="164"/>
      <c r="C6148" s="164"/>
      <c r="D6148" s="164"/>
      <c r="E6148" s="164"/>
      <c r="F6148" s="165"/>
    </row>
    <row r="6149" spans="1:6" x14ac:dyDescent="0.2">
      <c r="A6149" s="166"/>
      <c r="B6149" s="167"/>
      <c r="C6149" s="167"/>
      <c r="D6149" s="167"/>
      <c r="E6149" s="167"/>
      <c r="F6149" s="168"/>
    </row>
    <row r="6150" spans="1:6" x14ac:dyDescent="0.2">
      <c r="A6150" s="163"/>
      <c r="B6150" s="164"/>
      <c r="C6150" s="164"/>
      <c r="D6150" s="164"/>
      <c r="E6150" s="164"/>
      <c r="F6150" s="165"/>
    </row>
    <row r="6151" spans="1:6" x14ac:dyDescent="0.2">
      <c r="A6151" s="166"/>
      <c r="B6151" s="167"/>
      <c r="C6151" s="167"/>
      <c r="D6151" s="167"/>
      <c r="E6151" s="167"/>
      <c r="F6151" s="168"/>
    </row>
    <row r="6152" spans="1:6" x14ac:dyDescent="0.2">
      <c r="A6152" s="163"/>
      <c r="B6152" s="164"/>
      <c r="C6152" s="164"/>
      <c r="D6152" s="164"/>
      <c r="E6152" s="164"/>
      <c r="F6152" s="165"/>
    </row>
    <row r="6153" spans="1:6" x14ac:dyDescent="0.2">
      <c r="A6153" s="166"/>
      <c r="B6153" s="167"/>
      <c r="C6153" s="167"/>
      <c r="D6153" s="167"/>
      <c r="E6153" s="167"/>
      <c r="F6153" s="168"/>
    </row>
    <row r="6154" spans="1:6" x14ac:dyDescent="0.2">
      <c r="A6154" s="163"/>
      <c r="B6154" s="164"/>
      <c r="C6154" s="164"/>
      <c r="D6154" s="164"/>
      <c r="E6154" s="164"/>
      <c r="F6154" s="165"/>
    </row>
    <row r="6155" spans="1:6" x14ac:dyDescent="0.2">
      <c r="A6155" s="166"/>
      <c r="B6155" s="167"/>
      <c r="C6155" s="167"/>
      <c r="D6155" s="167"/>
      <c r="E6155" s="167"/>
      <c r="F6155" s="168"/>
    </row>
    <row r="6156" spans="1:6" x14ac:dyDescent="0.2">
      <c r="A6156" s="163"/>
      <c r="B6156" s="164"/>
      <c r="C6156" s="164"/>
      <c r="D6156" s="164"/>
      <c r="E6156" s="164"/>
      <c r="F6156" s="165"/>
    </row>
    <row r="6157" spans="1:6" x14ac:dyDescent="0.2">
      <c r="A6157" s="166"/>
      <c r="B6157" s="167"/>
      <c r="C6157" s="167"/>
      <c r="D6157" s="167"/>
      <c r="E6157" s="167"/>
      <c r="F6157" s="168"/>
    </row>
    <row r="6158" spans="1:6" x14ac:dyDescent="0.2">
      <c r="A6158" s="163"/>
      <c r="B6158" s="164"/>
      <c r="C6158" s="164"/>
      <c r="D6158" s="164"/>
      <c r="E6158" s="164"/>
      <c r="F6158" s="165"/>
    </row>
    <row r="6159" spans="1:6" x14ac:dyDescent="0.2">
      <c r="A6159" s="166"/>
      <c r="B6159" s="167"/>
      <c r="C6159" s="167"/>
      <c r="D6159" s="167"/>
      <c r="E6159" s="167"/>
      <c r="F6159" s="168"/>
    </row>
    <row r="6160" spans="1:6" x14ac:dyDescent="0.2">
      <c r="A6160" s="163"/>
      <c r="B6160" s="164"/>
      <c r="C6160" s="164"/>
      <c r="D6160" s="164"/>
      <c r="E6160" s="164"/>
      <c r="F6160" s="165"/>
    </row>
    <row r="6161" spans="1:6" x14ac:dyDescent="0.2">
      <c r="A6161" s="166"/>
      <c r="B6161" s="167"/>
      <c r="C6161" s="167"/>
      <c r="D6161" s="167"/>
      <c r="E6161" s="167"/>
      <c r="F6161" s="168"/>
    </row>
    <row r="6162" spans="1:6" x14ac:dyDescent="0.2">
      <c r="A6162" s="163"/>
      <c r="B6162" s="164"/>
      <c r="C6162" s="164"/>
      <c r="D6162" s="164"/>
      <c r="E6162" s="164"/>
      <c r="F6162" s="165"/>
    </row>
    <row r="6163" spans="1:6" x14ac:dyDescent="0.2">
      <c r="A6163" s="166"/>
      <c r="B6163" s="167"/>
      <c r="C6163" s="167"/>
      <c r="D6163" s="167"/>
      <c r="E6163" s="167"/>
      <c r="F6163" s="168"/>
    </row>
    <row r="6164" spans="1:6" x14ac:dyDescent="0.2">
      <c r="A6164" s="163"/>
      <c r="B6164" s="164"/>
      <c r="C6164" s="164"/>
      <c r="D6164" s="164"/>
      <c r="E6164" s="164"/>
      <c r="F6164" s="165"/>
    </row>
    <row r="6165" spans="1:6" x14ac:dyDescent="0.2">
      <c r="A6165" s="166"/>
      <c r="B6165" s="167"/>
      <c r="C6165" s="167"/>
      <c r="D6165" s="167"/>
      <c r="E6165" s="167"/>
      <c r="F6165" s="168"/>
    </row>
    <row r="6166" spans="1:6" x14ac:dyDescent="0.2">
      <c r="A6166" s="163"/>
      <c r="B6166" s="164"/>
      <c r="C6166" s="164"/>
      <c r="D6166" s="164"/>
      <c r="E6166" s="164"/>
      <c r="F6166" s="165"/>
    </row>
    <row r="6167" spans="1:6" x14ac:dyDescent="0.2">
      <c r="A6167" s="166"/>
      <c r="B6167" s="167"/>
      <c r="C6167" s="167"/>
      <c r="D6167" s="167"/>
      <c r="E6167" s="167"/>
      <c r="F6167" s="168"/>
    </row>
    <row r="6168" spans="1:6" x14ac:dyDescent="0.2">
      <c r="A6168" s="163"/>
      <c r="B6168" s="164"/>
      <c r="C6168" s="164"/>
      <c r="D6168" s="164"/>
      <c r="E6168" s="164"/>
      <c r="F6168" s="165"/>
    </row>
    <row r="6169" spans="1:6" x14ac:dyDescent="0.2">
      <c r="A6169" s="166"/>
      <c r="B6169" s="167"/>
      <c r="C6169" s="167"/>
      <c r="D6169" s="167"/>
      <c r="E6169" s="167"/>
      <c r="F6169" s="168"/>
    </row>
    <row r="6170" spans="1:6" x14ac:dyDescent="0.2">
      <c r="A6170" s="163"/>
      <c r="B6170" s="164"/>
      <c r="C6170" s="164"/>
      <c r="D6170" s="164"/>
      <c r="E6170" s="164"/>
      <c r="F6170" s="165"/>
    </row>
    <row r="6171" spans="1:6" x14ac:dyDescent="0.2">
      <c r="A6171" s="166"/>
      <c r="B6171" s="167"/>
      <c r="C6171" s="167"/>
      <c r="D6171" s="167"/>
      <c r="E6171" s="167"/>
      <c r="F6171" s="168"/>
    </row>
    <row r="6172" spans="1:6" x14ac:dyDescent="0.2">
      <c r="A6172" s="163"/>
      <c r="B6172" s="164"/>
      <c r="C6172" s="164"/>
      <c r="D6172" s="164"/>
      <c r="E6172" s="164"/>
      <c r="F6172" s="165"/>
    </row>
    <row r="6173" spans="1:6" x14ac:dyDescent="0.2">
      <c r="A6173" s="166"/>
      <c r="B6173" s="167"/>
      <c r="C6173" s="167"/>
      <c r="D6173" s="167"/>
      <c r="E6173" s="167"/>
      <c r="F6173" s="168"/>
    </row>
    <row r="6174" spans="1:6" x14ac:dyDescent="0.2">
      <c r="A6174" s="163"/>
      <c r="B6174" s="164"/>
      <c r="C6174" s="164"/>
      <c r="D6174" s="164"/>
      <c r="E6174" s="164"/>
      <c r="F6174" s="165"/>
    </row>
    <row r="6175" spans="1:6" x14ac:dyDescent="0.2">
      <c r="A6175" s="166"/>
      <c r="B6175" s="167"/>
      <c r="C6175" s="167"/>
      <c r="D6175" s="167"/>
      <c r="E6175" s="167"/>
      <c r="F6175" s="168"/>
    </row>
    <row r="6176" spans="1:6" x14ac:dyDescent="0.2">
      <c r="A6176" s="163"/>
      <c r="B6176" s="164"/>
      <c r="C6176" s="164"/>
      <c r="D6176" s="164"/>
      <c r="E6176" s="164"/>
      <c r="F6176" s="165"/>
    </row>
    <row r="6177" spans="1:6" x14ac:dyDescent="0.2">
      <c r="A6177" s="166"/>
      <c r="B6177" s="167"/>
      <c r="C6177" s="167"/>
      <c r="D6177" s="167"/>
      <c r="E6177" s="167"/>
      <c r="F6177" s="168"/>
    </row>
    <row r="6178" spans="1:6" x14ac:dyDescent="0.2">
      <c r="A6178" s="163"/>
      <c r="B6178" s="164"/>
      <c r="C6178" s="164"/>
      <c r="D6178" s="164"/>
      <c r="E6178" s="164"/>
      <c r="F6178" s="165"/>
    </row>
    <row r="6179" spans="1:6" x14ac:dyDescent="0.2">
      <c r="A6179" s="166"/>
      <c r="B6179" s="167"/>
      <c r="C6179" s="167"/>
      <c r="D6179" s="167"/>
      <c r="E6179" s="167"/>
      <c r="F6179" s="168"/>
    </row>
    <row r="6180" spans="1:6" x14ac:dyDescent="0.2">
      <c r="A6180" s="163"/>
      <c r="B6180" s="164"/>
      <c r="C6180" s="164"/>
      <c r="D6180" s="164"/>
      <c r="E6180" s="164"/>
      <c r="F6180" s="165"/>
    </row>
    <row r="6181" spans="1:6" x14ac:dyDescent="0.2">
      <c r="A6181" s="166"/>
      <c r="B6181" s="167"/>
      <c r="C6181" s="167"/>
      <c r="D6181" s="167"/>
      <c r="E6181" s="167"/>
      <c r="F6181" s="168"/>
    </row>
    <row r="6182" spans="1:6" x14ac:dyDescent="0.2">
      <c r="A6182" s="163"/>
      <c r="B6182" s="164"/>
      <c r="C6182" s="164"/>
      <c r="D6182" s="164"/>
      <c r="E6182" s="164"/>
      <c r="F6182" s="165"/>
    </row>
    <row r="6183" spans="1:6" x14ac:dyDescent="0.2">
      <c r="A6183" s="166"/>
      <c r="B6183" s="167"/>
      <c r="C6183" s="167"/>
      <c r="D6183" s="167"/>
      <c r="E6183" s="167"/>
      <c r="F6183" s="168"/>
    </row>
    <row r="6184" spans="1:6" x14ac:dyDescent="0.2">
      <c r="A6184" s="163"/>
      <c r="B6184" s="164"/>
      <c r="C6184" s="164"/>
      <c r="D6184" s="164"/>
      <c r="E6184" s="164"/>
      <c r="F6184" s="165"/>
    </row>
    <row r="6185" spans="1:6" x14ac:dyDescent="0.2">
      <c r="A6185" s="166"/>
      <c r="B6185" s="167"/>
      <c r="C6185" s="167"/>
      <c r="D6185" s="167"/>
      <c r="E6185" s="167"/>
      <c r="F6185" s="168"/>
    </row>
    <row r="6186" spans="1:6" x14ac:dyDescent="0.2">
      <c r="A6186" s="163"/>
      <c r="B6186" s="164"/>
      <c r="C6186" s="164"/>
      <c r="D6186" s="164"/>
      <c r="E6186" s="164"/>
      <c r="F6186" s="165"/>
    </row>
    <row r="6187" spans="1:6" x14ac:dyDescent="0.2">
      <c r="A6187" s="166"/>
      <c r="B6187" s="167"/>
      <c r="C6187" s="167"/>
      <c r="D6187" s="167"/>
      <c r="E6187" s="167"/>
      <c r="F6187" s="168"/>
    </row>
    <row r="6188" spans="1:6" x14ac:dyDescent="0.2">
      <c r="A6188" s="163"/>
      <c r="B6188" s="164"/>
      <c r="C6188" s="164"/>
      <c r="D6188" s="164"/>
      <c r="E6188" s="164"/>
      <c r="F6188" s="165"/>
    </row>
    <row r="6189" spans="1:6" x14ac:dyDescent="0.2">
      <c r="A6189" s="166"/>
      <c r="B6189" s="167"/>
      <c r="C6189" s="167"/>
      <c r="D6189" s="167"/>
      <c r="E6189" s="167"/>
      <c r="F6189" s="168"/>
    </row>
    <row r="6190" spans="1:6" x14ac:dyDescent="0.2">
      <c r="A6190" s="163"/>
      <c r="B6190" s="164"/>
      <c r="C6190" s="164"/>
      <c r="D6190" s="164"/>
      <c r="E6190" s="164"/>
      <c r="F6190" s="165"/>
    </row>
    <row r="6191" spans="1:6" x14ac:dyDescent="0.2">
      <c r="A6191" s="166"/>
      <c r="B6191" s="167"/>
      <c r="C6191" s="167"/>
      <c r="D6191" s="167"/>
      <c r="E6191" s="167"/>
      <c r="F6191" s="168"/>
    </row>
    <row r="6192" spans="1:6" x14ac:dyDescent="0.2">
      <c r="A6192" s="163"/>
      <c r="B6192" s="164"/>
      <c r="C6192" s="164"/>
      <c r="D6192" s="164"/>
      <c r="E6192" s="164"/>
      <c r="F6192" s="165"/>
    </row>
    <row r="6193" spans="1:6" x14ac:dyDescent="0.2">
      <c r="A6193" s="166"/>
      <c r="B6193" s="167"/>
      <c r="C6193" s="167"/>
      <c r="D6193" s="167"/>
      <c r="E6193" s="167"/>
      <c r="F6193" s="168"/>
    </row>
    <row r="6194" spans="1:6" x14ac:dyDescent="0.2">
      <c r="A6194" s="163"/>
      <c r="B6194" s="164"/>
      <c r="C6194" s="164"/>
      <c r="D6194" s="164"/>
      <c r="E6194" s="164"/>
      <c r="F6194" s="165"/>
    </row>
    <row r="6195" spans="1:6" x14ac:dyDescent="0.2">
      <c r="A6195" s="166"/>
      <c r="B6195" s="167"/>
      <c r="C6195" s="167"/>
      <c r="D6195" s="167"/>
      <c r="E6195" s="167"/>
      <c r="F6195" s="168"/>
    </row>
    <row r="6196" spans="1:6" x14ac:dyDescent="0.2">
      <c r="A6196" s="163"/>
      <c r="B6196" s="164"/>
      <c r="C6196" s="164"/>
      <c r="D6196" s="164"/>
      <c r="E6196" s="164"/>
      <c r="F6196" s="165"/>
    </row>
    <row r="6197" spans="1:6" x14ac:dyDescent="0.2">
      <c r="A6197" s="166"/>
      <c r="B6197" s="167"/>
      <c r="C6197" s="167"/>
      <c r="D6197" s="167"/>
      <c r="E6197" s="167"/>
      <c r="F6197" s="168"/>
    </row>
    <row r="6198" spans="1:6" x14ac:dyDescent="0.2">
      <c r="A6198" s="163"/>
      <c r="B6198" s="164"/>
      <c r="C6198" s="164"/>
      <c r="D6198" s="164"/>
      <c r="E6198" s="164"/>
      <c r="F6198" s="165"/>
    </row>
    <row r="6199" spans="1:6" x14ac:dyDescent="0.2">
      <c r="A6199" s="166"/>
      <c r="B6199" s="167"/>
      <c r="C6199" s="167"/>
      <c r="D6199" s="167"/>
      <c r="E6199" s="167"/>
      <c r="F6199" s="168"/>
    </row>
    <row r="6200" spans="1:6" x14ac:dyDescent="0.2">
      <c r="A6200" s="163"/>
      <c r="B6200" s="164"/>
      <c r="C6200" s="164"/>
      <c r="D6200" s="164"/>
      <c r="E6200" s="164"/>
      <c r="F6200" s="165"/>
    </row>
    <row r="6201" spans="1:6" x14ac:dyDescent="0.2">
      <c r="A6201" s="166"/>
      <c r="B6201" s="167"/>
      <c r="C6201" s="167"/>
      <c r="D6201" s="167"/>
      <c r="E6201" s="167"/>
      <c r="F6201" s="168"/>
    </row>
    <row r="6202" spans="1:6" x14ac:dyDescent="0.2">
      <c r="A6202" s="163"/>
      <c r="B6202" s="164"/>
      <c r="C6202" s="164"/>
      <c r="D6202" s="164"/>
      <c r="E6202" s="164"/>
      <c r="F6202" s="165"/>
    </row>
    <row r="6203" spans="1:6" x14ac:dyDescent="0.2">
      <c r="A6203" s="166"/>
      <c r="B6203" s="167"/>
      <c r="C6203" s="167"/>
      <c r="D6203" s="167"/>
      <c r="E6203" s="167"/>
      <c r="F6203" s="168"/>
    </row>
    <row r="6204" spans="1:6" x14ac:dyDescent="0.2">
      <c r="A6204" s="163"/>
      <c r="B6204" s="164"/>
      <c r="C6204" s="164"/>
      <c r="D6204" s="164"/>
      <c r="E6204" s="164"/>
      <c r="F6204" s="165"/>
    </row>
    <row r="6205" spans="1:6" x14ac:dyDescent="0.2">
      <c r="A6205" s="166"/>
      <c r="B6205" s="167"/>
      <c r="C6205" s="167"/>
      <c r="D6205" s="167"/>
      <c r="E6205" s="167"/>
      <c r="F6205" s="168"/>
    </row>
    <row r="6206" spans="1:6" x14ac:dyDescent="0.2">
      <c r="A6206" s="163"/>
      <c r="B6206" s="164"/>
      <c r="C6206" s="164"/>
      <c r="D6206" s="164"/>
      <c r="E6206" s="164"/>
      <c r="F6206" s="165"/>
    </row>
    <row r="6207" spans="1:6" x14ac:dyDescent="0.2">
      <c r="A6207" s="166"/>
      <c r="B6207" s="167"/>
      <c r="C6207" s="167"/>
      <c r="D6207" s="167"/>
      <c r="E6207" s="167"/>
      <c r="F6207" s="168"/>
    </row>
    <row r="6208" spans="1:6" x14ac:dyDescent="0.2">
      <c r="A6208" s="163"/>
      <c r="B6208" s="164"/>
      <c r="C6208" s="164"/>
      <c r="D6208" s="164"/>
      <c r="E6208" s="164"/>
      <c r="F6208" s="165"/>
    </row>
    <row r="6209" spans="1:6" x14ac:dyDescent="0.2">
      <c r="A6209" s="166"/>
      <c r="B6209" s="167"/>
      <c r="C6209" s="167"/>
      <c r="D6209" s="167"/>
      <c r="E6209" s="167"/>
      <c r="F6209" s="168"/>
    </row>
    <row r="6210" spans="1:6" x14ac:dyDescent="0.2">
      <c r="A6210" s="163"/>
      <c r="B6210" s="164"/>
      <c r="C6210" s="164"/>
      <c r="D6210" s="164"/>
      <c r="E6210" s="164"/>
      <c r="F6210" s="165"/>
    </row>
    <row r="6211" spans="1:6" x14ac:dyDescent="0.2">
      <c r="A6211" s="166"/>
      <c r="B6211" s="167"/>
      <c r="C6211" s="167"/>
      <c r="D6211" s="167"/>
      <c r="E6211" s="167"/>
      <c r="F6211" s="168"/>
    </row>
    <row r="6212" spans="1:6" x14ac:dyDescent="0.2">
      <c r="A6212" s="163"/>
      <c r="B6212" s="164"/>
      <c r="C6212" s="164"/>
      <c r="D6212" s="164"/>
      <c r="E6212" s="164"/>
      <c r="F6212" s="165"/>
    </row>
    <row r="6213" spans="1:6" x14ac:dyDescent="0.2">
      <c r="A6213" s="166"/>
      <c r="B6213" s="167"/>
      <c r="C6213" s="167"/>
      <c r="D6213" s="167"/>
      <c r="E6213" s="167"/>
      <c r="F6213" s="168"/>
    </row>
    <row r="6214" spans="1:6" x14ac:dyDescent="0.2">
      <c r="A6214" s="163"/>
      <c r="B6214" s="164"/>
      <c r="C6214" s="164"/>
      <c r="D6214" s="164"/>
      <c r="E6214" s="164"/>
      <c r="F6214" s="165"/>
    </row>
    <row r="6215" spans="1:6" x14ac:dyDescent="0.2">
      <c r="A6215" s="166"/>
      <c r="B6215" s="167"/>
      <c r="C6215" s="167"/>
      <c r="D6215" s="167"/>
      <c r="E6215" s="167"/>
      <c r="F6215" s="168"/>
    </row>
    <row r="6216" spans="1:6" x14ac:dyDescent="0.2">
      <c r="A6216" s="163"/>
      <c r="B6216" s="164"/>
      <c r="C6216" s="164"/>
      <c r="D6216" s="164"/>
      <c r="E6216" s="164"/>
      <c r="F6216" s="165"/>
    </row>
    <row r="6217" spans="1:6" x14ac:dyDescent="0.2">
      <c r="A6217" s="166"/>
      <c r="B6217" s="167"/>
      <c r="C6217" s="167"/>
      <c r="D6217" s="167"/>
      <c r="E6217" s="167"/>
      <c r="F6217" s="168"/>
    </row>
    <row r="6218" spans="1:6" x14ac:dyDescent="0.2">
      <c r="A6218" s="163"/>
      <c r="B6218" s="164"/>
      <c r="C6218" s="164"/>
      <c r="D6218" s="164"/>
      <c r="E6218" s="164"/>
      <c r="F6218" s="165"/>
    </row>
    <row r="6219" spans="1:6" x14ac:dyDescent="0.2">
      <c r="A6219" s="166"/>
      <c r="B6219" s="167"/>
      <c r="C6219" s="167"/>
      <c r="D6219" s="167"/>
      <c r="E6219" s="167"/>
      <c r="F6219" s="168"/>
    </row>
    <row r="6220" spans="1:6" x14ac:dyDescent="0.2">
      <c r="A6220" s="163"/>
      <c r="B6220" s="164"/>
      <c r="C6220" s="164"/>
      <c r="D6220" s="164"/>
      <c r="E6220" s="164"/>
      <c r="F6220" s="165"/>
    </row>
    <row r="6221" spans="1:6" x14ac:dyDescent="0.2">
      <c r="A6221" s="166"/>
      <c r="B6221" s="167"/>
      <c r="C6221" s="167"/>
      <c r="D6221" s="167"/>
      <c r="E6221" s="167"/>
      <c r="F6221" s="168"/>
    </row>
    <row r="6222" spans="1:6" x14ac:dyDescent="0.2">
      <c r="A6222" s="163"/>
      <c r="B6222" s="164"/>
      <c r="C6222" s="164"/>
      <c r="D6222" s="164"/>
      <c r="E6222" s="164"/>
      <c r="F6222" s="165"/>
    </row>
    <row r="6223" spans="1:6" x14ac:dyDescent="0.2">
      <c r="A6223" s="166"/>
      <c r="B6223" s="167"/>
      <c r="C6223" s="167"/>
      <c r="D6223" s="167"/>
      <c r="E6223" s="167"/>
      <c r="F6223" s="168"/>
    </row>
    <row r="6224" spans="1:6" x14ac:dyDescent="0.2">
      <c r="A6224" s="163"/>
      <c r="B6224" s="164"/>
      <c r="C6224" s="164"/>
      <c r="D6224" s="164"/>
      <c r="E6224" s="164"/>
      <c r="F6224" s="165"/>
    </row>
    <row r="6225" spans="1:6" x14ac:dyDescent="0.2">
      <c r="A6225" s="166"/>
      <c r="B6225" s="167"/>
      <c r="C6225" s="167"/>
      <c r="D6225" s="167"/>
      <c r="E6225" s="167"/>
      <c r="F6225" s="168"/>
    </row>
    <row r="6226" spans="1:6" x14ac:dyDescent="0.2">
      <c r="A6226" s="163"/>
      <c r="B6226" s="164"/>
      <c r="C6226" s="164"/>
      <c r="D6226" s="164"/>
      <c r="E6226" s="164"/>
      <c r="F6226" s="165"/>
    </row>
    <row r="6227" spans="1:6" x14ac:dyDescent="0.2">
      <c r="A6227" s="166"/>
      <c r="B6227" s="167"/>
      <c r="C6227" s="167"/>
      <c r="D6227" s="167"/>
      <c r="E6227" s="167"/>
      <c r="F6227" s="168"/>
    </row>
    <row r="6228" spans="1:6" x14ac:dyDescent="0.2">
      <c r="A6228" s="163"/>
      <c r="B6228" s="164"/>
      <c r="C6228" s="164"/>
      <c r="D6228" s="164"/>
      <c r="E6228" s="164"/>
      <c r="F6228" s="165"/>
    </row>
    <row r="6229" spans="1:6" x14ac:dyDescent="0.2">
      <c r="A6229" s="166"/>
      <c r="B6229" s="167"/>
      <c r="C6229" s="167"/>
      <c r="D6229" s="167"/>
      <c r="E6229" s="167"/>
      <c r="F6229" s="168"/>
    </row>
    <row r="6230" spans="1:6" x14ac:dyDescent="0.2">
      <c r="A6230" s="163"/>
      <c r="B6230" s="164"/>
      <c r="C6230" s="164"/>
      <c r="D6230" s="164"/>
      <c r="E6230" s="164"/>
      <c r="F6230" s="165"/>
    </row>
    <row r="6231" spans="1:6" x14ac:dyDescent="0.2">
      <c r="A6231" s="166"/>
      <c r="B6231" s="167"/>
      <c r="C6231" s="167"/>
      <c r="D6231" s="167"/>
      <c r="E6231" s="167"/>
      <c r="F6231" s="168"/>
    </row>
    <row r="6232" spans="1:6" x14ac:dyDescent="0.2">
      <c r="A6232" s="163"/>
      <c r="B6232" s="164"/>
      <c r="C6232" s="164"/>
      <c r="D6232" s="164"/>
      <c r="E6232" s="164"/>
      <c r="F6232" s="165"/>
    </row>
    <row r="6233" spans="1:6" x14ac:dyDescent="0.2">
      <c r="A6233" s="166"/>
      <c r="B6233" s="167"/>
      <c r="C6233" s="167"/>
      <c r="D6233" s="167"/>
      <c r="E6233" s="167"/>
      <c r="F6233" s="168"/>
    </row>
    <row r="6234" spans="1:6" x14ac:dyDescent="0.2">
      <c r="A6234" s="163"/>
      <c r="B6234" s="164"/>
      <c r="C6234" s="164"/>
      <c r="D6234" s="164"/>
      <c r="E6234" s="164"/>
      <c r="F6234" s="165"/>
    </row>
    <row r="6235" spans="1:6" x14ac:dyDescent="0.2">
      <c r="A6235" s="166"/>
      <c r="B6235" s="167"/>
      <c r="C6235" s="167"/>
      <c r="D6235" s="167"/>
      <c r="E6235" s="167"/>
      <c r="F6235" s="168"/>
    </row>
    <row r="6236" spans="1:6" x14ac:dyDescent="0.2">
      <c r="A6236" s="163"/>
      <c r="B6236" s="164"/>
      <c r="C6236" s="164"/>
      <c r="D6236" s="164"/>
      <c r="E6236" s="164"/>
      <c r="F6236" s="165"/>
    </row>
    <row r="6237" spans="1:6" x14ac:dyDescent="0.2">
      <c r="A6237" s="166"/>
      <c r="B6237" s="167"/>
      <c r="C6237" s="167"/>
      <c r="D6237" s="167"/>
      <c r="E6237" s="167"/>
      <c r="F6237" s="168"/>
    </row>
    <row r="6238" spans="1:6" x14ac:dyDescent="0.2">
      <c r="A6238" s="163"/>
      <c r="B6238" s="164"/>
      <c r="C6238" s="164"/>
      <c r="D6238" s="164"/>
      <c r="E6238" s="164"/>
      <c r="F6238" s="165"/>
    </row>
    <row r="6239" spans="1:6" x14ac:dyDescent="0.2">
      <c r="A6239" s="166"/>
      <c r="B6239" s="167"/>
      <c r="C6239" s="167"/>
      <c r="D6239" s="167"/>
      <c r="E6239" s="167"/>
      <c r="F6239" s="168"/>
    </row>
    <row r="6240" spans="1:6" x14ac:dyDescent="0.2">
      <c r="A6240" s="163"/>
      <c r="B6240" s="164"/>
      <c r="C6240" s="164"/>
      <c r="D6240" s="164"/>
      <c r="E6240" s="164"/>
      <c r="F6240" s="165"/>
    </row>
    <row r="6241" spans="1:6" x14ac:dyDescent="0.2">
      <c r="A6241" s="166"/>
      <c r="B6241" s="167"/>
      <c r="C6241" s="167"/>
      <c r="D6241" s="167"/>
      <c r="E6241" s="167"/>
      <c r="F6241" s="168"/>
    </row>
    <row r="6242" spans="1:6" x14ac:dyDescent="0.2">
      <c r="A6242" s="163"/>
      <c r="B6242" s="164"/>
      <c r="C6242" s="164"/>
      <c r="D6242" s="164"/>
      <c r="E6242" s="164"/>
      <c r="F6242" s="165"/>
    </row>
    <row r="6243" spans="1:6" x14ac:dyDescent="0.2">
      <c r="A6243" s="166"/>
      <c r="B6243" s="167"/>
      <c r="C6243" s="167"/>
      <c r="D6243" s="167"/>
      <c r="E6243" s="167"/>
      <c r="F6243" s="168"/>
    </row>
    <row r="6244" spans="1:6" x14ac:dyDescent="0.2">
      <c r="A6244" s="163"/>
      <c r="B6244" s="164"/>
      <c r="C6244" s="164"/>
      <c r="D6244" s="164"/>
      <c r="E6244" s="164"/>
      <c r="F6244" s="165"/>
    </row>
    <row r="6245" spans="1:6" x14ac:dyDescent="0.2">
      <c r="A6245" s="166"/>
      <c r="B6245" s="167"/>
      <c r="C6245" s="167"/>
      <c r="D6245" s="167"/>
      <c r="E6245" s="167"/>
      <c r="F6245" s="168"/>
    </row>
    <row r="6246" spans="1:6" x14ac:dyDescent="0.2">
      <c r="A6246" s="163"/>
      <c r="B6246" s="164"/>
      <c r="C6246" s="164"/>
      <c r="D6246" s="164"/>
      <c r="E6246" s="164"/>
      <c r="F6246" s="165"/>
    </row>
    <row r="6247" spans="1:6" x14ac:dyDescent="0.2">
      <c r="A6247" s="166"/>
      <c r="B6247" s="167"/>
      <c r="C6247" s="167"/>
      <c r="D6247" s="167"/>
      <c r="E6247" s="167"/>
      <c r="F6247" s="168"/>
    </row>
    <row r="6248" spans="1:6" x14ac:dyDescent="0.2">
      <c r="A6248" s="163"/>
      <c r="B6248" s="164"/>
      <c r="C6248" s="164"/>
      <c r="D6248" s="164"/>
      <c r="E6248" s="164"/>
      <c r="F6248" s="165"/>
    </row>
    <row r="6249" spans="1:6" x14ac:dyDescent="0.2">
      <c r="A6249" s="166"/>
      <c r="B6249" s="167"/>
      <c r="C6249" s="167"/>
      <c r="D6249" s="167"/>
      <c r="E6249" s="167"/>
      <c r="F6249" s="168"/>
    </row>
    <row r="6250" spans="1:6" x14ac:dyDescent="0.2">
      <c r="A6250" s="163"/>
      <c r="B6250" s="164"/>
      <c r="C6250" s="164"/>
      <c r="D6250" s="164"/>
      <c r="E6250" s="164"/>
      <c r="F6250" s="165"/>
    </row>
    <row r="6251" spans="1:6" x14ac:dyDescent="0.2">
      <c r="A6251" s="166"/>
      <c r="B6251" s="167"/>
      <c r="C6251" s="167"/>
      <c r="D6251" s="167"/>
      <c r="E6251" s="167"/>
      <c r="F6251" s="168"/>
    </row>
    <row r="6252" spans="1:6" x14ac:dyDescent="0.2">
      <c r="A6252" s="163"/>
      <c r="B6252" s="164"/>
      <c r="C6252" s="164"/>
      <c r="D6252" s="164"/>
      <c r="E6252" s="164"/>
      <c r="F6252" s="165"/>
    </row>
    <row r="6253" spans="1:6" x14ac:dyDescent="0.2">
      <c r="A6253" s="166"/>
      <c r="B6253" s="167"/>
      <c r="C6253" s="167"/>
      <c r="D6253" s="167"/>
      <c r="E6253" s="167"/>
      <c r="F6253" s="168"/>
    </row>
    <row r="6254" spans="1:6" x14ac:dyDescent="0.2">
      <c r="A6254" s="163"/>
      <c r="B6254" s="164"/>
      <c r="C6254" s="164"/>
      <c r="D6254" s="164"/>
      <c r="E6254" s="164"/>
      <c r="F6254" s="165"/>
    </row>
    <row r="6255" spans="1:6" x14ac:dyDescent="0.2">
      <c r="A6255" s="166"/>
      <c r="B6255" s="167"/>
      <c r="C6255" s="167"/>
      <c r="D6255" s="167"/>
      <c r="E6255" s="167"/>
      <c r="F6255" s="168"/>
    </row>
    <row r="6256" spans="1:6" x14ac:dyDescent="0.2">
      <c r="A6256" s="163"/>
      <c r="B6256" s="164"/>
      <c r="C6256" s="164"/>
      <c r="D6256" s="164"/>
      <c r="E6256" s="164"/>
      <c r="F6256" s="165"/>
    </row>
    <row r="6257" spans="1:6" x14ac:dyDescent="0.2">
      <c r="A6257" s="166"/>
      <c r="B6257" s="167"/>
      <c r="C6257" s="167"/>
      <c r="D6257" s="167"/>
      <c r="E6257" s="167"/>
      <c r="F6257" s="168"/>
    </row>
    <row r="6258" spans="1:6" x14ac:dyDescent="0.2">
      <c r="A6258" s="163"/>
      <c r="B6258" s="164"/>
      <c r="C6258" s="164"/>
      <c r="D6258" s="164"/>
      <c r="E6258" s="164"/>
      <c r="F6258" s="165"/>
    </row>
    <row r="6259" spans="1:6" x14ac:dyDescent="0.2">
      <c r="A6259" s="166"/>
      <c r="B6259" s="167"/>
      <c r="C6259" s="167"/>
      <c r="D6259" s="167"/>
      <c r="E6259" s="167"/>
      <c r="F6259" s="168"/>
    </row>
    <row r="6260" spans="1:6" x14ac:dyDescent="0.2">
      <c r="A6260" s="163"/>
      <c r="B6260" s="164"/>
      <c r="C6260" s="164"/>
      <c r="D6260" s="164"/>
      <c r="E6260" s="164"/>
      <c r="F6260" s="165"/>
    </row>
    <row r="6261" spans="1:6" x14ac:dyDescent="0.2">
      <c r="A6261" s="166"/>
      <c r="B6261" s="167"/>
      <c r="C6261" s="167"/>
      <c r="D6261" s="167"/>
      <c r="E6261" s="167"/>
      <c r="F6261" s="168"/>
    </row>
    <row r="6262" spans="1:6" x14ac:dyDescent="0.2">
      <c r="A6262" s="163"/>
      <c r="B6262" s="164"/>
      <c r="C6262" s="164"/>
      <c r="D6262" s="164"/>
      <c r="E6262" s="164"/>
      <c r="F6262" s="165"/>
    </row>
    <row r="6263" spans="1:6" x14ac:dyDescent="0.2">
      <c r="A6263" s="166"/>
      <c r="B6263" s="167"/>
      <c r="C6263" s="167"/>
      <c r="D6263" s="167"/>
      <c r="E6263" s="167"/>
      <c r="F6263" s="168"/>
    </row>
    <row r="6264" spans="1:6" x14ac:dyDescent="0.2">
      <c r="A6264" s="163"/>
      <c r="B6264" s="164"/>
      <c r="C6264" s="164"/>
      <c r="D6264" s="164"/>
      <c r="E6264" s="164"/>
      <c r="F6264" s="165"/>
    </row>
    <row r="6265" spans="1:6" x14ac:dyDescent="0.2">
      <c r="A6265" s="166"/>
      <c r="B6265" s="167"/>
      <c r="C6265" s="167"/>
      <c r="D6265" s="167"/>
      <c r="E6265" s="167"/>
      <c r="F6265" s="168"/>
    </row>
    <row r="6266" spans="1:6" x14ac:dyDescent="0.2">
      <c r="A6266" s="163"/>
      <c r="B6266" s="164"/>
      <c r="C6266" s="164"/>
      <c r="D6266" s="164"/>
      <c r="E6266" s="164"/>
      <c r="F6266" s="165"/>
    </row>
    <row r="6267" spans="1:6" x14ac:dyDescent="0.2">
      <c r="A6267" s="166"/>
      <c r="B6267" s="167"/>
      <c r="C6267" s="167"/>
      <c r="D6267" s="167"/>
      <c r="E6267" s="167"/>
      <c r="F6267" s="168"/>
    </row>
    <row r="6268" spans="1:6" x14ac:dyDescent="0.2">
      <c r="A6268" s="163"/>
      <c r="B6268" s="164"/>
      <c r="C6268" s="164"/>
      <c r="D6268" s="164"/>
      <c r="E6268" s="164"/>
      <c r="F6268" s="165"/>
    </row>
    <row r="6269" spans="1:6" x14ac:dyDescent="0.2">
      <c r="A6269" s="166"/>
      <c r="B6269" s="167"/>
      <c r="C6269" s="167"/>
      <c r="D6269" s="167"/>
      <c r="E6269" s="167"/>
      <c r="F6269" s="168"/>
    </row>
    <row r="6270" spans="1:6" x14ac:dyDescent="0.2">
      <c r="A6270" s="163"/>
      <c r="B6270" s="164"/>
      <c r="C6270" s="164"/>
      <c r="D6270" s="164"/>
      <c r="E6270" s="164"/>
      <c r="F6270" s="165"/>
    </row>
    <row r="6271" spans="1:6" x14ac:dyDescent="0.2">
      <c r="A6271" s="166"/>
      <c r="B6271" s="167"/>
      <c r="C6271" s="167"/>
      <c r="D6271" s="167"/>
      <c r="E6271" s="167"/>
      <c r="F6271" s="168"/>
    </row>
    <row r="6272" spans="1:6" x14ac:dyDescent="0.2">
      <c r="A6272" s="163"/>
      <c r="B6272" s="164"/>
      <c r="C6272" s="164"/>
      <c r="D6272" s="164"/>
      <c r="E6272" s="164"/>
      <c r="F6272" s="165"/>
    </row>
    <row r="6273" spans="1:6" x14ac:dyDescent="0.2">
      <c r="A6273" s="166"/>
      <c r="B6273" s="167"/>
      <c r="C6273" s="167"/>
      <c r="D6273" s="167"/>
      <c r="E6273" s="167"/>
      <c r="F6273" s="168"/>
    </row>
    <row r="6274" spans="1:6" x14ac:dyDescent="0.2">
      <c r="A6274" s="163"/>
      <c r="B6274" s="164"/>
      <c r="C6274" s="164"/>
      <c r="D6274" s="164"/>
      <c r="E6274" s="164"/>
      <c r="F6274" s="165"/>
    </row>
    <row r="6275" spans="1:6" x14ac:dyDescent="0.2">
      <c r="A6275" s="166"/>
      <c r="B6275" s="167"/>
      <c r="C6275" s="167"/>
      <c r="D6275" s="167"/>
      <c r="E6275" s="167"/>
      <c r="F6275" s="168"/>
    </row>
    <row r="6276" spans="1:6" x14ac:dyDescent="0.2">
      <c r="A6276" s="163"/>
      <c r="B6276" s="164"/>
      <c r="C6276" s="164"/>
      <c r="D6276" s="164"/>
      <c r="E6276" s="164"/>
      <c r="F6276" s="165"/>
    </row>
    <row r="6277" spans="1:6" x14ac:dyDescent="0.2">
      <c r="A6277" s="166"/>
      <c r="B6277" s="167"/>
      <c r="C6277" s="167"/>
      <c r="D6277" s="167"/>
      <c r="E6277" s="167"/>
      <c r="F6277" s="168"/>
    </row>
    <row r="6278" spans="1:6" x14ac:dyDescent="0.2">
      <c r="A6278" s="163"/>
      <c r="B6278" s="164"/>
      <c r="C6278" s="164"/>
      <c r="D6278" s="164"/>
      <c r="E6278" s="164"/>
      <c r="F6278" s="165"/>
    </row>
    <row r="6279" spans="1:6" x14ac:dyDescent="0.2">
      <c r="A6279" s="166"/>
      <c r="B6279" s="167"/>
      <c r="C6279" s="167"/>
      <c r="D6279" s="167"/>
      <c r="E6279" s="167"/>
      <c r="F6279" s="168"/>
    </row>
    <row r="6280" spans="1:6" x14ac:dyDescent="0.2">
      <c r="A6280" s="163"/>
      <c r="B6280" s="164"/>
      <c r="C6280" s="164"/>
      <c r="D6280" s="164"/>
      <c r="E6280" s="164"/>
      <c r="F6280" s="165"/>
    </row>
    <row r="6281" spans="1:6" x14ac:dyDescent="0.2">
      <c r="A6281" s="166"/>
      <c r="B6281" s="167"/>
      <c r="C6281" s="167"/>
      <c r="D6281" s="167"/>
      <c r="E6281" s="167"/>
      <c r="F6281" s="168"/>
    </row>
    <row r="6282" spans="1:6" x14ac:dyDescent="0.2">
      <c r="A6282" s="163"/>
      <c r="B6282" s="164"/>
      <c r="C6282" s="164"/>
      <c r="D6282" s="164"/>
      <c r="E6282" s="164"/>
      <c r="F6282" s="165"/>
    </row>
    <row r="6283" spans="1:6" x14ac:dyDescent="0.2">
      <c r="A6283" s="166"/>
      <c r="B6283" s="167"/>
      <c r="C6283" s="167"/>
      <c r="D6283" s="167"/>
      <c r="E6283" s="167"/>
      <c r="F6283" s="168"/>
    </row>
    <row r="6284" spans="1:6" x14ac:dyDescent="0.2">
      <c r="A6284" s="163"/>
      <c r="B6284" s="164"/>
      <c r="C6284" s="164"/>
      <c r="D6284" s="164"/>
      <c r="E6284" s="164"/>
      <c r="F6284" s="165"/>
    </row>
    <row r="6285" spans="1:6" x14ac:dyDescent="0.2">
      <c r="A6285" s="166"/>
      <c r="B6285" s="167"/>
      <c r="C6285" s="167"/>
      <c r="D6285" s="167"/>
      <c r="E6285" s="167"/>
      <c r="F6285" s="168"/>
    </row>
    <row r="6286" spans="1:6" x14ac:dyDescent="0.2">
      <c r="A6286" s="163"/>
      <c r="B6286" s="164"/>
      <c r="C6286" s="164"/>
      <c r="D6286" s="164"/>
      <c r="E6286" s="164"/>
      <c r="F6286" s="165"/>
    </row>
    <row r="6287" spans="1:6" x14ac:dyDescent="0.2">
      <c r="A6287" s="166"/>
      <c r="B6287" s="167"/>
      <c r="C6287" s="167"/>
      <c r="D6287" s="167"/>
      <c r="E6287" s="167"/>
      <c r="F6287" s="168"/>
    </row>
    <row r="6288" spans="1:6" x14ac:dyDescent="0.2">
      <c r="A6288" s="163"/>
      <c r="B6288" s="164"/>
      <c r="C6288" s="164"/>
      <c r="D6288" s="164"/>
      <c r="E6288" s="164"/>
      <c r="F6288" s="165"/>
    </row>
    <row r="6289" spans="1:6" x14ac:dyDescent="0.2">
      <c r="A6289" s="166"/>
      <c r="B6289" s="167"/>
      <c r="C6289" s="167"/>
      <c r="D6289" s="167"/>
      <c r="E6289" s="167"/>
      <c r="F6289" s="168"/>
    </row>
    <row r="6290" spans="1:6" x14ac:dyDescent="0.2">
      <c r="A6290" s="163"/>
      <c r="B6290" s="164"/>
      <c r="C6290" s="164"/>
      <c r="D6290" s="164"/>
      <c r="E6290" s="164"/>
      <c r="F6290" s="165"/>
    </row>
    <row r="6291" spans="1:6" x14ac:dyDescent="0.2">
      <c r="A6291" s="166"/>
      <c r="B6291" s="167"/>
      <c r="C6291" s="167"/>
      <c r="D6291" s="167"/>
      <c r="E6291" s="167"/>
      <c r="F6291" s="168"/>
    </row>
    <row r="6292" spans="1:6" x14ac:dyDescent="0.2">
      <c r="A6292" s="163"/>
      <c r="B6292" s="164"/>
      <c r="C6292" s="164"/>
      <c r="D6292" s="164"/>
      <c r="E6292" s="164"/>
      <c r="F6292" s="165"/>
    </row>
    <row r="6293" spans="1:6" x14ac:dyDescent="0.2">
      <c r="A6293" s="166"/>
      <c r="B6293" s="167"/>
      <c r="C6293" s="167"/>
      <c r="D6293" s="167"/>
      <c r="E6293" s="167"/>
      <c r="F6293" s="168"/>
    </row>
    <row r="6294" spans="1:6" x14ac:dyDescent="0.2">
      <c r="A6294" s="163"/>
      <c r="B6294" s="164"/>
      <c r="C6294" s="164"/>
      <c r="D6294" s="164"/>
      <c r="E6294" s="164"/>
      <c r="F6294" s="165"/>
    </row>
    <row r="6295" spans="1:6" x14ac:dyDescent="0.2">
      <c r="A6295" s="166"/>
      <c r="B6295" s="167"/>
      <c r="C6295" s="167"/>
      <c r="D6295" s="167"/>
      <c r="E6295" s="167"/>
      <c r="F6295" s="168"/>
    </row>
    <row r="6296" spans="1:6" x14ac:dyDescent="0.2">
      <c r="A6296" s="163"/>
      <c r="B6296" s="164"/>
      <c r="C6296" s="164"/>
      <c r="D6296" s="164"/>
      <c r="E6296" s="164"/>
      <c r="F6296" s="165"/>
    </row>
    <row r="6297" spans="1:6" x14ac:dyDescent="0.2">
      <c r="A6297" s="166"/>
      <c r="B6297" s="167"/>
      <c r="C6297" s="167"/>
      <c r="D6297" s="167"/>
      <c r="E6297" s="167"/>
      <c r="F6297" s="168"/>
    </row>
    <row r="6298" spans="1:6" x14ac:dyDescent="0.2">
      <c r="A6298" s="163"/>
      <c r="B6298" s="164"/>
      <c r="C6298" s="164"/>
      <c r="D6298" s="164"/>
      <c r="E6298" s="164"/>
      <c r="F6298" s="165"/>
    </row>
    <row r="6299" spans="1:6" x14ac:dyDescent="0.2">
      <c r="A6299" s="166"/>
      <c r="B6299" s="167"/>
      <c r="C6299" s="167"/>
      <c r="D6299" s="167"/>
      <c r="E6299" s="167"/>
      <c r="F6299" s="168"/>
    </row>
    <row r="6300" spans="1:6" x14ac:dyDescent="0.2">
      <c r="A6300" s="163"/>
      <c r="B6300" s="164"/>
      <c r="C6300" s="164"/>
      <c r="D6300" s="164"/>
      <c r="E6300" s="164"/>
      <c r="F6300" s="165"/>
    </row>
    <row r="6301" spans="1:6" x14ac:dyDescent="0.2">
      <c r="A6301" s="166"/>
      <c r="B6301" s="167"/>
      <c r="C6301" s="167"/>
      <c r="D6301" s="167"/>
      <c r="E6301" s="167"/>
      <c r="F6301" s="168"/>
    </row>
    <row r="6302" spans="1:6" x14ac:dyDescent="0.2">
      <c r="A6302" s="163"/>
      <c r="B6302" s="164"/>
      <c r="C6302" s="164"/>
      <c r="D6302" s="164"/>
      <c r="E6302" s="164"/>
      <c r="F6302" s="165"/>
    </row>
    <row r="6303" spans="1:6" x14ac:dyDescent="0.2">
      <c r="A6303" s="166"/>
      <c r="B6303" s="167"/>
      <c r="C6303" s="167"/>
      <c r="D6303" s="167"/>
      <c r="E6303" s="167"/>
      <c r="F6303" s="168"/>
    </row>
    <row r="6304" spans="1:6" x14ac:dyDescent="0.2">
      <c r="A6304" s="163"/>
      <c r="B6304" s="164"/>
      <c r="C6304" s="164"/>
      <c r="D6304" s="164"/>
      <c r="E6304" s="164"/>
      <c r="F6304" s="165"/>
    </row>
    <row r="6305" spans="1:6" x14ac:dyDescent="0.2">
      <c r="A6305" s="166"/>
      <c r="B6305" s="167"/>
      <c r="C6305" s="167"/>
      <c r="D6305" s="167"/>
      <c r="E6305" s="167"/>
      <c r="F6305" s="168"/>
    </row>
    <row r="6306" spans="1:6" x14ac:dyDescent="0.2">
      <c r="A6306" s="163"/>
      <c r="B6306" s="164"/>
      <c r="C6306" s="164"/>
      <c r="D6306" s="164"/>
      <c r="E6306" s="164"/>
      <c r="F6306" s="165"/>
    </row>
    <row r="6307" spans="1:6" x14ac:dyDescent="0.2">
      <c r="A6307" s="166"/>
      <c r="B6307" s="167"/>
      <c r="C6307" s="167"/>
      <c r="D6307" s="167"/>
      <c r="E6307" s="167"/>
      <c r="F6307" s="168"/>
    </row>
    <row r="6308" spans="1:6" x14ac:dyDescent="0.2">
      <c r="A6308" s="163"/>
      <c r="B6308" s="164"/>
      <c r="C6308" s="164"/>
      <c r="D6308" s="164"/>
      <c r="E6308" s="164"/>
      <c r="F6308" s="165"/>
    </row>
    <row r="6309" spans="1:6" x14ac:dyDescent="0.2">
      <c r="A6309" s="166"/>
      <c r="B6309" s="167"/>
      <c r="C6309" s="167"/>
      <c r="D6309" s="167"/>
      <c r="E6309" s="167"/>
      <c r="F6309" s="168"/>
    </row>
    <row r="6310" spans="1:6" x14ac:dyDescent="0.2">
      <c r="A6310" s="163"/>
      <c r="B6310" s="164"/>
      <c r="C6310" s="164"/>
      <c r="D6310" s="164"/>
      <c r="E6310" s="164"/>
      <c r="F6310" s="165"/>
    </row>
    <row r="6311" spans="1:6" x14ac:dyDescent="0.2">
      <c r="A6311" s="166"/>
      <c r="B6311" s="167"/>
      <c r="C6311" s="167"/>
      <c r="D6311" s="167"/>
      <c r="E6311" s="167"/>
      <c r="F6311" s="168"/>
    </row>
    <row r="6312" spans="1:6" x14ac:dyDescent="0.2">
      <c r="A6312" s="163"/>
      <c r="B6312" s="164"/>
      <c r="C6312" s="164"/>
      <c r="D6312" s="164"/>
      <c r="E6312" s="164"/>
      <c r="F6312" s="165"/>
    </row>
    <row r="6313" spans="1:6" x14ac:dyDescent="0.2">
      <c r="A6313" s="166"/>
      <c r="B6313" s="167"/>
      <c r="C6313" s="167"/>
      <c r="D6313" s="167"/>
      <c r="E6313" s="167"/>
      <c r="F6313" s="168"/>
    </row>
    <row r="6314" spans="1:6" x14ac:dyDescent="0.2">
      <c r="A6314" s="163"/>
      <c r="B6314" s="164"/>
      <c r="C6314" s="164"/>
      <c r="D6314" s="164"/>
      <c r="E6314" s="164"/>
      <c r="F6314" s="165"/>
    </row>
    <row r="6315" spans="1:6" x14ac:dyDescent="0.2">
      <c r="A6315" s="166"/>
      <c r="B6315" s="167"/>
      <c r="C6315" s="167"/>
      <c r="D6315" s="167"/>
      <c r="E6315" s="167"/>
      <c r="F6315" s="168"/>
    </row>
    <row r="6316" spans="1:6" x14ac:dyDescent="0.2">
      <c r="A6316" s="163"/>
      <c r="B6316" s="164"/>
      <c r="C6316" s="164"/>
      <c r="D6316" s="164"/>
      <c r="E6316" s="164"/>
      <c r="F6316" s="165"/>
    </row>
    <row r="6317" spans="1:6" x14ac:dyDescent="0.2">
      <c r="A6317" s="166"/>
      <c r="B6317" s="167"/>
      <c r="C6317" s="167"/>
      <c r="D6317" s="167"/>
      <c r="E6317" s="167"/>
      <c r="F6317" s="168"/>
    </row>
    <row r="6318" spans="1:6" x14ac:dyDescent="0.2">
      <c r="A6318" s="163"/>
      <c r="B6318" s="164"/>
      <c r="C6318" s="164"/>
      <c r="D6318" s="164"/>
      <c r="E6318" s="164"/>
      <c r="F6318" s="165"/>
    </row>
    <row r="6319" spans="1:6" x14ac:dyDescent="0.2">
      <c r="A6319" s="166"/>
      <c r="B6319" s="167"/>
      <c r="C6319" s="167"/>
      <c r="D6319" s="167"/>
      <c r="E6319" s="167"/>
      <c r="F6319" s="168"/>
    </row>
    <row r="6320" spans="1:6" x14ac:dyDescent="0.2">
      <c r="A6320" s="163"/>
      <c r="B6320" s="164"/>
      <c r="C6320" s="164"/>
      <c r="D6320" s="164"/>
      <c r="E6320" s="164"/>
      <c r="F6320" s="165"/>
    </row>
    <row r="6321" spans="1:6" x14ac:dyDescent="0.2">
      <c r="A6321" s="166"/>
      <c r="B6321" s="167"/>
      <c r="C6321" s="167"/>
      <c r="D6321" s="167"/>
      <c r="E6321" s="167"/>
      <c r="F6321" s="168"/>
    </row>
    <row r="6322" spans="1:6" x14ac:dyDescent="0.2">
      <c r="A6322" s="163"/>
      <c r="B6322" s="164"/>
      <c r="C6322" s="164"/>
      <c r="D6322" s="164"/>
      <c r="E6322" s="164"/>
      <c r="F6322" s="165"/>
    </row>
    <row r="6323" spans="1:6" x14ac:dyDescent="0.2">
      <c r="A6323" s="166"/>
      <c r="B6323" s="167"/>
      <c r="C6323" s="167"/>
      <c r="D6323" s="167"/>
      <c r="E6323" s="167"/>
      <c r="F6323" s="168"/>
    </row>
    <row r="6324" spans="1:6" x14ac:dyDescent="0.2">
      <c r="A6324" s="163"/>
      <c r="B6324" s="164"/>
      <c r="C6324" s="164"/>
      <c r="D6324" s="164"/>
      <c r="E6324" s="164"/>
      <c r="F6324" s="165"/>
    </row>
    <row r="6325" spans="1:6" x14ac:dyDescent="0.2">
      <c r="A6325" s="166"/>
      <c r="B6325" s="167"/>
      <c r="C6325" s="167"/>
      <c r="D6325" s="167"/>
      <c r="E6325" s="167"/>
      <c r="F6325" s="168"/>
    </row>
    <row r="6326" spans="1:6" x14ac:dyDescent="0.2">
      <c r="A6326" s="163"/>
      <c r="B6326" s="164"/>
      <c r="C6326" s="164"/>
      <c r="D6326" s="164"/>
      <c r="E6326" s="164"/>
      <c r="F6326" s="165"/>
    </row>
    <row r="6327" spans="1:6" x14ac:dyDescent="0.2">
      <c r="A6327" s="166"/>
      <c r="B6327" s="167"/>
      <c r="C6327" s="167"/>
      <c r="D6327" s="167"/>
      <c r="E6327" s="167"/>
      <c r="F6327" s="168"/>
    </row>
    <row r="6328" spans="1:6" x14ac:dyDescent="0.2">
      <c r="A6328" s="163"/>
      <c r="B6328" s="164"/>
      <c r="C6328" s="164"/>
      <c r="D6328" s="164"/>
      <c r="E6328" s="164"/>
      <c r="F6328" s="165"/>
    </row>
    <row r="6329" spans="1:6" x14ac:dyDescent="0.2">
      <c r="A6329" s="166"/>
      <c r="B6329" s="167"/>
      <c r="C6329" s="167"/>
      <c r="D6329" s="167"/>
      <c r="E6329" s="167"/>
      <c r="F6329" s="168"/>
    </row>
    <row r="6330" spans="1:6" x14ac:dyDescent="0.2">
      <c r="A6330" s="163"/>
      <c r="B6330" s="164"/>
      <c r="C6330" s="164"/>
      <c r="D6330" s="164"/>
      <c r="E6330" s="164"/>
      <c r="F6330" s="165"/>
    </row>
    <row r="6331" spans="1:6" x14ac:dyDescent="0.2">
      <c r="A6331" s="166"/>
      <c r="B6331" s="167"/>
      <c r="C6331" s="167"/>
      <c r="D6331" s="167"/>
      <c r="E6331" s="167"/>
      <c r="F6331" s="168"/>
    </row>
    <row r="6332" spans="1:6" x14ac:dyDescent="0.2">
      <c r="A6332" s="163"/>
      <c r="B6332" s="164"/>
      <c r="C6332" s="164"/>
      <c r="D6332" s="164"/>
      <c r="E6332" s="164"/>
      <c r="F6332" s="165"/>
    </row>
    <row r="6333" spans="1:6" x14ac:dyDescent="0.2">
      <c r="A6333" s="166"/>
      <c r="B6333" s="167"/>
      <c r="C6333" s="167"/>
      <c r="D6333" s="167"/>
      <c r="E6333" s="167"/>
      <c r="F6333" s="168"/>
    </row>
    <row r="6334" spans="1:6" x14ac:dyDescent="0.2">
      <c r="A6334" s="163"/>
      <c r="B6334" s="164"/>
      <c r="C6334" s="164"/>
      <c r="D6334" s="164"/>
      <c r="E6334" s="164"/>
      <c r="F6334" s="165"/>
    </row>
    <row r="6335" spans="1:6" x14ac:dyDescent="0.2">
      <c r="A6335" s="166"/>
      <c r="B6335" s="167"/>
      <c r="C6335" s="167"/>
      <c r="D6335" s="167"/>
      <c r="E6335" s="167"/>
      <c r="F6335" s="168"/>
    </row>
    <row r="6336" spans="1:6" x14ac:dyDescent="0.2">
      <c r="A6336" s="163"/>
      <c r="B6336" s="164"/>
      <c r="C6336" s="164"/>
      <c r="D6336" s="164"/>
      <c r="E6336" s="164"/>
      <c r="F6336" s="165"/>
    </row>
    <row r="6337" spans="1:6" x14ac:dyDescent="0.2">
      <c r="A6337" s="166"/>
      <c r="B6337" s="167"/>
      <c r="C6337" s="167"/>
      <c r="D6337" s="167"/>
      <c r="E6337" s="167"/>
      <c r="F6337" s="168"/>
    </row>
    <row r="6338" spans="1:6" x14ac:dyDescent="0.2">
      <c r="A6338" s="163"/>
      <c r="B6338" s="164"/>
      <c r="C6338" s="164"/>
      <c r="D6338" s="164"/>
      <c r="E6338" s="164"/>
      <c r="F6338" s="165"/>
    </row>
    <row r="6339" spans="1:6" x14ac:dyDescent="0.2">
      <c r="A6339" s="166"/>
      <c r="B6339" s="167"/>
      <c r="C6339" s="167"/>
      <c r="D6339" s="167"/>
      <c r="E6339" s="167"/>
      <c r="F6339" s="168"/>
    </row>
    <row r="6340" spans="1:6" x14ac:dyDescent="0.2">
      <c r="A6340" s="163"/>
      <c r="B6340" s="164"/>
      <c r="C6340" s="164"/>
      <c r="D6340" s="164"/>
      <c r="E6340" s="164"/>
      <c r="F6340" s="165"/>
    </row>
    <row r="6341" spans="1:6" x14ac:dyDescent="0.2">
      <c r="A6341" s="166"/>
      <c r="B6341" s="167"/>
      <c r="C6341" s="167"/>
      <c r="D6341" s="167"/>
      <c r="E6341" s="167"/>
      <c r="F6341" s="168"/>
    </row>
    <row r="6342" spans="1:6" x14ac:dyDescent="0.2">
      <c r="A6342" s="163"/>
      <c r="B6342" s="164"/>
      <c r="C6342" s="164"/>
      <c r="D6342" s="164"/>
      <c r="E6342" s="164"/>
      <c r="F6342" s="165"/>
    </row>
    <row r="6343" spans="1:6" x14ac:dyDescent="0.2">
      <c r="A6343" s="166"/>
      <c r="B6343" s="167"/>
      <c r="C6343" s="167"/>
      <c r="D6343" s="167"/>
      <c r="E6343" s="167"/>
      <c r="F6343" s="168"/>
    </row>
    <row r="6344" spans="1:6" x14ac:dyDescent="0.2">
      <c r="A6344" s="163"/>
      <c r="B6344" s="164"/>
      <c r="C6344" s="164"/>
      <c r="D6344" s="164"/>
      <c r="E6344" s="164"/>
      <c r="F6344" s="165"/>
    </row>
    <row r="6345" spans="1:6" x14ac:dyDescent="0.2">
      <c r="A6345" s="166"/>
      <c r="B6345" s="167"/>
      <c r="C6345" s="167"/>
      <c r="D6345" s="167"/>
      <c r="E6345" s="167"/>
      <c r="F6345" s="168"/>
    </row>
    <row r="6346" spans="1:6" x14ac:dyDescent="0.2">
      <c r="A6346" s="163"/>
      <c r="B6346" s="164"/>
      <c r="C6346" s="164"/>
      <c r="D6346" s="164"/>
      <c r="E6346" s="164"/>
      <c r="F6346" s="165"/>
    </row>
    <row r="6347" spans="1:6" x14ac:dyDescent="0.2">
      <c r="A6347" s="166"/>
      <c r="B6347" s="167"/>
      <c r="C6347" s="167"/>
      <c r="D6347" s="167"/>
      <c r="E6347" s="167"/>
      <c r="F6347" s="168"/>
    </row>
    <row r="6348" spans="1:6" x14ac:dyDescent="0.2">
      <c r="A6348" s="163"/>
      <c r="B6348" s="164"/>
      <c r="C6348" s="164"/>
      <c r="D6348" s="164"/>
      <c r="E6348" s="164"/>
      <c r="F6348" s="165"/>
    </row>
    <row r="6349" spans="1:6" x14ac:dyDescent="0.2">
      <c r="A6349" s="166"/>
      <c r="B6349" s="167"/>
      <c r="C6349" s="167"/>
      <c r="D6349" s="167"/>
      <c r="E6349" s="167"/>
      <c r="F6349" s="168"/>
    </row>
    <row r="6350" spans="1:6" x14ac:dyDescent="0.2">
      <c r="A6350" s="163"/>
      <c r="B6350" s="164"/>
      <c r="C6350" s="164"/>
      <c r="D6350" s="164"/>
      <c r="E6350" s="164"/>
      <c r="F6350" s="165"/>
    </row>
    <row r="6351" spans="1:6" x14ac:dyDescent="0.2">
      <c r="A6351" s="166"/>
      <c r="B6351" s="167"/>
      <c r="C6351" s="167"/>
      <c r="D6351" s="167"/>
      <c r="E6351" s="167"/>
      <c r="F6351" s="168"/>
    </row>
    <row r="6352" spans="1:6" x14ac:dyDescent="0.2">
      <c r="A6352" s="163"/>
      <c r="B6352" s="164"/>
      <c r="C6352" s="164"/>
      <c r="D6352" s="164"/>
      <c r="E6352" s="164"/>
      <c r="F6352" s="165"/>
    </row>
    <row r="6353" spans="1:6" x14ac:dyDescent="0.2">
      <c r="A6353" s="166"/>
      <c r="B6353" s="167"/>
      <c r="C6353" s="167"/>
      <c r="D6353" s="167"/>
      <c r="E6353" s="167"/>
      <c r="F6353" s="168"/>
    </row>
    <row r="6354" spans="1:6" x14ac:dyDescent="0.2">
      <c r="A6354" s="163"/>
      <c r="B6354" s="164"/>
      <c r="C6354" s="164"/>
      <c r="D6354" s="164"/>
      <c r="E6354" s="164"/>
      <c r="F6354" s="165"/>
    </row>
    <row r="6355" spans="1:6" x14ac:dyDescent="0.2">
      <c r="A6355" s="166"/>
      <c r="B6355" s="167"/>
      <c r="C6355" s="167"/>
      <c r="D6355" s="167"/>
      <c r="E6355" s="167"/>
      <c r="F6355" s="168"/>
    </row>
    <row r="6356" spans="1:6" x14ac:dyDescent="0.2">
      <c r="A6356" s="163"/>
      <c r="B6356" s="164"/>
      <c r="C6356" s="164"/>
      <c r="D6356" s="164"/>
      <c r="E6356" s="164"/>
      <c r="F6356" s="165"/>
    </row>
    <row r="6357" spans="1:6" x14ac:dyDescent="0.2">
      <c r="A6357" s="166"/>
      <c r="B6357" s="167"/>
      <c r="C6357" s="167"/>
      <c r="D6357" s="167"/>
      <c r="E6357" s="167"/>
      <c r="F6357" s="168"/>
    </row>
    <row r="6358" spans="1:6" x14ac:dyDescent="0.2">
      <c r="A6358" s="163"/>
      <c r="B6358" s="164"/>
      <c r="C6358" s="164"/>
      <c r="D6358" s="164"/>
      <c r="E6358" s="164"/>
      <c r="F6358" s="165"/>
    </row>
    <row r="6359" spans="1:6" x14ac:dyDescent="0.2">
      <c r="A6359" s="166"/>
      <c r="B6359" s="167"/>
      <c r="C6359" s="167"/>
      <c r="D6359" s="167"/>
      <c r="E6359" s="167"/>
      <c r="F6359" s="168"/>
    </row>
    <row r="6360" spans="1:6" x14ac:dyDescent="0.2">
      <c r="A6360" s="163"/>
      <c r="B6360" s="164"/>
      <c r="C6360" s="164"/>
      <c r="D6360" s="164"/>
      <c r="E6360" s="164"/>
      <c r="F6360" s="165"/>
    </row>
    <row r="6361" spans="1:6" x14ac:dyDescent="0.2">
      <c r="A6361" s="166"/>
      <c r="B6361" s="167"/>
      <c r="C6361" s="167"/>
      <c r="D6361" s="167"/>
      <c r="E6361" s="167"/>
      <c r="F6361" s="168"/>
    </row>
    <row r="6362" spans="1:6" x14ac:dyDescent="0.2">
      <c r="A6362" s="163"/>
      <c r="B6362" s="164"/>
      <c r="C6362" s="164"/>
      <c r="D6362" s="164"/>
      <c r="E6362" s="164"/>
      <c r="F6362" s="165"/>
    </row>
    <row r="6363" spans="1:6" x14ac:dyDescent="0.2">
      <c r="A6363" s="166"/>
      <c r="B6363" s="167"/>
      <c r="C6363" s="167"/>
      <c r="D6363" s="167"/>
      <c r="E6363" s="167"/>
      <c r="F6363" s="168"/>
    </row>
    <row r="6364" spans="1:6" x14ac:dyDescent="0.2">
      <c r="A6364" s="163"/>
      <c r="B6364" s="164"/>
      <c r="C6364" s="164"/>
      <c r="D6364" s="164"/>
      <c r="E6364" s="164"/>
      <c r="F6364" s="165"/>
    </row>
    <row r="6365" spans="1:6" x14ac:dyDescent="0.2">
      <c r="A6365" s="166"/>
      <c r="B6365" s="167"/>
      <c r="C6365" s="167"/>
      <c r="D6365" s="167"/>
      <c r="E6365" s="167"/>
      <c r="F6365" s="168"/>
    </row>
    <row r="6366" spans="1:6" x14ac:dyDescent="0.2">
      <c r="A6366" s="163"/>
      <c r="B6366" s="164"/>
      <c r="C6366" s="164"/>
      <c r="D6366" s="164"/>
      <c r="E6366" s="164"/>
      <c r="F6366" s="165"/>
    </row>
    <row r="6367" spans="1:6" x14ac:dyDescent="0.2">
      <c r="A6367" s="166"/>
      <c r="B6367" s="167"/>
      <c r="C6367" s="167"/>
      <c r="D6367" s="167"/>
      <c r="E6367" s="167"/>
      <c r="F6367" s="168"/>
    </row>
    <row r="6368" spans="1:6" x14ac:dyDescent="0.2">
      <c r="A6368" s="163"/>
      <c r="B6368" s="164"/>
      <c r="C6368" s="164"/>
      <c r="D6368" s="164"/>
      <c r="E6368" s="164"/>
      <c r="F6368" s="165"/>
    </row>
    <row r="6369" spans="1:6" x14ac:dyDescent="0.2">
      <c r="A6369" s="166"/>
      <c r="B6369" s="167"/>
      <c r="C6369" s="167"/>
      <c r="D6369" s="167"/>
      <c r="E6369" s="167"/>
      <c r="F6369" s="168"/>
    </row>
    <row r="6370" spans="1:6" x14ac:dyDescent="0.2">
      <c r="A6370" s="163"/>
      <c r="B6370" s="164"/>
      <c r="C6370" s="164"/>
      <c r="D6370" s="164"/>
      <c r="E6370" s="164"/>
      <c r="F6370" s="165"/>
    </row>
    <row r="6371" spans="1:6" x14ac:dyDescent="0.2">
      <c r="A6371" s="166"/>
      <c r="B6371" s="167"/>
      <c r="C6371" s="167"/>
      <c r="D6371" s="167"/>
      <c r="E6371" s="167"/>
      <c r="F6371" s="168"/>
    </row>
    <row r="6372" spans="1:6" x14ac:dyDescent="0.2">
      <c r="A6372" s="163"/>
      <c r="B6372" s="164"/>
      <c r="C6372" s="164"/>
      <c r="D6372" s="164"/>
      <c r="E6372" s="164"/>
      <c r="F6372" s="165"/>
    </row>
    <row r="6373" spans="1:6" x14ac:dyDescent="0.2">
      <c r="A6373" s="166"/>
      <c r="B6373" s="167"/>
      <c r="C6373" s="167"/>
      <c r="D6373" s="167"/>
      <c r="E6373" s="167"/>
      <c r="F6373" s="168"/>
    </row>
    <row r="6374" spans="1:6" x14ac:dyDescent="0.2">
      <c r="A6374" s="163"/>
      <c r="B6374" s="164"/>
      <c r="C6374" s="164"/>
      <c r="D6374" s="164"/>
      <c r="E6374" s="164"/>
      <c r="F6374" s="165"/>
    </row>
    <row r="6375" spans="1:6" x14ac:dyDescent="0.2">
      <c r="A6375" s="166"/>
      <c r="B6375" s="167"/>
      <c r="C6375" s="167"/>
      <c r="D6375" s="167"/>
      <c r="E6375" s="167"/>
      <c r="F6375" s="168"/>
    </row>
    <row r="6376" spans="1:6" x14ac:dyDescent="0.2">
      <c r="A6376" s="163"/>
      <c r="B6376" s="164"/>
      <c r="C6376" s="164"/>
      <c r="D6376" s="164"/>
      <c r="E6376" s="164"/>
      <c r="F6376" s="165"/>
    </row>
    <row r="6377" spans="1:6" x14ac:dyDescent="0.2">
      <c r="A6377" s="166"/>
      <c r="B6377" s="167"/>
      <c r="C6377" s="167"/>
      <c r="D6377" s="167"/>
      <c r="E6377" s="167"/>
      <c r="F6377" s="168"/>
    </row>
    <row r="6378" spans="1:6" x14ac:dyDescent="0.2">
      <c r="A6378" s="163"/>
      <c r="B6378" s="164"/>
      <c r="C6378" s="164"/>
      <c r="D6378" s="164"/>
      <c r="E6378" s="164"/>
      <c r="F6378" s="165"/>
    </row>
    <row r="6379" spans="1:6" x14ac:dyDescent="0.2">
      <c r="A6379" s="166"/>
      <c r="B6379" s="167"/>
      <c r="C6379" s="167"/>
      <c r="D6379" s="167"/>
      <c r="E6379" s="167"/>
      <c r="F6379" s="168"/>
    </row>
    <row r="6380" spans="1:6" x14ac:dyDescent="0.2">
      <c r="A6380" s="163"/>
      <c r="B6380" s="164"/>
      <c r="C6380" s="164"/>
      <c r="D6380" s="164"/>
      <c r="E6380" s="164"/>
      <c r="F6380" s="165"/>
    </row>
    <row r="6381" spans="1:6" x14ac:dyDescent="0.2">
      <c r="A6381" s="166"/>
      <c r="B6381" s="167"/>
      <c r="C6381" s="167"/>
      <c r="D6381" s="167"/>
      <c r="E6381" s="167"/>
      <c r="F6381" s="168"/>
    </row>
    <row r="6382" spans="1:6" x14ac:dyDescent="0.2">
      <c r="A6382" s="163"/>
      <c r="B6382" s="164"/>
      <c r="C6382" s="164"/>
      <c r="D6382" s="164"/>
      <c r="E6382" s="164"/>
      <c r="F6382" s="165"/>
    </row>
    <row r="6383" spans="1:6" x14ac:dyDescent="0.2">
      <c r="A6383" s="166"/>
      <c r="B6383" s="167"/>
      <c r="C6383" s="167"/>
      <c r="D6383" s="167"/>
      <c r="E6383" s="167"/>
      <c r="F6383" s="168"/>
    </row>
    <row r="6384" spans="1:6" x14ac:dyDescent="0.2">
      <c r="A6384" s="163"/>
      <c r="B6384" s="164"/>
      <c r="C6384" s="164"/>
      <c r="D6384" s="164"/>
      <c r="E6384" s="164"/>
      <c r="F6384" s="165"/>
    </row>
    <row r="6385" spans="1:6" x14ac:dyDescent="0.2">
      <c r="A6385" s="166"/>
      <c r="B6385" s="167"/>
      <c r="C6385" s="167"/>
      <c r="D6385" s="167"/>
      <c r="E6385" s="167"/>
      <c r="F6385" s="168"/>
    </row>
    <row r="6386" spans="1:6" x14ac:dyDescent="0.2">
      <c r="A6386" s="163"/>
      <c r="B6386" s="164"/>
      <c r="C6386" s="164"/>
      <c r="D6386" s="164"/>
      <c r="E6386" s="164"/>
      <c r="F6386" s="165"/>
    </row>
    <row r="6387" spans="1:6" x14ac:dyDescent="0.2">
      <c r="A6387" s="166"/>
      <c r="B6387" s="167"/>
      <c r="C6387" s="167"/>
      <c r="D6387" s="167"/>
      <c r="E6387" s="167"/>
      <c r="F6387" s="168"/>
    </row>
    <row r="6388" spans="1:6" x14ac:dyDescent="0.2">
      <c r="A6388" s="163"/>
      <c r="B6388" s="164"/>
      <c r="C6388" s="164"/>
      <c r="D6388" s="164"/>
      <c r="E6388" s="164"/>
      <c r="F6388" s="165"/>
    </row>
    <row r="6389" spans="1:6" x14ac:dyDescent="0.2">
      <c r="A6389" s="166"/>
      <c r="B6389" s="167"/>
      <c r="C6389" s="167"/>
      <c r="D6389" s="167"/>
      <c r="E6389" s="167"/>
      <c r="F6389" s="168"/>
    </row>
    <row r="6390" spans="1:6" x14ac:dyDescent="0.2">
      <c r="A6390" s="163"/>
      <c r="B6390" s="164"/>
      <c r="C6390" s="164"/>
      <c r="D6390" s="164"/>
      <c r="E6390" s="164"/>
      <c r="F6390" s="165"/>
    </row>
    <row r="6391" spans="1:6" x14ac:dyDescent="0.2">
      <c r="A6391" s="166"/>
      <c r="B6391" s="167"/>
      <c r="C6391" s="167"/>
      <c r="D6391" s="167"/>
      <c r="E6391" s="167"/>
      <c r="F6391" s="168"/>
    </row>
    <row r="6392" spans="1:6" x14ac:dyDescent="0.2">
      <c r="A6392" s="163"/>
      <c r="B6392" s="164"/>
      <c r="C6392" s="164"/>
      <c r="D6392" s="164"/>
      <c r="E6392" s="164"/>
      <c r="F6392" s="165"/>
    </row>
    <row r="6393" spans="1:6" x14ac:dyDescent="0.2">
      <c r="A6393" s="166"/>
      <c r="B6393" s="167"/>
      <c r="C6393" s="167"/>
      <c r="D6393" s="167"/>
      <c r="E6393" s="167"/>
      <c r="F6393" s="168"/>
    </row>
    <row r="6394" spans="1:6" x14ac:dyDescent="0.2">
      <c r="A6394" s="163"/>
      <c r="B6394" s="164"/>
      <c r="C6394" s="164"/>
      <c r="D6394" s="164"/>
      <c r="E6394" s="164"/>
      <c r="F6394" s="165"/>
    </row>
    <row r="6395" spans="1:6" x14ac:dyDescent="0.2">
      <c r="A6395" s="166"/>
      <c r="B6395" s="167"/>
      <c r="C6395" s="167"/>
      <c r="D6395" s="167"/>
      <c r="E6395" s="167"/>
      <c r="F6395" s="168"/>
    </row>
    <row r="6396" spans="1:6" x14ac:dyDescent="0.2">
      <c r="A6396" s="163"/>
      <c r="B6396" s="164"/>
      <c r="C6396" s="164"/>
      <c r="D6396" s="164"/>
      <c r="E6396" s="164"/>
      <c r="F6396" s="165"/>
    </row>
    <row r="6397" spans="1:6" x14ac:dyDescent="0.2">
      <c r="A6397" s="166"/>
      <c r="B6397" s="167"/>
      <c r="C6397" s="167"/>
      <c r="D6397" s="167"/>
      <c r="E6397" s="167"/>
      <c r="F6397" s="168"/>
    </row>
    <row r="6398" spans="1:6" x14ac:dyDescent="0.2">
      <c r="A6398" s="163"/>
      <c r="B6398" s="164"/>
      <c r="C6398" s="164"/>
      <c r="D6398" s="164"/>
      <c r="E6398" s="164"/>
      <c r="F6398" s="165"/>
    </row>
    <row r="6399" spans="1:6" x14ac:dyDescent="0.2">
      <c r="A6399" s="166"/>
      <c r="B6399" s="167"/>
      <c r="C6399" s="167"/>
      <c r="D6399" s="167"/>
      <c r="E6399" s="167"/>
      <c r="F6399" s="168"/>
    </row>
    <row r="6400" spans="1:6" x14ac:dyDescent="0.2">
      <c r="A6400" s="163"/>
      <c r="B6400" s="164"/>
      <c r="C6400" s="164"/>
      <c r="D6400" s="164"/>
      <c r="E6400" s="164"/>
      <c r="F6400" s="165"/>
    </row>
    <row r="6401" spans="1:6" x14ac:dyDescent="0.2">
      <c r="A6401" s="166"/>
      <c r="B6401" s="167"/>
      <c r="C6401" s="167"/>
      <c r="D6401" s="167"/>
      <c r="E6401" s="167"/>
      <c r="F6401" s="168"/>
    </row>
    <row r="6402" spans="1:6" x14ac:dyDescent="0.2">
      <c r="A6402" s="163"/>
      <c r="B6402" s="164"/>
      <c r="C6402" s="164"/>
      <c r="D6402" s="164"/>
      <c r="E6402" s="164"/>
      <c r="F6402" s="165"/>
    </row>
    <row r="6403" spans="1:6" x14ac:dyDescent="0.2">
      <c r="A6403" s="166"/>
      <c r="B6403" s="167"/>
      <c r="C6403" s="167"/>
      <c r="D6403" s="167"/>
      <c r="E6403" s="167"/>
      <c r="F6403" s="168"/>
    </row>
    <row r="6404" spans="1:6" x14ac:dyDescent="0.2">
      <c r="A6404" s="163"/>
      <c r="B6404" s="164"/>
      <c r="C6404" s="164"/>
      <c r="D6404" s="164"/>
      <c r="E6404" s="164"/>
      <c r="F6404" s="165"/>
    </row>
    <row r="6405" spans="1:6" x14ac:dyDescent="0.2">
      <c r="A6405" s="166"/>
      <c r="B6405" s="167"/>
      <c r="C6405" s="167"/>
      <c r="D6405" s="167"/>
      <c r="E6405" s="167"/>
      <c r="F6405" s="168"/>
    </row>
    <row r="6406" spans="1:6" x14ac:dyDescent="0.2">
      <c r="A6406" s="163"/>
      <c r="B6406" s="164"/>
      <c r="C6406" s="164"/>
      <c r="D6406" s="164"/>
      <c r="E6406" s="164"/>
      <c r="F6406" s="165"/>
    </row>
    <row r="6407" spans="1:6" x14ac:dyDescent="0.2">
      <c r="A6407" s="166"/>
      <c r="B6407" s="167"/>
      <c r="C6407" s="167"/>
      <c r="D6407" s="167"/>
      <c r="E6407" s="167"/>
      <c r="F6407" s="168"/>
    </row>
    <row r="6408" spans="1:6" x14ac:dyDescent="0.2">
      <c r="A6408" s="163"/>
      <c r="B6408" s="164"/>
      <c r="C6408" s="164"/>
      <c r="D6408" s="164"/>
      <c r="E6408" s="164"/>
      <c r="F6408" s="165"/>
    </row>
    <row r="6409" spans="1:6" x14ac:dyDescent="0.2">
      <c r="A6409" s="166"/>
      <c r="B6409" s="167"/>
      <c r="C6409" s="167"/>
      <c r="D6409" s="167"/>
      <c r="E6409" s="167"/>
      <c r="F6409" s="168"/>
    </row>
    <row r="6410" spans="1:6" x14ac:dyDescent="0.2">
      <c r="A6410" s="163"/>
      <c r="B6410" s="164"/>
      <c r="C6410" s="164"/>
      <c r="D6410" s="164"/>
      <c r="E6410" s="164"/>
      <c r="F6410" s="165"/>
    </row>
    <row r="6411" spans="1:6" x14ac:dyDescent="0.2">
      <c r="A6411" s="166"/>
      <c r="B6411" s="167"/>
      <c r="C6411" s="167"/>
      <c r="D6411" s="167"/>
      <c r="E6411" s="167"/>
      <c r="F6411" s="168"/>
    </row>
    <row r="6412" spans="1:6" x14ac:dyDescent="0.2">
      <c r="A6412" s="163"/>
      <c r="B6412" s="164"/>
      <c r="C6412" s="164"/>
      <c r="D6412" s="164"/>
      <c r="E6412" s="164"/>
      <c r="F6412" s="165"/>
    </row>
    <row r="6413" spans="1:6" x14ac:dyDescent="0.2">
      <c r="A6413" s="166"/>
      <c r="B6413" s="167"/>
      <c r="C6413" s="167"/>
      <c r="D6413" s="167"/>
      <c r="E6413" s="167"/>
      <c r="F6413" s="168"/>
    </row>
    <row r="6414" spans="1:6" x14ac:dyDescent="0.2">
      <c r="A6414" s="163"/>
      <c r="B6414" s="164"/>
      <c r="C6414" s="164"/>
      <c r="D6414" s="164"/>
      <c r="E6414" s="164"/>
      <c r="F6414" s="165"/>
    </row>
    <row r="6415" spans="1:6" x14ac:dyDescent="0.2">
      <c r="A6415" s="166"/>
      <c r="B6415" s="167"/>
      <c r="C6415" s="167"/>
      <c r="D6415" s="167"/>
      <c r="E6415" s="167"/>
      <c r="F6415" s="168"/>
    </row>
    <row r="6416" spans="1:6" x14ac:dyDescent="0.2">
      <c r="A6416" s="163"/>
      <c r="B6416" s="164"/>
      <c r="C6416" s="164"/>
      <c r="D6416" s="164"/>
      <c r="E6416" s="164"/>
      <c r="F6416" s="165"/>
    </row>
    <row r="6417" spans="1:6" x14ac:dyDescent="0.2">
      <c r="A6417" s="166"/>
      <c r="B6417" s="167"/>
      <c r="C6417" s="167"/>
      <c r="D6417" s="167"/>
      <c r="E6417" s="167"/>
      <c r="F6417" s="168"/>
    </row>
    <row r="6418" spans="1:6" x14ac:dyDescent="0.2">
      <c r="A6418" s="163"/>
      <c r="B6418" s="164"/>
      <c r="C6418" s="164"/>
      <c r="D6418" s="164"/>
      <c r="E6418" s="164"/>
      <c r="F6418" s="165"/>
    </row>
    <row r="6419" spans="1:6" x14ac:dyDescent="0.2">
      <c r="A6419" s="166"/>
      <c r="B6419" s="167"/>
      <c r="C6419" s="167"/>
      <c r="D6419" s="167"/>
      <c r="E6419" s="167"/>
      <c r="F6419" s="168"/>
    </row>
    <row r="6420" spans="1:6" x14ac:dyDescent="0.2">
      <c r="A6420" s="163"/>
      <c r="B6420" s="164"/>
      <c r="C6420" s="164"/>
      <c r="D6420" s="164"/>
      <c r="E6420" s="164"/>
      <c r="F6420" s="165"/>
    </row>
    <row r="6421" spans="1:6" x14ac:dyDescent="0.2">
      <c r="A6421" s="166"/>
      <c r="B6421" s="167"/>
      <c r="C6421" s="167"/>
      <c r="D6421" s="167"/>
      <c r="E6421" s="167"/>
      <c r="F6421" s="168"/>
    </row>
    <row r="6422" spans="1:6" x14ac:dyDescent="0.2">
      <c r="A6422" s="163"/>
      <c r="B6422" s="164"/>
      <c r="C6422" s="164"/>
      <c r="D6422" s="164"/>
      <c r="E6422" s="164"/>
      <c r="F6422" s="165"/>
    </row>
    <row r="6423" spans="1:6" x14ac:dyDescent="0.2">
      <c r="A6423" s="166"/>
      <c r="B6423" s="167"/>
      <c r="C6423" s="167"/>
      <c r="D6423" s="167"/>
      <c r="E6423" s="167"/>
      <c r="F6423" s="168"/>
    </row>
    <row r="6424" spans="1:6" x14ac:dyDescent="0.2">
      <c r="A6424" s="163"/>
      <c r="B6424" s="164"/>
      <c r="C6424" s="164"/>
      <c r="D6424" s="164"/>
      <c r="E6424" s="164"/>
      <c r="F6424" s="165"/>
    </row>
    <row r="6425" spans="1:6" x14ac:dyDescent="0.2">
      <c r="A6425" s="166"/>
      <c r="B6425" s="167"/>
      <c r="C6425" s="167"/>
      <c r="D6425" s="167"/>
      <c r="E6425" s="167"/>
      <c r="F6425" s="168"/>
    </row>
    <row r="6426" spans="1:6" x14ac:dyDescent="0.2">
      <c r="A6426" s="163"/>
      <c r="B6426" s="164"/>
      <c r="C6426" s="164"/>
      <c r="D6426" s="164"/>
      <c r="E6426" s="164"/>
      <c r="F6426" s="165"/>
    </row>
    <row r="6427" spans="1:6" x14ac:dyDescent="0.2">
      <c r="A6427" s="166"/>
      <c r="B6427" s="167"/>
      <c r="C6427" s="167"/>
      <c r="D6427" s="167"/>
      <c r="E6427" s="167"/>
      <c r="F6427" s="168"/>
    </row>
    <row r="6428" spans="1:6" x14ac:dyDescent="0.2">
      <c r="A6428" s="163"/>
      <c r="B6428" s="164"/>
      <c r="C6428" s="164"/>
      <c r="D6428" s="164"/>
      <c r="E6428" s="164"/>
      <c r="F6428" s="165"/>
    </row>
    <row r="6429" spans="1:6" x14ac:dyDescent="0.2">
      <c r="A6429" s="166"/>
      <c r="B6429" s="167"/>
      <c r="C6429" s="167"/>
      <c r="D6429" s="167"/>
      <c r="E6429" s="167"/>
      <c r="F6429" s="168"/>
    </row>
    <row r="6430" spans="1:6" x14ac:dyDescent="0.2">
      <c r="A6430" s="163"/>
      <c r="B6430" s="164"/>
      <c r="C6430" s="164"/>
      <c r="D6430" s="164"/>
      <c r="E6430" s="164"/>
      <c r="F6430" s="165"/>
    </row>
    <row r="6431" spans="1:6" x14ac:dyDescent="0.2">
      <c r="A6431" s="166"/>
      <c r="B6431" s="167"/>
      <c r="C6431" s="167"/>
      <c r="D6431" s="167"/>
      <c r="E6431" s="167"/>
      <c r="F6431" s="168"/>
    </row>
    <row r="6432" spans="1:6" x14ac:dyDescent="0.2">
      <c r="A6432" s="163"/>
      <c r="B6432" s="164"/>
      <c r="C6432" s="164"/>
      <c r="D6432" s="164"/>
      <c r="E6432" s="164"/>
      <c r="F6432" s="165"/>
    </row>
    <row r="6433" spans="1:6" x14ac:dyDescent="0.2">
      <c r="A6433" s="166"/>
      <c r="B6433" s="167"/>
      <c r="C6433" s="167"/>
      <c r="D6433" s="167"/>
      <c r="E6433" s="167"/>
      <c r="F6433" s="168"/>
    </row>
    <row r="6434" spans="1:6" x14ac:dyDescent="0.2">
      <c r="A6434" s="163"/>
      <c r="B6434" s="164"/>
      <c r="C6434" s="164"/>
      <c r="D6434" s="164"/>
      <c r="E6434" s="164"/>
      <c r="F6434" s="165"/>
    </row>
    <row r="6435" spans="1:6" x14ac:dyDescent="0.2">
      <c r="A6435" s="166"/>
      <c r="B6435" s="167"/>
      <c r="C6435" s="167"/>
      <c r="D6435" s="167"/>
      <c r="E6435" s="167"/>
      <c r="F6435" s="168"/>
    </row>
    <row r="6436" spans="1:6" x14ac:dyDescent="0.2">
      <c r="A6436" s="163"/>
      <c r="B6436" s="164"/>
      <c r="C6436" s="164"/>
      <c r="D6436" s="164"/>
      <c r="E6436" s="164"/>
      <c r="F6436" s="165"/>
    </row>
    <row r="6437" spans="1:6" x14ac:dyDescent="0.2">
      <c r="A6437" s="166"/>
      <c r="B6437" s="167"/>
      <c r="C6437" s="167"/>
      <c r="D6437" s="167"/>
      <c r="E6437" s="167"/>
      <c r="F6437" s="168"/>
    </row>
    <row r="6438" spans="1:6" x14ac:dyDescent="0.2">
      <c r="A6438" s="163"/>
      <c r="B6438" s="164"/>
      <c r="C6438" s="164"/>
      <c r="D6438" s="164"/>
      <c r="E6438" s="164"/>
      <c r="F6438" s="165"/>
    </row>
    <row r="6439" spans="1:6" x14ac:dyDescent="0.2">
      <c r="A6439" s="166"/>
      <c r="B6439" s="167"/>
      <c r="C6439" s="167"/>
      <c r="D6439" s="167"/>
      <c r="E6439" s="167"/>
      <c r="F6439" s="168"/>
    </row>
    <row r="6440" spans="1:6" x14ac:dyDescent="0.2">
      <c r="A6440" s="163"/>
      <c r="B6440" s="164"/>
      <c r="C6440" s="164"/>
      <c r="D6440" s="164"/>
      <c r="E6440" s="164"/>
      <c r="F6440" s="165"/>
    </row>
    <row r="6441" spans="1:6" x14ac:dyDescent="0.2">
      <c r="A6441" s="166"/>
      <c r="B6441" s="167"/>
      <c r="C6441" s="167"/>
      <c r="D6441" s="167"/>
      <c r="E6441" s="167"/>
      <c r="F6441" s="168"/>
    </row>
    <row r="6442" spans="1:6" x14ac:dyDescent="0.2">
      <c r="A6442" s="163"/>
      <c r="B6442" s="164"/>
      <c r="C6442" s="164"/>
      <c r="D6442" s="164"/>
      <c r="E6442" s="164"/>
      <c r="F6442" s="165"/>
    </row>
    <row r="6443" spans="1:6" x14ac:dyDescent="0.2">
      <c r="A6443" s="166"/>
      <c r="B6443" s="167"/>
      <c r="C6443" s="167"/>
      <c r="D6443" s="167"/>
      <c r="E6443" s="167"/>
      <c r="F6443" s="168"/>
    </row>
    <row r="6444" spans="1:6" x14ac:dyDescent="0.2">
      <c r="A6444" s="163"/>
      <c r="B6444" s="164"/>
      <c r="C6444" s="164"/>
      <c r="D6444" s="164"/>
      <c r="E6444" s="164"/>
      <c r="F6444" s="165"/>
    </row>
    <row r="6445" spans="1:6" x14ac:dyDescent="0.2">
      <c r="A6445" s="166"/>
      <c r="B6445" s="167"/>
      <c r="C6445" s="167"/>
      <c r="D6445" s="167"/>
      <c r="E6445" s="167"/>
      <c r="F6445" s="168"/>
    </row>
    <row r="6446" spans="1:6" x14ac:dyDescent="0.2">
      <c r="A6446" s="163"/>
      <c r="B6446" s="164"/>
      <c r="C6446" s="164"/>
      <c r="D6446" s="164"/>
      <c r="E6446" s="164"/>
      <c r="F6446" s="165"/>
    </row>
    <row r="6447" spans="1:6" x14ac:dyDescent="0.2">
      <c r="A6447" s="166"/>
      <c r="B6447" s="167"/>
      <c r="C6447" s="167"/>
      <c r="D6447" s="167"/>
      <c r="E6447" s="167"/>
      <c r="F6447" s="168"/>
    </row>
    <row r="6448" spans="1:6" x14ac:dyDescent="0.2">
      <c r="A6448" s="163"/>
      <c r="B6448" s="164"/>
      <c r="C6448" s="164"/>
      <c r="D6448" s="164"/>
      <c r="E6448" s="164"/>
      <c r="F6448" s="165"/>
    </row>
    <row r="6449" spans="1:6" x14ac:dyDescent="0.2">
      <c r="A6449" s="166"/>
      <c r="B6449" s="167"/>
      <c r="C6449" s="167"/>
      <c r="D6449" s="167"/>
      <c r="E6449" s="167"/>
      <c r="F6449" s="168"/>
    </row>
    <row r="6450" spans="1:6" x14ac:dyDescent="0.2">
      <c r="A6450" s="163"/>
      <c r="B6450" s="164"/>
      <c r="C6450" s="164"/>
      <c r="D6450" s="164"/>
      <c r="E6450" s="164"/>
      <c r="F6450" s="165"/>
    </row>
    <row r="6451" spans="1:6" x14ac:dyDescent="0.2">
      <c r="A6451" s="166"/>
      <c r="B6451" s="167"/>
      <c r="C6451" s="167"/>
      <c r="D6451" s="167"/>
      <c r="E6451" s="167"/>
      <c r="F6451" s="168"/>
    </row>
    <row r="6452" spans="1:6" x14ac:dyDescent="0.2">
      <c r="A6452" s="163"/>
      <c r="B6452" s="164"/>
      <c r="C6452" s="164"/>
      <c r="D6452" s="164"/>
      <c r="E6452" s="164"/>
      <c r="F6452" s="165"/>
    </row>
    <row r="6453" spans="1:6" x14ac:dyDescent="0.2">
      <c r="A6453" s="166"/>
      <c r="B6453" s="167"/>
      <c r="C6453" s="167"/>
      <c r="D6453" s="167"/>
      <c r="E6453" s="167"/>
      <c r="F6453" s="168"/>
    </row>
    <row r="6454" spans="1:6" x14ac:dyDescent="0.2">
      <c r="A6454" s="163"/>
      <c r="B6454" s="164"/>
      <c r="C6454" s="164"/>
      <c r="D6454" s="164"/>
      <c r="E6454" s="164"/>
      <c r="F6454" s="165"/>
    </row>
    <row r="6455" spans="1:6" x14ac:dyDescent="0.2">
      <c r="A6455" s="166"/>
      <c r="B6455" s="167"/>
      <c r="C6455" s="167"/>
      <c r="D6455" s="167"/>
      <c r="E6455" s="167"/>
      <c r="F6455" s="168"/>
    </row>
    <row r="6456" spans="1:6" x14ac:dyDescent="0.2">
      <c r="A6456" s="163"/>
      <c r="B6456" s="164"/>
      <c r="C6456" s="164"/>
      <c r="D6456" s="164"/>
      <c r="E6456" s="164"/>
      <c r="F6456" s="165"/>
    </row>
    <row r="6457" spans="1:6" x14ac:dyDescent="0.2">
      <c r="A6457" s="166"/>
      <c r="B6457" s="167"/>
      <c r="C6457" s="167"/>
      <c r="D6457" s="167"/>
      <c r="E6457" s="167"/>
      <c r="F6457" s="168"/>
    </row>
    <row r="6458" spans="1:6" x14ac:dyDescent="0.2">
      <c r="A6458" s="163"/>
      <c r="B6458" s="164"/>
      <c r="C6458" s="164"/>
      <c r="D6458" s="164"/>
      <c r="E6458" s="164"/>
      <c r="F6458" s="165"/>
    </row>
    <row r="6459" spans="1:6" x14ac:dyDescent="0.2">
      <c r="A6459" s="166"/>
      <c r="B6459" s="167"/>
      <c r="C6459" s="167"/>
      <c r="D6459" s="167"/>
      <c r="E6459" s="167"/>
      <c r="F6459" s="168"/>
    </row>
    <row r="6460" spans="1:6" x14ac:dyDescent="0.2">
      <c r="A6460" s="163"/>
      <c r="B6460" s="164"/>
      <c r="C6460" s="164"/>
      <c r="D6460" s="164"/>
      <c r="E6460" s="164"/>
      <c r="F6460" s="165"/>
    </row>
    <row r="6461" spans="1:6" x14ac:dyDescent="0.2">
      <c r="A6461" s="166"/>
      <c r="B6461" s="167"/>
      <c r="C6461" s="167"/>
      <c r="D6461" s="167"/>
      <c r="E6461" s="167"/>
      <c r="F6461" s="168"/>
    </row>
    <row r="6462" spans="1:6" x14ac:dyDescent="0.2">
      <c r="A6462" s="163"/>
      <c r="B6462" s="164"/>
      <c r="C6462" s="164"/>
      <c r="D6462" s="164"/>
      <c r="E6462" s="164"/>
      <c r="F6462" s="165"/>
    </row>
    <row r="6463" spans="1:6" x14ac:dyDescent="0.2">
      <c r="A6463" s="166"/>
      <c r="B6463" s="167"/>
      <c r="C6463" s="167"/>
      <c r="D6463" s="167"/>
      <c r="E6463" s="167"/>
      <c r="F6463" s="168"/>
    </row>
    <row r="6464" spans="1:6" x14ac:dyDescent="0.2">
      <c r="A6464" s="163"/>
      <c r="B6464" s="164"/>
      <c r="C6464" s="164"/>
      <c r="D6464" s="164"/>
      <c r="E6464" s="164"/>
      <c r="F6464" s="165"/>
    </row>
    <row r="6465" spans="1:6" x14ac:dyDescent="0.2">
      <c r="A6465" s="166"/>
      <c r="B6465" s="167"/>
      <c r="C6465" s="167"/>
      <c r="D6465" s="167"/>
      <c r="E6465" s="167"/>
      <c r="F6465" s="168"/>
    </row>
    <row r="6466" spans="1:6" x14ac:dyDescent="0.2">
      <c r="A6466" s="163"/>
      <c r="B6466" s="164"/>
      <c r="C6466" s="164"/>
      <c r="D6466" s="164"/>
      <c r="E6466" s="164"/>
      <c r="F6466" s="165"/>
    </row>
    <row r="6467" spans="1:6" x14ac:dyDescent="0.2">
      <c r="A6467" s="166"/>
      <c r="B6467" s="167"/>
      <c r="C6467" s="167"/>
      <c r="D6467" s="167"/>
      <c r="E6467" s="167"/>
      <c r="F6467" s="168"/>
    </row>
    <row r="6468" spans="1:6" x14ac:dyDescent="0.2">
      <c r="A6468" s="163"/>
      <c r="B6468" s="164"/>
      <c r="C6468" s="164"/>
      <c r="D6468" s="164"/>
      <c r="E6468" s="164"/>
      <c r="F6468" s="165"/>
    </row>
    <row r="6469" spans="1:6" x14ac:dyDescent="0.2">
      <c r="A6469" s="166"/>
      <c r="B6469" s="167"/>
      <c r="C6469" s="167"/>
      <c r="D6469" s="167"/>
      <c r="E6469" s="167"/>
      <c r="F6469" s="168"/>
    </row>
    <row r="6470" spans="1:6" x14ac:dyDescent="0.2">
      <c r="A6470" s="163"/>
      <c r="B6470" s="164"/>
      <c r="C6470" s="164"/>
      <c r="D6470" s="164"/>
      <c r="E6470" s="164"/>
      <c r="F6470" s="165"/>
    </row>
    <row r="6471" spans="1:6" x14ac:dyDescent="0.2">
      <c r="A6471" s="166"/>
      <c r="B6471" s="167"/>
      <c r="C6471" s="167"/>
      <c r="D6471" s="167"/>
      <c r="E6471" s="167"/>
      <c r="F6471" s="168"/>
    </row>
    <row r="6472" spans="1:6" x14ac:dyDescent="0.2">
      <c r="A6472" s="163"/>
      <c r="B6472" s="164"/>
      <c r="C6472" s="164"/>
      <c r="D6472" s="164"/>
      <c r="E6472" s="164"/>
      <c r="F6472" s="165"/>
    </row>
    <row r="6473" spans="1:6" x14ac:dyDescent="0.2">
      <c r="A6473" s="166"/>
      <c r="B6473" s="167"/>
      <c r="C6473" s="167"/>
      <c r="D6473" s="167"/>
      <c r="E6473" s="167"/>
      <c r="F6473" s="168"/>
    </row>
    <row r="6474" spans="1:6" x14ac:dyDescent="0.2">
      <c r="A6474" s="163"/>
      <c r="B6474" s="164"/>
      <c r="C6474" s="164"/>
      <c r="D6474" s="164"/>
      <c r="E6474" s="164"/>
      <c r="F6474" s="165"/>
    </row>
    <row r="6475" spans="1:6" x14ac:dyDescent="0.2">
      <c r="A6475" s="166"/>
      <c r="B6475" s="167"/>
      <c r="C6475" s="167"/>
      <c r="D6475" s="167"/>
      <c r="E6475" s="167"/>
      <c r="F6475" s="168"/>
    </row>
    <row r="6476" spans="1:6" x14ac:dyDescent="0.2">
      <c r="A6476" s="163"/>
      <c r="B6476" s="164"/>
      <c r="C6476" s="164"/>
      <c r="D6476" s="164"/>
      <c r="E6476" s="164"/>
      <c r="F6476" s="165"/>
    </row>
    <row r="6477" spans="1:6" x14ac:dyDescent="0.2">
      <c r="A6477" s="166"/>
      <c r="B6477" s="167"/>
      <c r="C6477" s="167"/>
      <c r="D6477" s="167"/>
      <c r="E6477" s="167"/>
      <c r="F6477" s="168"/>
    </row>
    <row r="6478" spans="1:6" x14ac:dyDescent="0.2">
      <c r="A6478" s="163"/>
      <c r="B6478" s="164"/>
      <c r="C6478" s="164"/>
      <c r="D6478" s="164"/>
      <c r="E6478" s="164"/>
      <c r="F6478" s="165"/>
    </row>
    <row r="6479" spans="1:6" x14ac:dyDescent="0.2">
      <c r="A6479" s="166"/>
      <c r="B6479" s="167"/>
      <c r="C6479" s="167"/>
      <c r="D6479" s="167"/>
      <c r="E6479" s="167"/>
      <c r="F6479" s="168"/>
    </row>
    <row r="6480" spans="1:6" x14ac:dyDescent="0.2">
      <c r="A6480" s="163"/>
      <c r="B6480" s="164"/>
      <c r="C6480" s="164"/>
      <c r="D6480" s="164"/>
      <c r="E6480" s="164"/>
      <c r="F6480" s="165"/>
    </row>
    <row r="6481" spans="1:6" x14ac:dyDescent="0.2">
      <c r="A6481" s="166"/>
      <c r="B6481" s="167"/>
      <c r="C6481" s="167"/>
      <c r="D6481" s="167"/>
      <c r="E6481" s="167"/>
      <c r="F6481" s="168"/>
    </row>
    <row r="6482" spans="1:6" x14ac:dyDescent="0.2">
      <c r="A6482" s="163"/>
      <c r="B6482" s="164"/>
      <c r="C6482" s="164"/>
      <c r="D6482" s="164"/>
      <c r="E6482" s="164"/>
      <c r="F6482" s="165"/>
    </row>
    <row r="6483" spans="1:6" x14ac:dyDescent="0.2">
      <c r="A6483" s="166"/>
      <c r="B6483" s="167"/>
      <c r="C6483" s="167"/>
      <c r="D6483" s="167"/>
      <c r="E6483" s="167"/>
      <c r="F6483" s="168"/>
    </row>
    <row r="6484" spans="1:6" x14ac:dyDescent="0.2">
      <c r="A6484" s="163"/>
      <c r="B6484" s="164"/>
      <c r="C6484" s="164"/>
      <c r="D6484" s="164"/>
      <c r="E6484" s="164"/>
      <c r="F6484" s="165"/>
    </row>
    <row r="6485" spans="1:6" x14ac:dyDescent="0.2">
      <c r="A6485" s="166"/>
      <c r="B6485" s="167"/>
      <c r="C6485" s="167"/>
      <c r="D6485" s="167"/>
      <c r="E6485" s="167"/>
      <c r="F6485" s="168"/>
    </row>
    <row r="6486" spans="1:6" x14ac:dyDescent="0.2">
      <c r="A6486" s="163"/>
      <c r="B6486" s="164"/>
      <c r="C6486" s="164"/>
      <c r="D6486" s="164"/>
      <c r="E6486" s="164"/>
      <c r="F6486" s="165"/>
    </row>
    <row r="6487" spans="1:6" x14ac:dyDescent="0.2">
      <c r="A6487" s="166"/>
      <c r="B6487" s="167"/>
      <c r="C6487" s="167"/>
      <c r="D6487" s="167"/>
      <c r="E6487" s="167"/>
      <c r="F6487" s="168"/>
    </row>
    <row r="6488" spans="1:6" x14ac:dyDescent="0.2">
      <c r="A6488" s="163"/>
      <c r="B6488" s="164"/>
      <c r="C6488" s="164"/>
      <c r="D6488" s="164"/>
      <c r="E6488" s="164"/>
      <c r="F6488" s="165"/>
    </row>
    <row r="6489" spans="1:6" x14ac:dyDescent="0.2">
      <c r="A6489" s="166"/>
      <c r="B6489" s="167"/>
      <c r="C6489" s="167"/>
      <c r="D6489" s="167"/>
      <c r="E6489" s="167"/>
      <c r="F6489" s="168"/>
    </row>
    <row r="6490" spans="1:6" x14ac:dyDescent="0.2">
      <c r="A6490" s="163"/>
      <c r="B6490" s="164"/>
      <c r="C6490" s="164"/>
      <c r="D6490" s="164"/>
      <c r="E6490" s="164"/>
      <c r="F6490" s="165"/>
    </row>
    <row r="6491" spans="1:6" x14ac:dyDescent="0.2">
      <c r="A6491" s="166"/>
      <c r="B6491" s="167"/>
      <c r="C6491" s="167"/>
      <c r="D6491" s="167"/>
      <c r="E6491" s="167"/>
      <c r="F6491" s="168"/>
    </row>
    <row r="6492" spans="1:6" x14ac:dyDescent="0.2">
      <c r="A6492" s="163"/>
      <c r="B6492" s="164"/>
      <c r="C6492" s="164"/>
      <c r="D6492" s="164"/>
      <c r="E6492" s="164"/>
      <c r="F6492" s="165"/>
    </row>
    <row r="6493" spans="1:6" x14ac:dyDescent="0.2">
      <c r="A6493" s="166"/>
      <c r="B6493" s="167"/>
      <c r="C6493" s="167"/>
      <c r="D6493" s="167"/>
      <c r="E6493" s="167"/>
      <c r="F6493" s="168"/>
    </row>
    <row r="6494" spans="1:6" x14ac:dyDescent="0.2">
      <c r="A6494" s="163"/>
      <c r="B6494" s="164"/>
      <c r="C6494" s="164"/>
      <c r="D6494" s="164"/>
      <c r="E6494" s="164"/>
      <c r="F6494" s="165"/>
    </row>
    <row r="6495" spans="1:6" x14ac:dyDescent="0.2">
      <c r="A6495" s="166"/>
      <c r="B6495" s="167"/>
      <c r="C6495" s="167"/>
      <c r="D6495" s="167"/>
      <c r="E6495" s="167"/>
      <c r="F6495" s="168"/>
    </row>
    <row r="6496" spans="1:6" x14ac:dyDescent="0.2">
      <c r="A6496" s="163"/>
      <c r="B6496" s="164"/>
      <c r="C6496" s="164"/>
      <c r="D6496" s="164"/>
      <c r="E6496" s="164"/>
      <c r="F6496" s="165"/>
    </row>
    <row r="6497" spans="1:6" x14ac:dyDescent="0.2">
      <c r="A6497" s="166"/>
      <c r="B6497" s="167"/>
      <c r="C6497" s="167"/>
      <c r="D6497" s="167"/>
      <c r="E6497" s="167"/>
      <c r="F6497" s="168"/>
    </row>
    <row r="6498" spans="1:6" x14ac:dyDescent="0.2">
      <c r="A6498" s="163"/>
      <c r="B6498" s="164"/>
      <c r="C6498" s="164"/>
      <c r="D6498" s="164"/>
      <c r="E6498" s="164"/>
      <c r="F6498" s="165"/>
    </row>
    <row r="6499" spans="1:6" x14ac:dyDescent="0.2">
      <c r="A6499" s="166"/>
      <c r="B6499" s="167"/>
      <c r="C6499" s="167"/>
      <c r="D6499" s="167"/>
      <c r="E6499" s="167"/>
      <c r="F6499" s="168"/>
    </row>
    <row r="6500" spans="1:6" x14ac:dyDescent="0.2">
      <c r="A6500" s="163"/>
      <c r="B6500" s="164"/>
      <c r="C6500" s="164"/>
      <c r="D6500" s="164"/>
      <c r="E6500" s="164"/>
      <c r="F6500" s="165"/>
    </row>
    <row r="6501" spans="1:6" x14ac:dyDescent="0.2">
      <c r="A6501" s="166"/>
      <c r="B6501" s="167"/>
      <c r="C6501" s="167"/>
      <c r="D6501" s="167"/>
      <c r="E6501" s="167"/>
      <c r="F6501" s="168"/>
    </row>
    <row r="6502" spans="1:6" x14ac:dyDescent="0.2">
      <c r="A6502" s="163"/>
      <c r="B6502" s="164"/>
      <c r="C6502" s="164"/>
      <c r="D6502" s="164"/>
      <c r="E6502" s="164"/>
      <c r="F6502" s="165"/>
    </row>
    <row r="6503" spans="1:6" x14ac:dyDescent="0.2">
      <c r="A6503" s="166"/>
      <c r="B6503" s="167"/>
      <c r="C6503" s="167"/>
      <c r="D6503" s="167"/>
      <c r="E6503" s="167"/>
      <c r="F6503" s="168"/>
    </row>
    <row r="6504" spans="1:6" x14ac:dyDescent="0.2">
      <c r="A6504" s="163"/>
      <c r="B6504" s="164"/>
      <c r="C6504" s="164"/>
      <c r="D6504" s="164"/>
      <c r="E6504" s="164"/>
      <c r="F6504" s="165"/>
    </row>
    <row r="6505" spans="1:6" x14ac:dyDescent="0.2">
      <c r="A6505" s="166"/>
      <c r="B6505" s="167"/>
      <c r="C6505" s="167"/>
      <c r="D6505" s="167"/>
      <c r="E6505" s="167"/>
      <c r="F6505" s="168"/>
    </row>
    <row r="6506" spans="1:6" x14ac:dyDescent="0.2">
      <c r="A6506" s="163"/>
      <c r="B6506" s="164"/>
      <c r="C6506" s="164"/>
      <c r="D6506" s="164"/>
      <c r="E6506" s="164"/>
      <c r="F6506" s="165"/>
    </row>
    <row r="6507" spans="1:6" x14ac:dyDescent="0.2">
      <c r="A6507" s="166"/>
      <c r="B6507" s="167"/>
      <c r="C6507" s="167"/>
      <c r="D6507" s="167"/>
      <c r="E6507" s="167"/>
      <c r="F6507" s="168"/>
    </row>
    <row r="6508" spans="1:6" x14ac:dyDescent="0.2">
      <c r="A6508" s="163"/>
      <c r="B6508" s="164"/>
      <c r="C6508" s="164"/>
      <c r="D6508" s="164"/>
      <c r="E6508" s="164"/>
      <c r="F6508" s="165"/>
    </row>
    <row r="6509" spans="1:6" x14ac:dyDescent="0.2">
      <c r="A6509" s="166"/>
      <c r="B6509" s="167"/>
      <c r="C6509" s="167"/>
      <c r="D6509" s="167"/>
      <c r="E6509" s="167"/>
      <c r="F6509" s="168"/>
    </row>
    <row r="6510" spans="1:6" x14ac:dyDescent="0.2">
      <c r="A6510" s="163"/>
      <c r="B6510" s="164"/>
      <c r="C6510" s="164"/>
      <c r="D6510" s="164"/>
      <c r="E6510" s="164"/>
      <c r="F6510" s="165"/>
    </row>
    <row r="6511" spans="1:6" x14ac:dyDescent="0.2">
      <c r="A6511" s="166"/>
      <c r="B6511" s="167"/>
      <c r="C6511" s="167"/>
      <c r="D6511" s="167"/>
      <c r="E6511" s="167"/>
      <c r="F6511" s="168"/>
    </row>
    <row r="6512" spans="1:6" x14ac:dyDescent="0.2">
      <c r="A6512" s="163"/>
      <c r="B6512" s="164"/>
      <c r="C6512" s="164"/>
      <c r="D6512" s="164"/>
      <c r="E6512" s="164"/>
      <c r="F6512" s="165"/>
    </row>
    <row r="6513" spans="1:6" x14ac:dyDescent="0.2">
      <c r="A6513" s="166"/>
      <c r="B6513" s="167"/>
      <c r="C6513" s="167"/>
      <c r="D6513" s="167"/>
      <c r="E6513" s="167"/>
      <c r="F6513" s="168"/>
    </row>
    <row r="6514" spans="1:6" x14ac:dyDescent="0.2">
      <c r="A6514" s="163"/>
      <c r="B6514" s="164"/>
      <c r="C6514" s="164"/>
      <c r="D6514" s="164"/>
      <c r="E6514" s="164"/>
      <c r="F6514" s="165"/>
    </row>
    <row r="6515" spans="1:6" x14ac:dyDescent="0.2">
      <c r="A6515" s="166"/>
      <c r="B6515" s="167"/>
      <c r="C6515" s="167"/>
      <c r="D6515" s="167"/>
      <c r="E6515" s="167"/>
      <c r="F6515" s="168"/>
    </row>
    <row r="6516" spans="1:6" x14ac:dyDescent="0.2">
      <c r="A6516" s="163"/>
      <c r="B6516" s="164"/>
      <c r="C6516" s="164"/>
      <c r="D6516" s="164"/>
      <c r="E6516" s="164"/>
      <c r="F6516" s="165"/>
    </row>
    <row r="6517" spans="1:6" x14ac:dyDescent="0.2">
      <c r="A6517" s="166"/>
      <c r="B6517" s="167"/>
      <c r="C6517" s="167"/>
      <c r="D6517" s="167"/>
      <c r="E6517" s="167"/>
      <c r="F6517" s="168"/>
    </row>
    <row r="6518" spans="1:6" x14ac:dyDescent="0.2">
      <c r="A6518" s="163"/>
      <c r="B6518" s="164"/>
      <c r="C6518" s="164"/>
      <c r="D6518" s="164"/>
      <c r="E6518" s="164"/>
      <c r="F6518" s="165"/>
    </row>
    <row r="6519" spans="1:6" x14ac:dyDescent="0.2">
      <c r="A6519" s="166"/>
      <c r="B6519" s="167"/>
      <c r="C6519" s="167"/>
      <c r="D6519" s="167"/>
      <c r="E6519" s="167"/>
      <c r="F6519" s="168"/>
    </row>
    <row r="6520" spans="1:6" x14ac:dyDescent="0.2">
      <c r="A6520" s="163"/>
      <c r="B6520" s="164"/>
      <c r="C6520" s="164"/>
      <c r="D6520" s="164"/>
      <c r="E6520" s="164"/>
      <c r="F6520" s="165"/>
    </row>
    <row r="6521" spans="1:6" x14ac:dyDescent="0.2">
      <c r="A6521" s="166"/>
      <c r="B6521" s="167"/>
      <c r="C6521" s="167"/>
      <c r="D6521" s="167"/>
      <c r="E6521" s="167"/>
      <c r="F6521" s="168"/>
    </row>
    <row r="6522" spans="1:6" x14ac:dyDescent="0.2">
      <c r="A6522" s="163"/>
      <c r="B6522" s="164"/>
      <c r="C6522" s="164"/>
      <c r="D6522" s="164"/>
      <c r="E6522" s="164"/>
      <c r="F6522" s="165"/>
    </row>
    <row r="6523" spans="1:6" x14ac:dyDescent="0.2">
      <c r="A6523" s="166"/>
      <c r="B6523" s="167"/>
      <c r="C6523" s="167"/>
      <c r="D6523" s="167"/>
      <c r="E6523" s="167"/>
      <c r="F6523" s="168"/>
    </row>
    <row r="6524" spans="1:6" x14ac:dyDescent="0.2">
      <c r="A6524" s="163"/>
      <c r="B6524" s="164"/>
      <c r="C6524" s="164"/>
      <c r="D6524" s="164"/>
      <c r="E6524" s="164"/>
      <c r="F6524" s="165"/>
    </row>
    <row r="6525" spans="1:6" x14ac:dyDescent="0.2">
      <c r="A6525" s="166"/>
      <c r="B6525" s="167"/>
      <c r="C6525" s="167"/>
      <c r="D6525" s="167"/>
      <c r="E6525" s="167"/>
      <c r="F6525" s="168"/>
    </row>
    <row r="6526" spans="1:6" x14ac:dyDescent="0.2">
      <c r="A6526" s="163"/>
      <c r="B6526" s="164"/>
      <c r="C6526" s="164"/>
      <c r="D6526" s="164"/>
      <c r="E6526" s="164"/>
      <c r="F6526" s="165"/>
    </row>
    <row r="6527" spans="1:6" x14ac:dyDescent="0.2">
      <c r="A6527" s="166"/>
      <c r="B6527" s="167"/>
      <c r="C6527" s="167"/>
      <c r="D6527" s="167"/>
      <c r="E6527" s="167"/>
      <c r="F6527" s="168"/>
    </row>
    <row r="6528" spans="1:6" x14ac:dyDescent="0.2">
      <c r="A6528" s="163"/>
      <c r="B6528" s="164"/>
      <c r="C6528" s="164"/>
      <c r="D6528" s="164"/>
      <c r="E6528" s="164"/>
      <c r="F6528" s="165"/>
    </row>
    <row r="6529" spans="1:6" x14ac:dyDescent="0.2">
      <c r="A6529" s="166"/>
      <c r="B6529" s="167"/>
      <c r="C6529" s="167"/>
      <c r="D6529" s="167"/>
      <c r="E6529" s="167"/>
      <c r="F6529" s="168"/>
    </row>
    <row r="6530" spans="1:6" x14ac:dyDescent="0.2">
      <c r="A6530" s="163"/>
      <c r="B6530" s="164"/>
      <c r="C6530" s="164"/>
      <c r="D6530" s="164"/>
      <c r="E6530" s="164"/>
      <c r="F6530" s="165"/>
    </row>
    <row r="6531" spans="1:6" x14ac:dyDescent="0.2">
      <c r="A6531" s="166"/>
      <c r="B6531" s="167"/>
      <c r="C6531" s="167"/>
      <c r="D6531" s="167"/>
      <c r="E6531" s="167"/>
      <c r="F6531" s="168"/>
    </row>
    <row r="6532" spans="1:6" x14ac:dyDescent="0.2">
      <c r="A6532" s="163"/>
      <c r="B6532" s="164"/>
      <c r="C6532" s="164"/>
      <c r="D6532" s="164"/>
      <c r="E6532" s="164"/>
      <c r="F6532" s="165"/>
    </row>
    <row r="6533" spans="1:6" x14ac:dyDescent="0.2">
      <c r="A6533" s="166"/>
      <c r="B6533" s="167"/>
      <c r="C6533" s="167"/>
      <c r="D6533" s="167"/>
      <c r="E6533" s="167"/>
      <c r="F6533" s="168"/>
    </row>
    <row r="6534" spans="1:6" x14ac:dyDescent="0.2">
      <c r="A6534" s="163"/>
      <c r="B6534" s="164"/>
      <c r="C6534" s="164"/>
      <c r="D6534" s="164"/>
      <c r="E6534" s="164"/>
      <c r="F6534" s="165"/>
    </row>
    <row r="6535" spans="1:6" x14ac:dyDescent="0.2">
      <c r="A6535" s="166"/>
      <c r="B6535" s="167"/>
      <c r="C6535" s="167"/>
      <c r="D6535" s="167"/>
      <c r="E6535" s="167"/>
      <c r="F6535" s="168"/>
    </row>
    <row r="6536" spans="1:6" x14ac:dyDescent="0.2">
      <c r="A6536" s="163"/>
      <c r="B6536" s="164"/>
      <c r="C6536" s="164"/>
      <c r="D6536" s="164"/>
      <c r="E6536" s="164"/>
      <c r="F6536" s="165"/>
    </row>
    <row r="6537" spans="1:6" x14ac:dyDescent="0.2">
      <c r="A6537" s="166"/>
      <c r="B6537" s="167"/>
      <c r="C6537" s="167"/>
      <c r="D6537" s="167"/>
      <c r="E6537" s="167"/>
      <c r="F6537" s="168"/>
    </row>
    <row r="6538" spans="1:6" x14ac:dyDescent="0.2">
      <c r="A6538" s="163"/>
      <c r="B6538" s="164"/>
      <c r="C6538" s="164"/>
      <c r="D6538" s="164"/>
      <c r="E6538" s="164"/>
      <c r="F6538" s="165"/>
    </row>
    <row r="6539" spans="1:6" x14ac:dyDescent="0.2">
      <c r="A6539" s="166"/>
      <c r="B6539" s="167"/>
      <c r="C6539" s="167"/>
      <c r="D6539" s="167"/>
      <c r="E6539" s="167"/>
      <c r="F6539" s="168"/>
    </row>
    <row r="6540" spans="1:6" x14ac:dyDescent="0.2">
      <c r="A6540" s="163"/>
      <c r="B6540" s="164"/>
      <c r="C6540" s="164"/>
      <c r="D6540" s="164"/>
      <c r="E6540" s="164"/>
      <c r="F6540" s="165"/>
    </row>
    <row r="6541" spans="1:6" x14ac:dyDescent="0.2">
      <c r="A6541" s="166"/>
      <c r="B6541" s="167"/>
      <c r="C6541" s="167"/>
      <c r="D6541" s="167"/>
      <c r="E6541" s="167"/>
      <c r="F6541" s="168"/>
    </row>
    <row r="6542" spans="1:6" x14ac:dyDescent="0.2">
      <c r="A6542" s="163"/>
      <c r="B6542" s="164"/>
      <c r="C6542" s="164"/>
      <c r="D6542" s="164"/>
      <c r="E6542" s="164"/>
      <c r="F6542" s="165"/>
    </row>
    <row r="6543" spans="1:6" x14ac:dyDescent="0.2">
      <c r="A6543" s="166"/>
      <c r="B6543" s="167"/>
      <c r="C6543" s="167"/>
      <c r="D6543" s="167"/>
      <c r="E6543" s="167"/>
      <c r="F6543" s="168"/>
    </row>
    <row r="6544" spans="1:6" x14ac:dyDescent="0.2">
      <c r="A6544" s="163"/>
      <c r="B6544" s="164"/>
      <c r="C6544" s="164"/>
      <c r="D6544" s="164"/>
      <c r="E6544" s="164"/>
      <c r="F6544" s="165"/>
    </row>
    <row r="6545" spans="1:6" x14ac:dyDescent="0.2">
      <c r="A6545" s="166"/>
      <c r="B6545" s="167"/>
      <c r="C6545" s="167"/>
      <c r="D6545" s="167"/>
      <c r="E6545" s="167"/>
      <c r="F6545" s="168"/>
    </row>
    <row r="6546" spans="1:6" x14ac:dyDescent="0.2">
      <c r="A6546" s="163"/>
      <c r="B6546" s="164"/>
      <c r="C6546" s="164"/>
      <c r="D6546" s="164"/>
      <c r="E6546" s="164"/>
      <c r="F6546" s="165"/>
    </row>
    <row r="6547" spans="1:6" x14ac:dyDescent="0.2">
      <c r="A6547" s="166"/>
      <c r="B6547" s="167"/>
      <c r="C6547" s="167"/>
      <c r="D6547" s="167"/>
      <c r="E6547" s="167"/>
      <c r="F6547" s="168"/>
    </row>
    <row r="6548" spans="1:6" x14ac:dyDescent="0.2">
      <c r="A6548" s="163"/>
      <c r="B6548" s="164"/>
      <c r="C6548" s="164"/>
      <c r="D6548" s="164"/>
      <c r="E6548" s="164"/>
      <c r="F6548" s="165"/>
    </row>
    <row r="6549" spans="1:6" x14ac:dyDescent="0.2">
      <c r="A6549" s="166"/>
      <c r="B6549" s="167"/>
      <c r="C6549" s="167"/>
      <c r="D6549" s="167"/>
      <c r="E6549" s="167"/>
      <c r="F6549" s="168"/>
    </row>
    <row r="6550" spans="1:6" x14ac:dyDescent="0.2">
      <c r="A6550" s="163"/>
      <c r="B6550" s="164"/>
      <c r="C6550" s="164"/>
      <c r="D6550" s="164"/>
      <c r="E6550" s="164"/>
      <c r="F6550" s="165"/>
    </row>
    <row r="6551" spans="1:6" x14ac:dyDescent="0.2">
      <c r="A6551" s="166"/>
      <c r="B6551" s="167"/>
      <c r="C6551" s="167"/>
      <c r="D6551" s="167"/>
      <c r="E6551" s="167"/>
      <c r="F6551" s="168"/>
    </row>
    <row r="6552" spans="1:6" x14ac:dyDescent="0.2">
      <c r="A6552" s="163"/>
      <c r="B6552" s="164"/>
      <c r="C6552" s="164"/>
      <c r="D6552" s="164"/>
      <c r="E6552" s="164"/>
      <c r="F6552" s="165"/>
    </row>
    <row r="6553" spans="1:6" x14ac:dyDescent="0.2">
      <c r="A6553" s="166"/>
      <c r="B6553" s="167"/>
      <c r="C6553" s="167"/>
      <c r="D6553" s="167"/>
      <c r="E6553" s="167"/>
      <c r="F6553" s="168"/>
    </row>
    <row r="6554" spans="1:6" x14ac:dyDescent="0.2">
      <c r="A6554" s="163"/>
      <c r="B6554" s="164"/>
      <c r="C6554" s="164"/>
      <c r="D6554" s="164"/>
      <c r="E6554" s="164"/>
      <c r="F6554" s="165"/>
    </row>
    <row r="6555" spans="1:6" x14ac:dyDescent="0.2">
      <c r="A6555" s="166"/>
      <c r="B6555" s="167"/>
      <c r="C6555" s="167"/>
      <c r="D6555" s="167"/>
      <c r="E6555" s="167"/>
      <c r="F6555" s="168"/>
    </row>
    <row r="6556" spans="1:6" x14ac:dyDescent="0.2">
      <c r="A6556" s="163"/>
      <c r="B6556" s="164"/>
      <c r="C6556" s="164"/>
      <c r="D6556" s="164"/>
      <c r="E6556" s="164"/>
      <c r="F6556" s="165"/>
    </row>
    <row r="6557" spans="1:6" x14ac:dyDescent="0.2">
      <c r="A6557" s="166"/>
      <c r="B6557" s="167"/>
      <c r="C6557" s="167"/>
      <c r="D6557" s="167"/>
      <c r="E6557" s="167"/>
      <c r="F6557" s="168"/>
    </row>
    <row r="6558" spans="1:6" x14ac:dyDescent="0.2">
      <c r="A6558" s="163"/>
      <c r="B6558" s="164"/>
      <c r="C6558" s="164"/>
      <c r="D6558" s="164"/>
      <c r="E6558" s="164"/>
      <c r="F6558" s="165"/>
    </row>
    <row r="6559" spans="1:6" x14ac:dyDescent="0.2">
      <c r="A6559" s="166"/>
      <c r="B6559" s="167"/>
      <c r="C6559" s="167"/>
      <c r="D6559" s="167"/>
      <c r="E6559" s="167"/>
      <c r="F6559" s="168"/>
    </row>
    <row r="6560" spans="1:6" x14ac:dyDescent="0.2">
      <c r="A6560" s="163"/>
      <c r="B6560" s="164"/>
      <c r="C6560" s="164"/>
      <c r="D6560" s="164"/>
      <c r="E6560" s="164"/>
      <c r="F6560" s="165"/>
    </row>
    <row r="6561" spans="1:6" x14ac:dyDescent="0.2">
      <c r="A6561" s="166"/>
      <c r="B6561" s="167"/>
      <c r="C6561" s="167"/>
      <c r="D6561" s="167"/>
      <c r="E6561" s="167"/>
      <c r="F6561" s="168"/>
    </row>
    <row r="6562" spans="1:6" x14ac:dyDescent="0.2">
      <c r="A6562" s="163"/>
      <c r="B6562" s="164"/>
      <c r="C6562" s="164"/>
      <c r="D6562" s="164"/>
      <c r="E6562" s="164"/>
      <c r="F6562" s="165"/>
    </row>
    <row r="6563" spans="1:6" x14ac:dyDescent="0.2">
      <c r="A6563" s="166"/>
      <c r="B6563" s="167"/>
      <c r="C6563" s="167"/>
      <c r="D6563" s="167"/>
      <c r="E6563" s="167"/>
      <c r="F6563" s="168"/>
    </row>
    <row r="6564" spans="1:6" x14ac:dyDescent="0.2">
      <c r="A6564" s="163"/>
      <c r="B6564" s="164"/>
      <c r="C6564" s="164"/>
      <c r="D6564" s="164"/>
      <c r="E6564" s="164"/>
      <c r="F6564" s="165"/>
    </row>
    <row r="6565" spans="1:6" x14ac:dyDescent="0.2">
      <c r="A6565" s="166"/>
      <c r="B6565" s="167"/>
      <c r="C6565" s="167"/>
      <c r="D6565" s="167"/>
      <c r="E6565" s="167"/>
      <c r="F6565" s="168"/>
    </row>
    <row r="6566" spans="1:6" x14ac:dyDescent="0.2">
      <c r="A6566" s="163"/>
      <c r="B6566" s="164"/>
      <c r="C6566" s="164"/>
      <c r="D6566" s="164"/>
      <c r="E6566" s="164"/>
      <c r="F6566" s="165"/>
    </row>
    <row r="6567" spans="1:6" x14ac:dyDescent="0.2">
      <c r="A6567" s="166"/>
      <c r="B6567" s="167"/>
      <c r="C6567" s="167"/>
      <c r="D6567" s="167"/>
      <c r="E6567" s="167"/>
      <c r="F6567" s="168"/>
    </row>
    <row r="6568" spans="1:6" x14ac:dyDescent="0.2">
      <c r="A6568" s="163"/>
      <c r="B6568" s="164"/>
      <c r="C6568" s="164"/>
      <c r="D6568" s="164"/>
      <c r="E6568" s="164"/>
      <c r="F6568" s="165"/>
    </row>
    <row r="6569" spans="1:6" x14ac:dyDescent="0.2">
      <c r="A6569" s="166"/>
      <c r="B6569" s="167"/>
      <c r="C6569" s="167"/>
      <c r="D6569" s="167"/>
      <c r="E6569" s="167"/>
      <c r="F6569" s="168"/>
    </row>
    <row r="6570" spans="1:6" x14ac:dyDescent="0.2">
      <c r="A6570" s="163"/>
      <c r="B6570" s="164"/>
      <c r="C6570" s="164"/>
      <c r="D6570" s="164"/>
      <c r="E6570" s="164"/>
      <c r="F6570" s="165"/>
    </row>
    <row r="6571" spans="1:6" x14ac:dyDescent="0.2">
      <c r="A6571" s="166"/>
      <c r="B6571" s="167"/>
      <c r="C6571" s="167"/>
      <c r="D6571" s="167"/>
      <c r="E6571" s="167"/>
      <c r="F6571" s="168"/>
    </row>
    <row r="6572" spans="1:6" x14ac:dyDescent="0.2">
      <c r="A6572" s="163"/>
      <c r="B6572" s="164"/>
      <c r="C6572" s="164"/>
      <c r="D6572" s="164"/>
      <c r="E6572" s="164"/>
      <c r="F6572" s="165"/>
    </row>
    <row r="6573" spans="1:6" x14ac:dyDescent="0.2">
      <c r="A6573" s="166"/>
      <c r="B6573" s="167"/>
      <c r="C6573" s="167"/>
      <c r="D6573" s="167"/>
      <c r="E6573" s="167"/>
      <c r="F6573" s="168"/>
    </row>
    <row r="6574" spans="1:6" x14ac:dyDescent="0.2">
      <c r="A6574" s="163"/>
      <c r="B6574" s="164"/>
      <c r="C6574" s="164"/>
      <c r="D6574" s="164"/>
      <c r="E6574" s="164"/>
      <c r="F6574" s="165"/>
    </row>
    <row r="6575" spans="1:6" x14ac:dyDescent="0.2">
      <c r="A6575" s="166"/>
      <c r="B6575" s="167"/>
      <c r="C6575" s="167"/>
      <c r="D6575" s="167"/>
      <c r="E6575" s="167"/>
      <c r="F6575" s="168"/>
    </row>
    <row r="6576" spans="1:6" x14ac:dyDescent="0.2">
      <c r="A6576" s="163"/>
      <c r="B6576" s="164"/>
      <c r="C6576" s="164"/>
      <c r="D6576" s="164"/>
      <c r="E6576" s="164"/>
      <c r="F6576" s="165"/>
    </row>
    <row r="6577" spans="1:6" x14ac:dyDescent="0.2">
      <c r="A6577" s="166"/>
      <c r="B6577" s="167"/>
      <c r="C6577" s="167"/>
      <c r="D6577" s="167"/>
      <c r="E6577" s="167"/>
      <c r="F6577" s="168"/>
    </row>
    <row r="6578" spans="1:6" x14ac:dyDescent="0.2">
      <c r="A6578" s="163"/>
      <c r="B6578" s="164"/>
      <c r="C6578" s="164"/>
      <c r="D6578" s="164"/>
      <c r="E6578" s="164"/>
      <c r="F6578" s="165"/>
    </row>
    <row r="6579" spans="1:6" x14ac:dyDescent="0.2">
      <c r="A6579" s="166"/>
      <c r="B6579" s="167"/>
      <c r="C6579" s="167"/>
      <c r="D6579" s="167"/>
      <c r="E6579" s="167"/>
      <c r="F6579" s="168"/>
    </row>
    <row r="6580" spans="1:6" x14ac:dyDescent="0.2">
      <c r="A6580" s="163"/>
      <c r="B6580" s="164"/>
      <c r="C6580" s="164"/>
      <c r="D6580" s="164"/>
      <c r="E6580" s="164"/>
      <c r="F6580" s="165"/>
    </row>
    <row r="6581" spans="1:6" x14ac:dyDescent="0.2">
      <c r="A6581" s="166"/>
      <c r="B6581" s="167"/>
      <c r="C6581" s="167"/>
      <c r="D6581" s="167"/>
      <c r="E6581" s="167"/>
      <c r="F6581" s="168"/>
    </row>
    <row r="6582" spans="1:6" x14ac:dyDescent="0.2">
      <c r="A6582" s="163"/>
      <c r="B6582" s="164"/>
      <c r="C6582" s="164"/>
      <c r="D6582" s="164"/>
      <c r="E6582" s="164"/>
      <c r="F6582" s="165"/>
    </row>
    <row r="6583" spans="1:6" x14ac:dyDescent="0.2">
      <c r="A6583" s="166"/>
      <c r="B6583" s="167"/>
      <c r="C6583" s="167"/>
      <c r="D6583" s="167"/>
      <c r="E6583" s="167"/>
      <c r="F6583" s="168"/>
    </row>
    <row r="6584" spans="1:6" x14ac:dyDescent="0.2">
      <c r="A6584" s="163"/>
      <c r="B6584" s="164"/>
      <c r="C6584" s="164"/>
      <c r="D6584" s="164"/>
      <c r="E6584" s="164"/>
      <c r="F6584" s="165"/>
    </row>
    <row r="6585" spans="1:6" x14ac:dyDescent="0.2">
      <c r="A6585" s="166"/>
      <c r="B6585" s="167"/>
      <c r="C6585" s="167"/>
      <c r="D6585" s="167"/>
      <c r="E6585" s="167"/>
      <c r="F6585" s="168"/>
    </row>
    <row r="6586" spans="1:6" x14ac:dyDescent="0.2">
      <c r="A6586" s="163"/>
      <c r="B6586" s="164"/>
      <c r="C6586" s="164"/>
      <c r="D6586" s="164"/>
      <c r="E6586" s="164"/>
      <c r="F6586" s="165"/>
    </row>
    <row r="6587" spans="1:6" x14ac:dyDescent="0.2">
      <c r="A6587" s="166"/>
      <c r="B6587" s="167"/>
      <c r="C6587" s="167"/>
      <c r="D6587" s="167"/>
      <c r="E6587" s="167"/>
      <c r="F6587" s="168"/>
    </row>
    <row r="6588" spans="1:6" x14ac:dyDescent="0.2">
      <c r="A6588" s="163"/>
      <c r="B6588" s="164"/>
      <c r="C6588" s="164"/>
      <c r="D6588" s="164"/>
      <c r="E6588" s="164"/>
      <c r="F6588" s="165"/>
    </row>
    <row r="6589" spans="1:6" x14ac:dyDescent="0.2">
      <c r="A6589" s="166"/>
      <c r="B6589" s="167"/>
      <c r="C6589" s="167"/>
      <c r="D6589" s="167"/>
      <c r="E6589" s="167"/>
      <c r="F6589" s="168"/>
    </row>
    <row r="6590" spans="1:6" x14ac:dyDescent="0.2">
      <c r="A6590" s="163"/>
      <c r="B6590" s="164"/>
      <c r="C6590" s="164"/>
      <c r="D6590" s="164"/>
      <c r="E6590" s="164"/>
      <c r="F6590" s="165"/>
    </row>
    <row r="6591" spans="1:6" x14ac:dyDescent="0.2">
      <c r="A6591" s="166"/>
      <c r="B6591" s="167"/>
      <c r="C6591" s="167"/>
      <c r="D6591" s="167"/>
      <c r="E6591" s="167"/>
      <c r="F6591" s="168"/>
    </row>
    <row r="6592" spans="1:6" x14ac:dyDescent="0.2">
      <c r="A6592" s="163"/>
      <c r="B6592" s="164"/>
      <c r="C6592" s="164"/>
      <c r="D6592" s="164"/>
      <c r="E6592" s="164"/>
      <c r="F6592" s="165"/>
    </row>
    <row r="6593" spans="1:6" x14ac:dyDescent="0.2">
      <c r="A6593" s="166"/>
      <c r="B6593" s="167"/>
      <c r="C6593" s="167"/>
      <c r="D6593" s="167"/>
      <c r="E6593" s="167"/>
      <c r="F6593" s="168"/>
    </row>
    <row r="6594" spans="1:6" x14ac:dyDescent="0.2">
      <c r="A6594" s="163"/>
      <c r="B6594" s="164"/>
      <c r="C6594" s="164"/>
      <c r="D6594" s="164"/>
      <c r="E6594" s="164"/>
      <c r="F6594" s="165"/>
    </row>
    <row r="6595" spans="1:6" x14ac:dyDescent="0.2">
      <c r="A6595" s="166"/>
      <c r="B6595" s="167"/>
      <c r="C6595" s="167"/>
      <c r="D6595" s="167"/>
      <c r="E6595" s="167"/>
      <c r="F6595" s="168"/>
    </row>
    <row r="6596" spans="1:6" x14ac:dyDescent="0.2">
      <c r="A6596" s="163"/>
      <c r="B6596" s="164"/>
      <c r="C6596" s="164"/>
      <c r="D6596" s="164"/>
      <c r="E6596" s="164"/>
      <c r="F6596" s="165"/>
    </row>
    <row r="6597" spans="1:6" x14ac:dyDescent="0.2">
      <c r="A6597" s="166"/>
      <c r="B6597" s="167"/>
      <c r="C6597" s="167"/>
      <c r="D6597" s="167"/>
      <c r="E6597" s="167"/>
      <c r="F6597" s="168"/>
    </row>
    <row r="6598" spans="1:6" x14ac:dyDescent="0.2">
      <c r="A6598" s="163"/>
      <c r="B6598" s="164"/>
      <c r="C6598" s="164"/>
      <c r="D6598" s="164"/>
      <c r="E6598" s="164"/>
      <c r="F6598" s="165"/>
    </row>
    <row r="6599" spans="1:6" x14ac:dyDescent="0.2">
      <c r="A6599" s="166"/>
      <c r="B6599" s="167"/>
      <c r="C6599" s="167"/>
      <c r="D6599" s="167"/>
      <c r="E6599" s="167"/>
      <c r="F6599" s="168"/>
    </row>
    <row r="6600" spans="1:6" x14ac:dyDescent="0.2">
      <c r="A6600" s="163"/>
      <c r="B6600" s="164"/>
      <c r="C6600" s="164"/>
      <c r="D6600" s="164"/>
      <c r="E6600" s="164"/>
      <c r="F6600" s="165"/>
    </row>
    <row r="6601" spans="1:6" x14ac:dyDescent="0.2">
      <c r="A6601" s="166"/>
      <c r="B6601" s="167"/>
      <c r="C6601" s="167"/>
      <c r="D6601" s="167"/>
      <c r="E6601" s="167"/>
      <c r="F6601" s="168"/>
    </row>
    <row r="6602" spans="1:6" x14ac:dyDescent="0.2">
      <c r="A6602" s="163"/>
      <c r="B6602" s="164"/>
      <c r="C6602" s="164"/>
      <c r="D6602" s="164"/>
      <c r="E6602" s="164"/>
      <c r="F6602" s="165"/>
    </row>
    <row r="6603" spans="1:6" x14ac:dyDescent="0.2">
      <c r="A6603" s="166"/>
      <c r="B6603" s="167"/>
      <c r="C6603" s="167"/>
      <c r="D6603" s="167"/>
      <c r="E6603" s="167"/>
      <c r="F6603" s="168"/>
    </row>
    <row r="6604" spans="1:6" x14ac:dyDescent="0.2">
      <c r="A6604" s="163"/>
      <c r="B6604" s="164"/>
      <c r="C6604" s="164"/>
      <c r="D6604" s="164"/>
      <c r="E6604" s="164"/>
      <c r="F6604" s="165"/>
    </row>
    <row r="6605" spans="1:6" x14ac:dyDescent="0.2">
      <c r="A6605" s="166"/>
      <c r="B6605" s="167"/>
      <c r="C6605" s="167"/>
      <c r="D6605" s="167"/>
      <c r="E6605" s="167"/>
      <c r="F6605" s="168"/>
    </row>
    <row r="6606" spans="1:6" x14ac:dyDescent="0.2">
      <c r="A6606" s="163"/>
      <c r="B6606" s="164"/>
      <c r="C6606" s="164"/>
      <c r="D6606" s="164"/>
      <c r="E6606" s="164"/>
      <c r="F6606" s="165"/>
    </row>
    <row r="6607" spans="1:6" x14ac:dyDescent="0.2">
      <c r="A6607" s="166"/>
      <c r="B6607" s="167"/>
      <c r="C6607" s="167"/>
      <c r="D6607" s="167"/>
      <c r="E6607" s="167"/>
      <c r="F6607" s="168"/>
    </row>
    <row r="6608" spans="1:6" x14ac:dyDescent="0.2">
      <c r="A6608" s="163"/>
      <c r="B6608" s="164"/>
      <c r="C6608" s="164"/>
      <c r="D6608" s="164"/>
      <c r="E6608" s="164"/>
      <c r="F6608" s="165"/>
    </row>
    <row r="6609" spans="1:6" x14ac:dyDescent="0.2">
      <c r="A6609" s="166"/>
      <c r="B6609" s="167"/>
      <c r="C6609" s="167"/>
      <c r="D6609" s="167"/>
      <c r="E6609" s="167"/>
      <c r="F6609" s="168"/>
    </row>
    <row r="6610" spans="1:6" x14ac:dyDescent="0.2">
      <c r="A6610" s="163"/>
      <c r="B6610" s="164"/>
      <c r="C6610" s="164"/>
      <c r="D6610" s="164"/>
      <c r="E6610" s="164"/>
      <c r="F6610" s="165"/>
    </row>
    <row r="6611" spans="1:6" x14ac:dyDescent="0.2">
      <c r="A6611" s="166"/>
      <c r="B6611" s="167"/>
      <c r="C6611" s="167"/>
      <c r="D6611" s="167"/>
      <c r="E6611" s="167"/>
      <c r="F6611" s="168"/>
    </row>
    <row r="6612" spans="1:6" x14ac:dyDescent="0.2">
      <c r="A6612" s="163"/>
      <c r="B6612" s="164"/>
      <c r="C6612" s="164"/>
      <c r="D6612" s="164"/>
      <c r="E6612" s="164"/>
      <c r="F6612" s="165"/>
    </row>
    <row r="6613" spans="1:6" x14ac:dyDescent="0.2">
      <c r="A6613" s="166"/>
      <c r="B6613" s="167"/>
      <c r="C6613" s="167"/>
      <c r="D6613" s="167"/>
      <c r="E6613" s="167"/>
      <c r="F6613" s="168"/>
    </row>
    <row r="6614" spans="1:6" x14ac:dyDescent="0.2">
      <c r="A6614" s="163"/>
      <c r="B6614" s="164"/>
      <c r="C6614" s="164"/>
      <c r="D6614" s="164"/>
      <c r="E6614" s="164"/>
      <c r="F6614" s="165"/>
    </row>
    <row r="6615" spans="1:6" x14ac:dyDescent="0.2">
      <c r="A6615" s="166"/>
      <c r="B6615" s="167"/>
      <c r="C6615" s="167"/>
      <c r="D6615" s="167"/>
      <c r="E6615" s="167"/>
      <c r="F6615" s="168"/>
    </row>
    <row r="6616" spans="1:6" x14ac:dyDescent="0.2">
      <c r="A6616" s="163"/>
      <c r="B6616" s="164"/>
      <c r="C6616" s="164"/>
      <c r="D6616" s="164"/>
      <c r="E6616" s="164"/>
      <c r="F6616" s="165"/>
    </row>
    <row r="6617" spans="1:6" x14ac:dyDescent="0.2">
      <c r="A6617" s="166"/>
      <c r="B6617" s="167"/>
      <c r="C6617" s="167"/>
      <c r="D6617" s="167"/>
      <c r="E6617" s="167"/>
      <c r="F6617" s="168"/>
    </row>
    <row r="6618" spans="1:6" x14ac:dyDescent="0.2">
      <c r="A6618" s="163"/>
      <c r="B6618" s="164"/>
      <c r="C6618" s="164"/>
      <c r="D6618" s="164"/>
      <c r="E6618" s="164"/>
      <c r="F6618" s="165"/>
    </row>
    <row r="6619" spans="1:6" x14ac:dyDescent="0.2">
      <c r="A6619" s="166"/>
      <c r="B6619" s="167"/>
      <c r="C6619" s="167"/>
      <c r="D6619" s="167"/>
      <c r="E6619" s="167"/>
      <c r="F6619" s="168"/>
    </row>
    <row r="6620" spans="1:6" x14ac:dyDescent="0.2">
      <c r="A6620" s="163"/>
      <c r="B6620" s="164"/>
      <c r="C6620" s="164"/>
      <c r="D6620" s="164"/>
      <c r="E6620" s="164"/>
      <c r="F6620" s="165"/>
    </row>
    <row r="6621" spans="1:6" x14ac:dyDescent="0.2">
      <c r="A6621" s="166"/>
      <c r="B6621" s="167"/>
      <c r="C6621" s="167"/>
      <c r="D6621" s="167"/>
      <c r="E6621" s="167"/>
      <c r="F6621" s="168"/>
    </row>
    <row r="6622" spans="1:6" x14ac:dyDescent="0.2">
      <c r="A6622" s="163"/>
      <c r="B6622" s="164"/>
      <c r="C6622" s="164"/>
      <c r="D6622" s="164"/>
      <c r="E6622" s="164"/>
      <c r="F6622" s="165"/>
    </row>
    <row r="6623" spans="1:6" x14ac:dyDescent="0.2">
      <c r="A6623" s="166"/>
      <c r="B6623" s="167"/>
      <c r="C6623" s="167"/>
      <c r="D6623" s="167"/>
      <c r="E6623" s="167"/>
      <c r="F6623" s="168"/>
    </row>
    <row r="6624" spans="1:6" x14ac:dyDescent="0.2">
      <c r="A6624" s="163"/>
      <c r="B6624" s="164"/>
      <c r="C6624" s="164"/>
      <c r="D6624" s="164"/>
      <c r="E6624" s="164"/>
      <c r="F6624" s="165"/>
    </row>
    <row r="6625" spans="1:6" x14ac:dyDescent="0.2">
      <c r="A6625" s="166"/>
      <c r="B6625" s="167"/>
      <c r="C6625" s="167"/>
      <c r="D6625" s="167"/>
      <c r="E6625" s="167"/>
      <c r="F6625" s="168"/>
    </row>
    <row r="6626" spans="1:6" x14ac:dyDescent="0.2">
      <c r="A6626" s="163"/>
      <c r="B6626" s="164"/>
      <c r="C6626" s="164"/>
      <c r="D6626" s="164"/>
      <c r="E6626" s="164"/>
      <c r="F6626" s="165"/>
    </row>
    <row r="6627" spans="1:6" x14ac:dyDescent="0.2">
      <c r="A6627" s="166"/>
      <c r="B6627" s="167"/>
      <c r="C6627" s="167"/>
      <c r="D6627" s="167"/>
      <c r="E6627" s="167"/>
      <c r="F6627" s="168"/>
    </row>
    <row r="6628" spans="1:6" x14ac:dyDescent="0.2">
      <c r="A6628" s="163"/>
      <c r="B6628" s="164"/>
      <c r="C6628" s="164"/>
      <c r="D6628" s="164"/>
      <c r="E6628" s="164"/>
      <c r="F6628" s="165"/>
    </row>
    <row r="6629" spans="1:6" x14ac:dyDescent="0.2">
      <c r="A6629" s="166"/>
      <c r="B6629" s="167"/>
      <c r="C6629" s="167"/>
      <c r="D6629" s="167"/>
      <c r="E6629" s="167"/>
      <c r="F6629" s="168"/>
    </row>
    <row r="6630" spans="1:6" x14ac:dyDescent="0.2">
      <c r="A6630" s="163"/>
      <c r="B6630" s="164"/>
      <c r="C6630" s="164"/>
      <c r="D6630" s="164"/>
      <c r="E6630" s="164"/>
      <c r="F6630" s="165"/>
    </row>
    <row r="6631" spans="1:6" x14ac:dyDescent="0.2">
      <c r="A6631" s="166"/>
      <c r="B6631" s="167"/>
      <c r="C6631" s="167"/>
      <c r="D6631" s="167"/>
      <c r="E6631" s="167"/>
      <c r="F6631" s="168"/>
    </row>
    <row r="6632" spans="1:6" x14ac:dyDescent="0.2">
      <c r="A6632" s="163"/>
      <c r="B6632" s="164"/>
      <c r="C6632" s="164"/>
      <c r="D6632" s="164"/>
      <c r="E6632" s="164"/>
      <c r="F6632" s="165"/>
    </row>
    <row r="6633" spans="1:6" x14ac:dyDescent="0.2">
      <c r="A6633" s="166"/>
      <c r="B6633" s="167"/>
      <c r="C6633" s="167"/>
      <c r="D6633" s="167"/>
      <c r="E6633" s="167"/>
      <c r="F6633" s="168"/>
    </row>
    <row r="6634" spans="1:6" x14ac:dyDescent="0.2">
      <c r="A6634" s="163"/>
      <c r="B6634" s="164"/>
      <c r="C6634" s="164"/>
      <c r="D6634" s="164"/>
      <c r="E6634" s="164"/>
      <c r="F6634" s="165"/>
    </row>
    <row r="6635" spans="1:6" x14ac:dyDescent="0.2">
      <c r="A6635" s="166"/>
      <c r="B6635" s="167"/>
      <c r="C6635" s="167"/>
      <c r="D6635" s="167"/>
      <c r="E6635" s="167"/>
      <c r="F6635" s="168"/>
    </row>
    <row r="6636" spans="1:6" x14ac:dyDescent="0.2">
      <c r="A6636" s="163"/>
      <c r="B6636" s="164"/>
      <c r="C6636" s="164"/>
      <c r="D6636" s="164"/>
      <c r="E6636" s="164"/>
      <c r="F6636" s="165"/>
    </row>
    <row r="6637" spans="1:6" x14ac:dyDescent="0.2">
      <c r="A6637" s="166"/>
      <c r="B6637" s="167"/>
      <c r="C6637" s="167"/>
      <c r="D6637" s="167"/>
      <c r="E6637" s="167"/>
      <c r="F6637" s="168"/>
    </row>
    <row r="6638" spans="1:6" x14ac:dyDescent="0.2">
      <c r="A6638" s="163"/>
      <c r="B6638" s="164"/>
      <c r="C6638" s="164"/>
      <c r="D6638" s="164"/>
      <c r="E6638" s="164"/>
      <c r="F6638" s="165"/>
    </row>
    <row r="6639" spans="1:6" x14ac:dyDescent="0.2">
      <c r="A6639" s="166"/>
      <c r="B6639" s="167"/>
      <c r="C6639" s="167"/>
      <c r="D6639" s="167"/>
      <c r="E6639" s="167"/>
      <c r="F6639" s="168"/>
    </row>
    <row r="6640" spans="1:6" x14ac:dyDescent="0.2">
      <c r="A6640" s="163"/>
      <c r="B6640" s="164"/>
      <c r="C6640" s="164"/>
      <c r="D6640" s="164"/>
      <c r="E6640" s="164"/>
      <c r="F6640" s="165"/>
    </row>
    <row r="6641" spans="1:6" x14ac:dyDescent="0.2">
      <c r="A6641" s="166"/>
      <c r="B6641" s="167"/>
      <c r="C6641" s="167"/>
      <c r="D6641" s="167"/>
      <c r="E6641" s="167"/>
      <c r="F6641" s="168"/>
    </row>
    <row r="6642" spans="1:6" x14ac:dyDescent="0.2">
      <c r="A6642" s="163"/>
      <c r="B6642" s="164"/>
      <c r="C6642" s="164"/>
      <c r="D6642" s="164"/>
      <c r="E6642" s="164"/>
      <c r="F6642" s="165"/>
    </row>
    <row r="6643" spans="1:6" x14ac:dyDescent="0.2">
      <c r="A6643" s="166"/>
      <c r="B6643" s="167"/>
      <c r="C6643" s="167"/>
      <c r="D6643" s="167"/>
      <c r="E6643" s="167"/>
      <c r="F6643" s="168"/>
    </row>
    <row r="6644" spans="1:6" x14ac:dyDescent="0.2">
      <c r="A6644" s="163"/>
      <c r="B6644" s="164"/>
      <c r="C6644" s="164"/>
      <c r="D6644" s="164"/>
      <c r="E6644" s="164"/>
      <c r="F6644" s="165"/>
    </row>
    <row r="6645" spans="1:6" x14ac:dyDescent="0.2">
      <c r="A6645" s="166"/>
      <c r="B6645" s="167"/>
      <c r="C6645" s="167"/>
      <c r="D6645" s="167"/>
      <c r="E6645" s="167"/>
      <c r="F6645" s="168"/>
    </row>
    <row r="6646" spans="1:6" x14ac:dyDescent="0.2">
      <c r="A6646" s="163"/>
      <c r="B6646" s="164"/>
      <c r="C6646" s="164"/>
      <c r="D6646" s="164"/>
      <c r="E6646" s="164"/>
      <c r="F6646" s="165"/>
    </row>
    <row r="6647" spans="1:6" x14ac:dyDescent="0.2">
      <c r="A6647" s="166"/>
      <c r="B6647" s="167"/>
      <c r="C6647" s="167"/>
      <c r="D6647" s="167"/>
      <c r="E6647" s="167"/>
      <c r="F6647" s="168"/>
    </row>
    <row r="6648" spans="1:6" x14ac:dyDescent="0.2">
      <c r="A6648" s="163"/>
      <c r="B6648" s="164"/>
      <c r="C6648" s="164"/>
      <c r="D6648" s="164"/>
      <c r="E6648" s="164"/>
      <c r="F6648" s="165"/>
    </row>
    <row r="6649" spans="1:6" x14ac:dyDescent="0.2">
      <c r="A6649" s="166"/>
      <c r="B6649" s="167"/>
      <c r="C6649" s="167"/>
      <c r="D6649" s="167"/>
      <c r="E6649" s="167"/>
      <c r="F6649" s="168"/>
    </row>
    <row r="6650" spans="1:6" x14ac:dyDescent="0.2">
      <c r="A6650" s="163"/>
      <c r="B6650" s="164"/>
      <c r="C6650" s="164"/>
      <c r="D6650" s="164"/>
      <c r="E6650" s="164"/>
      <c r="F6650" s="165"/>
    </row>
    <row r="6651" spans="1:6" x14ac:dyDescent="0.2">
      <c r="A6651" s="166"/>
      <c r="B6651" s="167"/>
      <c r="C6651" s="167"/>
      <c r="D6651" s="167"/>
      <c r="E6651" s="167"/>
      <c r="F6651" s="168"/>
    </row>
    <row r="6652" spans="1:6" x14ac:dyDescent="0.2">
      <c r="A6652" s="163"/>
      <c r="B6652" s="164"/>
      <c r="C6652" s="164"/>
      <c r="D6652" s="164"/>
      <c r="E6652" s="164"/>
      <c r="F6652" s="165"/>
    </row>
    <row r="6653" spans="1:6" x14ac:dyDescent="0.2">
      <c r="A6653" s="166"/>
      <c r="B6653" s="167"/>
      <c r="C6653" s="167"/>
      <c r="D6653" s="167"/>
      <c r="E6653" s="167"/>
      <c r="F6653" s="168"/>
    </row>
    <row r="6654" spans="1:6" x14ac:dyDescent="0.2">
      <c r="A6654" s="163"/>
      <c r="B6654" s="164"/>
      <c r="C6654" s="164"/>
      <c r="D6654" s="164"/>
      <c r="E6654" s="164"/>
      <c r="F6654" s="165"/>
    </row>
    <row r="6655" spans="1:6" x14ac:dyDescent="0.2">
      <c r="A6655" s="166"/>
      <c r="B6655" s="167"/>
      <c r="C6655" s="167"/>
      <c r="D6655" s="167"/>
      <c r="E6655" s="167"/>
      <c r="F6655" s="168"/>
    </row>
    <row r="6656" spans="1:6" x14ac:dyDescent="0.2">
      <c r="A6656" s="163"/>
      <c r="B6656" s="164"/>
      <c r="C6656" s="164"/>
      <c r="D6656" s="164"/>
      <c r="E6656" s="164"/>
      <c r="F6656" s="165"/>
    </row>
    <row r="6657" spans="1:6" x14ac:dyDescent="0.2">
      <c r="A6657" s="166"/>
      <c r="B6657" s="167"/>
      <c r="C6657" s="167"/>
      <c r="D6657" s="167"/>
      <c r="E6657" s="167"/>
      <c r="F6657" s="168"/>
    </row>
    <row r="6658" spans="1:6" x14ac:dyDescent="0.2">
      <c r="A6658" s="163"/>
      <c r="B6658" s="164"/>
      <c r="C6658" s="164"/>
      <c r="D6658" s="164"/>
      <c r="E6658" s="164"/>
      <c r="F6658" s="165"/>
    </row>
    <row r="6659" spans="1:6" x14ac:dyDescent="0.2">
      <c r="A6659" s="166"/>
      <c r="B6659" s="167"/>
      <c r="C6659" s="167"/>
      <c r="D6659" s="167"/>
      <c r="E6659" s="167"/>
      <c r="F6659" s="168"/>
    </row>
    <row r="6660" spans="1:6" x14ac:dyDescent="0.2">
      <c r="A6660" s="163"/>
      <c r="B6660" s="164"/>
      <c r="C6660" s="164"/>
      <c r="D6660" s="164"/>
      <c r="E6660" s="164"/>
      <c r="F6660" s="165"/>
    </row>
    <row r="6661" spans="1:6" x14ac:dyDescent="0.2">
      <c r="A6661" s="166"/>
      <c r="B6661" s="167"/>
      <c r="C6661" s="167"/>
      <c r="D6661" s="167"/>
      <c r="E6661" s="167"/>
      <c r="F6661" s="168"/>
    </row>
    <row r="6662" spans="1:6" x14ac:dyDescent="0.2">
      <c r="A6662" s="163"/>
      <c r="B6662" s="164"/>
      <c r="C6662" s="164"/>
      <c r="D6662" s="164"/>
      <c r="E6662" s="164"/>
      <c r="F6662" s="165"/>
    </row>
    <row r="6663" spans="1:6" x14ac:dyDescent="0.2">
      <c r="A6663" s="166"/>
      <c r="B6663" s="167"/>
      <c r="C6663" s="167"/>
      <c r="D6663" s="167"/>
      <c r="E6663" s="167"/>
      <c r="F6663" s="168"/>
    </row>
    <row r="6664" spans="1:6" x14ac:dyDescent="0.2">
      <c r="A6664" s="163"/>
      <c r="B6664" s="164"/>
      <c r="C6664" s="164"/>
      <c r="D6664" s="164"/>
      <c r="E6664" s="164"/>
      <c r="F6664" s="165"/>
    </row>
    <row r="6665" spans="1:6" x14ac:dyDescent="0.2">
      <c r="A6665" s="166"/>
      <c r="B6665" s="167"/>
      <c r="C6665" s="167"/>
      <c r="D6665" s="167"/>
      <c r="E6665" s="167"/>
      <c r="F6665" s="168"/>
    </row>
    <row r="6666" spans="1:6" x14ac:dyDescent="0.2">
      <c r="A6666" s="163"/>
      <c r="B6666" s="164"/>
      <c r="C6666" s="164"/>
      <c r="D6666" s="164"/>
      <c r="E6666" s="164"/>
      <c r="F6666" s="165"/>
    </row>
    <row r="6667" spans="1:6" x14ac:dyDescent="0.2">
      <c r="A6667" s="166"/>
      <c r="B6667" s="167"/>
      <c r="C6667" s="167"/>
      <c r="D6667" s="167"/>
      <c r="E6667" s="167"/>
      <c r="F6667" s="168"/>
    </row>
    <row r="6668" spans="1:6" x14ac:dyDescent="0.2">
      <c r="A6668" s="163"/>
      <c r="B6668" s="164"/>
      <c r="C6668" s="164"/>
      <c r="D6668" s="164"/>
      <c r="E6668" s="164"/>
      <c r="F6668" s="165"/>
    </row>
    <row r="6669" spans="1:6" x14ac:dyDescent="0.2">
      <c r="A6669" s="166"/>
      <c r="B6669" s="167"/>
      <c r="C6669" s="167"/>
      <c r="D6669" s="167"/>
      <c r="E6669" s="167"/>
      <c r="F6669" s="168"/>
    </row>
    <row r="6670" spans="1:6" x14ac:dyDescent="0.2">
      <c r="A6670" s="163"/>
      <c r="B6670" s="164"/>
      <c r="C6670" s="164"/>
      <c r="D6670" s="164"/>
      <c r="E6670" s="164"/>
      <c r="F6670" s="165"/>
    </row>
    <row r="6671" spans="1:6" x14ac:dyDescent="0.2">
      <c r="A6671" s="166"/>
      <c r="B6671" s="167"/>
      <c r="C6671" s="167"/>
      <c r="D6671" s="167"/>
      <c r="E6671" s="167"/>
      <c r="F6671" s="168"/>
    </row>
    <row r="6672" spans="1:6" x14ac:dyDescent="0.2">
      <c r="A6672" s="163"/>
      <c r="B6672" s="164"/>
      <c r="C6672" s="164"/>
      <c r="D6672" s="164"/>
      <c r="E6672" s="164"/>
      <c r="F6672" s="165"/>
    </row>
    <row r="6673" spans="1:6" x14ac:dyDescent="0.2">
      <c r="A6673" s="166"/>
      <c r="B6673" s="167"/>
      <c r="C6673" s="167"/>
      <c r="D6673" s="167"/>
      <c r="E6673" s="167"/>
      <c r="F6673" s="168"/>
    </row>
    <row r="6674" spans="1:6" x14ac:dyDescent="0.2">
      <c r="A6674" s="163"/>
      <c r="B6674" s="164"/>
      <c r="C6674" s="164"/>
      <c r="D6674" s="164"/>
      <c r="E6674" s="164"/>
      <c r="F6674" s="165"/>
    </row>
    <row r="6675" spans="1:6" x14ac:dyDescent="0.2">
      <c r="A6675" s="166"/>
      <c r="B6675" s="167"/>
      <c r="C6675" s="167"/>
      <c r="D6675" s="167"/>
      <c r="E6675" s="167"/>
      <c r="F6675" s="168"/>
    </row>
    <row r="6676" spans="1:6" x14ac:dyDescent="0.2">
      <c r="A6676" s="163"/>
      <c r="B6676" s="164"/>
      <c r="C6676" s="164"/>
      <c r="D6676" s="164"/>
      <c r="E6676" s="164"/>
      <c r="F6676" s="165"/>
    </row>
    <row r="6677" spans="1:6" x14ac:dyDescent="0.2">
      <c r="A6677" s="166"/>
      <c r="B6677" s="167"/>
      <c r="C6677" s="167"/>
      <c r="D6677" s="167"/>
      <c r="E6677" s="167"/>
      <c r="F6677" s="168"/>
    </row>
    <row r="6678" spans="1:6" x14ac:dyDescent="0.2">
      <c r="A6678" s="163"/>
      <c r="B6678" s="164"/>
      <c r="C6678" s="164"/>
      <c r="D6678" s="164"/>
      <c r="E6678" s="164"/>
      <c r="F6678" s="165"/>
    </row>
    <row r="6679" spans="1:6" x14ac:dyDescent="0.2">
      <c r="A6679" s="166"/>
      <c r="B6679" s="167"/>
      <c r="C6679" s="167"/>
      <c r="D6679" s="167"/>
      <c r="E6679" s="167"/>
      <c r="F6679" s="168"/>
    </row>
    <row r="6680" spans="1:6" x14ac:dyDescent="0.2">
      <c r="A6680" s="163"/>
      <c r="B6680" s="164"/>
      <c r="C6680" s="164"/>
      <c r="D6680" s="164"/>
      <c r="E6680" s="164"/>
      <c r="F6680" s="165"/>
    </row>
    <row r="6681" spans="1:6" x14ac:dyDescent="0.2">
      <c r="A6681" s="166"/>
      <c r="B6681" s="167"/>
      <c r="C6681" s="167"/>
      <c r="D6681" s="167"/>
      <c r="E6681" s="167"/>
      <c r="F6681" s="168"/>
    </row>
    <row r="6682" spans="1:6" x14ac:dyDescent="0.2">
      <c r="A6682" s="163"/>
      <c r="B6682" s="164"/>
      <c r="C6682" s="164"/>
      <c r="D6682" s="164"/>
      <c r="E6682" s="164"/>
      <c r="F6682" s="165"/>
    </row>
    <row r="6683" spans="1:6" x14ac:dyDescent="0.2">
      <c r="A6683" s="166"/>
      <c r="B6683" s="167"/>
      <c r="C6683" s="167"/>
      <c r="D6683" s="167"/>
      <c r="E6683" s="167"/>
      <c r="F6683" s="168"/>
    </row>
    <row r="6684" spans="1:6" x14ac:dyDescent="0.2">
      <c r="A6684" s="163"/>
      <c r="B6684" s="164"/>
      <c r="C6684" s="164"/>
      <c r="D6684" s="164"/>
      <c r="E6684" s="164"/>
      <c r="F6684" s="165"/>
    </row>
    <row r="6685" spans="1:6" x14ac:dyDescent="0.2">
      <c r="A6685" s="166"/>
      <c r="B6685" s="167"/>
      <c r="C6685" s="167"/>
      <c r="D6685" s="167"/>
      <c r="E6685" s="167"/>
      <c r="F6685" s="168"/>
    </row>
    <row r="6686" spans="1:6" x14ac:dyDescent="0.2">
      <c r="A6686" s="163"/>
      <c r="B6686" s="164"/>
      <c r="C6686" s="164"/>
      <c r="D6686" s="164"/>
      <c r="E6686" s="164"/>
      <c r="F6686" s="165"/>
    </row>
    <row r="6687" spans="1:6" x14ac:dyDescent="0.2">
      <c r="A6687" s="166"/>
      <c r="B6687" s="167"/>
      <c r="C6687" s="167"/>
      <c r="D6687" s="167"/>
      <c r="E6687" s="167"/>
      <c r="F6687" s="168"/>
    </row>
    <row r="6688" spans="1:6" x14ac:dyDescent="0.2">
      <c r="A6688" s="163"/>
      <c r="B6688" s="164"/>
      <c r="C6688" s="164"/>
      <c r="D6688" s="164"/>
      <c r="E6688" s="164"/>
      <c r="F6688" s="165"/>
    </row>
    <row r="6689" spans="1:6" x14ac:dyDescent="0.2">
      <c r="A6689" s="166"/>
      <c r="B6689" s="167"/>
      <c r="C6689" s="167"/>
      <c r="D6689" s="167"/>
      <c r="E6689" s="167"/>
      <c r="F6689" s="168"/>
    </row>
    <row r="6690" spans="1:6" x14ac:dyDescent="0.2">
      <c r="A6690" s="163"/>
      <c r="B6690" s="164"/>
      <c r="C6690" s="164"/>
      <c r="D6690" s="164"/>
      <c r="E6690" s="164"/>
      <c r="F6690" s="165"/>
    </row>
    <row r="6691" spans="1:6" x14ac:dyDescent="0.2">
      <c r="A6691" s="166"/>
      <c r="B6691" s="167"/>
      <c r="C6691" s="167"/>
      <c r="D6691" s="167"/>
      <c r="E6691" s="167"/>
      <c r="F6691" s="168"/>
    </row>
    <row r="6692" spans="1:6" x14ac:dyDescent="0.2">
      <c r="A6692" s="163"/>
      <c r="B6692" s="164"/>
      <c r="C6692" s="164"/>
      <c r="D6692" s="164"/>
      <c r="E6692" s="164"/>
      <c r="F6692" s="165"/>
    </row>
    <row r="6693" spans="1:6" x14ac:dyDescent="0.2">
      <c r="A6693" s="166"/>
      <c r="B6693" s="167"/>
      <c r="C6693" s="167"/>
      <c r="D6693" s="167"/>
      <c r="E6693" s="167"/>
      <c r="F6693" s="168"/>
    </row>
    <row r="6694" spans="1:6" x14ac:dyDescent="0.2">
      <c r="A6694" s="163"/>
      <c r="B6694" s="164"/>
      <c r="C6694" s="164"/>
      <c r="D6694" s="164"/>
      <c r="E6694" s="164"/>
      <c r="F6694" s="165"/>
    </row>
    <row r="6695" spans="1:6" x14ac:dyDescent="0.2">
      <c r="A6695" s="166"/>
      <c r="B6695" s="167"/>
      <c r="C6695" s="167"/>
      <c r="D6695" s="167"/>
      <c r="E6695" s="167"/>
      <c r="F6695" s="168"/>
    </row>
    <row r="6696" spans="1:6" x14ac:dyDescent="0.2">
      <c r="A6696" s="163"/>
      <c r="B6696" s="164"/>
      <c r="C6696" s="164"/>
      <c r="D6696" s="164"/>
      <c r="E6696" s="164"/>
      <c r="F6696" s="165"/>
    </row>
    <row r="6697" spans="1:6" x14ac:dyDescent="0.2">
      <c r="A6697" s="166"/>
      <c r="B6697" s="167"/>
      <c r="C6697" s="167"/>
      <c r="D6697" s="167"/>
      <c r="E6697" s="167"/>
      <c r="F6697" s="168"/>
    </row>
    <row r="6698" spans="1:6" x14ac:dyDescent="0.2">
      <c r="A6698" s="163"/>
      <c r="B6698" s="164"/>
      <c r="C6698" s="164"/>
      <c r="D6698" s="164"/>
      <c r="E6698" s="164"/>
      <c r="F6698" s="165"/>
    </row>
    <row r="6699" spans="1:6" x14ac:dyDescent="0.2">
      <c r="A6699" s="166"/>
      <c r="B6699" s="167"/>
      <c r="C6699" s="167"/>
      <c r="D6699" s="167"/>
      <c r="E6699" s="167"/>
      <c r="F6699" s="168"/>
    </row>
    <row r="6700" spans="1:6" x14ac:dyDescent="0.2">
      <c r="A6700" s="163"/>
      <c r="B6700" s="164"/>
      <c r="C6700" s="164"/>
      <c r="D6700" s="164"/>
      <c r="E6700" s="164"/>
      <c r="F6700" s="165"/>
    </row>
    <row r="6701" spans="1:6" x14ac:dyDescent="0.2">
      <c r="A6701" s="166"/>
      <c r="B6701" s="167"/>
      <c r="C6701" s="167"/>
      <c r="D6701" s="167"/>
      <c r="E6701" s="167"/>
      <c r="F6701" s="168"/>
    </row>
    <row r="6702" spans="1:6" x14ac:dyDescent="0.2">
      <c r="A6702" s="163"/>
      <c r="B6702" s="164"/>
      <c r="C6702" s="164"/>
      <c r="D6702" s="164"/>
      <c r="E6702" s="164"/>
      <c r="F6702" s="165"/>
    </row>
    <row r="6703" spans="1:6" x14ac:dyDescent="0.2">
      <c r="A6703" s="166"/>
      <c r="B6703" s="167"/>
      <c r="C6703" s="167"/>
      <c r="D6703" s="167"/>
      <c r="E6703" s="167"/>
      <c r="F6703" s="168"/>
    </row>
    <row r="6704" spans="1:6" x14ac:dyDescent="0.2">
      <c r="A6704" s="163"/>
      <c r="B6704" s="164"/>
      <c r="C6704" s="164"/>
      <c r="D6704" s="164"/>
      <c r="E6704" s="164"/>
      <c r="F6704" s="165"/>
    </row>
    <row r="6705" spans="1:6" x14ac:dyDescent="0.2">
      <c r="A6705" s="166"/>
      <c r="B6705" s="167"/>
      <c r="C6705" s="167"/>
      <c r="D6705" s="167"/>
      <c r="E6705" s="167"/>
      <c r="F6705" s="168"/>
    </row>
    <row r="6706" spans="1:6" x14ac:dyDescent="0.2">
      <c r="A6706" s="163"/>
      <c r="B6706" s="164"/>
      <c r="C6706" s="164"/>
      <c r="D6706" s="164"/>
      <c r="E6706" s="164"/>
      <c r="F6706" s="165"/>
    </row>
    <row r="6707" spans="1:6" x14ac:dyDescent="0.2">
      <c r="A6707" s="166"/>
      <c r="B6707" s="167"/>
      <c r="C6707" s="167"/>
      <c r="D6707" s="167"/>
      <c r="E6707" s="167"/>
      <c r="F6707" s="168"/>
    </row>
    <row r="6708" spans="1:6" x14ac:dyDescent="0.2">
      <c r="A6708" s="163"/>
      <c r="B6708" s="164"/>
      <c r="C6708" s="164"/>
      <c r="D6708" s="164"/>
      <c r="E6708" s="164"/>
      <c r="F6708" s="165"/>
    </row>
    <row r="6709" spans="1:6" x14ac:dyDescent="0.2">
      <c r="A6709" s="166"/>
      <c r="B6709" s="167"/>
      <c r="C6709" s="167"/>
      <c r="D6709" s="167"/>
      <c r="E6709" s="167"/>
      <c r="F6709" s="168"/>
    </row>
    <row r="6710" spans="1:6" x14ac:dyDescent="0.2">
      <c r="A6710" s="163"/>
      <c r="B6710" s="164"/>
      <c r="C6710" s="164"/>
      <c r="D6710" s="164"/>
      <c r="E6710" s="164"/>
      <c r="F6710" s="165"/>
    </row>
    <row r="6711" spans="1:6" x14ac:dyDescent="0.2">
      <c r="A6711" s="166"/>
      <c r="B6711" s="167"/>
      <c r="C6711" s="167"/>
      <c r="D6711" s="167"/>
      <c r="E6711" s="167"/>
      <c r="F6711" s="168"/>
    </row>
    <row r="6712" spans="1:6" x14ac:dyDescent="0.2">
      <c r="A6712" s="163"/>
      <c r="B6712" s="164"/>
      <c r="C6712" s="164"/>
      <c r="D6712" s="164"/>
      <c r="E6712" s="164"/>
      <c r="F6712" s="165"/>
    </row>
    <row r="6713" spans="1:6" x14ac:dyDescent="0.2">
      <c r="A6713" s="166"/>
      <c r="B6713" s="167"/>
      <c r="C6713" s="167"/>
      <c r="D6713" s="167"/>
      <c r="E6713" s="167"/>
      <c r="F6713" s="168"/>
    </row>
    <row r="6714" spans="1:6" x14ac:dyDescent="0.2">
      <c r="A6714" s="163"/>
      <c r="B6714" s="164"/>
      <c r="C6714" s="164"/>
      <c r="D6714" s="164"/>
      <c r="E6714" s="164"/>
      <c r="F6714" s="165"/>
    </row>
    <row r="6715" spans="1:6" x14ac:dyDescent="0.2">
      <c r="A6715" s="166"/>
      <c r="B6715" s="167"/>
      <c r="C6715" s="167"/>
      <c r="D6715" s="167"/>
      <c r="E6715" s="167"/>
      <c r="F6715" s="168"/>
    </row>
    <row r="6716" spans="1:6" x14ac:dyDescent="0.2">
      <c r="A6716" s="163"/>
      <c r="B6716" s="164"/>
      <c r="C6716" s="164"/>
      <c r="D6716" s="164"/>
      <c r="E6716" s="164"/>
      <c r="F6716" s="165"/>
    </row>
    <row r="6717" spans="1:6" x14ac:dyDescent="0.2">
      <c r="A6717" s="166"/>
      <c r="B6717" s="167"/>
      <c r="C6717" s="167"/>
      <c r="D6717" s="167"/>
      <c r="E6717" s="167"/>
      <c r="F6717" s="168"/>
    </row>
    <row r="6718" spans="1:6" x14ac:dyDescent="0.2">
      <c r="A6718" s="163"/>
      <c r="B6718" s="164"/>
      <c r="C6718" s="164"/>
      <c r="D6718" s="164"/>
      <c r="E6718" s="164"/>
      <c r="F6718" s="165"/>
    </row>
    <row r="6719" spans="1:6" x14ac:dyDescent="0.2">
      <c r="A6719" s="166"/>
      <c r="B6719" s="167"/>
      <c r="C6719" s="167"/>
      <c r="D6719" s="167"/>
      <c r="E6719" s="167"/>
      <c r="F6719" s="168"/>
    </row>
    <row r="6720" spans="1:6" x14ac:dyDescent="0.2">
      <c r="A6720" s="163"/>
      <c r="B6720" s="164"/>
      <c r="C6720" s="164"/>
      <c r="D6720" s="164"/>
      <c r="E6720" s="164"/>
      <c r="F6720" s="165"/>
    </row>
    <row r="6721" spans="1:6" x14ac:dyDescent="0.2">
      <c r="A6721" s="166"/>
      <c r="B6721" s="167"/>
      <c r="C6721" s="167"/>
      <c r="D6721" s="167"/>
      <c r="E6721" s="167"/>
      <c r="F6721" s="168"/>
    </row>
    <row r="6722" spans="1:6" x14ac:dyDescent="0.2">
      <c r="A6722" s="163"/>
      <c r="B6722" s="164"/>
      <c r="C6722" s="164"/>
      <c r="D6722" s="164"/>
      <c r="E6722" s="164"/>
      <c r="F6722" s="165"/>
    </row>
    <row r="6723" spans="1:6" x14ac:dyDescent="0.2">
      <c r="A6723" s="166"/>
      <c r="B6723" s="167"/>
      <c r="C6723" s="167"/>
      <c r="D6723" s="167"/>
      <c r="E6723" s="167"/>
      <c r="F6723" s="168"/>
    </row>
    <row r="6724" spans="1:6" x14ac:dyDescent="0.2">
      <c r="A6724" s="163"/>
      <c r="B6724" s="164"/>
      <c r="C6724" s="164"/>
      <c r="D6724" s="164"/>
      <c r="E6724" s="164"/>
      <c r="F6724" s="165"/>
    </row>
    <row r="6725" spans="1:6" x14ac:dyDescent="0.2">
      <c r="A6725" s="166"/>
      <c r="B6725" s="167"/>
      <c r="C6725" s="167"/>
      <c r="D6725" s="167"/>
      <c r="E6725" s="167"/>
      <c r="F6725" s="168"/>
    </row>
    <row r="6726" spans="1:6" x14ac:dyDescent="0.2">
      <c r="A6726" s="163"/>
      <c r="B6726" s="164"/>
      <c r="C6726" s="164"/>
      <c r="D6726" s="164"/>
      <c r="E6726" s="164"/>
      <c r="F6726" s="165"/>
    </row>
    <row r="6727" spans="1:6" x14ac:dyDescent="0.2">
      <c r="A6727" s="166"/>
      <c r="B6727" s="167"/>
      <c r="C6727" s="167"/>
      <c r="D6727" s="167"/>
      <c r="E6727" s="167"/>
      <c r="F6727" s="168"/>
    </row>
    <row r="6728" spans="1:6" x14ac:dyDescent="0.2">
      <c r="A6728" s="163"/>
      <c r="B6728" s="164"/>
      <c r="C6728" s="164"/>
      <c r="D6728" s="164"/>
      <c r="E6728" s="164"/>
      <c r="F6728" s="165"/>
    </row>
    <row r="6729" spans="1:6" x14ac:dyDescent="0.2">
      <c r="A6729" s="166"/>
      <c r="B6729" s="167"/>
      <c r="C6729" s="167"/>
      <c r="D6729" s="167"/>
      <c r="E6729" s="167"/>
      <c r="F6729" s="168"/>
    </row>
    <row r="6730" spans="1:6" x14ac:dyDescent="0.2">
      <c r="A6730" s="163"/>
      <c r="B6730" s="164"/>
      <c r="C6730" s="164"/>
      <c r="D6730" s="164"/>
      <c r="E6730" s="164"/>
      <c r="F6730" s="165"/>
    </row>
    <row r="6731" spans="1:6" x14ac:dyDescent="0.2">
      <c r="A6731" s="166"/>
      <c r="B6731" s="167"/>
      <c r="C6731" s="167"/>
      <c r="D6731" s="167"/>
      <c r="E6731" s="167"/>
      <c r="F6731" s="168"/>
    </row>
    <row r="6732" spans="1:6" x14ac:dyDescent="0.2">
      <c r="A6732" s="163"/>
      <c r="B6732" s="164"/>
      <c r="C6732" s="164"/>
      <c r="D6732" s="164"/>
      <c r="E6732" s="164"/>
      <c r="F6732" s="165"/>
    </row>
    <row r="6733" spans="1:6" x14ac:dyDescent="0.2">
      <c r="A6733" s="166"/>
      <c r="B6733" s="167"/>
      <c r="C6733" s="167"/>
      <c r="D6733" s="167"/>
      <c r="E6733" s="167"/>
      <c r="F6733" s="168"/>
    </row>
    <row r="6734" spans="1:6" x14ac:dyDescent="0.2">
      <c r="A6734" s="163"/>
      <c r="B6734" s="164"/>
      <c r="C6734" s="164"/>
      <c r="D6734" s="164"/>
      <c r="E6734" s="164"/>
      <c r="F6734" s="165"/>
    </row>
    <row r="6735" spans="1:6" x14ac:dyDescent="0.2">
      <c r="A6735" s="166"/>
      <c r="B6735" s="167"/>
      <c r="C6735" s="167"/>
      <c r="D6735" s="167"/>
      <c r="E6735" s="167"/>
      <c r="F6735" s="168"/>
    </row>
    <row r="6736" spans="1:6" x14ac:dyDescent="0.2">
      <c r="A6736" s="163"/>
      <c r="B6736" s="164"/>
      <c r="C6736" s="164"/>
      <c r="D6736" s="164"/>
      <c r="E6736" s="164"/>
      <c r="F6736" s="165"/>
    </row>
    <row r="6737" spans="1:6" x14ac:dyDescent="0.2">
      <c r="A6737" s="166"/>
      <c r="B6737" s="167"/>
      <c r="C6737" s="167"/>
      <c r="D6737" s="167"/>
      <c r="E6737" s="167"/>
      <c r="F6737" s="168"/>
    </row>
    <row r="6738" spans="1:6" x14ac:dyDescent="0.2">
      <c r="A6738" s="163"/>
      <c r="B6738" s="164"/>
      <c r="C6738" s="164"/>
      <c r="D6738" s="164"/>
      <c r="E6738" s="164"/>
      <c r="F6738" s="165"/>
    </row>
    <row r="6739" spans="1:6" x14ac:dyDescent="0.2">
      <c r="A6739" s="166"/>
      <c r="B6739" s="167"/>
      <c r="C6739" s="167"/>
      <c r="D6739" s="167"/>
      <c r="E6739" s="167"/>
      <c r="F6739" s="168"/>
    </row>
    <row r="6740" spans="1:6" x14ac:dyDescent="0.2">
      <c r="A6740" s="163"/>
      <c r="B6740" s="164"/>
      <c r="C6740" s="164"/>
      <c r="D6740" s="164"/>
      <c r="E6740" s="164"/>
      <c r="F6740" s="165"/>
    </row>
    <row r="6741" spans="1:6" x14ac:dyDescent="0.2">
      <c r="A6741" s="166"/>
      <c r="B6741" s="167"/>
      <c r="C6741" s="167"/>
      <c r="D6741" s="167"/>
      <c r="E6741" s="167"/>
      <c r="F6741" s="168"/>
    </row>
    <row r="6742" spans="1:6" x14ac:dyDescent="0.2">
      <c r="A6742" s="163"/>
      <c r="B6742" s="164"/>
      <c r="C6742" s="164"/>
      <c r="D6742" s="164"/>
      <c r="E6742" s="164"/>
      <c r="F6742" s="165"/>
    </row>
    <row r="6743" spans="1:6" x14ac:dyDescent="0.2">
      <c r="A6743" s="166"/>
      <c r="B6743" s="167"/>
      <c r="C6743" s="167"/>
      <c r="D6743" s="167"/>
      <c r="E6743" s="167"/>
      <c r="F6743" s="168"/>
    </row>
    <row r="6744" spans="1:6" x14ac:dyDescent="0.2">
      <c r="A6744" s="163"/>
      <c r="B6744" s="164"/>
      <c r="C6744" s="164"/>
      <c r="D6744" s="164"/>
      <c r="E6744" s="164"/>
      <c r="F6744" s="165"/>
    </row>
    <row r="6745" spans="1:6" x14ac:dyDescent="0.2">
      <c r="A6745" s="166"/>
      <c r="B6745" s="167"/>
      <c r="C6745" s="167"/>
      <c r="D6745" s="167"/>
      <c r="E6745" s="167"/>
      <c r="F6745" s="168"/>
    </row>
    <row r="6746" spans="1:6" x14ac:dyDescent="0.2">
      <c r="A6746" s="163"/>
      <c r="B6746" s="164"/>
      <c r="C6746" s="164"/>
      <c r="D6746" s="164"/>
      <c r="E6746" s="164"/>
      <c r="F6746" s="165"/>
    </row>
    <row r="6747" spans="1:6" x14ac:dyDescent="0.2">
      <c r="A6747" s="166"/>
      <c r="B6747" s="167"/>
      <c r="C6747" s="167"/>
      <c r="D6747" s="167"/>
      <c r="E6747" s="167"/>
      <c r="F6747" s="168"/>
    </row>
    <row r="6748" spans="1:6" x14ac:dyDescent="0.2">
      <c r="A6748" s="163"/>
      <c r="B6748" s="164"/>
      <c r="C6748" s="164"/>
      <c r="D6748" s="164"/>
      <c r="E6748" s="164"/>
      <c r="F6748" s="165"/>
    </row>
    <row r="6749" spans="1:6" x14ac:dyDescent="0.2">
      <c r="A6749" s="166"/>
      <c r="B6749" s="167"/>
      <c r="C6749" s="167"/>
      <c r="D6749" s="167"/>
      <c r="E6749" s="167"/>
      <c r="F6749" s="168"/>
    </row>
    <row r="6750" spans="1:6" x14ac:dyDescent="0.2">
      <c r="A6750" s="163"/>
      <c r="B6750" s="164"/>
      <c r="C6750" s="164"/>
      <c r="D6750" s="164"/>
      <c r="E6750" s="164"/>
      <c r="F6750" s="165"/>
    </row>
    <row r="6751" spans="1:6" x14ac:dyDescent="0.2">
      <c r="A6751" s="166"/>
      <c r="B6751" s="167"/>
      <c r="C6751" s="167"/>
      <c r="D6751" s="167"/>
      <c r="E6751" s="167"/>
      <c r="F6751" s="168"/>
    </row>
    <row r="6752" spans="1:6" x14ac:dyDescent="0.2">
      <c r="A6752" s="163"/>
      <c r="B6752" s="164"/>
      <c r="C6752" s="164"/>
      <c r="D6752" s="164"/>
      <c r="E6752" s="164"/>
      <c r="F6752" s="165"/>
    </row>
    <row r="6753" spans="1:6" x14ac:dyDescent="0.2">
      <c r="A6753" s="166"/>
      <c r="B6753" s="167"/>
      <c r="C6753" s="167"/>
      <c r="D6753" s="167"/>
      <c r="E6753" s="167"/>
      <c r="F6753" s="168"/>
    </row>
    <row r="6754" spans="1:6" x14ac:dyDescent="0.2">
      <c r="A6754" s="163"/>
      <c r="B6754" s="164"/>
      <c r="C6754" s="164"/>
      <c r="D6754" s="164"/>
      <c r="E6754" s="164"/>
      <c r="F6754" s="165"/>
    </row>
    <row r="6755" spans="1:6" x14ac:dyDescent="0.2">
      <c r="A6755" s="166"/>
      <c r="B6755" s="167"/>
      <c r="C6755" s="167"/>
      <c r="D6755" s="167"/>
      <c r="E6755" s="167"/>
      <c r="F6755" s="168"/>
    </row>
    <row r="6756" spans="1:6" x14ac:dyDescent="0.2">
      <c r="A6756" s="163"/>
      <c r="B6756" s="164"/>
      <c r="C6756" s="164"/>
      <c r="D6756" s="164"/>
      <c r="E6756" s="164"/>
      <c r="F6756" s="165"/>
    </row>
    <row r="6757" spans="1:6" x14ac:dyDescent="0.2">
      <c r="A6757" s="166"/>
      <c r="B6757" s="167"/>
      <c r="C6757" s="167"/>
      <c r="D6757" s="167"/>
      <c r="E6757" s="167"/>
      <c r="F6757" s="168"/>
    </row>
    <row r="6758" spans="1:6" x14ac:dyDescent="0.2">
      <c r="A6758" s="163"/>
      <c r="B6758" s="164"/>
      <c r="C6758" s="164"/>
      <c r="D6758" s="164"/>
      <c r="E6758" s="164"/>
      <c r="F6758" s="165"/>
    </row>
    <row r="6759" spans="1:6" x14ac:dyDescent="0.2">
      <c r="A6759" s="166"/>
      <c r="B6759" s="167"/>
      <c r="C6759" s="167"/>
      <c r="D6759" s="167"/>
      <c r="E6759" s="167"/>
      <c r="F6759" s="168"/>
    </row>
    <row r="6760" spans="1:6" x14ac:dyDescent="0.2">
      <c r="A6760" s="163"/>
      <c r="B6760" s="164"/>
      <c r="C6760" s="164"/>
      <c r="D6760" s="164"/>
      <c r="E6760" s="164"/>
      <c r="F6760" s="165"/>
    </row>
    <row r="6761" spans="1:6" x14ac:dyDescent="0.2">
      <c r="A6761" s="166"/>
      <c r="B6761" s="167"/>
      <c r="C6761" s="167"/>
      <c r="D6761" s="167"/>
      <c r="E6761" s="167"/>
      <c r="F6761" s="168"/>
    </row>
    <row r="6762" spans="1:6" x14ac:dyDescent="0.2">
      <c r="A6762" s="163"/>
      <c r="B6762" s="164"/>
      <c r="C6762" s="164"/>
      <c r="D6762" s="164"/>
      <c r="E6762" s="164"/>
      <c r="F6762" s="165"/>
    </row>
    <row r="6763" spans="1:6" x14ac:dyDescent="0.2">
      <c r="A6763" s="166"/>
      <c r="B6763" s="167"/>
      <c r="C6763" s="167"/>
      <c r="D6763" s="167"/>
      <c r="E6763" s="167"/>
      <c r="F6763" s="168"/>
    </row>
    <row r="6764" spans="1:6" x14ac:dyDescent="0.2">
      <c r="A6764" s="163"/>
      <c r="B6764" s="164"/>
      <c r="C6764" s="164"/>
      <c r="D6764" s="164"/>
      <c r="E6764" s="164"/>
      <c r="F6764" s="165"/>
    </row>
    <row r="6765" spans="1:6" x14ac:dyDescent="0.2">
      <c r="A6765" s="166"/>
      <c r="B6765" s="167"/>
      <c r="C6765" s="167"/>
      <c r="D6765" s="167"/>
      <c r="E6765" s="167"/>
      <c r="F6765" s="168"/>
    </row>
    <row r="6766" spans="1:6" x14ac:dyDescent="0.2">
      <c r="A6766" s="163"/>
      <c r="B6766" s="164"/>
      <c r="C6766" s="164"/>
      <c r="D6766" s="164"/>
      <c r="E6766" s="164"/>
      <c r="F6766" s="165"/>
    </row>
    <row r="6767" spans="1:6" x14ac:dyDescent="0.2">
      <c r="A6767" s="166"/>
      <c r="B6767" s="167"/>
      <c r="C6767" s="167"/>
      <c r="D6767" s="167"/>
      <c r="E6767" s="167"/>
      <c r="F6767" s="168"/>
    </row>
    <row r="6768" spans="1:6" x14ac:dyDescent="0.2">
      <c r="A6768" s="163"/>
      <c r="B6768" s="164"/>
      <c r="C6768" s="164"/>
      <c r="D6768" s="164"/>
      <c r="E6768" s="164"/>
      <c r="F6768" s="165"/>
    </row>
    <row r="6769" spans="1:6" x14ac:dyDescent="0.2">
      <c r="A6769" s="166"/>
      <c r="B6769" s="167"/>
      <c r="C6769" s="167"/>
      <c r="D6769" s="167"/>
      <c r="E6769" s="167"/>
      <c r="F6769" s="168"/>
    </row>
    <row r="6770" spans="1:6" x14ac:dyDescent="0.2">
      <c r="A6770" s="163"/>
      <c r="B6770" s="164"/>
      <c r="C6770" s="164"/>
      <c r="D6770" s="164"/>
      <c r="E6770" s="164"/>
      <c r="F6770" s="165"/>
    </row>
    <row r="6771" spans="1:6" x14ac:dyDescent="0.2">
      <c r="A6771" s="166"/>
      <c r="B6771" s="167"/>
      <c r="C6771" s="167"/>
      <c r="D6771" s="167"/>
      <c r="E6771" s="167"/>
      <c r="F6771" s="168"/>
    </row>
    <row r="6772" spans="1:6" x14ac:dyDescent="0.2">
      <c r="A6772" s="163"/>
      <c r="B6772" s="164"/>
      <c r="C6772" s="164"/>
      <c r="D6772" s="164"/>
      <c r="E6772" s="164"/>
      <c r="F6772" s="165"/>
    </row>
    <row r="6773" spans="1:6" x14ac:dyDescent="0.2">
      <c r="A6773" s="166"/>
      <c r="B6773" s="167"/>
      <c r="C6773" s="167"/>
      <c r="D6773" s="167"/>
      <c r="E6773" s="167"/>
      <c r="F6773" s="168"/>
    </row>
    <row r="6774" spans="1:6" x14ac:dyDescent="0.2">
      <c r="A6774" s="163"/>
      <c r="B6774" s="164"/>
      <c r="C6774" s="164"/>
      <c r="D6774" s="164"/>
      <c r="E6774" s="164"/>
      <c r="F6774" s="165"/>
    </row>
    <row r="6775" spans="1:6" x14ac:dyDescent="0.2">
      <c r="A6775" s="166"/>
      <c r="B6775" s="167"/>
      <c r="C6775" s="167"/>
      <c r="D6775" s="167"/>
      <c r="E6775" s="167"/>
      <c r="F6775" s="168"/>
    </row>
    <row r="6776" spans="1:6" x14ac:dyDescent="0.2">
      <c r="A6776" s="163"/>
      <c r="B6776" s="164"/>
      <c r="C6776" s="164"/>
      <c r="D6776" s="164"/>
      <c r="E6776" s="164"/>
      <c r="F6776" s="165"/>
    </row>
    <row r="6777" spans="1:6" x14ac:dyDescent="0.2">
      <c r="A6777" s="166"/>
      <c r="B6777" s="167"/>
      <c r="C6777" s="167"/>
      <c r="D6777" s="167"/>
      <c r="E6777" s="167"/>
      <c r="F6777" s="168"/>
    </row>
    <row r="6778" spans="1:6" x14ac:dyDescent="0.2">
      <c r="A6778" s="163"/>
      <c r="B6778" s="164"/>
      <c r="C6778" s="164"/>
      <c r="D6778" s="164"/>
      <c r="E6778" s="164"/>
      <c r="F6778" s="165"/>
    </row>
    <row r="6779" spans="1:6" x14ac:dyDescent="0.2">
      <c r="A6779" s="166"/>
      <c r="B6779" s="167"/>
      <c r="C6779" s="167"/>
      <c r="D6779" s="167"/>
      <c r="E6779" s="167"/>
      <c r="F6779" s="168"/>
    </row>
    <row r="6780" spans="1:6" x14ac:dyDescent="0.2">
      <c r="A6780" s="163"/>
      <c r="B6780" s="164"/>
      <c r="C6780" s="164"/>
      <c r="D6780" s="164"/>
      <c r="E6780" s="164"/>
      <c r="F6780" s="165"/>
    </row>
    <row r="6781" spans="1:6" x14ac:dyDescent="0.2">
      <c r="A6781" s="166"/>
      <c r="B6781" s="167"/>
      <c r="C6781" s="167"/>
      <c r="D6781" s="167"/>
      <c r="E6781" s="167"/>
      <c r="F6781" s="168"/>
    </row>
    <row r="6782" spans="1:6" x14ac:dyDescent="0.2">
      <c r="A6782" s="163"/>
      <c r="B6782" s="164"/>
      <c r="C6782" s="164"/>
      <c r="D6782" s="164"/>
      <c r="E6782" s="164"/>
      <c r="F6782" s="165"/>
    </row>
    <row r="6783" spans="1:6" x14ac:dyDescent="0.2">
      <c r="A6783" s="166"/>
      <c r="B6783" s="167"/>
      <c r="C6783" s="167"/>
      <c r="D6783" s="167"/>
      <c r="E6783" s="167"/>
      <c r="F6783" s="168"/>
    </row>
    <row r="6784" spans="1:6" x14ac:dyDescent="0.2">
      <c r="A6784" s="163"/>
      <c r="B6784" s="164"/>
      <c r="C6784" s="164"/>
      <c r="D6784" s="164"/>
      <c r="E6784" s="164"/>
      <c r="F6784" s="165"/>
    </row>
    <row r="6785" spans="1:6" x14ac:dyDescent="0.2">
      <c r="A6785" s="166"/>
      <c r="B6785" s="167"/>
      <c r="C6785" s="167"/>
      <c r="D6785" s="167"/>
      <c r="E6785" s="167"/>
      <c r="F6785" s="168"/>
    </row>
    <row r="6786" spans="1:6" x14ac:dyDescent="0.2">
      <c r="A6786" s="163"/>
      <c r="B6786" s="164"/>
      <c r="C6786" s="164"/>
      <c r="D6786" s="164"/>
      <c r="E6786" s="164"/>
      <c r="F6786" s="165"/>
    </row>
    <row r="6787" spans="1:6" x14ac:dyDescent="0.2">
      <c r="A6787" s="166"/>
      <c r="B6787" s="167"/>
      <c r="C6787" s="167"/>
      <c r="D6787" s="167"/>
      <c r="E6787" s="167"/>
      <c r="F6787" s="168"/>
    </row>
    <row r="6788" spans="1:6" x14ac:dyDescent="0.2">
      <c r="A6788" s="163"/>
      <c r="B6788" s="164"/>
      <c r="C6788" s="164"/>
      <c r="D6788" s="164"/>
      <c r="E6788" s="164"/>
      <c r="F6788" s="165"/>
    </row>
    <row r="6789" spans="1:6" x14ac:dyDescent="0.2">
      <c r="A6789" s="166"/>
      <c r="B6789" s="167"/>
      <c r="C6789" s="167"/>
      <c r="D6789" s="167"/>
      <c r="E6789" s="167"/>
      <c r="F6789" s="168"/>
    </row>
    <row r="6790" spans="1:6" x14ac:dyDescent="0.2">
      <c r="A6790" s="163"/>
      <c r="B6790" s="164"/>
      <c r="C6790" s="164"/>
      <c r="D6790" s="164"/>
      <c r="E6790" s="164"/>
      <c r="F6790" s="165"/>
    </row>
    <row r="6791" spans="1:6" x14ac:dyDescent="0.2">
      <c r="A6791" s="166"/>
      <c r="B6791" s="167"/>
      <c r="C6791" s="167"/>
      <c r="D6791" s="167"/>
      <c r="E6791" s="167"/>
      <c r="F6791" s="168"/>
    </row>
    <row r="6792" spans="1:6" x14ac:dyDescent="0.2">
      <c r="A6792" s="163"/>
      <c r="B6792" s="164"/>
      <c r="C6792" s="164"/>
      <c r="D6792" s="164"/>
      <c r="E6792" s="164"/>
      <c r="F6792" s="165"/>
    </row>
    <row r="6793" spans="1:6" x14ac:dyDescent="0.2">
      <c r="A6793" s="166"/>
      <c r="B6793" s="167"/>
      <c r="C6793" s="167"/>
      <c r="D6793" s="167"/>
      <c r="E6793" s="167"/>
      <c r="F6793" s="168"/>
    </row>
    <row r="6794" spans="1:6" x14ac:dyDescent="0.2">
      <c r="A6794" s="163"/>
      <c r="B6794" s="164"/>
      <c r="C6794" s="164"/>
      <c r="D6794" s="164"/>
      <c r="E6794" s="164"/>
      <c r="F6794" s="165"/>
    </row>
    <row r="6795" spans="1:6" x14ac:dyDescent="0.2">
      <c r="A6795" s="166"/>
      <c r="B6795" s="167"/>
      <c r="C6795" s="167"/>
      <c r="D6795" s="167"/>
      <c r="E6795" s="167"/>
      <c r="F6795" s="168"/>
    </row>
    <row r="6796" spans="1:6" x14ac:dyDescent="0.2">
      <c r="A6796" s="163"/>
      <c r="B6796" s="164"/>
      <c r="C6796" s="164"/>
      <c r="D6796" s="164"/>
      <c r="E6796" s="164"/>
      <c r="F6796" s="165"/>
    </row>
    <row r="6797" spans="1:6" x14ac:dyDescent="0.2">
      <c r="A6797" s="166"/>
      <c r="B6797" s="167"/>
      <c r="C6797" s="167"/>
      <c r="D6797" s="167"/>
      <c r="E6797" s="167"/>
      <c r="F6797" s="168"/>
    </row>
    <row r="6798" spans="1:6" x14ac:dyDescent="0.2">
      <c r="A6798" s="163"/>
      <c r="B6798" s="164"/>
      <c r="C6798" s="164"/>
      <c r="D6798" s="164"/>
      <c r="E6798" s="164"/>
      <c r="F6798" s="165"/>
    </row>
    <row r="6799" spans="1:6" x14ac:dyDescent="0.2">
      <c r="A6799" s="166"/>
      <c r="B6799" s="167"/>
      <c r="C6799" s="167"/>
      <c r="D6799" s="167"/>
      <c r="E6799" s="167"/>
      <c r="F6799" s="168"/>
    </row>
    <row r="6800" spans="1:6" x14ac:dyDescent="0.2">
      <c r="A6800" s="163"/>
      <c r="B6800" s="164"/>
      <c r="C6800" s="164"/>
      <c r="D6800" s="164"/>
      <c r="E6800" s="164"/>
      <c r="F6800" s="165"/>
    </row>
    <row r="6801" spans="1:6" x14ac:dyDescent="0.2">
      <c r="A6801" s="166"/>
      <c r="B6801" s="167"/>
      <c r="C6801" s="167"/>
      <c r="D6801" s="167"/>
      <c r="E6801" s="167"/>
      <c r="F6801" s="168"/>
    </row>
    <row r="6802" spans="1:6" x14ac:dyDescent="0.2">
      <c r="A6802" s="163"/>
      <c r="B6802" s="164"/>
      <c r="C6802" s="164"/>
      <c r="D6802" s="164"/>
      <c r="E6802" s="164"/>
      <c r="F6802" s="165"/>
    </row>
    <row r="6803" spans="1:6" x14ac:dyDescent="0.2">
      <c r="A6803" s="166"/>
      <c r="B6803" s="167"/>
      <c r="C6803" s="167"/>
      <c r="D6803" s="167"/>
      <c r="E6803" s="167"/>
      <c r="F6803" s="168"/>
    </row>
    <row r="6804" spans="1:6" x14ac:dyDescent="0.2">
      <c r="A6804" s="163"/>
      <c r="B6804" s="164"/>
      <c r="C6804" s="164"/>
      <c r="D6804" s="164"/>
      <c r="E6804" s="164"/>
      <c r="F6804" s="165"/>
    </row>
    <row r="6805" spans="1:6" x14ac:dyDescent="0.2">
      <c r="A6805" s="166"/>
      <c r="B6805" s="167"/>
      <c r="C6805" s="167"/>
      <c r="D6805" s="167"/>
      <c r="E6805" s="167"/>
      <c r="F6805" s="168"/>
    </row>
    <row r="6806" spans="1:6" x14ac:dyDescent="0.2">
      <c r="A6806" s="163"/>
      <c r="B6806" s="164"/>
      <c r="C6806" s="164"/>
      <c r="D6806" s="164"/>
      <c r="E6806" s="164"/>
      <c r="F6806" s="165"/>
    </row>
    <row r="6807" spans="1:6" x14ac:dyDescent="0.2">
      <c r="A6807" s="166"/>
      <c r="B6807" s="167"/>
      <c r="C6807" s="167"/>
      <c r="D6807" s="167"/>
      <c r="E6807" s="167"/>
      <c r="F6807" s="168"/>
    </row>
    <row r="6808" spans="1:6" x14ac:dyDescent="0.2">
      <c r="A6808" s="163"/>
      <c r="B6808" s="164"/>
      <c r="C6808" s="164"/>
      <c r="D6808" s="164"/>
      <c r="E6808" s="164"/>
      <c r="F6808" s="165"/>
    </row>
    <row r="6809" spans="1:6" x14ac:dyDescent="0.2">
      <c r="A6809" s="166"/>
      <c r="B6809" s="167"/>
      <c r="C6809" s="167"/>
      <c r="D6809" s="167"/>
      <c r="E6809" s="167"/>
      <c r="F6809" s="168"/>
    </row>
    <row r="6810" spans="1:6" x14ac:dyDescent="0.2">
      <c r="A6810" s="163"/>
      <c r="B6810" s="164"/>
      <c r="C6810" s="164"/>
      <c r="D6810" s="164"/>
      <c r="E6810" s="164"/>
      <c r="F6810" s="165"/>
    </row>
    <row r="6811" spans="1:6" x14ac:dyDescent="0.2">
      <c r="A6811" s="166"/>
      <c r="B6811" s="167"/>
      <c r="C6811" s="167"/>
      <c r="D6811" s="167"/>
      <c r="E6811" s="167"/>
      <c r="F6811" s="168"/>
    </row>
    <row r="6812" spans="1:6" x14ac:dyDescent="0.2">
      <c r="A6812" s="163"/>
      <c r="B6812" s="164"/>
      <c r="C6812" s="164"/>
      <c r="D6812" s="164"/>
      <c r="E6812" s="164"/>
      <c r="F6812" s="165"/>
    </row>
    <row r="6813" spans="1:6" x14ac:dyDescent="0.2">
      <c r="A6813" s="166"/>
      <c r="B6813" s="167"/>
      <c r="C6813" s="167"/>
      <c r="D6813" s="167"/>
      <c r="E6813" s="167"/>
      <c r="F6813" s="168"/>
    </row>
    <row r="6814" spans="1:6" x14ac:dyDescent="0.2">
      <c r="A6814" s="163"/>
      <c r="B6814" s="164"/>
      <c r="C6814" s="164"/>
      <c r="D6814" s="164"/>
      <c r="E6814" s="164"/>
      <c r="F6814" s="165"/>
    </row>
    <row r="6815" spans="1:6" x14ac:dyDescent="0.2">
      <c r="A6815" s="166"/>
      <c r="B6815" s="167"/>
      <c r="C6815" s="167"/>
      <c r="D6815" s="167"/>
      <c r="E6815" s="167"/>
      <c r="F6815" s="168"/>
    </row>
    <row r="6816" spans="1:6" x14ac:dyDescent="0.2">
      <c r="A6816" s="163"/>
      <c r="B6816" s="164"/>
      <c r="C6816" s="164"/>
      <c r="D6816" s="164"/>
      <c r="E6816" s="164"/>
      <c r="F6816" s="165"/>
    </row>
    <row r="6817" spans="1:6" x14ac:dyDescent="0.2">
      <c r="A6817" s="166"/>
      <c r="B6817" s="167"/>
      <c r="C6817" s="167"/>
      <c r="D6817" s="167"/>
      <c r="E6817" s="167"/>
      <c r="F6817" s="168"/>
    </row>
    <row r="6818" spans="1:6" x14ac:dyDescent="0.2">
      <c r="A6818" s="163"/>
      <c r="B6818" s="164"/>
      <c r="C6818" s="164"/>
      <c r="D6818" s="164"/>
      <c r="E6818" s="164"/>
      <c r="F6818" s="165"/>
    </row>
    <row r="6819" spans="1:6" x14ac:dyDescent="0.2">
      <c r="A6819" s="166"/>
      <c r="B6819" s="167"/>
      <c r="C6819" s="167"/>
      <c r="D6819" s="167"/>
      <c r="E6819" s="167"/>
      <c r="F6819" s="168"/>
    </row>
    <row r="6820" spans="1:6" x14ac:dyDescent="0.2">
      <c r="A6820" s="163"/>
      <c r="B6820" s="164"/>
      <c r="C6820" s="164"/>
      <c r="D6820" s="164"/>
      <c r="E6820" s="164"/>
      <c r="F6820" s="165"/>
    </row>
    <row r="6821" spans="1:6" x14ac:dyDescent="0.2">
      <c r="A6821" s="166"/>
      <c r="B6821" s="167"/>
      <c r="C6821" s="167"/>
      <c r="D6821" s="167"/>
      <c r="E6821" s="167"/>
      <c r="F6821" s="168"/>
    </row>
    <row r="6822" spans="1:6" x14ac:dyDescent="0.2">
      <c r="A6822" s="163"/>
      <c r="B6822" s="164"/>
      <c r="C6822" s="164"/>
      <c r="D6822" s="164"/>
      <c r="E6822" s="164"/>
      <c r="F6822" s="165"/>
    </row>
    <row r="6823" spans="1:6" x14ac:dyDescent="0.2">
      <c r="A6823" s="166"/>
      <c r="B6823" s="167"/>
      <c r="C6823" s="167"/>
      <c r="D6823" s="167"/>
      <c r="E6823" s="167"/>
      <c r="F6823" s="168"/>
    </row>
    <row r="6824" spans="1:6" x14ac:dyDescent="0.2">
      <c r="A6824" s="163"/>
      <c r="B6824" s="164"/>
      <c r="C6824" s="164"/>
      <c r="D6824" s="164"/>
      <c r="E6824" s="164"/>
      <c r="F6824" s="165"/>
    </row>
    <row r="6825" spans="1:6" x14ac:dyDescent="0.2">
      <c r="A6825" s="166"/>
      <c r="B6825" s="167"/>
      <c r="C6825" s="167"/>
      <c r="D6825" s="167"/>
      <c r="E6825" s="167"/>
      <c r="F6825" s="168"/>
    </row>
    <row r="6826" spans="1:6" x14ac:dyDescent="0.2">
      <c r="A6826" s="163"/>
      <c r="B6826" s="164"/>
      <c r="C6826" s="164"/>
      <c r="D6826" s="164"/>
      <c r="E6826" s="164"/>
      <c r="F6826" s="165"/>
    </row>
    <row r="6827" spans="1:6" x14ac:dyDescent="0.2">
      <c r="A6827" s="166"/>
      <c r="B6827" s="167"/>
      <c r="C6827" s="167"/>
      <c r="D6827" s="167"/>
      <c r="E6827" s="167"/>
      <c r="F6827" s="168"/>
    </row>
    <row r="6828" spans="1:6" x14ac:dyDescent="0.2">
      <c r="A6828" s="163"/>
      <c r="B6828" s="164"/>
      <c r="C6828" s="164"/>
      <c r="D6828" s="164"/>
      <c r="E6828" s="164"/>
      <c r="F6828" s="165"/>
    </row>
    <row r="6829" spans="1:6" x14ac:dyDescent="0.2">
      <c r="A6829" s="166"/>
      <c r="B6829" s="167"/>
      <c r="C6829" s="167"/>
      <c r="D6829" s="167"/>
      <c r="E6829" s="167"/>
      <c r="F6829" s="168"/>
    </row>
    <row r="6830" spans="1:6" x14ac:dyDescent="0.2">
      <c r="A6830" s="163"/>
      <c r="B6830" s="164"/>
      <c r="C6830" s="164"/>
      <c r="D6830" s="164"/>
      <c r="E6830" s="164"/>
      <c r="F6830" s="165"/>
    </row>
    <row r="6831" spans="1:6" x14ac:dyDescent="0.2">
      <c r="A6831" s="166"/>
      <c r="B6831" s="167"/>
      <c r="C6831" s="167"/>
      <c r="D6831" s="167"/>
      <c r="E6831" s="167"/>
      <c r="F6831" s="168"/>
    </row>
    <row r="6832" spans="1:6" x14ac:dyDescent="0.2">
      <c r="A6832" s="163"/>
      <c r="B6832" s="164"/>
      <c r="C6832" s="164"/>
      <c r="D6832" s="164"/>
      <c r="E6832" s="164"/>
      <c r="F6832" s="165"/>
    </row>
    <row r="6833" spans="1:6" x14ac:dyDescent="0.2">
      <c r="A6833" s="166"/>
      <c r="B6833" s="167"/>
      <c r="C6833" s="167"/>
      <c r="D6833" s="167"/>
      <c r="E6833" s="167"/>
      <c r="F6833" s="168"/>
    </row>
    <row r="6834" spans="1:6" x14ac:dyDescent="0.2">
      <c r="A6834" s="163"/>
      <c r="B6834" s="164"/>
      <c r="C6834" s="164"/>
      <c r="D6834" s="164"/>
      <c r="E6834" s="164"/>
      <c r="F6834" s="165"/>
    </row>
    <row r="6835" spans="1:6" x14ac:dyDescent="0.2">
      <c r="A6835" s="166"/>
      <c r="B6835" s="167"/>
      <c r="C6835" s="167"/>
      <c r="D6835" s="167"/>
      <c r="E6835" s="167"/>
      <c r="F6835" s="168"/>
    </row>
    <row r="6836" spans="1:6" x14ac:dyDescent="0.2">
      <c r="A6836" s="163"/>
      <c r="B6836" s="164"/>
      <c r="C6836" s="164"/>
      <c r="D6836" s="164"/>
      <c r="E6836" s="164"/>
      <c r="F6836" s="165"/>
    </row>
    <row r="6837" spans="1:6" x14ac:dyDescent="0.2">
      <c r="A6837" s="166"/>
      <c r="B6837" s="167"/>
      <c r="C6837" s="167"/>
      <c r="D6837" s="167"/>
      <c r="E6837" s="167"/>
      <c r="F6837" s="168"/>
    </row>
    <row r="6838" spans="1:6" x14ac:dyDescent="0.2">
      <c r="A6838" s="163"/>
      <c r="B6838" s="164"/>
      <c r="C6838" s="164"/>
      <c r="D6838" s="164"/>
      <c r="E6838" s="164"/>
      <c r="F6838" s="165"/>
    </row>
    <row r="6839" spans="1:6" x14ac:dyDescent="0.2">
      <c r="A6839" s="166"/>
      <c r="B6839" s="167"/>
      <c r="C6839" s="167"/>
      <c r="D6839" s="167"/>
      <c r="E6839" s="167"/>
      <c r="F6839" s="168"/>
    </row>
    <row r="6840" spans="1:6" x14ac:dyDescent="0.2">
      <c r="A6840" s="163"/>
      <c r="B6840" s="164"/>
      <c r="C6840" s="164"/>
      <c r="D6840" s="164"/>
      <c r="E6840" s="164"/>
      <c r="F6840" s="165"/>
    </row>
    <row r="6841" spans="1:6" x14ac:dyDescent="0.2">
      <c r="A6841" s="166"/>
      <c r="B6841" s="167"/>
      <c r="C6841" s="167"/>
      <c r="D6841" s="167"/>
      <c r="E6841" s="167"/>
      <c r="F6841" s="168"/>
    </row>
    <row r="6842" spans="1:6" x14ac:dyDescent="0.2">
      <c r="A6842" s="163"/>
      <c r="B6842" s="164"/>
      <c r="C6842" s="164"/>
      <c r="D6842" s="164"/>
      <c r="E6842" s="164"/>
      <c r="F6842" s="165"/>
    </row>
    <row r="6843" spans="1:6" x14ac:dyDescent="0.2">
      <c r="A6843" s="166"/>
      <c r="B6843" s="167"/>
      <c r="C6843" s="167"/>
      <c r="D6843" s="167"/>
      <c r="E6843" s="167"/>
      <c r="F6843" s="168"/>
    </row>
    <row r="6844" spans="1:6" x14ac:dyDescent="0.2">
      <c r="A6844" s="163"/>
      <c r="B6844" s="164"/>
      <c r="C6844" s="164"/>
      <c r="D6844" s="164"/>
      <c r="E6844" s="164"/>
      <c r="F6844" s="165"/>
    </row>
    <row r="6845" spans="1:6" x14ac:dyDescent="0.2">
      <c r="A6845" s="166"/>
      <c r="B6845" s="167"/>
      <c r="C6845" s="167"/>
      <c r="D6845" s="167"/>
      <c r="E6845" s="167"/>
      <c r="F6845" s="168"/>
    </row>
    <row r="6846" spans="1:6" x14ac:dyDescent="0.2">
      <c r="A6846" s="163"/>
      <c r="B6846" s="164"/>
      <c r="C6846" s="164"/>
      <c r="D6846" s="164"/>
      <c r="E6846" s="164"/>
      <c r="F6846" s="165"/>
    </row>
    <row r="6847" spans="1:6" x14ac:dyDescent="0.2">
      <c r="A6847" s="166"/>
      <c r="B6847" s="167"/>
      <c r="C6847" s="167"/>
      <c r="D6847" s="167"/>
      <c r="E6847" s="167"/>
      <c r="F6847" s="168"/>
    </row>
    <row r="6848" spans="1:6" x14ac:dyDescent="0.2">
      <c r="A6848" s="163"/>
      <c r="B6848" s="164"/>
      <c r="C6848" s="164"/>
      <c r="D6848" s="164"/>
      <c r="E6848" s="164"/>
      <c r="F6848" s="165"/>
    </row>
    <row r="6849" spans="1:6" x14ac:dyDescent="0.2">
      <c r="A6849" s="166"/>
      <c r="B6849" s="167"/>
      <c r="C6849" s="167"/>
      <c r="D6849" s="167"/>
      <c r="E6849" s="167"/>
      <c r="F6849" s="168"/>
    </row>
    <row r="6850" spans="1:6" x14ac:dyDescent="0.2">
      <c r="A6850" s="163"/>
      <c r="B6850" s="164"/>
      <c r="C6850" s="164"/>
      <c r="D6850" s="164"/>
      <c r="E6850" s="164"/>
      <c r="F6850" s="165"/>
    </row>
    <row r="6851" spans="1:6" x14ac:dyDescent="0.2">
      <c r="A6851" s="166"/>
      <c r="B6851" s="167"/>
      <c r="C6851" s="167"/>
      <c r="D6851" s="167"/>
      <c r="E6851" s="167"/>
      <c r="F6851" s="168"/>
    </row>
    <row r="6852" spans="1:6" x14ac:dyDescent="0.2">
      <c r="A6852" s="163"/>
      <c r="B6852" s="164"/>
      <c r="C6852" s="164"/>
      <c r="D6852" s="164"/>
      <c r="E6852" s="164"/>
      <c r="F6852" s="165"/>
    </row>
    <row r="6853" spans="1:6" x14ac:dyDescent="0.2">
      <c r="A6853" s="166"/>
      <c r="B6853" s="167"/>
      <c r="C6853" s="167"/>
      <c r="D6853" s="167"/>
      <c r="E6853" s="167"/>
      <c r="F6853" s="168"/>
    </row>
    <row r="6854" spans="1:6" x14ac:dyDescent="0.2">
      <c r="A6854" s="163"/>
      <c r="B6854" s="164"/>
      <c r="C6854" s="164"/>
      <c r="D6854" s="164"/>
      <c r="E6854" s="164"/>
      <c r="F6854" s="165"/>
    </row>
    <row r="6855" spans="1:6" x14ac:dyDescent="0.2">
      <c r="A6855" s="166"/>
      <c r="B6855" s="167"/>
      <c r="C6855" s="167"/>
      <c r="D6855" s="167"/>
      <c r="E6855" s="167"/>
      <c r="F6855" s="168"/>
    </row>
    <row r="6856" spans="1:6" x14ac:dyDescent="0.2">
      <c r="A6856" s="163"/>
      <c r="B6856" s="164"/>
      <c r="C6856" s="164"/>
      <c r="D6856" s="164"/>
      <c r="E6856" s="164"/>
      <c r="F6856" s="165"/>
    </row>
    <row r="6857" spans="1:6" x14ac:dyDescent="0.2">
      <c r="A6857" s="166"/>
      <c r="B6857" s="167"/>
      <c r="C6857" s="167"/>
      <c r="D6857" s="167"/>
      <c r="E6857" s="167"/>
      <c r="F6857" s="168"/>
    </row>
    <row r="6858" spans="1:6" x14ac:dyDescent="0.2">
      <c r="A6858" s="163"/>
      <c r="B6858" s="164"/>
      <c r="C6858" s="164"/>
      <c r="D6858" s="164"/>
      <c r="E6858" s="164"/>
      <c r="F6858" s="165"/>
    </row>
    <row r="6859" spans="1:6" x14ac:dyDescent="0.2">
      <c r="A6859" s="166"/>
      <c r="B6859" s="167"/>
      <c r="C6859" s="167"/>
      <c r="D6859" s="167"/>
      <c r="E6859" s="167"/>
      <c r="F6859" s="168"/>
    </row>
    <row r="6860" spans="1:6" x14ac:dyDescent="0.2">
      <c r="A6860" s="163"/>
      <c r="B6860" s="164"/>
      <c r="C6860" s="164"/>
      <c r="D6860" s="164"/>
      <c r="E6860" s="164"/>
      <c r="F6860" s="165"/>
    </row>
    <row r="6861" spans="1:6" x14ac:dyDescent="0.2">
      <c r="A6861" s="166"/>
      <c r="B6861" s="167"/>
      <c r="C6861" s="167"/>
      <c r="D6861" s="167"/>
      <c r="E6861" s="167"/>
      <c r="F6861" s="168"/>
    </row>
    <row r="6862" spans="1:6" x14ac:dyDescent="0.2">
      <c r="A6862" s="163"/>
      <c r="B6862" s="164"/>
      <c r="C6862" s="164"/>
      <c r="D6862" s="164"/>
      <c r="E6862" s="164"/>
      <c r="F6862" s="165"/>
    </row>
    <row r="6863" spans="1:6" x14ac:dyDescent="0.2">
      <c r="A6863" s="166"/>
      <c r="B6863" s="167"/>
      <c r="C6863" s="167"/>
      <c r="D6863" s="167"/>
      <c r="E6863" s="167"/>
      <c r="F6863" s="168"/>
    </row>
    <row r="6864" spans="1:6" x14ac:dyDescent="0.2">
      <c r="A6864" s="163"/>
      <c r="B6864" s="164"/>
      <c r="C6864" s="164"/>
      <c r="D6864" s="164"/>
      <c r="E6864" s="164"/>
      <c r="F6864" s="165"/>
    </row>
    <row r="6865" spans="1:6" x14ac:dyDescent="0.2">
      <c r="A6865" s="166"/>
      <c r="B6865" s="167"/>
      <c r="C6865" s="167"/>
      <c r="D6865" s="167"/>
      <c r="E6865" s="167"/>
      <c r="F6865" s="168"/>
    </row>
    <row r="6866" spans="1:6" x14ac:dyDescent="0.2">
      <c r="A6866" s="163"/>
      <c r="B6866" s="164"/>
      <c r="C6866" s="164"/>
      <c r="D6866" s="164"/>
      <c r="E6866" s="164"/>
      <c r="F6866" s="165"/>
    </row>
    <row r="6867" spans="1:6" x14ac:dyDescent="0.2">
      <c r="A6867" s="166"/>
      <c r="B6867" s="167"/>
      <c r="C6867" s="167"/>
      <c r="D6867" s="167"/>
      <c r="E6867" s="167"/>
      <c r="F6867" s="168"/>
    </row>
    <row r="6868" spans="1:6" x14ac:dyDescent="0.2">
      <c r="A6868" s="163"/>
      <c r="B6868" s="164"/>
      <c r="C6868" s="164"/>
      <c r="D6868" s="164"/>
      <c r="E6868" s="164"/>
      <c r="F6868" s="165"/>
    </row>
    <row r="6869" spans="1:6" x14ac:dyDescent="0.2">
      <c r="A6869" s="166"/>
      <c r="B6869" s="167"/>
      <c r="C6869" s="167"/>
      <c r="D6869" s="167"/>
      <c r="E6869" s="167"/>
      <c r="F6869" s="168"/>
    </row>
    <row r="6870" spans="1:6" x14ac:dyDescent="0.2">
      <c r="A6870" s="163"/>
      <c r="B6870" s="164"/>
      <c r="C6870" s="164"/>
      <c r="D6870" s="164"/>
      <c r="E6870" s="164"/>
      <c r="F6870" s="165"/>
    </row>
    <row r="6871" spans="1:6" x14ac:dyDescent="0.2">
      <c r="A6871" s="166"/>
      <c r="B6871" s="167"/>
      <c r="C6871" s="167"/>
      <c r="D6871" s="167"/>
      <c r="E6871" s="167"/>
      <c r="F6871" s="168"/>
    </row>
    <row r="6872" spans="1:6" x14ac:dyDescent="0.2">
      <c r="A6872" s="163"/>
      <c r="B6872" s="164"/>
      <c r="C6872" s="164"/>
      <c r="D6872" s="164"/>
      <c r="E6872" s="164"/>
      <c r="F6872" s="165"/>
    </row>
    <row r="6873" spans="1:6" x14ac:dyDescent="0.2">
      <c r="A6873" s="166"/>
      <c r="B6873" s="167"/>
      <c r="C6873" s="167"/>
      <c r="D6873" s="167"/>
      <c r="E6873" s="167"/>
      <c r="F6873" s="168"/>
    </row>
    <row r="6874" spans="1:6" x14ac:dyDescent="0.2">
      <c r="A6874" s="163"/>
      <c r="B6874" s="164"/>
      <c r="C6874" s="164"/>
      <c r="D6874" s="164"/>
      <c r="E6874" s="164"/>
      <c r="F6874" s="165"/>
    </row>
    <row r="6875" spans="1:6" x14ac:dyDescent="0.2">
      <c r="A6875" s="166"/>
      <c r="B6875" s="167"/>
      <c r="C6875" s="167"/>
      <c r="D6875" s="167"/>
      <c r="E6875" s="167"/>
      <c r="F6875" s="168"/>
    </row>
    <row r="6876" spans="1:6" x14ac:dyDescent="0.2">
      <c r="A6876" s="163"/>
      <c r="B6876" s="164"/>
      <c r="C6876" s="164"/>
      <c r="D6876" s="164"/>
      <c r="E6876" s="164"/>
      <c r="F6876" s="165"/>
    </row>
    <row r="6877" spans="1:6" x14ac:dyDescent="0.2">
      <c r="A6877" s="166"/>
      <c r="B6877" s="167"/>
      <c r="C6877" s="167"/>
      <c r="D6877" s="167"/>
      <c r="E6877" s="167"/>
      <c r="F6877" s="168"/>
    </row>
    <row r="6878" spans="1:6" x14ac:dyDescent="0.2">
      <c r="A6878" s="163"/>
      <c r="B6878" s="164"/>
      <c r="C6878" s="164"/>
      <c r="D6878" s="164"/>
      <c r="E6878" s="164"/>
      <c r="F6878" s="165"/>
    </row>
    <row r="6879" spans="1:6" x14ac:dyDescent="0.2">
      <c r="A6879" s="166"/>
      <c r="B6879" s="167"/>
      <c r="C6879" s="167"/>
      <c r="D6879" s="167"/>
      <c r="E6879" s="167"/>
      <c r="F6879" s="168"/>
    </row>
    <row r="6880" spans="1:6" x14ac:dyDescent="0.2">
      <c r="A6880" s="163"/>
      <c r="B6880" s="164"/>
      <c r="C6880" s="164"/>
      <c r="D6880" s="164"/>
      <c r="E6880" s="164"/>
      <c r="F6880" s="165"/>
    </row>
    <row r="6881" spans="1:6" x14ac:dyDescent="0.2">
      <c r="A6881" s="166"/>
      <c r="B6881" s="167"/>
      <c r="C6881" s="167"/>
      <c r="D6881" s="167"/>
      <c r="E6881" s="167"/>
      <c r="F6881" s="168"/>
    </row>
    <row r="6882" spans="1:6" x14ac:dyDescent="0.2">
      <c r="A6882" s="163"/>
      <c r="B6882" s="164"/>
      <c r="C6882" s="164"/>
      <c r="D6882" s="164"/>
      <c r="E6882" s="164"/>
      <c r="F6882" s="165"/>
    </row>
    <row r="6883" spans="1:6" x14ac:dyDescent="0.2">
      <c r="A6883" s="166"/>
      <c r="B6883" s="167"/>
      <c r="C6883" s="167"/>
      <c r="D6883" s="167"/>
      <c r="E6883" s="167"/>
      <c r="F6883" s="168"/>
    </row>
    <row r="6884" spans="1:6" x14ac:dyDescent="0.2">
      <c r="A6884" s="163"/>
      <c r="B6884" s="164"/>
      <c r="C6884" s="164"/>
      <c r="D6884" s="164"/>
      <c r="E6884" s="164"/>
      <c r="F6884" s="165"/>
    </row>
    <row r="6885" spans="1:6" x14ac:dyDescent="0.2">
      <c r="A6885" s="166"/>
      <c r="B6885" s="167"/>
      <c r="C6885" s="167"/>
      <c r="D6885" s="167"/>
      <c r="E6885" s="167"/>
      <c r="F6885" s="168"/>
    </row>
    <row r="6886" spans="1:6" x14ac:dyDescent="0.2">
      <c r="A6886" s="163"/>
      <c r="B6886" s="164"/>
      <c r="C6886" s="164"/>
      <c r="D6886" s="164"/>
      <c r="E6886" s="164"/>
      <c r="F6886" s="165"/>
    </row>
    <row r="6887" spans="1:6" x14ac:dyDescent="0.2">
      <c r="A6887" s="166"/>
      <c r="B6887" s="167"/>
      <c r="C6887" s="167"/>
      <c r="D6887" s="167"/>
      <c r="E6887" s="167"/>
      <c r="F6887" s="168"/>
    </row>
    <row r="6888" spans="1:6" x14ac:dyDescent="0.2">
      <c r="A6888" s="163"/>
      <c r="B6888" s="164"/>
      <c r="C6888" s="164"/>
      <c r="D6888" s="164"/>
      <c r="E6888" s="164"/>
      <c r="F6888" s="165"/>
    </row>
    <row r="6889" spans="1:6" x14ac:dyDescent="0.2">
      <c r="A6889" s="166"/>
      <c r="B6889" s="167"/>
      <c r="C6889" s="167"/>
      <c r="D6889" s="167"/>
      <c r="E6889" s="167"/>
      <c r="F6889" s="168"/>
    </row>
    <row r="6890" spans="1:6" x14ac:dyDescent="0.2">
      <c r="A6890" s="163"/>
      <c r="B6890" s="164"/>
      <c r="C6890" s="164"/>
      <c r="D6890" s="164"/>
      <c r="E6890" s="164"/>
      <c r="F6890" s="165"/>
    </row>
    <row r="6891" spans="1:6" x14ac:dyDescent="0.2">
      <c r="A6891" s="166"/>
      <c r="B6891" s="167"/>
      <c r="C6891" s="167"/>
      <c r="D6891" s="167"/>
      <c r="E6891" s="167"/>
      <c r="F6891" s="168"/>
    </row>
    <row r="6892" spans="1:6" x14ac:dyDescent="0.2">
      <c r="A6892" s="163"/>
      <c r="B6892" s="164"/>
      <c r="C6892" s="164"/>
      <c r="D6892" s="164"/>
      <c r="E6892" s="164"/>
      <c r="F6892" s="165"/>
    </row>
    <row r="6893" spans="1:6" x14ac:dyDescent="0.2">
      <c r="A6893" s="166"/>
      <c r="B6893" s="167"/>
      <c r="C6893" s="167"/>
      <c r="D6893" s="167"/>
      <c r="E6893" s="167"/>
      <c r="F6893" s="168"/>
    </row>
    <row r="6894" spans="1:6" x14ac:dyDescent="0.2">
      <c r="A6894" s="163"/>
      <c r="B6894" s="164"/>
      <c r="C6894" s="164"/>
      <c r="D6894" s="164"/>
      <c r="E6894" s="164"/>
      <c r="F6894" s="165"/>
    </row>
    <row r="6895" spans="1:6" x14ac:dyDescent="0.2">
      <c r="A6895" s="166"/>
      <c r="B6895" s="167"/>
      <c r="C6895" s="167"/>
      <c r="D6895" s="167"/>
      <c r="E6895" s="167"/>
      <c r="F6895" s="168"/>
    </row>
    <row r="6896" spans="1:6" x14ac:dyDescent="0.2">
      <c r="A6896" s="163"/>
      <c r="B6896" s="164"/>
      <c r="C6896" s="164"/>
      <c r="D6896" s="164"/>
      <c r="E6896" s="164"/>
      <c r="F6896" s="165"/>
    </row>
    <row r="6897" spans="1:6" x14ac:dyDescent="0.2">
      <c r="A6897" s="166"/>
      <c r="B6897" s="167"/>
      <c r="C6897" s="167"/>
      <c r="D6897" s="167"/>
      <c r="E6897" s="167"/>
      <c r="F6897" s="168"/>
    </row>
    <row r="6898" spans="1:6" x14ac:dyDescent="0.2">
      <c r="A6898" s="163"/>
      <c r="B6898" s="164"/>
      <c r="C6898" s="164"/>
      <c r="D6898" s="164"/>
      <c r="E6898" s="164"/>
      <c r="F6898" s="165"/>
    </row>
    <row r="6899" spans="1:6" x14ac:dyDescent="0.2">
      <c r="A6899" s="166"/>
      <c r="B6899" s="167"/>
      <c r="C6899" s="167"/>
      <c r="D6899" s="167"/>
      <c r="E6899" s="167"/>
      <c r="F6899" s="168"/>
    </row>
    <row r="6900" spans="1:6" x14ac:dyDescent="0.2">
      <c r="A6900" s="163"/>
      <c r="B6900" s="164"/>
      <c r="C6900" s="164"/>
      <c r="D6900" s="164"/>
      <c r="E6900" s="164"/>
      <c r="F6900" s="165"/>
    </row>
    <row r="6901" spans="1:6" x14ac:dyDescent="0.2">
      <c r="A6901" s="166"/>
      <c r="B6901" s="167"/>
      <c r="C6901" s="167"/>
      <c r="D6901" s="167"/>
      <c r="E6901" s="167"/>
      <c r="F6901" s="168"/>
    </row>
    <row r="6902" spans="1:6" x14ac:dyDescent="0.2">
      <c r="A6902" s="163"/>
      <c r="B6902" s="164"/>
      <c r="C6902" s="164"/>
      <c r="D6902" s="164"/>
      <c r="E6902" s="164"/>
      <c r="F6902" s="165"/>
    </row>
    <row r="6903" spans="1:6" x14ac:dyDescent="0.2">
      <c r="A6903" s="166"/>
      <c r="B6903" s="167"/>
      <c r="C6903" s="167"/>
      <c r="D6903" s="167"/>
      <c r="E6903" s="167"/>
      <c r="F6903" s="168"/>
    </row>
    <row r="6904" spans="1:6" x14ac:dyDescent="0.2">
      <c r="A6904" s="163"/>
      <c r="B6904" s="164"/>
      <c r="C6904" s="164"/>
      <c r="D6904" s="164"/>
      <c r="E6904" s="164"/>
      <c r="F6904" s="165"/>
    </row>
    <row r="6905" spans="1:6" x14ac:dyDescent="0.2">
      <c r="A6905" s="166"/>
      <c r="B6905" s="167"/>
      <c r="C6905" s="167"/>
      <c r="D6905" s="167"/>
      <c r="E6905" s="167"/>
      <c r="F6905" s="168"/>
    </row>
    <row r="6906" spans="1:6" x14ac:dyDescent="0.2">
      <c r="A6906" s="163"/>
      <c r="B6906" s="164"/>
      <c r="C6906" s="164"/>
      <c r="D6906" s="164"/>
      <c r="E6906" s="164"/>
      <c r="F6906" s="165"/>
    </row>
    <row r="6907" spans="1:6" x14ac:dyDescent="0.2">
      <c r="A6907" s="166"/>
      <c r="B6907" s="167"/>
      <c r="C6907" s="167"/>
      <c r="D6907" s="167"/>
      <c r="E6907" s="167"/>
      <c r="F6907" s="168"/>
    </row>
    <row r="6908" spans="1:6" x14ac:dyDescent="0.2">
      <c r="A6908" s="163"/>
      <c r="B6908" s="164"/>
      <c r="C6908" s="164"/>
      <c r="D6908" s="164"/>
      <c r="E6908" s="164"/>
      <c r="F6908" s="165"/>
    </row>
    <row r="6909" spans="1:6" x14ac:dyDescent="0.2">
      <c r="A6909" s="166"/>
      <c r="B6909" s="167"/>
      <c r="C6909" s="167"/>
      <c r="D6909" s="167"/>
      <c r="E6909" s="167"/>
      <c r="F6909" s="168"/>
    </row>
    <row r="6910" spans="1:6" x14ac:dyDescent="0.2">
      <c r="A6910" s="163"/>
      <c r="B6910" s="164"/>
      <c r="C6910" s="164"/>
      <c r="D6910" s="164"/>
      <c r="E6910" s="164"/>
      <c r="F6910" s="165"/>
    </row>
    <row r="6911" spans="1:6" x14ac:dyDescent="0.2">
      <c r="A6911" s="166"/>
      <c r="B6911" s="167"/>
      <c r="C6911" s="167"/>
      <c r="D6911" s="167"/>
      <c r="E6911" s="167"/>
      <c r="F6911" s="168"/>
    </row>
    <row r="6912" spans="1:6" x14ac:dyDescent="0.2">
      <c r="A6912" s="163"/>
      <c r="B6912" s="164"/>
      <c r="C6912" s="164"/>
      <c r="D6912" s="164"/>
      <c r="E6912" s="164"/>
      <c r="F6912" s="165"/>
    </row>
    <row r="6913" spans="1:6" x14ac:dyDescent="0.2">
      <c r="A6913" s="166"/>
      <c r="B6913" s="167"/>
      <c r="C6913" s="167"/>
      <c r="D6913" s="167"/>
      <c r="E6913" s="167"/>
      <c r="F6913" s="168"/>
    </row>
    <row r="6914" spans="1:6" x14ac:dyDescent="0.2">
      <c r="A6914" s="163"/>
      <c r="B6914" s="164"/>
      <c r="C6914" s="164"/>
      <c r="D6914" s="164"/>
      <c r="E6914" s="164"/>
      <c r="F6914" s="165"/>
    </row>
    <row r="6915" spans="1:6" x14ac:dyDescent="0.2">
      <c r="A6915" s="166"/>
      <c r="B6915" s="167"/>
      <c r="C6915" s="167"/>
      <c r="D6915" s="167"/>
      <c r="E6915" s="167"/>
      <c r="F6915" s="168"/>
    </row>
    <row r="6916" spans="1:6" x14ac:dyDescent="0.2">
      <c r="A6916" s="163"/>
      <c r="B6916" s="164"/>
      <c r="C6916" s="164"/>
      <c r="D6916" s="164"/>
      <c r="E6916" s="164"/>
      <c r="F6916" s="165"/>
    </row>
    <row r="6917" spans="1:6" x14ac:dyDescent="0.2">
      <c r="A6917" s="166"/>
      <c r="B6917" s="167"/>
      <c r="C6917" s="167"/>
      <c r="D6917" s="167"/>
      <c r="E6917" s="167"/>
      <c r="F6917" s="168"/>
    </row>
    <row r="6918" spans="1:6" x14ac:dyDescent="0.2">
      <c r="A6918" s="163"/>
      <c r="B6918" s="164"/>
      <c r="C6918" s="164"/>
      <c r="D6918" s="164"/>
      <c r="E6918" s="164"/>
      <c r="F6918" s="165"/>
    </row>
    <row r="6919" spans="1:6" x14ac:dyDescent="0.2">
      <c r="A6919" s="166"/>
      <c r="B6919" s="167"/>
      <c r="C6919" s="167"/>
      <c r="D6919" s="167"/>
      <c r="E6919" s="167"/>
      <c r="F6919" s="168"/>
    </row>
    <row r="6920" spans="1:6" x14ac:dyDescent="0.2">
      <c r="A6920" s="163"/>
      <c r="B6920" s="164"/>
      <c r="C6920" s="164"/>
      <c r="D6920" s="164"/>
      <c r="E6920" s="164"/>
      <c r="F6920" s="165"/>
    </row>
    <row r="6921" spans="1:6" x14ac:dyDescent="0.2">
      <c r="A6921" s="166"/>
      <c r="B6921" s="167"/>
      <c r="C6921" s="167"/>
      <c r="D6921" s="167"/>
      <c r="E6921" s="167"/>
      <c r="F6921" s="168"/>
    </row>
    <row r="6922" spans="1:6" x14ac:dyDescent="0.2">
      <c r="A6922" s="163"/>
      <c r="B6922" s="164"/>
      <c r="C6922" s="164"/>
      <c r="D6922" s="164"/>
      <c r="E6922" s="164"/>
      <c r="F6922" s="165"/>
    </row>
    <row r="6923" spans="1:6" x14ac:dyDescent="0.2">
      <c r="A6923" s="166"/>
      <c r="B6923" s="167"/>
      <c r="C6923" s="167"/>
      <c r="D6923" s="167"/>
      <c r="E6923" s="167"/>
      <c r="F6923" s="168"/>
    </row>
    <row r="6924" spans="1:6" x14ac:dyDescent="0.2">
      <c r="A6924" s="163"/>
      <c r="B6924" s="164"/>
      <c r="C6924" s="164"/>
      <c r="D6924" s="164"/>
      <c r="E6924" s="164"/>
      <c r="F6924" s="165"/>
    </row>
    <row r="6925" spans="1:6" x14ac:dyDescent="0.2">
      <c r="A6925" s="166"/>
      <c r="B6925" s="167"/>
      <c r="C6925" s="167"/>
      <c r="D6925" s="167"/>
      <c r="E6925" s="167"/>
      <c r="F6925" s="168"/>
    </row>
    <row r="6926" spans="1:6" x14ac:dyDescent="0.2">
      <c r="A6926" s="163"/>
      <c r="B6926" s="164"/>
      <c r="C6926" s="164"/>
      <c r="D6926" s="164"/>
      <c r="E6926" s="164"/>
      <c r="F6926" s="165"/>
    </row>
    <row r="6927" spans="1:6" x14ac:dyDescent="0.2">
      <c r="A6927" s="166"/>
      <c r="B6927" s="167"/>
      <c r="C6927" s="167"/>
      <c r="D6927" s="167"/>
      <c r="E6927" s="167"/>
      <c r="F6927" s="168"/>
    </row>
    <row r="6928" spans="1:6" x14ac:dyDescent="0.2">
      <c r="A6928" s="163"/>
      <c r="B6928" s="164"/>
      <c r="C6928" s="164"/>
      <c r="D6928" s="164"/>
      <c r="E6928" s="164"/>
      <c r="F6928" s="165"/>
    </row>
    <row r="6929" spans="1:6" x14ac:dyDescent="0.2">
      <c r="A6929" s="166"/>
      <c r="B6929" s="167"/>
      <c r="C6929" s="167"/>
      <c r="D6929" s="167"/>
      <c r="E6929" s="167"/>
      <c r="F6929" s="168"/>
    </row>
    <row r="6930" spans="1:6" x14ac:dyDescent="0.2">
      <c r="A6930" s="163"/>
      <c r="B6930" s="164"/>
      <c r="C6930" s="164"/>
      <c r="D6930" s="164"/>
      <c r="E6930" s="164"/>
      <c r="F6930" s="165"/>
    </row>
    <row r="6931" spans="1:6" x14ac:dyDescent="0.2">
      <c r="A6931" s="166"/>
      <c r="B6931" s="167"/>
      <c r="C6931" s="167"/>
      <c r="D6931" s="167"/>
      <c r="E6931" s="167"/>
      <c r="F6931" s="168"/>
    </row>
    <row r="6932" spans="1:6" x14ac:dyDescent="0.2">
      <c r="A6932" s="163"/>
      <c r="B6932" s="164"/>
      <c r="C6932" s="164"/>
      <c r="D6932" s="164"/>
      <c r="E6932" s="164"/>
      <c r="F6932" s="165"/>
    </row>
    <row r="6933" spans="1:6" x14ac:dyDescent="0.2">
      <c r="A6933" s="166"/>
      <c r="B6933" s="167"/>
      <c r="C6933" s="167"/>
      <c r="D6933" s="167"/>
      <c r="E6933" s="167"/>
      <c r="F6933" s="168"/>
    </row>
    <row r="6934" spans="1:6" x14ac:dyDescent="0.2">
      <c r="A6934" s="163"/>
      <c r="B6934" s="164"/>
      <c r="C6934" s="164"/>
      <c r="D6934" s="164"/>
      <c r="E6934" s="164"/>
      <c r="F6934" s="165"/>
    </row>
    <row r="6935" spans="1:6" x14ac:dyDescent="0.2">
      <c r="A6935" s="166"/>
      <c r="B6935" s="167"/>
      <c r="C6935" s="167"/>
      <c r="D6935" s="167"/>
      <c r="E6935" s="167"/>
      <c r="F6935" s="168"/>
    </row>
    <row r="6936" spans="1:6" x14ac:dyDescent="0.2">
      <c r="A6936" s="163"/>
      <c r="B6936" s="164"/>
      <c r="C6936" s="164"/>
      <c r="D6936" s="164"/>
      <c r="E6936" s="164"/>
      <c r="F6936" s="165"/>
    </row>
    <row r="6937" spans="1:6" x14ac:dyDescent="0.2">
      <c r="A6937" s="166"/>
      <c r="B6937" s="167"/>
      <c r="C6937" s="167"/>
      <c r="D6937" s="167"/>
      <c r="E6937" s="167"/>
      <c r="F6937" s="168"/>
    </row>
    <row r="6938" spans="1:6" x14ac:dyDescent="0.2">
      <c r="A6938" s="163"/>
      <c r="B6938" s="164"/>
      <c r="C6938" s="164"/>
      <c r="D6938" s="164"/>
      <c r="E6938" s="164"/>
      <c r="F6938" s="165"/>
    </row>
    <row r="6939" spans="1:6" x14ac:dyDescent="0.2">
      <c r="A6939" s="166"/>
      <c r="B6939" s="167"/>
      <c r="C6939" s="167"/>
      <c r="D6939" s="167"/>
      <c r="E6939" s="167"/>
      <c r="F6939" s="168"/>
    </row>
    <row r="6940" spans="1:6" x14ac:dyDescent="0.2">
      <c r="A6940" s="163"/>
      <c r="B6940" s="164"/>
      <c r="C6940" s="164"/>
      <c r="D6940" s="164"/>
      <c r="E6940" s="164"/>
      <c r="F6940" s="165"/>
    </row>
    <row r="6941" spans="1:6" x14ac:dyDescent="0.2">
      <c r="A6941" s="166"/>
      <c r="B6941" s="167"/>
      <c r="C6941" s="167"/>
      <c r="D6941" s="167"/>
      <c r="E6941" s="167"/>
      <c r="F6941" s="168"/>
    </row>
    <row r="6942" spans="1:6" x14ac:dyDescent="0.2">
      <c r="A6942" s="163"/>
      <c r="B6942" s="164"/>
      <c r="C6942" s="164"/>
      <c r="D6942" s="164"/>
      <c r="E6942" s="164"/>
      <c r="F6942" s="165"/>
    </row>
    <row r="6943" spans="1:6" x14ac:dyDescent="0.2">
      <c r="A6943" s="166"/>
      <c r="B6943" s="167"/>
      <c r="C6943" s="167"/>
      <c r="D6943" s="167"/>
      <c r="E6943" s="167"/>
      <c r="F6943" s="168"/>
    </row>
    <row r="6944" spans="1:6" x14ac:dyDescent="0.2">
      <c r="A6944" s="163"/>
      <c r="B6944" s="164"/>
      <c r="C6944" s="164"/>
      <c r="D6944" s="164"/>
      <c r="E6944" s="164"/>
      <c r="F6944" s="165"/>
    </row>
    <row r="6945" spans="1:6" x14ac:dyDescent="0.2">
      <c r="A6945" s="166"/>
      <c r="B6945" s="167"/>
      <c r="C6945" s="167"/>
      <c r="D6945" s="167"/>
      <c r="E6945" s="167"/>
      <c r="F6945" s="168"/>
    </row>
    <row r="6946" spans="1:6" x14ac:dyDescent="0.2">
      <c r="A6946" s="163"/>
      <c r="B6946" s="164"/>
      <c r="C6946" s="164"/>
      <c r="D6946" s="164"/>
      <c r="E6946" s="164"/>
      <c r="F6946" s="165"/>
    </row>
    <row r="6947" spans="1:6" x14ac:dyDescent="0.2">
      <c r="A6947" s="166"/>
      <c r="B6947" s="167"/>
      <c r="C6947" s="167"/>
      <c r="D6947" s="167"/>
      <c r="E6947" s="167"/>
      <c r="F6947" s="168"/>
    </row>
    <row r="6948" spans="1:6" x14ac:dyDescent="0.2">
      <c r="A6948" s="163"/>
      <c r="B6948" s="164"/>
      <c r="C6948" s="164"/>
      <c r="D6948" s="164"/>
      <c r="E6948" s="164"/>
      <c r="F6948" s="165"/>
    </row>
    <row r="6949" spans="1:6" x14ac:dyDescent="0.2">
      <c r="A6949" s="166"/>
      <c r="B6949" s="167"/>
      <c r="C6949" s="167"/>
      <c r="D6949" s="167"/>
      <c r="E6949" s="167"/>
      <c r="F6949" s="168"/>
    </row>
    <row r="6950" spans="1:6" x14ac:dyDescent="0.2">
      <c r="A6950" s="163"/>
      <c r="B6950" s="164"/>
      <c r="C6950" s="164"/>
      <c r="D6950" s="164"/>
      <c r="E6950" s="164"/>
      <c r="F6950" s="165"/>
    </row>
    <row r="6951" spans="1:6" x14ac:dyDescent="0.2">
      <c r="A6951" s="166"/>
      <c r="B6951" s="167"/>
      <c r="C6951" s="167"/>
      <c r="D6951" s="167"/>
      <c r="E6951" s="167"/>
      <c r="F6951" s="168"/>
    </row>
    <row r="6952" spans="1:6" x14ac:dyDescent="0.2">
      <c r="A6952" s="163"/>
      <c r="B6952" s="164"/>
      <c r="C6952" s="164"/>
      <c r="D6952" s="164"/>
      <c r="E6952" s="164"/>
      <c r="F6952" s="165"/>
    </row>
    <row r="6953" spans="1:6" x14ac:dyDescent="0.2">
      <c r="A6953" s="166"/>
      <c r="B6953" s="167"/>
      <c r="C6953" s="167"/>
      <c r="D6953" s="167"/>
      <c r="E6953" s="167"/>
      <c r="F6953" s="168"/>
    </row>
    <row r="6954" spans="1:6" x14ac:dyDescent="0.2">
      <c r="A6954" s="163"/>
      <c r="B6954" s="164"/>
      <c r="C6954" s="164"/>
      <c r="D6954" s="164"/>
      <c r="E6954" s="164"/>
      <c r="F6954" s="165"/>
    </row>
    <row r="6955" spans="1:6" x14ac:dyDescent="0.2">
      <c r="A6955" s="166"/>
      <c r="B6955" s="167"/>
      <c r="C6955" s="167"/>
      <c r="D6955" s="167"/>
      <c r="E6955" s="167"/>
      <c r="F6955" s="168"/>
    </row>
    <row r="6956" spans="1:6" x14ac:dyDescent="0.2">
      <c r="A6956" s="163"/>
      <c r="B6956" s="164"/>
      <c r="C6956" s="164"/>
      <c r="D6956" s="164"/>
      <c r="E6956" s="164"/>
      <c r="F6956" s="165"/>
    </row>
    <row r="6957" spans="1:6" x14ac:dyDescent="0.2">
      <c r="A6957" s="166"/>
      <c r="B6957" s="167"/>
      <c r="C6957" s="167"/>
      <c r="D6957" s="167"/>
      <c r="E6957" s="167"/>
      <c r="F6957" s="168"/>
    </row>
    <row r="6958" spans="1:6" x14ac:dyDescent="0.2">
      <c r="A6958" s="163"/>
      <c r="B6958" s="164"/>
      <c r="C6958" s="164"/>
      <c r="D6958" s="164"/>
      <c r="E6958" s="164"/>
      <c r="F6958" s="165"/>
    </row>
    <row r="6959" spans="1:6" x14ac:dyDescent="0.2">
      <c r="A6959" s="166"/>
      <c r="B6959" s="167"/>
      <c r="C6959" s="167"/>
      <c r="D6959" s="167"/>
      <c r="E6959" s="167"/>
      <c r="F6959" s="168"/>
    </row>
    <row r="6960" spans="1:6" x14ac:dyDescent="0.2">
      <c r="A6960" s="163"/>
      <c r="B6960" s="164"/>
      <c r="C6960" s="164"/>
      <c r="D6960" s="164"/>
      <c r="E6960" s="164"/>
      <c r="F6960" s="165"/>
    </row>
    <row r="6961" spans="1:6" x14ac:dyDescent="0.2">
      <c r="A6961" s="166"/>
      <c r="B6961" s="167"/>
      <c r="C6961" s="167"/>
      <c r="D6961" s="167"/>
      <c r="E6961" s="167"/>
      <c r="F6961" s="168"/>
    </row>
    <row r="6962" spans="1:6" x14ac:dyDescent="0.2">
      <c r="A6962" s="163"/>
      <c r="B6962" s="164"/>
      <c r="C6962" s="164"/>
      <c r="D6962" s="164"/>
      <c r="E6962" s="164"/>
      <c r="F6962" s="165"/>
    </row>
    <row r="6963" spans="1:6" x14ac:dyDescent="0.2">
      <c r="A6963" s="166"/>
      <c r="B6963" s="167"/>
      <c r="C6963" s="167"/>
      <c r="D6963" s="167"/>
      <c r="E6963" s="167"/>
      <c r="F6963" s="168"/>
    </row>
    <row r="6964" spans="1:6" x14ac:dyDescent="0.2">
      <c r="A6964" s="163"/>
      <c r="B6964" s="164"/>
      <c r="C6964" s="164"/>
      <c r="D6964" s="164"/>
      <c r="E6964" s="164"/>
      <c r="F6964" s="165"/>
    </row>
    <row r="6965" spans="1:6" x14ac:dyDescent="0.2">
      <c r="A6965" s="166"/>
      <c r="B6965" s="167"/>
      <c r="C6965" s="167"/>
      <c r="D6965" s="167"/>
      <c r="E6965" s="167"/>
      <c r="F6965" s="168"/>
    </row>
    <row r="6966" spans="1:6" x14ac:dyDescent="0.2">
      <c r="A6966" s="163"/>
      <c r="B6966" s="164"/>
      <c r="C6966" s="164"/>
      <c r="D6966" s="164"/>
      <c r="E6966" s="164"/>
      <c r="F6966" s="165"/>
    </row>
    <row r="6967" spans="1:6" x14ac:dyDescent="0.2">
      <c r="A6967" s="166"/>
      <c r="B6967" s="167"/>
      <c r="C6967" s="167"/>
      <c r="D6967" s="167"/>
      <c r="E6967" s="167"/>
      <c r="F6967" s="168"/>
    </row>
    <row r="6968" spans="1:6" x14ac:dyDescent="0.2">
      <c r="A6968" s="163"/>
      <c r="B6968" s="164"/>
      <c r="C6968" s="164"/>
      <c r="D6968" s="164"/>
      <c r="E6968" s="164"/>
      <c r="F6968" s="165"/>
    </row>
    <row r="6969" spans="1:6" x14ac:dyDescent="0.2">
      <c r="A6969" s="166"/>
      <c r="B6969" s="167"/>
      <c r="C6969" s="167"/>
      <c r="D6969" s="167"/>
      <c r="E6969" s="167"/>
      <c r="F6969" s="168"/>
    </row>
    <row r="6970" spans="1:6" x14ac:dyDescent="0.2">
      <c r="A6970" s="163"/>
      <c r="B6970" s="164"/>
      <c r="C6970" s="164"/>
      <c r="D6970" s="164"/>
      <c r="E6970" s="164"/>
      <c r="F6970" s="165"/>
    </row>
    <row r="6971" spans="1:6" x14ac:dyDescent="0.2">
      <c r="A6971" s="166"/>
      <c r="B6971" s="167"/>
      <c r="C6971" s="167"/>
      <c r="D6971" s="167"/>
      <c r="E6971" s="167"/>
      <c r="F6971" s="168"/>
    </row>
    <row r="6972" spans="1:6" x14ac:dyDescent="0.2">
      <c r="A6972" s="163"/>
      <c r="B6972" s="164"/>
      <c r="C6972" s="164"/>
      <c r="D6972" s="164"/>
      <c r="E6972" s="164"/>
      <c r="F6972" s="165"/>
    </row>
    <row r="6973" spans="1:6" x14ac:dyDescent="0.2">
      <c r="A6973" s="166"/>
      <c r="B6973" s="167"/>
      <c r="C6973" s="167"/>
      <c r="D6973" s="167"/>
      <c r="E6973" s="167"/>
      <c r="F6973" s="168"/>
    </row>
    <row r="6974" spans="1:6" x14ac:dyDescent="0.2">
      <c r="A6974" s="163"/>
      <c r="B6974" s="164"/>
      <c r="C6974" s="164"/>
      <c r="D6974" s="164"/>
      <c r="E6974" s="164"/>
      <c r="F6974" s="165"/>
    </row>
    <row r="6975" spans="1:6" x14ac:dyDescent="0.2">
      <c r="A6975" s="166"/>
      <c r="B6975" s="167"/>
      <c r="C6975" s="167"/>
      <c r="D6975" s="167"/>
      <c r="E6975" s="167"/>
      <c r="F6975" s="168"/>
    </row>
    <row r="6976" spans="1:6" x14ac:dyDescent="0.2">
      <c r="A6976" s="163"/>
      <c r="B6976" s="164"/>
      <c r="C6976" s="164"/>
      <c r="D6976" s="164"/>
      <c r="E6976" s="164"/>
      <c r="F6976" s="165"/>
    </row>
    <row r="6977" spans="1:6" x14ac:dyDescent="0.2">
      <c r="A6977" s="166"/>
      <c r="B6977" s="167"/>
      <c r="C6977" s="167"/>
      <c r="D6977" s="167"/>
      <c r="E6977" s="167"/>
      <c r="F6977" s="168"/>
    </row>
    <row r="6978" spans="1:6" x14ac:dyDescent="0.2">
      <c r="A6978" s="163"/>
      <c r="B6978" s="164"/>
      <c r="C6978" s="164"/>
      <c r="D6978" s="164"/>
      <c r="E6978" s="164"/>
      <c r="F6978" s="165"/>
    </row>
    <row r="6979" spans="1:6" x14ac:dyDescent="0.2">
      <c r="A6979" s="166"/>
      <c r="B6979" s="167"/>
      <c r="C6979" s="167"/>
      <c r="D6979" s="167"/>
      <c r="E6979" s="167"/>
      <c r="F6979" s="168"/>
    </row>
    <row r="6980" spans="1:6" x14ac:dyDescent="0.2">
      <c r="A6980" s="163"/>
      <c r="B6980" s="164"/>
      <c r="C6980" s="164"/>
      <c r="D6980" s="164"/>
      <c r="E6980" s="164"/>
      <c r="F6980" s="165"/>
    </row>
    <row r="6981" spans="1:6" x14ac:dyDescent="0.2">
      <c r="A6981" s="166"/>
      <c r="B6981" s="167"/>
      <c r="C6981" s="167"/>
      <c r="D6981" s="167"/>
      <c r="E6981" s="167"/>
      <c r="F6981" s="168"/>
    </row>
    <row r="6982" spans="1:6" x14ac:dyDescent="0.2">
      <c r="A6982" s="163"/>
      <c r="B6982" s="164"/>
      <c r="C6982" s="164"/>
      <c r="D6982" s="164"/>
      <c r="E6982" s="164"/>
      <c r="F6982" s="165"/>
    </row>
    <row r="6983" spans="1:6" x14ac:dyDescent="0.2">
      <c r="A6983" s="166"/>
      <c r="B6983" s="167"/>
      <c r="C6983" s="167"/>
      <c r="D6983" s="167"/>
      <c r="E6983" s="167"/>
      <c r="F6983" s="168"/>
    </row>
    <row r="6984" spans="1:6" x14ac:dyDescent="0.2">
      <c r="A6984" s="163"/>
      <c r="B6984" s="164"/>
      <c r="C6984" s="164"/>
      <c r="D6984" s="164"/>
      <c r="E6984" s="164"/>
      <c r="F6984" s="165"/>
    </row>
    <row r="6985" spans="1:6" x14ac:dyDescent="0.2">
      <c r="A6985" s="166"/>
      <c r="B6985" s="167"/>
      <c r="C6985" s="167"/>
      <c r="D6985" s="167"/>
      <c r="E6985" s="167"/>
      <c r="F6985" s="168"/>
    </row>
    <row r="6986" spans="1:6" x14ac:dyDescent="0.2">
      <c r="A6986" s="163"/>
      <c r="B6986" s="164"/>
      <c r="C6986" s="164"/>
      <c r="D6986" s="164"/>
      <c r="E6986" s="164"/>
      <c r="F6986" s="165"/>
    </row>
    <row r="6987" spans="1:6" x14ac:dyDescent="0.2">
      <c r="A6987" s="166"/>
      <c r="B6987" s="167"/>
      <c r="C6987" s="167"/>
      <c r="D6987" s="167"/>
      <c r="E6987" s="167"/>
      <c r="F6987" s="168"/>
    </row>
    <row r="6988" spans="1:6" x14ac:dyDescent="0.2">
      <c r="A6988" s="163"/>
      <c r="B6988" s="164"/>
      <c r="C6988" s="164"/>
      <c r="D6988" s="164"/>
      <c r="E6988" s="164"/>
      <c r="F6988" s="165"/>
    </row>
    <row r="6989" spans="1:6" x14ac:dyDescent="0.2">
      <c r="A6989" s="166"/>
      <c r="B6989" s="167"/>
      <c r="C6989" s="167"/>
      <c r="D6989" s="167"/>
      <c r="E6989" s="167"/>
      <c r="F6989" s="168"/>
    </row>
    <row r="6990" spans="1:6" x14ac:dyDescent="0.2">
      <c r="A6990" s="163"/>
      <c r="B6990" s="164"/>
      <c r="C6990" s="164"/>
      <c r="D6990" s="164"/>
      <c r="E6990" s="164"/>
      <c r="F6990" s="165"/>
    </row>
    <row r="6991" spans="1:6" x14ac:dyDescent="0.2">
      <c r="A6991" s="166"/>
      <c r="B6991" s="167"/>
      <c r="C6991" s="167"/>
      <c r="D6991" s="167"/>
      <c r="E6991" s="167"/>
      <c r="F6991" s="168"/>
    </row>
    <row r="6992" spans="1:6" x14ac:dyDescent="0.2">
      <c r="A6992" s="163"/>
      <c r="B6992" s="164"/>
      <c r="C6992" s="164"/>
      <c r="D6992" s="164"/>
      <c r="E6992" s="164"/>
      <c r="F6992" s="165"/>
    </row>
    <row r="6993" spans="1:6" x14ac:dyDescent="0.2">
      <c r="A6993" s="166"/>
      <c r="B6993" s="167"/>
      <c r="C6993" s="167"/>
      <c r="D6993" s="167"/>
      <c r="E6993" s="167"/>
      <c r="F6993" s="168"/>
    </row>
    <row r="6994" spans="1:6" x14ac:dyDescent="0.2">
      <c r="A6994" s="163"/>
      <c r="B6994" s="164"/>
      <c r="C6994" s="164"/>
      <c r="D6994" s="164"/>
      <c r="E6994" s="164"/>
      <c r="F6994" s="165"/>
    </row>
    <row r="6995" spans="1:6" x14ac:dyDescent="0.2">
      <c r="A6995" s="166"/>
      <c r="B6995" s="167"/>
      <c r="C6995" s="167"/>
      <c r="D6995" s="167"/>
      <c r="E6995" s="167"/>
      <c r="F6995" s="168"/>
    </row>
    <row r="6996" spans="1:6" x14ac:dyDescent="0.2">
      <c r="A6996" s="163"/>
      <c r="B6996" s="164"/>
      <c r="C6996" s="164"/>
      <c r="D6996" s="164"/>
      <c r="E6996" s="164"/>
      <c r="F6996" s="165"/>
    </row>
    <row r="6997" spans="1:6" x14ac:dyDescent="0.2">
      <c r="A6997" s="166"/>
      <c r="B6997" s="167"/>
      <c r="C6997" s="167"/>
      <c r="D6997" s="167"/>
      <c r="E6997" s="167"/>
      <c r="F6997" s="168"/>
    </row>
    <row r="6998" spans="1:6" x14ac:dyDescent="0.2">
      <c r="A6998" s="163"/>
      <c r="B6998" s="164"/>
      <c r="C6998" s="164"/>
      <c r="D6998" s="164"/>
      <c r="E6998" s="164"/>
      <c r="F6998" s="165"/>
    </row>
    <row r="6999" spans="1:6" x14ac:dyDescent="0.2">
      <c r="A6999" s="166"/>
      <c r="B6999" s="167"/>
      <c r="C6999" s="167"/>
      <c r="D6999" s="167"/>
      <c r="E6999" s="167"/>
      <c r="F6999" s="168"/>
    </row>
    <row r="7000" spans="1:6" x14ac:dyDescent="0.2">
      <c r="A7000" s="163"/>
      <c r="B7000" s="164"/>
      <c r="C7000" s="164"/>
      <c r="D7000" s="164"/>
      <c r="E7000" s="164"/>
      <c r="F7000" s="165"/>
    </row>
    <row r="7001" spans="1:6" x14ac:dyDescent="0.2">
      <c r="A7001" s="166"/>
      <c r="B7001" s="167"/>
      <c r="C7001" s="167"/>
      <c r="D7001" s="167"/>
      <c r="E7001" s="167"/>
      <c r="F7001" s="168"/>
    </row>
    <row r="7002" spans="1:6" x14ac:dyDescent="0.2">
      <c r="A7002" s="163"/>
      <c r="B7002" s="164"/>
      <c r="C7002" s="164"/>
      <c r="D7002" s="164"/>
      <c r="E7002" s="164"/>
      <c r="F7002" s="165"/>
    </row>
    <row r="7003" spans="1:6" x14ac:dyDescent="0.2">
      <c r="A7003" s="166"/>
      <c r="B7003" s="167"/>
      <c r="C7003" s="167"/>
      <c r="D7003" s="167"/>
      <c r="E7003" s="167"/>
      <c r="F7003" s="168"/>
    </row>
    <row r="7004" spans="1:6" x14ac:dyDescent="0.2">
      <c r="A7004" s="163"/>
      <c r="B7004" s="164"/>
      <c r="C7004" s="164"/>
      <c r="D7004" s="164"/>
      <c r="E7004" s="164"/>
      <c r="F7004" s="165"/>
    </row>
    <row r="7005" spans="1:6" x14ac:dyDescent="0.2">
      <c r="A7005" s="166"/>
      <c r="B7005" s="167"/>
      <c r="C7005" s="167"/>
      <c r="D7005" s="167"/>
      <c r="E7005" s="167"/>
      <c r="F7005" s="168"/>
    </row>
    <row r="7006" spans="1:6" x14ac:dyDescent="0.2">
      <c r="A7006" s="163"/>
      <c r="B7006" s="164"/>
      <c r="C7006" s="164"/>
      <c r="D7006" s="164"/>
      <c r="E7006" s="164"/>
      <c r="F7006" s="165"/>
    </row>
    <row r="7007" spans="1:6" x14ac:dyDescent="0.2">
      <c r="A7007" s="166"/>
      <c r="B7007" s="167"/>
      <c r="C7007" s="167"/>
      <c r="D7007" s="167"/>
      <c r="E7007" s="167"/>
      <c r="F7007" s="168"/>
    </row>
    <row r="7008" spans="1:6" x14ac:dyDescent="0.2">
      <c r="A7008" s="163"/>
      <c r="B7008" s="164"/>
      <c r="C7008" s="164"/>
      <c r="D7008" s="164"/>
      <c r="E7008" s="164"/>
      <c r="F7008" s="165"/>
    </row>
    <row r="7009" spans="1:6" x14ac:dyDescent="0.2">
      <c r="A7009" s="166"/>
      <c r="B7009" s="167"/>
      <c r="C7009" s="167"/>
      <c r="D7009" s="167"/>
      <c r="E7009" s="167"/>
      <c r="F7009" s="168"/>
    </row>
    <row r="7010" spans="1:6" x14ac:dyDescent="0.2">
      <c r="A7010" s="163"/>
      <c r="B7010" s="164"/>
      <c r="C7010" s="164"/>
      <c r="D7010" s="164"/>
      <c r="E7010" s="164"/>
      <c r="F7010" s="165"/>
    </row>
    <row r="7011" spans="1:6" x14ac:dyDescent="0.2">
      <c r="A7011" s="166"/>
      <c r="B7011" s="167"/>
      <c r="C7011" s="167"/>
      <c r="D7011" s="167"/>
      <c r="E7011" s="167"/>
      <c r="F7011" s="168"/>
    </row>
    <row r="7012" spans="1:6" x14ac:dyDescent="0.2">
      <c r="A7012" s="163"/>
      <c r="B7012" s="164"/>
      <c r="C7012" s="164"/>
      <c r="D7012" s="164"/>
      <c r="E7012" s="164"/>
      <c r="F7012" s="165"/>
    </row>
    <row r="7013" spans="1:6" x14ac:dyDescent="0.2">
      <c r="A7013" s="166"/>
      <c r="B7013" s="167"/>
      <c r="C7013" s="167"/>
      <c r="D7013" s="167"/>
      <c r="E7013" s="167"/>
      <c r="F7013" s="168"/>
    </row>
    <row r="7014" spans="1:6" x14ac:dyDescent="0.2">
      <c r="A7014" s="163"/>
      <c r="B7014" s="164"/>
      <c r="C7014" s="164"/>
      <c r="D7014" s="164"/>
      <c r="E7014" s="164"/>
      <c r="F7014" s="165"/>
    </row>
    <row r="7015" spans="1:6" x14ac:dyDescent="0.2">
      <c r="A7015" s="166"/>
      <c r="B7015" s="167"/>
      <c r="C7015" s="167"/>
      <c r="D7015" s="167"/>
      <c r="E7015" s="167"/>
      <c r="F7015" s="168"/>
    </row>
    <row r="7016" spans="1:6" x14ac:dyDescent="0.2">
      <c r="A7016" s="163"/>
      <c r="B7016" s="164"/>
      <c r="C7016" s="164"/>
      <c r="D7016" s="164"/>
      <c r="E7016" s="164"/>
      <c r="F7016" s="165"/>
    </row>
    <row r="7017" spans="1:6" x14ac:dyDescent="0.2">
      <c r="A7017" s="166"/>
      <c r="B7017" s="167"/>
      <c r="C7017" s="167"/>
      <c r="D7017" s="167"/>
      <c r="E7017" s="167"/>
      <c r="F7017" s="168"/>
    </row>
    <row r="7018" spans="1:6" x14ac:dyDescent="0.2">
      <c r="A7018" s="163"/>
      <c r="B7018" s="164"/>
      <c r="C7018" s="164"/>
      <c r="D7018" s="164"/>
      <c r="E7018" s="164"/>
      <c r="F7018" s="165"/>
    </row>
    <row r="7019" spans="1:6" x14ac:dyDescent="0.2">
      <c r="A7019" s="166"/>
      <c r="B7019" s="167"/>
      <c r="C7019" s="167"/>
      <c r="D7019" s="167"/>
      <c r="E7019" s="167"/>
      <c r="F7019" s="168"/>
    </row>
    <row r="7020" spans="1:6" x14ac:dyDescent="0.2">
      <c r="A7020" s="163"/>
      <c r="B7020" s="164"/>
      <c r="C7020" s="164"/>
      <c r="D7020" s="164"/>
      <c r="E7020" s="164"/>
      <c r="F7020" s="165"/>
    </row>
    <row r="7021" spans="1:6" x14ac:dyDescent="0.2">
      <c r="A7021" s="166"/>
      <c r="B7021" s="167"/>
      <c r="C7021" s="167"/>
      <c r="D7021" s="167"/>
      <c r="E7021" s="167"/>
      <c r="F7021" s="168"/>
    </row>
    <row r="7022" spans="1:6" x14ac:dyDescent="0.2">
      <c r="A7022" s="163"/>
      <c r="B7022" s="164"/>
      <c r="C7022" s="164"/>
      <c r="D7022" s="164"/>
      <c r="E7022" s="164"/>
      <c r="F7022" s="165"/>
    </row>
    <row r="7023" spans="1:6" x14ac:dyDescent="0.2">
      <c r="A7023" s="166"/>
      <c r="B7023" s="167"/>
      <c r="C7023" s="167"/>
      <c r="D7023" s="167"/>
      <c r="E7023" s="167"/>
      <c r="F7023" s="168"/>
    </row>
    <row r="7024" spans="1:6" x14ac:dyDescent="0.2">
      <c r="A7024" s="163"/>
      <c r="B7024" s="164"/>
      <c r="C7024" s="164"/>
      <c r="D7024" s="164"/>
      <c r="E7024" s="164"/>
      <c r="F7024" s="165"/>
    </row>
    <row r="7025" spans="1:6" x14ac:dyDescent="0.2">
      <c r="A7025" s="166"/>
      <c r="B7025" s="167"/>
      <c r="C7025" s="167"/>
      <c r="D7025" s="167"/>
      <c r="E7025" s="167"/>
      <c r="F7025" s="168"/>
    </row>
    <row r="7026" spans="1:6" x14ac:dyDescent="0.2">
      <c r="A7026" s="163"/>
      <c r="B7026" s="164"/>
      <c r="C7026" s="164"/>
      <c r="D7026" s="164"/>
      <c r="E7026" s="164"/>
      <c r="F7026" s="165"/>
    </row>
    <row r="7027" spans="1:6" x14ac:dyDescent="0.2">
      <c r="A7027" s="166"/>
      <c r="B7027" s="167"/>
      <c r="C7027" s="167"/>
      <c r="D7027" s="167"/>
      <c r="E7027" s="167"/>
      <c r="F7027" s="168"/>
    </row>
    <row r="7028" spans="1:6" x14ac:dyDescent="0.2">
      <c r="A7028" s="163"/>
      <c r="B7028" s="164"/>
      <c r="C7028" s="164"/>
      <c r="D7028" s="164"/>
      <c r="E7028" s="164"/>
      <c r="F7028" s="165"/>
    </row>
    <row r="7029" spans="1:6" x14ac:dyDescent="0.2">
      <c r="A7029" s="166"/>
      <c r="B7029" s="167"/>
      <c r="C7029" s="167"/>
      <c r="D7029" s="167"/>
      <c r="E7029" s="167"/>
      <c r="F7029" s="168"/>
    </row>
    <row r="7030" spans="1:6" x14ac:dyDescent="0.2">
      <c r="A7030" s="163"/>
      <c r="B7030" s="164"/>
      <c r="C7030" s="164"/>
      <c r="D7030" s="164"/>
      <c r="E7030" s="164"/>
      <c r="F7030" s="165"/>
    </row>
    <row r="7031" spans="1:6" x14ac:dyDescent="0.2">
      <c r="A7031" s="166"/>
      <c r="B7031" s="167"/>
      <c r="C7031" s="167"/>
      <c r="D7031" s="167"/>
      <c r="E7031" s="167"/>
      <c r="F7031" s="168"/>
    </row>
    <row r="7032" spans="1:6" x14ac:dyDescent="0.2">
      <c r="A7032" s="163"/>
      <c r="B7032" s="164"/>
      <c r="C7032" s="164"/>
      <c r="D7032" s="164"/>
      <c r="E7032" s="164"/>
      <c r="F7032" s="165"/>
    </row>
    <row r="7033" spans="1:6" x14ac:dyDescent="0.2">
      <c r="A7033" s="166"/>
      <c r="B7033" s="167"/>
      <c r="C7033" s="167"/>
      <c r="D7033" s="167"/>
      <c r="E7033" s="167"/>
      <c r="F7033" s="168"/>
    </row>
    <row r="7034" spans="1:6" x14ac:dyDescent="0.2">
      <c r="A7034" s="163"/>
      <c r="B7034" s="164"/>
      <c r="C7034" s="164"/>
      <c r="D7034" s="164"/>
      <c r="E7034" s="164"/>
      <c r="F7034" s="165"/>
    </row>
    <row r="7035" spans="1:6" x14ac:dyDescent="0.2">
      <c r="A7035" s="166"/>
      <c r="B7035" s="167"/>
      <c r="C7035" s="167"/>
      <c r="D7035" s="167"/>
      <c r="E7035" s="167"/>
      <c r="F7035" s="168"/>
    </row>
    <row r="7036" spans="1:6" x14ac:dyDescent="0.2">
      <c r="A7036" s="163"/>
      <c r="B7036" s="164"/>
      <c r="C7036" s="164"/>
      <c r="D7036" s="164"/>
      <c r="E7036" s="164"/>
      <c r="F7036" s="165"/>
    </row>
    <row r="7037" spans="1:6" x14ac:dyDescent="0.2">
      <c r="A7037" s="166"/>
      <c r="B7037" s="167"/>
      <c r="C7037" s="167"/>
      <c r="D7037" s="167"/>
      <c r="E7037" s="167"/>
      <c r="F7037" s="168"/>
    </row>
    <row r="7038" spans="1:6" x14ac:dyDescent="0.2">
      <c r="A7038" s="163"/>
      <c r="B7038" s="164"/>
      <c r="C7038" s="164"/>
      <c r="D7038" s="164"/>
      <c r="E7038" s="164"/>
      <c r="F7038" s="165"/>
    </row>
    <row r="7039" spans="1:6" x14ac:dyDescent="0.2">
      <c r="A7039" s="166"/>
      <c r="B7039" s="167"/>
      <c r="C7039" s="167"/>
      <c r="D7039" s="167"/>
      <c r="E7039" s="167"/>
      <c r="F7039" s="168"/>
    </row>
    <row r="7040" spans="1:6" x14ac:dyDescent="0.2">
      <c r="A7040" s="163"/>
      <c r="B7040" s="164"/>
      <c r="C7040" s="164"/>
      <c r="D7040" s="164"/>
      <c r="E7040" s="164"/>
      <c r="F7040" s="165"/>
    </row>
    <row r="7041" spans="1:6" x14ac:dyDescent="0.2">
      <c r="A7041" s="166"/>
      <c r="B7041" s="167"/>
      <c r="C7041" s="167"/>
      <c r="D7041" s="167"/>
      <c r="E7041" s="167"/>
      <c r="F7041" s="168"/>
    </row>
    <row r="7042" spans="1:6" x14ac:dyDescent="0.2">
      <c r="A7042" s="163"/>
      <c r="B7042" s="164"/>
      <c r="C7042" s="164"/>
      <c r="D7042" s="164"/>
      <c r="E7042" s="164"/>
      <c r="F7042" s="165"/>
    </row>
    <row r="7043" spans="1:6" x14ac:dyDescent="0.2">
      <c r="A7043" s="166"/>
      <c r="B7043" s="167"/>
      <c r="C7043" s="167"/>
      <c r="D7043" s="167"/>
      <c r="E7043" s="167"/>
      <c r="F7043" s="168"/>
    </row>
    <row r="7044" spans="1:6" x14ac:dyDescent="0.2">
      <c r="A7044" s="163"/>
      <c r="B7044" s="164"/>
      <c r="C7044" s="164"/>
      <c r="D7044" s="164"/>
      <c r="E7044" s="164"/>
      <c r="F7044" s="165"/>
    </row>
    <row r="7045" spans="1:6" x14ac:dyDescent="0.2">
      <c r="A7045" s="166"/>
      <c r="B7045" s="167"/>
      <c r="C7045" s="167"/>
      <c r="D7045" s="167"/>
      <c r="E7045" s="167"/>
      <c r="F7045" s="168"/>
    </row>
    <row r="7046" spans="1:6" x14ac:dyDescent="0.2">
      <c r="A7046" s="163"/>
      <c r="B7046" s="164"/>
      <c r="C7046" s="164"/>
      <c r="D7046" s="164"/>
      <c r="E7046" s="164"/>
      <c r="F7046" s="165"/>
    </row>
    <row r="7047" spans="1:6" x14ac:dyDescent="0.2">
      <c r="A7047" s="166"/>
      <c r="B7047" s="167"/>
      <c r="C7047" s="167"/>
      <c r="D7047" s="167"/>
      <c r="E7047" s="167"/>
      <c r="F7047" s="168"/>
    </row>
    <row r="7048" spans="1:6" x14ac:dyDescent="0.2">
      <c r="A7048" s="163"/>
      <c r="B7048" s="164"/>
      <c r="C7048" s="164"/>
      <c r="D7048" s="164"/>
      <c r="E7048" s="164"/>
      <c r="F7048" s="165"/>
    </row>
    <row r="7049" spans="1:6" x14ac:dyDescent="0.2">
      <c r="A7049" s="166"/>
      <c r="B7049" s="167"/>
      <c r="C7049" s="167"/>
      <c r="D7049" s="167"/>
      <c r="E7049" s="167"/>
      <c r="F7049" s="168"/>
    </row>
    <row r="7050" spans="1:6" x14ac:dyDescent="0.2">
      <c r="A7050" s="163"/>
      <c r="B7050" s="164"/>
      <c r="C7050" s="164"/>
      <c r="D7050" s="164"/>
      <c r="E7050" s="164"/>
      <c r="F7050" s="165"/>
    </row>
    <row r="7051" spans="1:6" x14ac:dyDescent="0.2">
      <c r="A7051" s="166"/>
      <c r="B7051" s="167"/>
      <c r="C7051" s="167"/>
      <c r="D7051" s="167"/>
      <c r="E7051" s="167"/>
      <c r="F7051" s="168"/>
    </row>
    <row r="7052" spans="1:6" x14ac:dyDescent="0.2">
      <c r="A7052" s="163"/>
      <c r="B7052" s="164"/>
      <c r="C7052" s="164"/>
      <c r="D7052" s="164"/>
      <c r="E7052" s="164"/>
      <c r="F7052" s="165"/>
    </row>
    <row r="7053" spans="1:6" x14ac:dyDescent="0.2">
      <c r="A7053" s="166"/>
      <c r="B7053" s="167"/>
      <c r="C7053" s="167"/>
      <c r="D7053" s="167"/>
      <c r="E7053" s="167"/>
      <c r="F7053" s="168"/>
    </row>
    <row r="7054" spans="1:6" x14ac:dyDescent="0.2">
      <c r="A7054" s="163"/>
      <c r="B7054" s="164"/>
      <c r="C7054" s="164"/>
      <c r="D7054" s="164"/>
      <c r="E7054" s="164"/>
      <c r="F7054" s="165"/>
    </row>
    <row r="7055" spans="1:6" x14ac:dyDescent="0.2">
      <c r="A7055" s="166"/>
      <c r="B7055" s="167"/>
      <c r="C7055" s="167"/>
      <c r="D7055" s="167"/>
      <c r="E7055" s="167"/>
      <c r="F7055" s="168"/>
    </row>
    <row r="7056" spans="1:6" x14ac:dyDescent="0.2">
      <c r="A7056" s="163"/>
      <c r="B7056" s="164"/>
      <c r="C7056" s="164"/>
      <c r="D7056" s="164"/>
      <c r="E7056" s="164"/>
      <c r="F7056" s="165"/>
    </row>
    <row r="7057" spans="1:6" x14ac:dyDescent="0.2">
      <c r="A7057" s="166"/>
      <c r="B7057" s="167"/>
      <c r="C7057" s="167"/>
      <c r="D7057" s="167"/>
      <c r="E7057" s="167"/>
      <c r="F7057" s="168"/>
    </row>
    <row r="7058" spans="1:6" x14ac:dyDescent="0.2">
      <c r="A7058" s="163"/>
      <c r="B7058" s="164"/>
      <c r="C7058" s="164"/>
      <c r="D7058" s="164"/>
      <c r="E7058" s="164"/>
      <c r="F7058" s="165"/>
    </row>
    <row r="7059" spans="1:6" x14ac:dyDescent="0.2">
      <c r="A7059" s="166"/>
      <c r="B7059" s="167"/>
      <c r="C7059" s="167"/>
      <c r="D7059" s="167"/>
      <c r="E7059" s="167"/>
      <c r="F7059" s="168"/>
    </row>
    <row r="7060" spans="1:6" x14ac:dyDescent="0.2">
      <c r="A7060" s="163"/>
      <c r="B7060" s="164"/>
      <c r="C7060" s="164"/>
      <c r="D7060" s="164"/>
      <c r="E7060" s="164"/>
      <c r="F7060" s="165"/>
    </row>
    <row r="7061" spans="1:6" x14ac:dyDescent="0.2">
      <c r="A7061" s="166"/>
      <c r="B7061" s="167"/>
      <c r="C7061" s="167"/>
      <c r="D7061" s="167"/>
      <c r="E7061" s="167"/>
      <c r="F7061" s="168"/>
    </row>
    <row r="7062" spans="1:6" x14ac:dyDescent="0.2">
      <c r="A7062" s="163"/>
      <c r="B7062" s="164"/>
      <c r="C7062" s="164"/>
      <c r="D7062" s="164"/>
      <c r="E7062" s="164"/>
      <c r="F7062" s="165"/>
    </row>
    <row r="7063" spans="1:6" x14ac:dyDescent="0.2">
      <c r="A7063" s="166"/>
      <c r="B7063" s="167"/>
      <c r="C7063" s="167"/>
      <c r="D7063" s="167"/>
      <c r="E7063" s="167"/>
      <c r="F7063" s="168"/>
    </row>
    <row r="7064" spans="1:6" x14ac:dyDescent="0.2">
      <c r="A7064" s="163"/>
      <c r="B7064" s="164"/>
      <c r="C7064" s="164"/>
      <c r="D7064" s="164"/>
      <c r="E7064" s="164"/>
      <c r="F7064" s="165"/>
    </row>
    <row r="7065" spans="1:6" x14ac:dyDescent="0.2">
      <c r="A7065" s="166"/>
      <c r="B7065" s="167"/>
      <c r="C7065" s="167"/>
      <c r="D7065" s="167"/>
      <c r="E7065" s="167"/>
      <c r="F7065" s="168"/>
    </row>
    <row r="7066" spans="1:6" x14ac:dyDescent="0.2">
      <c r="A7066" s="163"/>
      <c r="B7066" s="164"/>
      <c r="C7066" s="164"/>
      <c r="D7066" s="164"/>
      <c r="E7066" s="164"/>
      <c r="F7066" s="165"/>
    </row>
    <row r="7067" spans="1:6" x14ac:dyDescent="0.2">
      <c r="A7067" s="166"/>
      <c r="B7067" s="167"/>
      <c r="C7067" s="167"/>
      <c r="D7067" s="167"/>
      <c r="E7067" s="167"/>
      <c r="F7067" s="168"/>
    </row>
    <row r="7068" spans="1:6" x14ac:dyDescent="0.2">
      <c r="A7068" s="163"/>
      <c r="B7068" s="164"/>
      <c r="C7068" s="164"/>
      <c r="D7068" s="164"/>
      <c r="E7068" s="164"/>
      <c r="F7068" s="165"/>
    </row>
    <row r="7069" spans="1:6" x14ac:dyDescent="0.2">
      <c r="A7069" s="166"/>
      <c r="B7069" s="167"/>
      <c r="C7069" s="167"/>
      <c r="D7069" s="167"/>
      <c r="E7069" s="167"/>
      <c r="F7069" s="168"/>
    </row>
    <row r="7070" spans="1:6" x14ac:dyDescent="0.2">
      <c r="A7070" s="163"/>
      <c r="B7070" s="164"/>
      <c r="C7070" s="164"/>
      <c r="D7070" s="164"/>
      <c r="E7070" s="164"/>
      <c r="F7070" s="165"/>
    </row>
    <row r="7071" spans="1:6" x14ac:dyDescent="0.2">
      <c r="A7071" s="166"/>
      <c r="B7071" s="167"/>
      <c r="C7071" s="167"/>
      <c r="D7071" s="167"/>
      <c r="E7071" s="167"/>
      <c r="F7071" s="168"/>
    </row>
    <row r="7072" spans="1:6" x14ac:dyDescent="0.2">
      <c r="A7072" s="163"/>
      <c r="B7072" s="164"/>
      <c r="C7072" s="164"/>
      <c r="D7072" s="164"/>
      <c r="E7072" s="164"/>
      <c r="F7072" s="165"/>
    </row>
    <row r="7073" spans="1:6" x14ac:dyDescent="0.2">
      <c r="A7073" s="166"/>
      <c r="B7073" s="167"/>
      <c r="C7073" s="167"/>
      <c r="D7073" s="167"/>
      <c r="E7073" s="167"/>
      <c r="F7073" s="168"/>
    </row>
    <row r="7074" spans="1:6" x14ac:dyDescent="0.2">
      <c r="A7074" s="163"/>
      <c r="B7074" s="164"/>
      <c r="C7074" s="164"/>
      <c r="D7074" s="164"/>
      <c r="E7074" s="164"/>
      <c r="F7074" s="165"/>
    </row>
    <row r="7075" spans="1:6" x14ac:dyDescent="0.2">
      <c r="A7075" s="166"/>
      <c r="B7075" s="167"/>
      <c r="C7075" s="167"/>
      <c r="D7075" s="167"/>
      <c r="E7075" s="167"/>
      <c r="F7075" s="168"/>
    </row>
    <row r="7076" spans="1:6" x14ac:dyDescent="0.2">
      <c r="A7076" s="163"/>
      <c r="B7076" s="164"/>
      <c r="C7076" s="164"/>
      <c r="D7076" s="164"/>
      <c r="E7076" s="164"/>
      <c r="F7076" s="165"/>
    </row>
    <row r="7077" spans="1:6" x14ac:dyDescent="0.2">
      <c r="A7077" s="166"/>
      <c r="B7077" s="167"/>
      <c r="C7077" s="167"/>
      <c r="D7077" s="167"/>
      <c r="E7077" s="167"/>
      <c r="F7077" s="168"/>
    </row>
    <row r="7078" spans="1:6" x14ac:dyDescent="0.2">
      <c r="A7078" s="163"/>
      <c r="B7078" s="164"/>
      <c r="C7078" s="164"/>
      <c r="D7078" s="164"/>
      <c r="E7078" s="164"/>
      <c r="F7078" s="165"/>
    </row>
    <row r="7079" spans="1:6" x14ac:dyDescent="0.2">
      <c r="A7079" s="166"/>
      <c r="B7079" s="167"/>
      <c r="C7079" s="167"/>
      <c r="D7079" s="167"/>
      <c r="E7079" s="167"/>
      <c r="F7079" s="168"/>
    </row>
    <row r="7080" spans="1:6" x14ac:dyDescent="0.2">
      <c r="A7080" s="163"/>
      <c r="B7080" s="164"/>
      <c r="C7080" s="164"/>
      <c r="D7080" s="164"/>
      <c r="E7080" s="164"/>
      <c r="F7080" s="165"/>
    </row>
    <row r="7081" spans="1:6" x14ac:dyDescent="0.2">
      <c r="A7081" s="166"/>
      <c r="B7081" s="167"/>
      <c r="C7081" s="167"/>
      <c r="D7081" s="167"/>
      <c r="E7081" s="167"/>
      <c r="F7081" s="168"/>
    </row>
    <row r="7082" spans="1:6" x14ac:dyDescent="0.2">
      <c r="A7082" s="163"/>
      <c r="B7082" s="164"/>
      <c r="C7082" s="164"/>
      <c r="D7082" s="164"/>
      <c r="E7082" s="164"/>
      <c r="F7082" s="165"/>
    </row>
    <row r="7083" spans="1:6" x14ac:dyDescent="0.2">
      <c r="A7083" s="166"/>
      <c r="B7083" s="167"/>
      <c r="C7083" s="167"/>
      <c r="D7083" s="167"/>
      <c r="E7083" s="167"/>
      <c r="F7083" s="168"/>
    </row>
    <row r="7084" spans="1:6" x14ac:dyDescent="0.2">
      <c r="A7084" s="163"/>
      <c r="B7084" s="164"/>
      <c r="C7084" s="164"/>
      <c r="D7084" s="164"/>
      <c r="E7084" s="164"/>
      <c r="F7084" s="165"/>
    </row>
    <row r="7085" spans="1:6" x14ac:dyDescent="0.2">
      <c r="A7085" s="166"/>
      <c r="B7085" s="167"/>
      <c r="C7085" s="167"/>
      <c r="D7085" s="167"/>
      <c r="E7085" s="167"/>
      <c r="F7085" s="168"/>
    </row>
    <row r="7086" spans="1:6" x14ac:dyDescent="0.2">
      <c r="A7086" s="163"/>
      <c r="B7086" s="164"/>
      <c r="C7086" s="164"/>
      <c r="D7086" s="164"/>
      <c r="E7086" s="164"/>
      <c r="F7086" s="165"/>
    </row>
    <row r="7087" spans="1:6" x14ac:dyDescent="0.2">
      <c r="A7087" s="166"/>
      <c r="B7087" s="167"/>
      <c r="C7087" s="167"/>
      <c r="D7087" s="167"/>
      <c r="E7087" s="167"/>
      <c r="F7087" s="168"/>
    </row>
    <row r="7088" spans="1:6" x14ac:dyDescent="0.2">
      <c r="A7088" s="163"/>
      <c r="B7088" s="164"/>
      <c r="C7088" s="164"/>
      <c r="D7088" s="164"/>
      <c r="E7088" s="164"/>
      <c r="F7088" s="165"/>
    </row>
    <row r="7089" spans="1:6" x14ac:dyDescent="0.2">
      <c r="A7089" s="166"/>
      <c r="B7089" s="167"/>
      <c r="C7089" s="167"/>
      <c r="D7089" s="167"/>
      <c r="E7089" s="167"/>
      <c r="F7089" s="168"/>
    </row>
    <row r="7090" spans="1:6" x14ac:dyDescent="0.2">
      <c r="A7090" s="163"/>
      <c r="B7090" s="164"/>
      <c r="C7090" s="164"/>
      <c r="D7090" s="164"/>
      <c r="E7090" s="164"/>
      <c r="F7090" s="165"/>
    </row>
    <row r="7091" spans="1:6" x14ac:dyDescent="0.2">
      <c r="A7091" s="166"/>
      <c r="B7091" s="167"/>
      <c r="C7091" s="167"/>
      <c r="D7091" s="167"/>
      <c r="E7091" s="167"/>
      <c r="F7091" s="168"/>
    </row>
    <row r="7092" spans="1:6" x14ac:dyDescent="0.2">
      <c r="A7092" s="163"/>
      <c r="B7092" s="164"/>
      <c r="C7092" s="164"/>
      <c r="D7092" s="164"/>
      <c r="E7092" s="164"/>
      <c r="F7092" s="165"/>
    </row>
    <row r="7093" spans="1:6" x14ac:dyDescent="0.2">
      <c r="A7093" s="166"/>
      <c r="B7093" s="167"/>
      <c r="C7093" s="167"/>
      <c r="D7093" s="167"/>
      <c r="E7093" s="167"/>
      <c r="F7093" s="168"/>
    </row>
    <row r="7094" spans="1:6" x14ac:dyDescent="0.2">
      <c r="A7094" s="163"/>
      <c r="B7094" s="164"/>
      <c r="C7094" s="164"/>
      <c r="D7094" s="164"/>
      <c r="E7094" s="164"/>
      <c r="F7094" s="165"/>
    </row>
    <row r="7095" spans="1:6" x14ac:dyDescent="0.2">
      <c r="A7095" s="166"/>
      <c r="B7095" s="167"/>
      <c r="C7095" s="167"/>
      <c r="D7095" s="167"/>
      <c r="E7095" s="167"/>
      <c r="F7095" s="168"/>
    </row>
    <row r="7096" spans="1:6" x14ac:dyDescent="0.2">
      <c r="A7096" s="163"/>
      <c r="B7096" s="164"/>
      <c r="C7096" s="164"/>
      <c r="D7096" s="164"/>
      <c r="E7096" s="164"/>
      <c r="F7096" s="165"/>
    </row>
    <row r="7097" spans="1:6" x14ac:dyDescent="0.2">
      <c r="A7097" s="166"/>
      <c r="B7097" s="167"/>
      <c r="C7097" s="167"/>
      <c r="D7097" s="167"/>
      <c r="E7097" s="167"/>
      <c r="F7097" s="168"/>
    </row>
    <row r="7098" spans="1:6" x14ac:dyDescent="0.2">
      <c r="A7098" s="163"/>
      <c r="B7098" s="164"/>
      <c r="C7098" s="164"/>
      <c r="D7098" s="164"/>
      <c r="E7098" s="164"/>
      <c r="F7098" s="165"/>
    </row>
    <row r="7099" spans="1:6" x14ac:dyDescent="0.2">
      <c r="A7099" s="166"/>
      <c r="B7099" s="167"/>
      <c r="C7099" s="167"/>
      <c r="D7099" s="167"/>
      <c r="E7099" s="167"/>
      <c r="F7099" s="168"/>
    </row>
    <row r="7100" spans="1:6" x14ac:dyDescent="0.2">
      <c r="A7100" s="163"/>
      <c r="B7100" s="164"/>
      <c r="C7100" s="164"/>
      <c r="D7100" s="164"/>
      <c r="E7100" s="164"/>
      <c r="F7100" s="165"/>
    </row>
    <row r="7101" spans="1:6" x14ac:dyDescent="0.2">
      <c r="A7101" s="166"/>
      <c r="B7101" s="167"/>
      <c r="C7101" s="167"/>
      <c r="D7101" s="167"/>
      <c r="E7101" s="167"/>
      <c r="F7101" s="168"/>
    </row>
    <row r="7102" spans="1:6" x14ac:dyDescent="0.2">
      <c r="A7102" s="163"/>
      <c r="B7102" s="164"/>
      <c r="C7102" s="164"/>
      <c r="D7102" s="164"/>
      <c r="E7102" s="164"/>
      <c r="F7102" s="165"/>
    </row>
    <row r="7103" spans="1:6" x14ac:dyDescent="0.2">
      <c r="A7103" s="166"/>
      <c r="B7103" s="167"/>
      <c r="C7103" s="167"/>
      <c r="D7103" s="167"/>
      <c r="E7103" s="167"/>
      <c r="F7103" s="168"/>
    </row>
    <row r="7104" spans="1:6" x14ac:dyDescent="0.2">
      <c r="A7104" s="163"/>
      <c r="B7104" s="164"/>
      <c r="C7104" s="164"/>
      <c r="D7104" s="164"/>
      <c r="E7104" s="164"/>
      <c r="F7104" s="165"/>
    </row>
    <row r="7105" spans="1:6" x14ac:dyDescent="0.2">
      <c r="A7105" s="166"/>
      <c r="B7105" s="167"/>
      <c r="C7105" s="167"/>
      <c r="D7105" s="167"/>
      <c r="E7105" s="167"/>
      <c r="F7105" s="168"/>
    </row>
    <row r="7106" spans="1:6" x14ac:dyDescent="0.2">
      <c r="A7106" s="163"/>
      <c r="B7106" s="164"/>
      <c r="C7106" s="164"/>
      <c r="D7106" s="164"/>
      <c r="E7106" s="164"/>
      <c r="F7106" s="165"/>
    </row>
    <row r="7107" spans="1:6" x14ac:dyDescent="0.2">
      <c r="A7107" s="166"/>
      <c r="B7107" s="167"/>
      <c r="C7107" s="167"/>
      <c r="D7107" s="167"/>
      <c r="E7107" s="167"/>
      <c r="F7107" s="168"/>
    </row>
    <row r="7108" spans="1:6" x14ac:dyDescent="0.2">
      <c r="A7108" s="163"/>
      <c r="B7108" s="164"/>
      <c r="C7108" s="164"/>
      <c r="D7108" s="164"/>
      <c r="E7108" s="164"/>
      <c r="F7108" s="165"/>
    </row>
    <row r="7109" spans="1:6" x14ac:dyDescent="0.2">
      <c r="A7109" s="166"/>
      <c r="B7109" s="167"/>
      <c r="C7109" s="167"/>
      <c r="D7109" s="167"/>
      <c r="E7109" s="167"/>
      <c r="F7109" s="168"/>
    </row>
    <row r="7110" spans="1:6" x14ac:dyDescent="0.2">
      <c r="A7110" s="163"/>
      <c r="B7110" s="164"/>
      <c r="C7110" s="164"/>
      <c r="D7110" s="164"/>
      <c r="E7110" s="164"/>
      <c r="F7110" s="165"/>
    </row>
    <row r="7111" spans="1:6" x14ac:dyDescent="0.2">
      <c r="A7111" s="166"/>
      <c r="B7111" s="167"/>
      <c r="C7111" s="167"/>
      <c r="D7111" s="167"/>
      <c r="E7111" s="167"/>
      <c r="F7111" s="168"/>
    </row>
    <row r="7112" spans="1:6" x14ac:dyDescent="0.2">
      <c r="A7112" s="163"/>
      <c r="B7112" s="164"/>
      <c r="C7112" s="164"/>
      <c r="D7112" s="164"/>
      <c r="E7112" s="164"/>
      <c r="F7112" s="165"/>
    </row>
    <row r="7113" spans="1:6" x14ac:dyDescent="0.2">
      <c r="A7113" s="166"/>
      <c r="B7113" s="167"/>
      <c r="C7113" s="167"/>
      <c r="D7113" s="167"/>
      <c r="E7113" s="167"/>
      <c r="F7113" s="168"/>
    </row>
    <row r="7114" spans="1:6" x14ac:dyDescent="0.2">
      <c r="A7114" s="163"/>
      <c r="B7114" s="164"/>
      <c r="C7114" s="164"/>
      <c r="D7114" s="164"/>
      <c r="E7114" s="164"/>
      <c r="F7114" s="165"/>
    </row>
    <row r="7115" spans="1:6" x14ac:dyDescent="0.2">
      <c r="A7115" s="166"/>
      <c r="B7115" s="167"/>
      <c r="C7115" s="167"/>
      <c r="D7115" s="167"/>
      <c r="E7115" s="167"/>
      <c r="F7115" s="168"/>
    </row>
    <row r="7116" spans="1:6" x14ac:dyDescent="0.2">
      <c r="A7116" s="163"/>
      <c r="B7116" s="164"/>
      <c r="C7116" s="164"/>
      <c r="D7116" s="164"/>
      <c r="E7116" s="164"/>
      <c r="F7116" s="165"/>
    </row>
    <row r="7117" spans="1:6" x14ac:dyDescent="0.2">
      <c r="A7117" s="166"/>
      <c r="B7117" s="167"/>
      <c r="C7117" s="167"/>
      <c r="D7117" s="167"/>
      <c r="E7117" s="167"/>
      <c r="F7117" s="168"/>
    </row>
    <row r="7118" spans="1:6" x14ac:dyDescent="0.2">
      <c r="A7118" s="163"/>
      <c r="B7118" s="164"/>
      <c r="C7118" s="164"/>
      <c r="D7118" s="164"/>
      <c r="E7118" s="164"/>
      <c r="F7118" s="165"/>
    </row>
    <row r="7119" spans="1:6" x14ac:dyDescent="0.2">
      <c r="A7119" s="166"/>
      <c r="B7119" s="167"/>
      <c r="C7119" s="167"/>
      <c r="D7119" s="167"/>
      <c r="E7119" s="167"/>
      <c r="F7119" s="168"/>
    </row>
    <row r="7120" spans="1:6" x14ac:dyDescent="0.2">
      <c r="A7120" s="163"/>
      <c r="B7120" s="164"/>
      <c r="C7120" s="164"/>
      <c r="D7120" s="164"/>
      <c r="E7120" s="164"/>
      <c r="F7120" s="165"/>
    </row>
    <row r="7121" spans="1:6" x14ac:dyDescent="0.2">
      <c r="A7121" s="166"/>
      <c r="B7121" s="167"/>
      <c r="C7121" s="167"/>
      <c r="D7121" s="167"/>
      <c r="E7121" s="167"/>
      <c r="F7121" s="168"/>
    </row>
    <row r="7122" spans="1:6" x14ac:dyDescent="0.2">
      <c r="A7122" s="163"/>
      <c r="B7122" s="164"/>
      <c r="C7122" s="164"/>
      <c r="D7122" s="164"/>
      <c r="E7122" s="164"/>
      <c r="F7122" s="165"/>
    </row>
    <row r="7123" spans="1:6" x14ac:dyDescent="0.2">
      <c r="A7123" s="166"/>
      <c r="B7123" s="167"/>
      <c r="C7123" s="167"/>
      <c r="D7123" s="167"/>
      <c r="E7123" s="167"/>
      <c r="F7123" s="168"/>
    </row>
    <row r="7124" spans="1:6" x14ac:dyDescent="0.2">
      <c r="A7124" s="163"/>
      <c r="B7124" s="164"/>
      <c r="C7124" s="164"/>
      <c r="D7124" s="164"/>
      <c r="E7124" s="164"/>
      <c r="F7124" s="165"/>
    </row>
    <row r="7125" spans="1:6" x14ac:dyDescent="0.2">
      <c r="A7125" s="166"/>
      <c r="B7125" s="167"/>
      <c r="C7125" s="167"/>
      <c r="D7125" s="167"/>
      <c r="E7125" s="167"/>
      <c r="F7125" s="168"/>
    </row>
    <row r="7126" spans="1:6" x14ac:dyDescent="0.2">
      <c r="A7126" s="163"/>
      <c r="B7126" s="164"/>
      <c r="C7126" s="164"/>
      <c r="D7126" s="164"/>
      <c r="E7126" s="164"/>
      <c r="F7126" s="165"/>
    </row>
    <row r="7127" spans="1:6" x14ac:dyDescent="0.2">
      <c r="A7127" s="166"/>
      <c r="B7127" s="167"/>
      <c r="C7127" s="167"/>
      <c r="D7127" s="167"/>
      <c r="E7127" s="167"/>
      <c r="F7127" s="168"/>
    </row>
    <row r="7128" spans="1:6" x14ac:dyDescent="0.2">
      <c r="A7128" s="163"/>
      <c r="B7128" s="164"/>
      <c r="C7128" s="164"/>
      <c r="D7128" s="164"/>
      <c r="E7128" s="164"/>
      <c r="F7128" s="165"/>
    </row>
    <row r="7129" spans="1:6" x14ac:dyDescent="0.2">
      <c r="A7129" s="166"/>
      <c r="B7129" s="167"/>
      <c r="C7129" s="167"/>
      <c r="D7129" s="167"/>
      <c r="E7129" s="167"/>
      <c r="F7129" s="168"/>
    </row>
    <row r="7130" spans="1:6" x14ac:dyDescent="0.2">
      <c r="A7130" s="163"/>
      <c r="B7130" s="164"/>
      <c r="C7130" s="164"/>
      <c r="D7130" s="164"/>
      <c r="E7130" s="164"/>
      <c r="F7130" s="165"/>
    </row>
    <row r="7131" spans="1:6" x14ac:dyDescent="0.2">
      <c r="A7131" s="166"/>
      <c r="B7131" s="167"/>
      <c r="C7131" s="167"/>
      <c r="D7131" s="167"/>
      <c r="E7131" s="167"/>
      <c r="F7131" s="168"/>
    </row>
    <row r="7132" spans="1:6" x14ac:dyDescent="0.2">
      <c r="A7132" s="163"/>
      <c r="B7132" s="164"/>
      <c r="C7132" s="164"/>
      <c r="D7132" s="164"/>
      <c r="E7132" s="164"/>
      <c r="F7132" s="165"/>
    </row>
    <row r="7133" spans="1:6" x14ac:dyDescent="0.2">
      <c r="A7133" s="166"/>
      <c r="B7133" s="167"/>
      <c r="C7133" s="167"/>
      <c r="D7133" s="167"/>
      <c r="E7133" s="167"/>
      <c r="F7133" s="168"/>
    </row>
    <row r="7134" spans="1:6" x14ac:dyDescent="0.2">
      <c r="A7134" s="163"/>
      <c r="B7134" s="164"/>
      <c r="C7134" s="164"/>
      <c r="D7134" s="164"/>
      <c r="E7134" s="164"/>
      <c r="F7134" s="165"/>
    </row>
    <row r="7135" spans="1:6" x14ac:dyDescent="0.2">
      <c r="A7135" s="166"/>
      <c r="B7135" s="167"/>
      <c r="C7135" s="167"/>
      <c r="D7135" s="167"/>
      <c r="E7135" s="167"/>
      <c r="F7135" s="168"/>
    </row>
    <row r="7136" spans="1:6" x14ac:dyDescent="0.2">
      <c r="A7136" s="163"/>
      <c r="B7136" s="164"/>
      <c r="C7136" s="164"/>
      <c r="D7136" s="164"/>
      <c r="E7136" s="164"/>
      <c r="F7136" s="165"/>
    </row>
    <row r="7137" spans="1:6" x14ac:dyDescent="0.2">
      <c r="A7137" s="166"/>
      <c r="B7137" s="167"/>
      <c r="C7137" s="167"/>
      <c r="D7137" s="167"/>
      <c r="E7137" s="167"/>
      <c r="F7137" s="168"/>
    </row>
    <row r="7138" spans="1:6" x14ac:dyDescent="0.2">
      <c r="A7138" s="163"/>
      <c r="B7138" s="164"/>
      <c r="C7138" s="164"/>
      <c r="D7138" s="164"/>
      <c r="E7138" s="164"/>
      <c r="F7138" s="165"/>
    </row>
    <row r="7139" spans="1:6" x14ac:dyDescent="0.2">
      <c r="A7139" s="166"/>
      <c r="B7139" s="167"/>
      <c r="C7139" s="167"/>
      <c r="D7139" s="167"/>
      <c r="E7139" s="167"/>
      <c r="F7139" s="168"/>
    </row>
    <row r="7140" spans="1:6" x14ac:dyDescent="0.2">
      <c r="A7140" s="163"/>
      <c r="B7140" s="164"/>
      <c r="C7140" s="164"/>
      <c r="D7140" s="164"/>
      <c r="E7140" s="164"/>
      <c r="F7140" s="165"/>
    </row>
    <row r="7141" spans="1:6" x14ac:dyDescent="0.2">
      <c r="A7141" s="166"/>
      <c r="B7141" s="167"/>
      <c r="C7141" s="167"/>
      <c r="D7141" s="167"/>
      <c r="E7141" s="167"/>
      <c r="F7141" s="168"/>
    </row>
    <row r="7142" spans="1:6" x14ac:dyDescent="0.2">
      <c r="A7142" s="163"/>
      <c r="B7142" s="164"/>
      <c r="C7142" s="164"/>
      <c r="D7142" s="164"/>
      <c r="E7142" s="164"/>
      <c r="F7142" s="165"/>
    </row>
    <row r="7143" spans="1:6" x14ac:dyDescent="0.2">
      <c r="A7143" s="166"/>
      <c r="B7143" s="167"/>
      <c r="C7143" s="167"/>
      <c r="D7143" s="167"/>
      <c r="E7143" s="167"/>
      <c r="F7143" s="168"/>
    </row>
    <row r="7144" spans="1:6" x14ac:dyDescent="0.2">
      <c r="A7144" s="163"/>
      <c r="B7144" s="164"/>
      <c r="C7144" s="164"/>
      <c r="D7144" s="164"/>
      <c r="E7144" s="164"/>
      <c r="F7144" s="165"/>
    </row>
    <row r="7145" spans="1:6" x14ac:dyDescent="0.2">
      <c r="A7145" s="166"/>
      <c r="B7145" s="167"/>
      <c r="C7145" s="167"/>
      <c r="D7145" s="167"/>
      <c r="E7145" s="167"/>
      <c r="F7145" s="168"/>
    </row>
    <row r="7146" spans="1:6" x14ac:dyDescent="0.2">
      <c r="A7146" s="163"/>
      <c r="B7146" s="164"/>
      <c r="C7146" s="164"/>
      <c r="D7146" s="164"/>
      <c r="E7146" s="164"/>
      <c r="F7146" s="165"/>
    </row>
    <row r="7147" spans="1:6" x14ac:dyDescent="0.2">
      <c r="A7147" s="166"/>
      <c r="B7147" s="167"/>
      <c r="C7147" s="167"/>
      <c r="D7147" s="167"/>
      <c r="E7147" s="167"/>
      <c r="F7147" s="168"/>
    </row>
    <row r="7148" spans="1:6" x14ac:dyDescent="0.2">
      <c r="A7148" s="163"/>
      <c r="B7148" s="164"/>
      <c r="C7148" s="164"/>
      <c r="D7148" s="164"/>
      <c r="E7148" s="164"/>
      <c r="F7148" s="165"/>
    </row>
    <row r="7149" spans="1:6" x14ac:dyDescent="0.2">
      <c r="A7149" s="166"/>
      <c r="B7149" s="167"/>
      <c r="C7149" s="167"/>
      <c r="D7149" s="167"/>
      <c r="E7149" s="167"/>
      <c r="F7149" s="168"/>
    </row>
    <row r="7150" spans="1:6" x14ac:dyDescent="0.2">
      <c r="A7150" s="163"/>
      <c r="B7150" s="164"/>
      <c r="C7150" s="164"/>
      <c r="D7150" s="164"/>
      <c r="E7150" s="164"/>
      <c r="F7150" s="165"/>
    </row>
    <row r="7151" spans="1:6" x14ac:dyDescent="0.2">
      <c r="A7151" s="166"/>
      <c r="B7151" s="167"/>
      <c r="C7151" s="167"/>
      <c r="D7151" s="167"/>
      <c r="E7151" s="167"/>
      <c r="F7151" s="168"/>
    </row>
    <row r="7152" spans="1:6" x14ac:dyDescent="0.2">
      <c r="A7152" s="163"/>
      <c r="B7152" s="164"/>
      <c r="C7152" s="164"/>
      <c r="D7152" s="164"/>
      <c r="E7152" s="164"/>
      <c r="F7152" s="165"/>
    </row>
    <row r="7153" spans="1:6" x14ac:dyDescent="0.2">
      <c r="A7153" s="166"/>
      <c r="B7153" s="167"/>
      <c r="C7153" s="167"/>
      <c r="D7153" s="167"/>
      <c r="E7153" s="167"/>
      <c r="F7153" s="168"/>
    </row>
    <row r="7154" spans="1:6" x14ac:dyDescent="0.2">
      <c r="A7154" s="163"/>
      <c r="B7154" s="164"/>
      <c r="C7154" s="164"/>
      <c r="D7154" s="164"/>
      <c r="E7154" s="164"/>
      <c r="F7154" s="165"/>
    </row>
    <row r="7155" spans="1:6" x14ac:dyDescent="0.2">
      <c r="A7155" s="166"/>
      <c r="B7155" s="167"/>
      <c r="C7155" s="167"/>
      <c r="D7155" s="167"/>
      <c r="E7155" s="167"/>
      <c r="F7155" s="168"/>
    </row>
    <row r="7156" spans="1:6" x14ac:dyDescent="0.2">
      <c r="A7156" s="163"/>
      <c r="B7156" s="164"/>
      <c r="C7156" s="164"/>
      <c r="D7156" s="164"/>
      <c r="E7156" s="164"/>
      <c r="F7156" s="165"/>
    </row>
    <row r="7157" spans="1:6" x14ac:dyDescent="0.2">
      <c r="A7157" s="166"/>
      <c r="B7157" s="167"/>
      <c r="C7157" s="167"/>
      <c r="D7157" s="167"/>
      <c r="E7157" s="167"/>
      <c r="F7157" s="168"/>
    </row>
    <row r="7158" spans="1:6" x14ac:dyDescent="0.2">
      <c r="A7158" s="163"/>
      <c r="B7158" s="164"/>
      <c r="C7158" s="164"/>
      <c r="D7158" s="164"/>
      <c r="E7158" s="164"/>
      <c r="F7158" s="165"/>
    </row>
    <row r="7159" spans="1:6" x14ac:dyDescent="0.2">
      <c r="A7159" s="166"/>
      <c r="B7159" s="167"/>
      <c r="C7159" s="167"/>
      <c r="D7159" s="167"/>
      <c r="E7159" s="167"/>
      <c r="F7159" s="168"/>
    </row>
    <row r="7160" spans="1:6" x14ac:dyDescent="0.2">
      <c r="A7160" s="163"/>
      <c r="B7160" s="164"/>
      <c r="C7160" s="164"/>
      <c r="D7160" s="164"/>
      <c r="E7160" s="164"/>
      <c r="F7160" s="165"/>
    </row>
    <row r="7161" spans="1:6" x14ac:dyDescent="0.2">
      <c r="A7161" s="166"/>
      <c r="B7161" s="167"/>
      <c r="C7161" s="167"/>
      <c r="D7161" s="167"/>
      <c r="E7161" s="167"/>
      <c r="F7161" s="168"/>
    </row>
    <row r="7162" spans="1:6" x14ac:dyDescent="0.2">
      <c r="A7162" s="163"/>
      <c r="B7162" s="164"/>
      <c r="C7162" s="164"/>
      <c r="D7162" s="164"/>
      <c r="E7162" s="164"/>
      <c r="F7162" s="165"/>
    </row>
    <row r="7163" spans="1:6" x14ac:dyDescent="0.2">
      <c r="A7163" s="166"/>
      <c r="B7163" s="167"/>
      <c r="C7163" s="167"/>
      <c r="D7163" s="167"/>
      <c r="E7163" s="167"/>
      <c r="F7163" s="168"/>
    </row>
    <row r="7164" spans="1:6" x14ac:dyDescent="0.2">
      <c r="A7164" s="163"/>
      <c r="B7164" s="164"/>
      <c r="C7164" s="164"/>
      <c r="D7164" s="164"/>
      <c r="E7164" s="164"/>
      <c r="F7164" s="165"/>
    </row>
    <row r="7165" spans="1:6" x14ac:dyDescent="0.2">
      <c r="A7165" s="166"/>
      <c r="B7165" s="167"/>
      <c r="C7165" s="167"/>
      <c r="D7165" s="167"/>
      <c r="E7165" s="167"/>
      <c r="F7165" s="168"/>
    </row>
    <row r="7166" spans="1:6" x14ac:dyDescent="0.2">
      <c r="A7166" s="163"/>
      <c r="B7166" s="164"/>
      <c r="C7166" s="164"/>
      <c r="D7166" s="164"/>
      <c r="E7166" s="164"/>
      <c r="F7166" s="165"/>
    </row>
    <row r="7167" spans="1:6" x14ac:dyDescent="0.2">
      <c r="A7167" s="166"/>
      <c r="B7167" s="167"/>
      <c r="C7167" s="167"/>
      <c r="D7167" s="167"/>
      <c r="E7167" s="167"/>
      <c r="F7167" s="168"/>
    </row>
    <row r="7168" spans="1:6" x14ac:dyDescent="0.2">
      <c r="A7168" s="163"/>
      <c r="B7168" s="164"/>
      <c r="C7168" s="164"/>
      <c r="D7168" s="164"/>
      <c r="E7168" s="164"/>
      <c r="F7168" s="165"/>
    </row>
    <row r="7169" spans="1:6" x14ac:dyDescent="0.2">
      <c r="A7169" s="166"/>
      <c r="B7169" s="167"/>
      <c r="C7169" s="167"/>
      <c r="D7169" s="167"/>
      <c r="E7169" s="167"/>
      <c r="F7169" s="168"/>
    </row>
    <row r="7170" spans="1:6" x14ac:dyDescent="0.2">
      <c r="A7170" s="163"/>
      <c r="B7170" s="164"/>
      <c r="C7170" s="164"/>
      <c r="D7170" s="164"/>
      <c r="E7170" s="164"/>
      <c r="F7170" s="165"/>
    </row>
    <row r="7171" spans="1:6" x14ac:dyDescent="0.2">
      <c r="A7171" s="166"/>
      <c r="B7171" s="167"/>
      <c r="C7171" s="167"/>
      <c r="D7171" s="167"/>
      <c r="E7171" s="167"/>
      <c r="F7171" s="168"/>
    </row>
    <row r="7172" spans="1:6" x14ac:dyDescent="0.2">
      <c r="A7172" s="163"/>
      <c r="B7172" s="164"/>
      <c r="C7172" s="164"/>
      <c r="D7172" s="164"/>
      <c r="E7172" s="164"/>
      <c r="F7172" s="165"/>
    </row>
    <row r="7173" spans="1:6" x14ac:dyDescent="0.2">
      <c r="A7173" s="166"/>
      <c r="B7173" s="167"/>
      <c r="C7173" s="167"/>
      <c r="D7173" s="167"/>
      <c r="E7173" s="167"/>
      <c r="F7173" s="168"/>
    </row>
    <row r="7174" spans="1:6" x14ac:dyDescent="0.2">
      <c r="A7174" s="163"/>
      <c r="B7174" s="164"/>
      <c r="C7174" s="164"/>
      <c r="D7174" s="164"/>
      <c r="E7174" s="164"/>
      <c r="F7174" s="165"/>
    </row>
    <row r="7175" spans="1:6" x14ac:dyDescent="0.2">
      <c r="A7175" s="166"/>
      <c r="B7175" s="167"/>
      <c r="C7175" s="167"/>
      <c r="D7175" s="167"/>
      <c r="E7175" s="167"/>
      <c r="F7175" s="168"/>
    </row>
    <row r="7176" spans="1:6" x14ac:dyDescent="0.2">
      <c r="A7176" s="163"/>
      <c r="B7176" s="164"/>
      <c r="C7176" s="164"/>
      <c r="D7176" s="164"/>
      <c r="E7176" s="164"/>
      <c r="F7176" s="165"/>
    </row>
    <row r="7177" spans="1:6" x14ac:dyDescent="0.2">
      <c r="A7177" s="166"/>
      <c r="B7177" s="167"/>
      <c r="C7177" s="167"/>
      <c r="D7177" s="167"/>
      <c r="E7177" s="167"/>
      <c r="F7177" s="168"/>
    </row>
    <row r="7178" spans="1:6" x14ac:dyDescent="0.2">
      <c r="A7178" s="163"/>
      <c r="B7178" s="164"/>
      <c r="C7178" s="164"/>
      <c r="D7178" s="164"/>
      <c r="E7178" s="164"/>
      <c r="F7178" s="165"/>
    </row>
    <row r="7179" spans="1:6" x14ac:dyDescent="0.2">
      <c r="A7179" s="166"/>
      <c r="B7179" s="167"/>
      <c r="C7179" s="167"/>
      <c r="D7179" s="167"/>
      <c r="E7179" s="167"/>
      <c r="F7179" s="168"/>
    </row>
    <row r="7180" spans="1:6" x14ac:dyDescent="0.2">
      <c r="A7180" s="163"/>
      <c r="B7180" s="164"/>
      <c r="C7180" s="164"/>
      <c r="D7180" s="164"/>
      <c r="E7180" s="164"/>
      <c r="F7180" s="165"/>
    </row>
    <row r="7181" spans="1:6" x14ac:dyDescent="0.2">
      <c r="A7181" s="166"/>
      <c r="B7181" s="167"/>
      <c r="C7181" s="167"/>
      <c r="D7181" s="167"/>
      <c r="E7181" s="167"/>
      <c r="F7181" s="168"/>
    </row>
    <row r="7182" spans="1:6" x14ac:dyDescent="0.2">
      <c r="A7182" s="163"/>
      <c r="B7182" s="164"/>
      <c r="C7182" s="164"/>
      <c r="D7182" s="164"/>
      <c r="E7182" s="164"/>
      <c r="F7182" s="165"/>
    </row>
    <row r="7183" spans="1:6" x14ac:dyDescent="0.2">
      <c r="A7183" s="166"/>
      <c r="B7183" s="167"/>
      <c r="C7183" s="167"/>
      <c r="D7183" s="167"/>
      <c r="E7183" s="167"/>
      <c r="F7183" s="168"/>
    </row>
    <row r="7184" spans="1:6" x14ac:dyDescent="0.2">
      <c r="A7184" s="163"/>
      <c r="B7184" s="164"/>
      <c r="C7184" s="164"/>
      <c r="D7184" s="164"/>
      <c r="E7184" s="164"/>
      <c r="F7184" s="165"/>
    </row>
    <row r="7185" spans="1:6" x14ac:dyDescent="0.2">
      <c r="A7185" s="166"/>
      <c r="B7185" s="167"/>
      <c r="C7185" s="167"/>
      <c r="D7185" s="167"/>
      <c r="E7185" s="167"/>
      <c r="F7185" s="168"/>
    </row>
    <row r="7186" spans="1:6" x14ac:dyDescent="0.2">
      <c r="A7186" s="163"/>
      <c r="B7186" s="164"/>
      <c r="C7186" s="164"/>
      <c r="D7186" s="164"/>
      <c r="E7186" s="164"/>
      <c r="F7186" s="165"/>
    </row>
    <row r="7187" spans="1:6" x14ac:dyDescent="0.2">
      <c r="A7187" s="166"/>
      <c r="B7187" s="167"/>
      <c r="C7187" s="167"/>
      <c r="D7187" s="167"/>
      <c r="E7187" s="167"/>
      <c r="F7187" s="168"/>
    </row>
    <row r="7188" spans="1:6" x14ac:dyDescent="0.2">
      <c r="A7188" s="163"/>
      <c r="B7188" s="164"/>
      <c r="C7188" s="164"/>
      <c r="D7188" s="164"/>
      <c r="E7188" s="164"/>
      <c r="F7188" s="165"/>
    </row>
    <row r="7189" spans="1:6" x14ac:dyDescent="0.2">
      <c r="A7189" s="166"/>
      <c r="B7189" s="167"/>
      <c r="C7189" s="167"/>
      <c r="D7189" s="167"/>
      <c r="E7189" s="167"/>
      <c r="F7189" s="168"/>
    </row>
    <row r="7190" spans="1:6" x14ac:dyDescent="0.2">
      <c r="A7190" s="163"/>
      <c r="B7190" s="164"/>
      <c r="C7190" s="164"/>
      <c r="D7190" s="164"/>
      <c r="E7190" s="164"/>
      <c r="F7190" s="165"/>
    </row>
    <row r="7191" spans="1:6" x14ac:dyDescent="0.2">
      <c r="A7191" s="166"/>
      <c r="B7191" s="167"/>
      <c r="C7191" s="167"/>
      <c r="D7191" s="167"/>
      <c r="E7191" s="167"/>
      <c r="F7191" s="168"/>
    </row>
    <row r="7192" spans="1:6" x14ac:dyDescent="0.2">
      <c r="A7192" s="163"/>
      <c r="B7192" s="164"/>
      <c r="C7192" s="164"/>
      <c r="D7192" s="164"/>
      <c r="E7192" s="164"/>
      <c r="F7192" s="165"/>
    </row>
    <row r="7193" spans="1:6" x14ac:dyDescent="0.2">
      <c r="A7193" s="166"/>
      <c r="B7193" s="167"/>
      <c r="C7193" s="167"/>
      <c r="D7193" s="167"/>
      <c r="E7193" s="167"/>
      <c r="F7193" s="168"/>
    </row>
    <row r="7194" spans="1:6" x14ac:dyDescent="0.2">
      <c r="A7194" s="163"/>
      <c r="B7194" s="164"/>
      <c r="C7194" s="164"/>
      <c r="D7194" s="164"/>
      <c r="E7194" s="164"/>
      <c r="F7194" s="165"/>
    </row>
    <row r="7195" spans="1:6" x14ac:dyDescent="0.2">
      <c r="A7195" s="166"/>
      <c r="B7195" s="167"/>
      <c r="C7195" s="167"/>
      <c r="D7195" s="167"/>
      <c r="E7195" s="167"/>
      <c r="F7195" s="168"/>
    </row>
    <row r="7196" spans="1:6" x14ac:dyDescent="0.2">
      <c r="A7196" s="163"/>
      <c r="B7196" s="164"/>
      <c r="C7196" s="164"/>
      <c r="D7196" s="164"/>
      <c r="E7196" s="164"/>
      <c r="F7196" s="165"/>
    </row>
    <row r="7197" spans="1:6" x14ac:dyDescent="0.2">
      <c r="A7197" s="166"/>
      <c r="B7197" s="167"/>
      <c r="C7197" s="167"/>
      <c r="D7197" s="167"/>
      <c r="E7197" s="167"/>
      <c r="F7197" s="168"/>
    </row>
    <row r="7198" spans="1:6" x14ac:dyDescent="0.2">
      <c r="A7198" s="163"/>
      <c r="B7198" s="164"/>
      <c r="C7198" s="164"/>
      <c r="D7198" s="164"/>
      <c r="E7198" s="164"/>
      <c r="F7198" s="165"/>
    </row>
    <row r="7199" spans="1:6" x14ac:dyDescent="0.2">
      <c r="A7199" s="166"/>
      <c r="B7199" s="167"/>
      <c r="C7199" s="167"/>
      <c r="D7199" s="167"/>
      <c r="E7199" s="167"/>
      <c r="F7199" s="168"/>
    </row>
    <row r="7200" spans="1:6" x14ac:dyDescent="0.2">
      <c r="A7200" s="163"/>
      <c r="B7200" s="164"/>
      <c r="C7200" s="164"/>
      <c r="D7200" s="164"/>
      <c r="E7200" s="164"/>
      <c r="F7200" s="165"/>
    </row>
    <row r="7201" spans="1:6" x14ac:dyDescent="0.2">
      <c r="A7201" s="166"/>
      <c r="B7201" s="167"/>
      <c r="C7201" s="167"/>
      <c r="D7201" s="167"/>
      <c r="E7201" s="167"/>
      <c r="F7201" s="168"/>
    </row>
    <row r="7202" spans="1:6" x14ac:dyDescent="0.2">
      <c r="A7202" s="163"/>
      <c r="B7202" s="164"/>
      <c r="C7202" s="164"/>
      <c r="D7202" s="164"/>
      <c r="E7202" s="164"/>
      <c r="F7202" s="165"/>
    </row>
    <row r="7203" spans="1:6" x14ac:dyDescent="0.2">
      <c r="A7203" s="166"/>
      <c r="B7203" s="167"/>
      <c r="C7203" s="167"/>
      <c r="D7203" s="167"/>
      <c r="E7203" s="167"/>
      <c r="F7203" s="168"/>
    </row>
    <row r="7204" spans="1:6" x14ac:dyDescent="0.2">
      <c r="A7204" s="163"/>
      <c r="B7204" s="164"/>
      <c r="C7204" s="164"/>
      <c r="D7204" s="164"/>
      <c r="E7204" s="164"/>
      <c r="F7204" s="165"/>
    </row>
    <row r="7205" spans="1:6" x14ac:dyDescent="0.2">
      <c r="A7205" s="166"/>
      <c r="B7205" s="167"/>
      <c r="C7205" s="167"/>
      <c r="D7205" s="167"/>
      <c r="E7205" s="167"/>
      <c r="F7205" s="168"/>
    </row>
    <row r="7206" spans="1:6" x14ac:dyDescent="0.2">
      <c r="A7206" s="163"/>
      <c r="B7206" s="164"/>
      <c r="C7206" s="164"/>
      <c r="D7206" s="164"/>
      <c r="E7206" s="164"/>
      <c r="F7206" s="165"/>
    </row>
    <row r="7207" spans="1:6" x14ac:dyDescent="0.2">
      <c r="A7207" s="166"/>
      <c r="B7207" s="167"/>
      <c r="C7207" s="167"/>
      <c r="D7207" s="167"/>
      <c r="E7207" s="167"/>
      <c r="F7207" s="168"/>
    </row>
    <row r="7208" spans="1:6" x14ac:dyDescent="0.2">
      <c r="A7208" s="163"/>
      <c r="B7208" s="164"/>
      <c r="C7208" s="164"/>
      <c r="D7208" s="164"/>
      <c r="E7208" s="164"/>
      <c r="F7208" s="165"/>
    </row>
    <row r="7209" spans="1:6" x14ac:dyDescent="0.2">
      <c r="A7209" s="166"/>
      <c r="B7209" s="167"/>
      <c r="C7209" s="167"/>
      <c r="D7209" s="167"/>
      <c r="E7209" s="167"/>
      <c r="F7209" s="168"/>
    </row>
    <row r="7210" spans="1:6" x14ac:dyDescent="0.2">
      <c r="A7210" s="163"/>
      <c r="B7210" s="164"/>
      <c r="C7210" s="164"/>
      <c r="D7210" s="164"/>
      <c r="E7210" s="164"/>
      <c r="F7210" s="165"/>
    </row>
    <row r="7211" spans="1:6" x14ac:dyDescent="0.2">
      <c r="A7211" s="166"/>
      <c r="B7211" s="167"/>
      <c r="C7211" s="167"/>
      <c r="D7211" s="167"/>
      <c r="E7211" s="167"/>
      <c r="F7211" s="168"/>
    </row>
    <row r="7212" spans="1:6" x14ac:dyDescent="0.2">
      <c r="A7212" s="163"/>
      <c r="B7212" s="164"/>
      <c r="C7212" s="164"/>
      <c r="D7212" s="164"/>
      <c r="E7212" s="164"/>
      <c r="F7212" s="165"/>
    </row>
    <row r="7213" spans="1:6" x14ac:dyDescent="0.2">
      <c r="A7213" s="166"/>
      <c r="B7213" s="167"/>
      <c r="C7213" s="167"/>
      <c r="D7213" s="167"/>
      <c r="E7213" s="167"/>
      <c r="F7213" s="168"/>
    </row>
    <row r="7214" spans="1:6" x14ac:dyDescent="0.2">
      <c r="A7214" s="163"/>
      <c r="B7214" s="164"/>
      <c r="C7214" s="164"/>
      <c r="D7214" s="164"/>
      <c r="E7214" s="164"/>
      <c r="F7214" s="165"/>
    </row>
    <row r="7215" spans="1:6" x14ac:dyDescent="0.2">
      <c r="A7215" s="166"/>
      <c r="B7215" s="167"/>
      <c r="C7215" s="167"/>
      <c r="D7215" s="167"/>
      <c r="E7215" s="167"/>
      <c r="F7215" s="168"/>
    </row>
    <row r="7216" spans="1:6" x14ac:dyDescent="0.2">
      <c r="A7216" s="163"/>
      <c r="B7216" s="164"/>
      <c r="C7216" s="164"/>
      <c r="D7216" s="164"/>
      <c r="E7216" s="164"/>
      <c r="F7216" s="165"/>
    </row>
    <row r="7217" spans="1:6" x14ac:dyDescent="0.2">
      <c r="A7217" s="166"/>
      <c r="B7217" s="167"/>
      <c r="C7217" s="167"/>
      <c r="D7217" s="167"/>
      <c r="E7217" s="167"/>
      <c r="F7217" s="168"/>
    </row>
    <row r="7218" spans="1:6" x14ac:dyDescent="0.2">
      <c r="A7218" s="163"/>
      <c r="B7218" s="164"/>
      <c r="C7218" s="164"/>
      <c r="D7218" s="164"/>
      <c r="E7218" s="164"/>
      <c r="F7218" s="165"/>
    </row>
    <row r="7219" spans="1:6" x14ac:dyDescent="0.2">
      <c r="A7219" s="166"/>
      <c r="B7219" s="167"/>
      <c r="C7219" s="167"/>
      <c r="D7219" s="167"/>
      <c r="E7219" s="167"/>
      <c r="F7219" s="168"/>
    </row>
    <row r="7220" spans="1:6" x14ac:dyDescent="0.2">
      <c r="A7220" s="163"/>
      <c r="B7220" s="164"/>
      <c r="C7220" s="164"/>
      <c r="D7220" s="164"/>
      <c r="E7220" s="164"/>
      <c r="F7220" s="165"/>
    </row>
    <row r="7221" spans="1:6" x14ac:dyDescent="0.2">
      <c r="A7221" s="166"/>
      <c r="B7221" s="167"/>
      <c r="C7221" s="167"/>
      <c r="D7221" s="167"/>
      <c r="E7221" s="167"/>
      <c r="F7221" s="168"/>
    </row>
    <row r="7222" spans="1:6" x14ac:dyDescent="0.2">
      <c r="A7222" s="163"/>
      <c r="B7222" s="164"/>
      <c r="C7222" s="164"/>
      <c r="D7222" s="164"/>
      <c r="E7222" s="164"/>
      <c r="F7222" s="165"/>
    </row>
    <row r="7223" spans="1:6" x14ac:dyDescent="0.2">
      <c r="A7223" s="166"/>
      <c r="B7223" s="167"/>
      <c r="C7223" s="167"/>
      <c r="D7223" s="167"/>
      <c r="E7223" s="167"/>
      <c r="F7223" s="168"/>
    </row>
    <row r="7224" spans="1:6" x14ac:dyDescent="0.2">
      <c r="A7224" s="163"/>
      <c r="B7224" s="164"/>
      <c r="C7224" s="164"/>
      <c r="D7224" s="164"/>
      <c r="E7224" s="164"/>
      <c r="F7224" s="165"/>
    </row>
    <row r="7225" spans="1:6" x14ac:dyDescent="0.2">
      <c r="A7225" s="166"/>
      <c r="B7225" s="167"/>
      <c r="C7225" s="167"/>
      <c r="D7225" s="167"/>
      <c r="E7225" s="167"/>
      <c r="F7225" s="168"/>
    </row>
    <row r="7226" spans="1:6" x14ac:dyDescent="0.2">
      <c r="A7226" s="163"/>
      <c r="B7226" s="164"/>
      <c r="C7226" s="164"/>
      <c r="D7226" s="164"/>
      <c r="E7226" s="164"/>
      <c r="F7226" s="165"/>
    </row>
    <row r="7227" spans="1:6" x14ac:dyDescent="0.2">
      <c r="A7227" s="166"/>
      <c r="B7227" s="167"/>
      <c r="C7227" s="167"/>
      <c r="D7227" s="167"/>
      <c r="E7227" s="167"/>
      <c r="F7227" s="168"/>
    </row>
    <row r="7228" spans="1:6" x14ac:dyDescent="0.2">
      <c r="A7228" s="163"/>
      <c r="B7228" s="164"/>
      <c r="C7228" s="164"/>
      <c r="D7228" s="164"/>
      <c r="E7228" s="164"/>
      <c r="F7228" s="165"/>
    </row>
    <row r="7229" spans="1:6" x14ac:dyDescent="0.2">
      <c r="A7229" s="166"/>
      <c r="B7229" s="167"/>
      <c r="C7229" s="167"/>
      <c r="D7229" s="167"/>
      <c r="E7229" s="167"/>
      <c r="F7229" s="168"/>
    </row>
    <row r="7230" spans="1:6" x14ac:dyDescent="0.2">
      <c r="A7230" s="163"/>
      <c r="B7230" s="164"/>
      <c r="C7230" s="164"/>
      <c r="D7230" s="164"/>
      <c r="E7230" s="164"/>
      <c r="F7230" s="165"/>
    </row>
    <row r="7231" spans="1:6" x14ac:dyDescent="0.2">
      <c r="A7231" s="166"/>
      <c r="B7231" s="167"/>
      <c r="C7231" s="167"/>
      <c r="D7231" s="167"/>
      <c r="E7231" s="167"/>
      <c r="F7231" s="168"/>
    </row>
    <row r="7232" spans="1:6" x14ac:dyDescent="0.2">
      <c r="A7232" s="163"/>
      <c r="B7232" s="164"/>
      <c r="C7232" s="164"/>
      <c r="D7232" s="164"/>
      <c r="E7232" s="164"/>
      <c r="F7232" s="165"/>
    </row>
    <row r="7233" spans="1:6" x14ac:dyDescent="0.2">
      <c r="A7233" s="166"/>
      <c r="B7233" s="167"/>
      <c r="C7233" s="167"/>
      <c r="D7233" s="167"/>
      <c r="E7233" s="167"/>
      <c r="F7233" s="168"/>
    </row>
    <row r="7234" spans="1:6" x14ac:dyDescent="0.2">
      <c r="A7234" s="163"/>
      <c r="B7234" s="164"/>
      <c r="C7234" s="164"/>
      <c r="D7234" s="164"/>
      <c r="E7234" s="164"/>
      <c r="F7234" s="165"/>
    </row>
    <row r="7235" spans="1:6" x14ac:dyDescent="0.2">
      <c r="A7235" s="166"/>
      <c r="B7235" s="167"/>
      <c r="C7235" s="167"/>
      <c r="D7235" s="167"/>
      <c r="E7235" s="167"/>
      <c r="F7235" s="168"/>
    </row>
    <row r="7236" spans="1:6" x14ac:dyDescent="0.2">
      <c r="A7236" s="163"/>
      <c r="B7236" s="164"/>
      <c r="C7236" s="164"/>
      <c r="D7236" s="164"/>
      <c r="E7236" s="164"/>
      <c r="F7236" s="165"/>
    </row>
    <row r="7237" spans="1:6" x14ac:dyDescent="0.2">
      <c r="A7237" s="166"/>
      <c r="B7237" s="167"/>
      <c r="C7237" s="167"/>
      <c r="D7237" s="167"/>
      <c r="E7237" s="167"/>
      <c r="F7237" s="168"/>
    </row>
    <row r="7238" spans="1:6" x14ac:dyDescent="0.2">
      <c r="A7238" s="163"/>
      <c r="B7238" s="164"/>
      <c r="C7238" s="164"/>
      <c r="D7238" s="164"/>
      <c r="E7238" s="164"/>
      <c r="F7238" s="165"/>
    </row>
    <row r="7239" spans="1:6" x14ac:dyDescent="0.2">
      <c r="A7239" s="166"/>
      <c r="B7239" s="167"/>
      <c r="C7239" s="167"/>
      <c r="D7239" s="167"/>
      <c r="E7239" s="167"/>
      <c r="F7239" s="168"/>
    </row>
    <row r="7240" spans="1:6" x14ac:dyDescent="0.2">
      <c r="A7240" s="163"/>
      <c r="B7240" s="164"/>
      <c r="C7240" s="164"/>
      <c r="D7240" s="164"/>
      <c r="E7240" s="164"/>
      <c r="F7240" s="165"/>
    </row>
    <row r="7241" spans="1:6" x14ac:dyDescent="0.2">
      <c r="A7241" s="166"/>
      <c r="B7241" s="167"/>
      <c r="C7241" s="167"/>
      <c r="D7241" s="167"/>
      <c r="E7241" s="167"/>
      <c r="F7241" s="168"/>
    </row>
    <row r="7242" spans="1:6" x14ac:dyDescent="0.2">
      <c r="A7242" s="163"/>
      <c r="B7242" s="164"/>
      <c r="C7242" s="164"/>
      <c r="D7242" s="164"/>
      <c r="E7242" s="164"/>
      <c r="F7242" s="165"/>
    </row>
    <row r="7243" spans="1:6" x14ac:dyDescent="0.2">
      <c r="A7243" s="166"/>
      <c r="B7243" s="167"/>
      <c r="C7243" s="167"/>
      <c r="D7243" s="167"/>
      <c r="E7243" s="167"/>
      <c r="F7243" s="168"/>
    </row>
    <row r="7244" spans="1:6" x14ac:dyDescent="0.2">
      <c r="A7244" s="163"/>
      <c r="B7244" s="164"/>
      <c r="C7244" s="164"/>
      <c r="D7244" s="164"/>
      <c r="E7244" s="164"/>
      <c r="F7244" s="165"/>
    </row>
    <row r="7245" spans="1:6" x14ac:dyDescent="0.2">
      <c r="A7245" s="166"/>
      <c r="B7245" s="167"/>
      <c r="C7245" s="167"/>
      <c r="D7245" s="167"/>
      <c r="E7245" s="167"/>
      <c r="F7245" s="168"/>
    </row>
    <row r="7246" spans="1:6" x14ac:dyDescent="0.2">
      <c r="A7246" s="163"/>
      <c r="B7246" s="164"/>
      <c r="C7246" s="164"/>
      <c r="D7246" s="164"/>
      <c r="E7246" s="164"/>
      <c r="F7246" s="165"/>
    </row>
    <row r="7247" spans="1:6" x14ac:dyDescent="0.2">
      <c r="A7247" s="166"/>
      <c r="B7247" s="167"/>
      <c r="C7247" s="167"/>
      <c r="D7247" s="167"/>
      <c r="E7247" s="167"/>
      <c r="F7247" s="168"/>
    </row>
    <row r="7248" spans="1:6" x14ac:dyDescent="0.2">
      <c r="E7248" s="162"/>
    </row>
    <row r="7249" spans="5:5" x14ac:dyDescent="0.2">
      <c r="E7249" s="162"/>
    </row>
    <row r="7250" spans="5:5" x14ac:dyDescent="0.2">
      <c r="E7250" s="162"/>
    </row>
    <row r="7251" spans="5:5" x14ac:dyDescent="0.2">
      <c r="E7251" s="162"/>
    </row>
    <row r="7252" spans="5:5" x14ac:dyDescent="0.2">
      <c r="E7252" s="162"/>
    </row>
    <row r="7253" spans="5:5" x14ac:dyDescent="0.2">
      <c r="E7253" s="162"/>
    </row>
    <row r="7254" spans="5:5" x14ac:dyDescent="0.2">
      <c r="E7254" s="162"/>
    </row>
    <row r="7255" spans="5:5" x14ac:dyDescent="0.2">
      <c r="E7255" s="162"/>
    </row>
    <row r="7256" spans="5:5" x14ac:dyDescent="0.2">
      <c r="E7256" s="1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1741-44CA-4B57-8C98-65BD632CEE5F}">
  <dimension ref="A1:Y877"/>
  <sheetViews>
    <sheetView workbookViewId="0">
      <selection activeCell="E17" sqref="E17"/>
    </sheetView>
  </sheetViews>
  <sheetFormatPr baseColWidth="10" defaultRowHeight="12.75" x14ac:dyDescent="0.2"/>
  <cols>
    <col min="1" max="1" width="43.42578125" bestFit="1" customWidth="1"/>
    <col min="2" max="22" width="4" bestFit="1" customWidth="1"/>
    <col min="23" max="23" width="10.140625" bestFit="1" customWidth="1"/>
    <col min="24" max="24" width="8" bestFit="1" customWidth="1"/>
  </cols>
  <sheetData>
    <row r="1" spans="1:25" ht="41.25" x14ac:dyDescent="0.25">
      <c r="A1" s="135" t="s">
        <v>1794</v>
      </c>
      <c r="B1" s="144">
        <v>46285</v>
      </c>
      <c r="C1" s="144">
        <v>46284</v>
      </c>
      <c r="D1" s="144">
        <v>46283</v>
      </c>
      <c r="E1" s="144">
        <v>46282</v>
      </c>
      <c r="F1" s="144">
        <v>46281</v>
      </c>
      <c r="G1" s="144">
        <v>46280</v>
      </c>
      <c r="H1" s="144">
        <v>46279</v>
      </c>
      <c r="I1" s="144">
        <v>46278</v>
      </c>
      <c r="J1" s="144">
        <v>46277</v>
      </c>
      <c r="K1" s="144">
        <v>46276</v>
      </c>
      <c r="L1" s="144">
        <v>46275</v>
      </c>
      <c r="M1" s="144">
        <v>46274</v>
      </c>
      <c r="N1" s="144">
        <v>46273</v>
      </c>
      <c r="O1" s="144">
        <v>46272</v>
      </c>
      <c r="P1" s="144">
        <v>46271</v>
      </c>
      <c r="Q1" s="144">
        <v>46270</v>
      </c>
      <c r="R1" s="144">
        <v>46269</v>
      </c>
      <c r="S1" s="144">
        <v>46268</v>
      </c>
      <c r="T1" s="144">
        <v>46267</v>
      </c>
      <c r="U1" s="144">
        <v>46266</v>
      </c>
      <c r="V1" s="144">
        <v>46265</v>
      </c>
      <c r="W1" s="138" t="s">
        <v>1795</v>
      </c>
      <c r="X1" s="139" t="s">
        <v>1796</v>
      </c>
      <c r="Y1" s="56" t="s">
        <v>561</v>
      </c>
    </row>
    <row r="2" spans="1:25" ht="15" x14ac:dyDescent="0.25">
      <c r="A2" s="136" t="s">
        <v>1797</v>
      </c>
      <c r="B2" s="137">
        <v>3.93</v>
      </c>
      <c r="C2" s="137">
        <v>5.58</v>
      </c>
      <c r="D2" s="137">
        <v>5.98</v>
      </c>
      <c r="E2" s="137">
        <v>6.19</v>
      </c>
      <c r="F2" s="137">
        <v>1.25</v>
      </c>
      <c r="G2" s="137">
        <v>6.2698999999999998</v>
      </c>
      <c r="H2" s="137">
        <v>7</v>
      </c>
      <c r="I2" s="137">
        <v>3.88</v>
      </c>
      <c r="J2" s="137">
        <v>5.85</v>
      </c>
      <c r="K2" s="137">
        <v>6.98</v>
      </c>
      <c r="L2" s="137">
        <v>6.2698999999999998</v>
      </c>
      <c r="M2" s="137">
        <v>6.8399000000000001</v>
      </c>
      <c r="N2" s="137">
        <v>7.06</v>
      </c>
      <c r="O2" s="137">
        <v>1.47</v>
      </c>
      <c r="P2" s="137">
        <v>5.21</v>
      </c>
      <c r="Q2" s="137">
        <v>6.82</v>
      </c>
      <c r="R2" s="137">
        <v>6.82</v>
      </c>
      <c r="S2" s="137">
        <v>6.7698999999999998</v>
      </c>
      <c r="T2" s="137">
        <v>6.66</v>
      </c>
      <c r="U2" s="137">
        <v>7.93</v>
      </c>
      <c r="V2" s="137">
        <v>6.55</v>
      </c>
      <c r="W2" s="140">
        <v>14109436</v>
      </c>
      <c r="X2" s="56">
        <f>COUNTIF(P2:V2,0)</f>
        <v>0</v>
      </c>
      <c r="Y2" s="56" t="str">
        <f>IF(X2&gt;1,"NO LOGUEO","LOGUEO")</f>
        <v>LOGUEO</v>
      </c>
    </row>
    <row r="3" spans="1:25" ht="15" x14ac:dyDescent="0.25">
      <c r="A3" s="136" t="s">
        <v>188</v>
      </c>
      <c r="B3" s="137">
        <v>0</v>
      </c>
      <c r="C3" s="137">
        <v>3.43</v>
      </c>
      <c r="D3" s="137">
        <v>3.35</v>
      </c>
      <c r="E3" s="137">
        <v>3.8</v>
      </c>
      <c r="F3" s="137">
        <v>0</v>
      </c>
      <c r="G3" s="137">
        <v>2.61</v>
      </c>
      <c r="H3" s="137">
        <v>3.62</v>
      </c>
      <c r="I3" s="137">
        <v>4.4798999999999998</v>
      </c>
      <c r="J3" s="137">
        <v>3.59</v>
      </c>
      <c r="K3" s="137">
        <v>3.56</v>
      </c>
      <c r="L3" s="137">
        <v>4.29</v>
      </c>
      <c r="M3" s="137">
        <v>3.29</v>
      </c>
      <c r="N3" s="137">
        <v>3.68</v>
      </c>
      <c r="O3" s="137">
        <v>3.65</v>
      </c>
      <c r="P3" s="137">
        <v>0</v>
      </c>
      <c r="Q3" s="137">
        <v>3.56</v>
      </c>
      <c r="R3" s="137">
        <v>3.55</v>
      </c>
      <c r="S3" s="137">
        <v>3.75</v>
      </c>
      <c r="T3" s="137">
        <v>3.47</v>
      </c>
      <c r="U3" s="137">
        <v>3.3</v>
      </c>
      <c r="V3" s="137">
        <v>3.58</v>
      </c>
      <c r="W3" s="140">
        <v>14117986</v>
      </c>
      <c r="X3" s="56">
        <f t="shared" ref="X3:X66" si="0">COUNTIF(P3:V3,0)</f>
        <v>1</v>
      </c>
      <c r="Y3" s="56" t="str">
        <f t="shared" ref="Y3:Y66" si="1">IF(X3&gt;1,"NO LOGUEO","LOGUEO")</f>
        <v>LOGUEO</v>
      </c>
    </row>
    <row r="4" spans="1:25" ht="15" x14ac:dyDescent="0.25">
      <c r="A4" s="136" t="s">
        <v>2546</v>
      </c>
      <c r="B4" s="137">
        <v>0</v>
      </c>
      <c r="C4" s="137">
        <v>0</v>
      </c>
      <c r="D4" s="137">
        <v>0</v>
      </c>
      <c r="E4" s="137">
        <v>0</v>
      </c>
      <c r="F4" s="137">
        <v>0</v>
      </c>
      <c r="G4" s="137">
        <v>0</v>
      </c>
      <c r="H4" s="137">
        <v>0</v>
      </c>
      <c r="I4" s="137">
        <v>0</v>
      </c>
      <c r="J4" s="137">
        <v>0</v>
      </c>
      <c r="K4" s="137">
        <v>0</v>
      </c>
      <c r="L4" s="137">
        <v>1.93</v>
      </c>
      <c r="M4" s="137">
        <v>1.94</v>
      </c>
      <c r="N4" s="137">
        <v>0</v>
      </c>
      <c r="O4" s="137">
        <v>0</v>
      </c>
      <c r="P4" s="137">
        <v>0</v>
      </c>
      <c r="Q4" s="137">
        <v>0</v>
      </c>
      <c r="R4" s="137">
        <v>0</v>
      </c>
      <c r="S4" s="137">
        <v>0</v>
      </c>
      <c r="T4" s="137">
        <v>0</v>
      </c>
      <c r="U4" s="137">
        <v>0</v>
      </c>
      <c r="V4" s="137">
        <v>0</v>
      </c>
      <c r="W4" s="140" t="s">
        <v>1609</v>
      </c>
      <c r="X4" s="56">
        <f t="shared" si="0"/>
        <v>7</v>
      </c>
      <c r="Y4" s="56" t="str">
        <f t="shared" si="1"/>
        <v>NO LOGUEO</v>
      </c>
    </row>
    <row r="5" spans="1:25" ht="15" x14ac:dyDescent="0.25">
      <c r="A5" s="136" t="s">
        <v>2547</v>
      </c>
      <c r="B5" s="137">
        <v>4.2300000000000004</v>
      </c>
      <c r="C5" s="137">
        <v>0</v>
      </c>
      <c r="D5" s="137">
        <v>0.85</v>
      </c>
      <c r="E5" s="137">
        <v>0</v>
      </c>
      <c r="F5" s="137">
        <v>0</v>
      </c>
      <c r="G5" s="137">
        <v>6.67</v>
      </c>
      <c r="H5" s="137">
        <v>2.2799</v>
      </c>
      <c r="I5" s="137">
        <v>0</v>
      </c>
      <c r="J5" s="137">
        <v>0</v>
      </c>
      <c r="K5" s="137">
        <v>7.14</v>
      </c>
      <c r="L5" s="137">
        <v>1.97</v>
      </c>
      <c r="M5" s="137">
        <v>0</v>
      </c>
      <c r="N5" s="137">
        <v>0</v>
      </c>
      <c r="O5" s="137">
        <v>0</v>
      </c>
      <c r="P5" s="137">
        <v>0</v>
      </c>
      <c r="Q5" s="137">
        <v>0</v>
      </c>
      <c r="R5" s="137">
        <v>0</v>
      </c>
      <c r="S5" s="137">
        <v>0</v>
      </c>
      <c r="T5" s="137">
        <v>0</v>
      </c>
      <c r="U5" s="137">
        <v>0</v>
      </c>
      <c r="V5" s="137">
        <v>0</v>
      </c>
      <c r="W5" s="140" t="s">
        <v>1609</v>
      </c>
      <c r="X5" s="56">
        <f t="shared" si="0"/>
        <v>7</v>
      </c>
      <c r="Y5" s="56" t="str">
        <f t="shared" si="1"/>
        <v>NO LOGUEO</v>
      </c>
    </row>
    <row r="6" spans="1:25" ht="15" x14ac:dyDescent="0.25">
      <c r="A6" s="136" t="s">
        <v>2548</v>
      </c>
      <c r="B6" s="137">
        <v>0</v>
      </c>
      <c r="C6" s="137">
        <v>0</v>
      </c>
      <c r="D6" s="137">
        <v>0</v>
      </c>
      <c r="E6" s="137">
        <v>0</v>
      </c>
      <c r="F6" s="137">
        <v>0</v>
      </c>
      <c r="G6" s="137">
        <v>0</v>
      </c>
      <c r="H6" s="137">
        <v>4.3499999999999996</v>
      </c>
      <c r="I6" s="137">
        <v>0</v>
      </c>
      <c r="J6" s="137">
        <v>0</v>
      </c>
      <c r="K6" s="137">
        <v>0</v>
      </c>
      <c r="L6" s="137">
        <v>0</v>
      </c>
      <c r="M6" s="137">
        <v>0.63</v>
      </c>
      <c r="N6" s="137">
        <v>0</v>
      </c>
      <c r="O6" s="137">
        <v>0</v>
      </c>
      <c r="P6" s="137">
        <v>0</v>
      </c>
      <c r="Q6" s="137">
        <v>0</v>
      </c>
      <c r="R6" s="137">
        <v>0</v>
      </c>
      <c r="S6" s="137">
        <v>0</v>
      </c>
      <c r="T6" s="137">
        <v>0</v>
      </c>
      <c r="U6" s="137">
        <v>0</v>
      </c>
      <c r="V6" s="137">
        <v>0</v>
      </c>
      <c r="W6" s="140" t="s">
        <v>1609</v>
      </c>
      <c r="X6" s="56">
        <f t="shared" si="0"/>
        <v>7</v>
      </c>
      <c r="Y6" s="56" t="str">
        <f t="shared" si="1"/>
        <v>NO LOGUEO</v>
      </c>
    </row>
    <row r="7" spans="1:25" ht="15" x14ac:dyDescent="0.25">
      <c r="A7" s="136" t="s">
        <v>354</v>
      </c>
      <c r="B7" s="137">
        <v>0</v>
      </c>
      <c r="C7" s="137">
        <v>6.34</v>
      </c>
      <c r="D7" s="137">
        <v>7.42</v>
      </c>
      <c r="E7" s="137">
        <v>12.11</v>
      </c>
      <c r="F7" s="137">
        <v>8.65</v>
      </c>
      <c r="G7" s="137">
        <v>2.67</v>
      </c>
      <c r="H7" s="137">
        <v>0</v>
      </c>
      <c r="I7" s="137">
        <v>0</v>
      </c>
      <c r="J7" s="137">
        <v>4.22</v>
      </c>
      <c r="K7" s="137">
        <v>5.79</v>
      </c>
      <c r="L7" s="137">
        <v>9.7098999999999993</v>
      </c>
      <c r="M7" s="137">
        <v>7.31</v>
      </c>
      <c r="N7" s="137">
        <v>8.39</v>
      </c>
      <c r="O7" s="137">
        <v>2.4700000000000002</v>
      </c>
      <c r="P7" s="137">
        <v>0</v>
      </c>
      <c r="Q7" s="137">
        <v>5.21</v>
      </c>
      <c r="R7" s="137">
        <v>11.28</v>
      </c>
      <c r="S7" s="137">
        <v>6.85</v>
      </c>
      <c r="T7" s="137">
        <v>9.49</v>
      </c>
      <c r="U7" s="137">
        <v>0</v>
      </c>
      <c r="V7" s="137">
        <v>0</v>
      </c>
      <c r="W7" s="140">
        <v>14100902</v>
      </c>
      <c r="X7" s="56">
        <f t="shared" si="0"/>
        <v>3</v>
      </c>
      <c r="Y7" s="56" t="str">
        <f t="shared" si="1"/>
        <v>NO LOGUEO</v>
      </c>
    </row>
    <row r="8" spans="1:25" ht="15" x14ac:dyDescent="0.25">
      <c r="A8" s="136" t="s">
        <v>2549</v>
      </c>
      <c r="B8" s="137">
        <v>0</v>
      </c>
      <c r="C8" s="137">
        <v>0</v>
      </c>
      <c r="D8" s="137">
        <v>0.73</v>
      </c>
      <c r="E8" s="137">
        <v>0</v>
      </c>
      <c r="F8" s="137">
        <v>0</v>
      </c>
      <c r="G8" s="137">
        <v>2.4300000000000002</v>
      </c>
      <c r="H8" s="137">
        <v>0</v>
      </c>
      <c r="I8" s="137">
        <v>0</v>
      </c>
      <c r="J8" s="137">
        <v>2.48</v>
      </c>
      <c r="K8" s="137">
        <v>3.77</v>
      </c>
      <c r="L8" s="137">
        <v>0</v>
      </c>
      <c r="M8" s="137">
        <v>0.92</v>
      </c>
      <c r="N8" s="137">
        <v>0</v>
      </c>
      <c r="O8" s="137">
        <v>0</v>
      </c>
      <c r="P8" s="137">
        <v>0</v>
      </c>
      <c r="Q8" s="137">
        <v>0</v>
      </c>
      <c r="R8" s="137">
        <v>0</v>
      </c>
      <c r="S8" s="137">
        <v>0</v>
      </c>
      <c r="T8" s="137">
        <v>0</v>
      </c>
      <c r="U8" s="137">
        <v>0</v>
      </c>
      <c r="V8" s="137">
        <v>0</v>
      </c>
      <c r="W8" s="140" t="s">
        <v>1609</v>
      </c>
      <c r="X8" s="56">
        <f t="shared" si="0"/>
        <v>7</v>
      </c>
      <c r="Y8" s="56" t="str">
        <f t="shared" si="1"/>
        <v>NO LOGUEO</v>
      </c>
    </row>
    <row r="9" spans="1:25" ht="15" x14ac:dyDescent="0.25">
      <c r="A9" s="136" t="s">
        <v>1620</v>
      </c>
      <c r="B9" s="137">
        <v>0</v>
      </c>
      <c r="C9" s="137">
        <v>0</v>
      </c>
      <c r="D9" s="137">
        <v>10.15</v>
      </c>
      <c r="E9" s="137">
        <v>0</v>
      </c>
      <c r="F9" s="137">
        <v>4.38</v>
      </c>
      <c r="G9" s="137">
        <v>0</v>
      </c>
      <c r="H9" s="137">
        <v>6.75</v>
      </c>
      <c r="I9" s="137">
        <v>1.58</v>
      </c>
      <c r="J9" s="137">
        <v>10</v>
      </c>
      <c r="K9" s="137">
        <v>0</v>
      </c>
      <c r="L9" s="137">
        <v>12.02</v>
      </c>
      <c r="M9" s="137">
        <v>0</v>
      </c>
      <c r="N9" s="137">
        <v>11.4199</v>
      </c>
      <c r="O9" s="137">
        <v>1.35</v>
      </c>
      <c r="P9" s="137">
        <v>0</v>
      </c>
      <c r="Q9" s="137">
        <v>0</v>
      </c>
      <c r="R9" s="137">
        <v>10.93</v>
      </c>
      <c r="S9" s="137">
        <v>0</v>
      </c>
      <c r="T9" s="137">
        <v>0</v>
      </c>
      <c r="U9" s="137">
        <v>0</v>
      </c>
      <c r="V9" s="137">
        <v>1.53</v>
      </c>
      <c r="W9" s="140" t="s">
        <v>1609</v>
      </c>
      <c r="X9" s="56">
        <f t="shared" si="0"/>
        <v>5</v>
      </c>
      <c r="Y9" s="56" t="str">
        <f t="shared" si="1"/>
        <v>NO LOGUEO</v>
      </c>
    </row>
    <row r="10" spans="1:25" ht="15" x14ac:dyDescent="0.25">
      <c r="A10" s="136" t="s">
        <v>1917</v>
      </c>
      <c r="B10" s="137">
        <v>0</v>
      </c>
      <c r="C10" s="137">
        <v>0</v>
      </c>
      <c r="D10" s="137">
        <v>0</v>
      </c>
      <c r="E10" s="137">
        <v>0</v>
      </c>
      <c r="F10" s="137">
        <v>0</v>
      </c>
      <c r="G10" s="137">
        <v>0</v>
      </c>
      <c r="H10" s="137">
        <v>0</v>
      </c>
      <c r="I10" s="137">
        <v>0</v>
      </c>
      <c r="J10" s="137">
        <v>0</v>
      </c>
      <c r="K10" s="137">
        <v>0</v>
      </c>
      <c r="L10" s="137">
        <v>0</v>
      </c>
      <c r="M10" s="137">
        <v>0</v>
      </c>
      <c r="N10" s="137">
        <v>0</v>
      </c>
      <c r="O10" s="137">
        <v>0</v>
      </c>
      <c r="P10" s="137">
        <v>0</v>
      </c>
      <c r="Q10" s="137">
        <v>0</v>
      </c>
      <c r="R10" s="137">
        <v>0</v>
      </c>
      <c r="S10" s="137">
        <v>0</v>
      </c>
      <c r="T10" s="137">
        <v>0</v>
      </c>
      <c r="U10" s="137">
        <v>0</v>
      </c>
      <c r="V10" s="137">
        <v>0</v>
      </c>
      <c r="W10" s="140" t="s">
        <v>1609</v>
      </c>
      <c r="X10" s="56">
        <f t="shared" si="0"/>
        <v>7</v>
      </c>
      <c r="Y10" s="56" t="str">
        <f t="shared" si="1"/>
        <v>NO LOGUEO</v>
      </c>
    </row>
    <row r="11" spans="1:25" ht="15" x14ac:dyDescent="0.25">
      <c r="A11" s="136" t="s">
        <v>2550</v>
      </c>
      <c r="B11" s="137">
        <v>5.13</v>
      </c>
      <c r="C11" s="137">
        <v>0</v>
      </c>
      <c r="D11" s="137">
        <v>0</v>
      </c>
      <c r="E11" s="137">
        <v>6.19</v>
      </c>
      <c r="F11" s="137">
        <v>0</v>
      </c>
      <c r="G11" s="137">
        <v>5.4</v>
      </c>
      <c r="H11" s="137">
        <v>3.67</v>
      </c>
      <c r="I11" s="137">
        <v>0</v>
      </c>
      <c r="J11" s="137">
        <v>0</v>
      </c>
      <c r="K11" s="137">
        <v>0</v>
      </c>
      <c r="L11" s="137">
        <v>5.55</v>
      </c>
      <c r="M11" s="137">
        <v>0</v>
      </c>
      <c r="N11" s="137">
        <v>0</v>
      </c>
      <c r="O11" s="137">
        <v>0</v>
      </c>
      <c r="P11" s="137">
        <v>0</v>
      </c>
      <c r="Q11" s="137">
        <v>0</v>
      </c>
      <c r="R11" s="137">
        <v>0</v>
      </c>
      <c r="S11" s="137">
        <v>0</v>
      </c>
      <c r="T11" s="137">
        <v>0</v>
      </c>
      <c r="U11" s="137">
        <v>0</v>
      </c>
      <c r="V11" s="137">
        <v>0</v>
      </c>
      <c r="W11" s="140" t="s">
        <v>1609</v>
      </c>
      <c r="X11" s="56">
        <f t="shared" si="0"/>
        <v>7</v>
      </c>
      <c r="Y11" s="56" t="str">
        <f t="shared" si="1"/>
        <v>NO LOGUEO</v>
      </c>
    </row>
    <row r="12" spans="1:25" ht="15" x14ac:dyDescent="0.25">
      <c r="A12" s="136" t="s">
        <v>339</v>
      </c>
      <c r="B12" s="137">
        <v>6.67</v>
      </c>
      <c r="C12" s="137">
        <v>4.2698999999999998</v>
      </c>
      <c r="D12" s="137">
        <v>5.38</v>
      </c>
      <c r="E12" s="137">
        <v>4.92</v>
      </c>
      <c r="F12" s="137">
        <v>1.92</v>
      </c>
      <c r="G12" s="137">
        <v>4.63</v>
      </c>
      <c r="H12" s="137">
        <v>5.5</v>
      </c>
      <c r="I12" s="137">
        <v>4.47</v>
      </c>
      <c r="J12" s="137">
        <v>4.3499999999999996</v>
      </c>
      <c r="K12" s="137">
        <v>4.5298999999999996</v>
      </c>
      <c r="L12" s="137">
        <v>5.67</v>
      </c>
      <c r="M12" s="137">
        <v>3.68</v>
      </c>
      <c r="N12" s="137">
        <v>0</v>
      </c>
      <c r="O12" s="137">
        <v>3.89</v>
      </c>
      <c r="P12" s="137">
        <v>4.5598999999999998</v>
      </c>
      <c r="Q12" s="137">
        <v>7.51</v>
      </c>
      <c r="R12" s="137">
        <v>6.3</v>
      </c>
      <c r="S12" s="137">
        <v>4.72</v>
      </c>
      <c r="T12" s="137">
        <v>6.49</v>
      </c>
      <c r="U12" s="137">
        <v>4.87</v>
      </c>
      <c r="V12" s="137">
        <v>5.0999999999999996</v>
      </c>
      <c r="W12" s="140">
        <v>14121543</v>
      </c>
      <c r="X12" s="56">
        <f t="shared" si="0"/>
        <v>0</v>
      </c>
      <c r="Y12" s="56" t="str">
        <f t="shared" si="1"/>
        <v>LOGUEO</v>
      </c>
    </row>
    <row r="13" spans="1:25" ht="15" x14ac:dyDescent="0.25">
      <c r="A13" s="136" t="s">
        <v>139</v>
      </c>
      <c r="B13" s="137">
        <v>0</v>
      </c>
      <c r="C13" s="137">
        <v>3.52</v>
      </c>
      <c r="D13" s="137">
        <v>3.34</v>
      </c>
      <c r="E13" s="137">
        <v>3.36</v>
      </c>
      <c r="F13" s="137">
        <v>2.85</v>
      </c>
      <c r="G13" s="137">
        <v>3.98</v>
      </c>
      <c r="H13" s="137">
        <v>3.88</v>
      </c>
      <c r="I13" s="137">
        <v>2.41</v>
      </c>
      <c r="J13" s="137">
        <v>2.83</v>
      </c>
      <c r="K13" s="137">
        <v>3.78</v>
      </c>
      <c r="L13" s="137">
        <v>3.67</v>
      </c>
      <c r="M13" s="137">
        <v>4.43</v>
      </c>
      <c r="N13" s="137">
        <v>5.3</v>
      </c>
      <c r="O13" s="137">
        <v>3.7</v>
      </c>
      <c r="P13" s="137">
        <v>0</v>
      </c>
      <c r="Q13" s="137">
        <v>4.63</v>
      </c>
      <c r="R13" s="137">
        <v>3.24</v>
      </c>
      <c r="S13" s="137">
        <v>3.67</v>
      </c>
      <c r="T13" s="137">
        <v>1.78</v>
      </c>
      <c r="U13" s="137">
        <v>5.1098999999999997</v>
      </c>
      <c r="V13" s="137">
        <v>3.7299000000000002</v>
      </c>
      <c r="W13" s="140">
        <v>14114709</v>
      </c>
      <c r="X13" s="56">
        <f t="shared" si="0"/>
        <v>1</v>
      </c>
      <c r="Y13" s="56" t="str">
        <f t="shared" si="1"/>
        <v>LOGUEO</v>
      </c>
    </row>
    <row r="14" spans="1:25" ht="15" x14ac:dyDescent="0.25">
      <c r="A14" s="136" t="s">
        <v>2016</v>
      </c>
      <c r="B14" s="137">
        <v>0</v>
      </c>
      <c r="C14" s="137">
        <v>11.06</v>
      </c>
      <c r="D14" s="137">
        <v>10.86</v>
      </c>
      <c r="E14" s="137">
        <v>8.32</v>
      </c>
      <c r="F14" s="137">
        <v>0</v>
      </c>
      <c r="G14" s="137">
        <v>0</v>
      </c>
      <c r="H14" s="137">
        <v>3.08</v>
      </c>
      <c r="I14" s="137">
        <v>4.2</v>
      </c>
      <c r="J14" s="137">
        <v>4.75</v>
      </c>
      <c r="K14" s="137">
        <v>4.7300000000000004</v>
      </c>
      <c r="L14" s="137">
        <v>8.11</v>
      </c>
      <c r="M14" s="137">
        <v>4.32</v>
      </c>
      <c r="N14" s="137">
        <v>10.129899999999999</v>
      </c>
      <c r="O14" s="137">
        <v>3.33</v>
      </c>
      <c r="P14" s="137">
        <v>5.16</v>
      </c>
      <c r="Q14" s="137">
        <v>7.2899000000000003</v>
      </c>
      <c r="R14" s="137">
        <v>8.41</v>
      </c>
      <c r="S14" s="137">
        <v>4.04</v>
      </c>
      <c r="T14" s="137">
        <v>7.43</v>
      </c>
      <c r="U14" s="137">
        <v>4.2</v>
      </c>
      <c r="V14" s="137">
        <v>10.87</v>
      </c>
      <c r="W14" s="140" t="s">
        <v>1609</v>
      </c>
      <c r="X14" s="56">
        <f t="shared" si="0"/>
        <v>0</v>
      </c>
      <c r="Y14" s="56" t="str">
        <f t="shared" si="1"/>
        <v>LOGUEO</v>
      </c>
    </row>
    <row r="15" spans="1:25" ht="15" x14ac:dyDescent="0.25">
      <c r="A15" s="136" t="s">
        <v>359</v>
      </c>
      <c r="B15" s="137">
        <v>0</v>
      </c>
      <c r="C15" s="137">
        <v>5.87</v>
      </c>
      <c r="D15" s="137">
        <v>7.49</v>
      </c>
      <c r="E15" s="137">
        <v>5.53</v>
      </c>
      <c r="F15" s="137">
        <v>2.59</v>
      </c>
      <c r="G15" s="137">
        <v>6.54</v>
      </c>
      <c r="H15" s="137">
        <v>6.15</v>
      </c>
      <c r="I15" s="137">
        <v>1.47</v>
      </c>
      <c r="J15" s="137">
        <v>6.1299000000000001</v>
      </c>
      <c r="K15" s="137">
        <v>6.02</v>
      </c>
      <c r="L15" s="137">
        <v>6.13</v>
      </c>
      <c r="M15" s="137">
        <v>6.38</v>
      </c>
      <c r="N15" s="137">
        <v>5.46</v>
      </c>
      <c r="O15" s="137">
        <v>5.2499000000000002</v>
      </c>
      <c r="P15" s="137">
        <v>0</v>
      </c>
      <c r="Q15" s="137">
        <v>5.66</v>
      </c>
      <c r="R15" s="137">
        <v>6.0198999999999998</v>
      </c>
      <c r="S15" s="137">
        <v>7.1699000000000002</v>
      </c>
      <c r="T15" s="137">
        <v>7.44</v>
      </c>
      <c r="U15" s="137">
        <v>6.91</v>
      </c>
      <c r="V15" s="137">
        <v>5.34</v>
      </c>
      <c r="W15" s="140">
        <v>14121784</v>
      </c>
      <c r="X15" s="56">
        <f t="shared" si="0"/>
        <v>1</v>
      </c>
      <c r="Y15" s="56" t="str">
        <f t="shared" si="1"/>
        <v>LOGUEO</v>
      </c>
    </row>
    <row r="16" spans="1:25" ht="15" x14ac:dyDescent="0.25">
      <c r="A16" s="136" t="s">
        <v>362</v>
      </c>
      <c r="B16" s="137">
        <v>1.9</v>
      </c>
      <c r="C16" s="137">
        <v>3.37</v>
      </c>
      <c r="D16" s="137">
        <v>2.4699</v>
      </c>
      <c r="E16" s="137">
        <v>6.16</v>
      </c>
      <c r="F16" s="137">
        <v>1.37</v>
      </c>
      <c r="G16" s="137">
        <v>5.59</v>
      </c>
      <c r="H16" s="137">
        <v>3.62</v>
      </c>
      <c r="I16" s="137">
        <v>1.2</v>
      </c>
      <c r="J16" s="137">
        <v>2.88</v>
      </c>
      <c r="K16" s="137">
        <v>4.3</v>
      </c>
      <c r="L16" s="137">
        <v>8.27</v>
      </c>
      <c r="M16" s="137">
        <v>6.47</v>
      </c>
      <c r="N16" s="137">
        <v>8.52</v>
      </c>
      <c r="O16" s="137">
        <v>6.34</v>
      </c>
      <c r="P16" s="137">
        <v>1.57</v>
      </c>
      <c r="Q16" s="137">
        <v>7.88</v>
      </c>
      <c r="R16" s="137">
        <v>4.99</v>
      </c>
      <c r="S16" s="137">
        <v>5.51</v>
      </c>
      <c r="T16" s="137">
        <v>6.3</v>
      </c>
      <c r="U16" s="137">
        <v>5.16</v>
      </c>
      <c r="V16" s="137">
        <v>2.75</v>
      </c>
      <c r="W16" s="140">
        <v>14121809</v>
      </c>
      <c r="X16" s="56">
        <f t="shared" si="0"/>
        <v>0</v>
      </c>
      <c r="Y16" s="56" t="str">
        <f t="shared" si="1"/>
        <v>LOGUEO</v>
      </c>
    </row>
    <row r="17" spans="1:25" ht="15" x14ac:dyDescent="0.25">
      <c r="A17" s="136" t="s">
        <v>1822</v>
      </c>
      <c r="B17" s="137">
        <v>1.98</v>
      </c>
      <c r="C17" s="137">
        <v>7.4</v>
      </c>
      <c r="D17" s="137">
        <v>0.62</v>
      </c>
      <c r="E17" s="137">
        <v>11.78</v>
      </c>
      <c r="F17" s="137">
        <v>0</v>
      </c>
      <c r="G17" s="137">
        <v>18.73</v>
      </c>
      <c r="H17" s="137">
        <v>6.4798999999999998</v>
      </c>
      <c r="I17" s="137">
        <v>32.03</v>
      </c>
      <c r="J17" s="137">
        <v>10.4299</v>
      </c>
      <c r="K17" s="137">
        <v>29.42</v>
      </c>
      <c r="L17" s="137">
        <v>7.63</v>
      </c>
      <c r="M17" s="137">
        <v>9.23</v>
      </c>
      <c r="N17" s="137">
        <v>5.2698999999999998</v>
      </c>
      <c r="O17" s="137">
        <v>9.8798999999999992</v>
      </c>
      <c r="P17" s="137">
        <v>2.0099</v>
      </c>
      <c r="Q17" s="137">
        <v>10.729900000000001</v>
      </c>
      <c r="R17" s="137">
        <v>10.3599</v>
      </c>
      <c r="S17" s="137">
        <v>16.79</v>
      </c>
      <c r="T17" s="137">
        <v>6.21</v>
      </c>
      <c r="U17" s="137">
        <v>10.7</v>
      </c>
      <c r="V17" s="137">
        <v>5.51</v>
      </c>
      <c r="W17" s="140" t="s">
        <v>1609</v>
      </c>
      <c r="X17" s="56">
        <f t="shared" si="0"/>
        <v>0</v>
      </c>
      <c r="Y17" s="56" t="str">
        <f t="shared" si="1"/>
        <v>LOGUEO</v>
      </c>
    </row>
    <row r="18" spans="1:25" ht="15" x14ac:dyDescent="0.25">
      <c r="A18" s="136" t="s">
        <v>349</v>
      </c>
      <c r="B18" s="137">
        <v>5.44</v>
      </c>
      <c r="C18" s="137">
        <v>2.86</v>
      </c>
      <c r="D18" s="137">
        <v>6.81</v>
      </c>
      <c r="E18" s="137">
        <v>2.29</v>
      </c>
      <c r="F18" s="137">
        <v>4.8998999999999997</v>
      </c>
      <c r="G18" s="137">
        <v>5.3198999999999996</v>
      </c>
      <c r="H18" s="137">
        <v>2.25</v>
      </c>
      <c r="I18" s="137">
        <v>5.1498999999999997</v>
      </c>
      <c r="J18" s="137">
        <v>4.76</v>
      </c>
      <c r="K18" s="137">
        <v>3.67</v>
      </c>
      <c r="L18" s="137">
        <v>0</v>
      </c>
      <c r="M18" s="137">
        <v>4.72</v>
      </c>
      <c r="N18" s="137">
        <v>5.6</v>
      </c>
      <c r="O18" s="137">
        <v>6.17</v>
      </c>
      <c r="P18" s="137">
        <v>5.33</v>
      </c>
      <c r="Q18" s="137">
        <v>5.0698999999999996</v>
      </c>
      <c r="R18" s="137">
        <v>4.8499999999999996</v>
      </c>
      <c r="S18" s="137">
        <v>4.9599000000000002</v>
      </c>
      <c r="T18" s="137">
        <v>4.47</v>
      </c>
      <c r="U18" s="137">
        <v>5.2398999999999996</v>
      </c>
      <c r="V18" s="137">
        <v>5.69</v>
      </c>
      <c r="W18" s="140">
        <v>14121672</v>
      </c>
      <c r="X18" s="56">
        <f t="shared" si="0"/>
        <v>0</v>
      </c>
      <c r="Y18" s="56" t="str">
        <f t="shared" si="1"/>
        <v>LOGUEO</v>
      </c>
    </row>
    <row r="19" spans="1:25" ht="15" x14ac:dyDescent="0.25">
      <c r="A19" s="136" t="s">
        <v>353</v>
      </c>
      <c r="B19" s="137">
        <v>9.18</v>
      </c>
      <c r="C19" s="137">
        <v>5.0298999999999996</v>
      </c>
      <c r="D19" s="137">
        <v>3.41</v>
      </c>
      <c r="E19" s="137">
        <v>4.7899000000000003</v>
      </c>
      <c r="F19" s="137">
        <v>1.23</v>
      </c>
      <c r="G19" s="137">
        <v>4.8998999999999997</v>
      </c>
      <c r="H19" s="137">
        <v>3.67</v>
      </c>
      <c r="I19" s="137">
        <v>5.27</v>
      </c>
      <c r="J19" s="137">
        <v>0</v>
      </c>
      <c r="K19" s="137">
        <v>1.99</v>
      </c>
      <c r="L19" s="137">
        <v>3.76</v>
      </c>
      <c r="M19" s="137">
        <v>3.34</v>
      </c>
      <c r="N19" s="137">
        <v>2.87</v>
      </c>
      <c r="O19" s="137">
        <v>5.1100000000000003</v>
      </c>
      <c r="P19" s="137">
        <v>10.85</v>
      </c>
      <c r="Q19" s="137">
        <v>4.9400000000000004</v>
      </c>
      <c r="R19" s="137">
        <v>3.07</v>
      </c>
      <c r="S19" s="137">
        <v>2.7199</v>
      </c>
      <c r="T19" s="137">
        <v>3.1398999999999999</v>
      </c>
      <c r="U19" s="137">
        <v>3.96</v>
      </c>
      <c r="V19" s="137">
        <v>2.96</v>
      </c>
      <c r="W19" s="140">
        <v>14121733</v>
      </c>
      <c r="X19" s="56">
        <f t="shared" si="0"/>
        <v>0</v>
      </c>
      <c r="Y19" s="56" t="str">
        <f t="shared" si="1"/>
        <v>LOGUEO</v>
      </c>
    </row>
    <row r="20" spans="1:25" ht="15" x14ac:dyDescent="0.25">
      <c r="A20" s="136" t="s">
        <v>1918</v>
      </c>
      <c r="B20" s="137">
        <v>0</v>
      </c>
      <c r="C20" s="137">
        <v>8.0299999999999994</v>
      </c>
      <c r="D20" s="137">
        <v>7</v>
      </c>
      <c r="E20" s="137">
        <v>7.9</v>
      </c>
      <c r="F20" s="137">
        <v>1.35</v>
      </c>
      <c r="G20" s="137">
        <v>7.62</v>
      </c>
      <c r="H20" s="137">
        <v>7.2</v>
      </c>
      <c r="I20" s="137">
        <v>5.32</v>
      </c>
      <c r="J20" s="137">
        <v>8.5500000000000007</v>
      </c>
      <c r="K20" s="137">
        <v>7.1599000000000004</v>
      </c>
      <c r="L20" s="137">
        <v>2.99</v>
      </c>
      <c r="M20" s="137">
        <v>8.09</v>
      </c>
      <c r="N20" s="137">
        <v>6.95</v>
      </c>
      <c r="O20" s="137">
        <v>8.3698999999999995</v>
      </c>
      <c r="P20" s="137">
        <v>6.15</v>
      </c>
      <c r="Q20" s="137">
        <v>8.1298999999999992</v>
      </c>
      <c r="R20" s="137">
        <v>9.6599000000000004</v>
      </c>
      <c r="S20" s="137">
        <v>10.81</v>
      </c>
      <c r="T20" s="137">
        <v>6.53</v>
      </c>
      <c r="U20" s="137">
        <v>9.7098999999999993</v>
      </c>
      <c r="V20" s="137">
        <v>7.09</v>
      </c>
      <c r="W20" s="140" t="s">
        <v>1609</v>
      </c>
      <c r="X20" s="56">
        <f t="shared" si="0"/>
        <v>0</v>
      </c>
      <c r="Y20" s="56" t="str">
        <f t="shared" si="1"/>
        <v>LOGUEO</v>
      </c>
    </row>
    <row r="21" spans="1:25" ht="15" x14ac:dyDescent="0.25">
      <c r="A21" s="136" t="s">
        <v>1873</v>
      </c>
      <c r="B21" s="137">
        <v>0</v>
      </c>
      <c r="C21" s="137">
        <v>0</v>
      </c>
      <c r="D21" s="137">
        <v>0</v>
      </c>
      <c r="E21" s="137">
        <v>0</v>
      </c>
      <c r="F21" s="137">
        <v>0</v>
      </c>
      <c r="G21" s="137">
        <v>0</v>
      </c>
      <c r="H21" s="137">
        <v>0</v>
      </c>
      <c r="I21" s="137">
        <v>0</v>
      </c>
      <c r="J21" s="137">
        <v>0</v>
      </c>
      <c r="K21" s="137">
        <v>0</v>
      </c>
      <c r="L21" s="137">
        <v>0</v>
      </c>
      <c r="M21" s="137">
        <v>0</v>
      </c>
      <c r="N21" s="137">
        <v>0</v>
      </c>
      <c r="O21" s="137">
        <v>0</v>
      </c>
      <c r="P21" s="137">
        <v>0</v>
      </c>
      <c r="Q21" s="137">
        <v>0</v>
      </c>
      <c r="R21" s="137">
        <v>0</v>
      </c>
      <c r="S21" s="137">
        <v>0</v>
      </c>
      <c r="T21" s="137">
        <v>0</v>
      </c>
      <c r="U21" s="137">
        <v>0</v>
      </c>
      <c r="V21" s="137">
        <v>0</v>
      </c>
      <c r="W21" s="140" t="s">
        <v>1609</v>
      </c>
      <c r="X21" s="56">
        <f t="shared" si="0"/>
        <v>7</v>
      </c>
      <c r="Y21" s="56" t="str">
        <f t="shared" si="1"/>
        <v>NO LOGUEO</v>
      </c>
    </row>
    <row r="22" spans="1:25" ht="15" x14ac:dyDescent="0.25">
      <c r="A22" s="136" t="s">
        <v>1919</v>
      </c>
      <c r="B22" s="137">
        <v>0</v>
      </c>
      <c r="C22" s="137">
        <v>0</v>
      </c>
      <c r="D22" s="137">
        <v>0</v>
      </c>
      <c r="E22" s="137">
        <v>0.22</v>
      </c>
      <c r="F22" s="137">
        <v>0</v>
      </c>
      <c r="G22" s="137">
        <v>0</v>
      </c>
      <c r="H22" s="137">
        <v>0.77</v>
      </c>
      <c r="I22" s="137">
        <v>0</v>
      </c>
      <c r="J22" s="137">
        <v>0</v>
      </c>
      <c r="K22" s="137">
        <v>0</v>
      </c>
      <c r="L22" s="137">
        <v>0</v>
      </c>
      <c r="M22" s="137">
        <v>0.8</v>
      </c>
      <c r="N22" s="137">
        <v>0</v>
      </c>
      <c r="O22" s="137">
        <v>0</v>
      </c>
      <c r="P22" s="137">
        <v>0</v>
      </c>
      <c r="Q22" s="137">
        <v>0</v>
      </c>
      <c r="R22" s="137">
        <v>1.18</v>
      </c>
      <c r="S22" s="137">
        <v>0</v>
      </c>
      <c r="T22" s="137">
        <v>0</v>
      </c>
      <c r="U22" s="137">
        <v>0.4</v>
      </c>
      <c r="V22" s="137">
        <v>0.33</v>
      </c>
      <c r="W22" s="140" t="s">
        <v>1609</v>
      </c>
      <c r="X22" s="56">
        <f t="shared" si="0"/>
        <v>4</v>
      </c>
      <c r="Y22" s="56" t="str">
        <f t="shared" si="1"/>
        <v>NO LOGUEO</v>
      </c>
    </row>
    <row r="23" spans="1:25" ht="15" x14ac:dyDescent="0.25">
      <c r="A23" s="136" t="s">
        <v>1874</v>
      </c>
      <c r="B23" s="137">
        <v>0</v>
      </c>
      <c r="C23" s="137">
        <v>0</v>
      </c>
      <c r="D23" s="137">
        <v>0</v>
      </c>
      <c r="E23" s="137">
        <v>0</v>
      </c>
      <c r="F23" s="137">
        <v>0</v>
      </c>
      <c r="G23" s="137">
        <v>0</v>
      </c>
      <c r="H23" s="137">
        <v>0</v>
      </c>
      <c r="I23" s="137">
        <v>0</v>
      </c>
      <c r="J23" s="137">
        <v>0</v>
      </c>
      <c r="K23" s="137">
        <v>0</v>
      </c>
      <c r="L23" s="137">
        <v>0</v>
      </c>
      <c r="M23" s="137">
        <v>0</v>
      </c>
      <c r="N23" s="137">
        <v>0</v>
      </c>
      <c r="O23" s="137">
        <v>0</v>
      </c>
      <c r="P23" s="137">
        <v>0</v>
      </c>
      <c r="Q23" s="137">
        <v>0</v>
      </c>
      <c r="R23" s="137">
        <v>0</v>
      </c>
      <c r="S23" s="137">
        <v>0</v>
      </c>
      <c r="T23" s="137">
        <v>0</v>
      </c>
      <c r="U23" s="137">
        <v>0</v>
      </c>
      <c r="V23" s="137">
        <v>0</v>
      </c>
      <c r="W23" s="140" t="s">
        <v>1609</v>
      </c>
      <c r="X23" s="56">
        <f t="shared" si="0"/>
        <v>7</v>
      </c>
      <c r="Y23" s="56" t="str">
        <f t="shared" si="1"/>
        <v>NO LOGUEO</v>
      </c>
    </row>
    <row r="24" spans="1:25" ht="15" x14ac:dyDescent="0.25">
      <c r="A24" s="136" t="s">
        <v>1888</v>
      </c>
      <c r="B24" s="137">
        <v>0</v>
      </c>
      <c r="C24" s="137">
        <v>0</v>
      </c>
      <c r="D24" s="137">
        <v>0</v>
      </c>
      <c r="E24" s="137">
        <v>0</v>
      </c>
      <c r="F24" s="137">
        <v>0</v>
      </c>
      <c r="G24" s="137">
        <v>0</v>
      </c>
      <c r="H24" s="137">
        <v>0</v>
      </c>
      <c r="I24" s="137">
        <v>0</v>
      </c>
      <c r="J24" s="137">
        <v>0</v>
      </c>
      <c r="K24" s="137">
        <v>0</v>
      </c>
      <c r="L24" s="137">
        <v>0</v>
      </c>
      <c r="M24" s="137">
        <v>0</v>
      </c>
      <c r="N24" s="137">
        <v>0</v>
      </c>
      <c r="O24" s="137">
        <v>0</v>
      </c>
      <c r="P24" s="137">
        <v>0</v>
      </c>
      <c r="Q24" s="137">
        <v>0</v>
      </c>
      <c r="R24" s="137">
        <v>0</v>
      </c>
      <c r="S24" s="137">
        <v>0</v>
      </c>
      <c r="T24" s="137">
        <v>0</v>
      </c>
      <c r="U24" s="137">
        <v>0</v>
      </c>
      <c r="V24" s="137">
        <v>0</v>
      </c>
      <c r="W24" s="140" t="s">
        <v>1609</v>
      </c>
      <c r="X24" s="56">
        <f t="shared" si="0"/>
        <v>7</v>
      </c>
      <c r="Y24" s="56" t="str">
        <f t="shared" si="1"/>
        <v>NO LOGUEO</v>
      </c>
    </row>
    <row r="25" spans="1:25" ht="15" x14ac:dyDescent="0.25">
      <c r="A25" s="136" t="s">
        <v>1889</v>
      </c>
      <c r="B25" s="137">
        <v>0</v>
      </c>
      <c r="C25" s="137">
        <v>0</v>
      </c>
      <c r="D25" s="137">
        <v>12.52</v>
      </c>
      <c r="E25" s="137">
        <v>4.4000000000000004</v>
      </c>
      <c r="F25" s="137">
        <v>0</v>
      </c>
      <c r="G25" s="137">
        <v>0</v>
      </c>
      <c r="H25" s="137">
        <v>0</v>
      </c>
      <c r="I25" s="137">
        <v>0</v>
      </c>
      <c r="J25" s="137">
        <v>0</v>
      </c>
      <c r="K25" s="137">
        <v>0</v>
      </c>
      <c r="L25" s="137">
        <v>0</v>
      </c>
      <c r="M25" s="137">
        <v>0</v>
      </c>
      <c r="N25" s="137">
        <v>0</v>
      </c>
      <c r="O25" s="137">
        <v>0</v>
      </c>
      <c r="P25" s="137">
        <v>0</v>
      </c>
      <c r="Q25" s="137">
        <v>4.82</v>
      </c>
      <c r="R25" s="137">
        <v>3.84</v>
      </c>
      <c r="S25" s="137">
        <v>0</v>
      </c>
      <c r="T25" s="137">
        <v>0</v>
      </c>
      <c r="U25" s="137">
        <v>0</v>
      </c>
      <c r="V25" s="137">
        <v>1.88</v>
      </c>
      <c r="W25" s="140" t="s">
        <v>1609</v>
      </c>
      <c r="X25" s="56">
        <f t="shared" si="0"/>
        <v>4</v>
      </c>
      <c r="Y25" s="56" t="str">
        <f t="shared" si="1"/>
        <v>NO LOGUEO</v>
      </c>
    </row>
    <row r="26" spans="1:25" ht="15" x14ac:dyDescent="0.25">
      <c r="A26" s="136" t="s">
        <v>1875</v>
      </c>
      <c r="B26" s="137">
        <v>0</v>
      </c>
      <c r="C26" s="137">
        <v>0</v>
      </c>
      <c r="D26" s="137">
        <v>0</v>
      </c>
      <c r="E26" s="137">
        <v>0</v>
      </c>
      <c r="F26" s="137">
        <v>0</v>
      </c>
      <c r="G26" s="137">
        <v>0</v>
      </c>
      <c r="H26" s="137">
        <v>0</v>
      </c>
      <c r="I26" s="137">
        <v>0</v>
      </c>
      <c r="J26" s="137">
        <v>0</v>
      </c>
      <c r="K26" s="137">
        <v>0</v>
      </c>
      <c r="L26" s="137">
        <v>0</v>
      </c>
      <c r="M26" s="137">
        <v>0</v>
      </c>
      <c r="N26" s="137">
        <v>0</v>
      </c>
      <c r="O26" s="137">
        <v>0</v>
      </c>
      <c r="P26" s="137">
        <v>0</v>
      </c>
      <c r="Q26" s="137">
        <v>0</v>
      </c>
      <c r="R26" s="137">
        <v>0</v>
      </c>
      <c r="S26" s="137">
        <v>0</v>
      </c>
      <c r="T26" s="137">
        <v>0</v>
      </c>
      <c r="U26" s="137">
        <v>0</v>
      </c>
      <c r="V26" s="137">
        <v>0</v>
      </c>
      <c r="W26" s="140" t="s">
        <v>1609</v>
      </c>
      <c r="X26" s="56">
        <f t="shared" si="0"/>
        <v>7</v>
      </c>
      <c r="Y26" s="56" t="str">
        <f t="shared" si="1"/>
        <v>NO LOGUEO</v>
      </c>
    </row>
    <row r="27" spans="1:25" ht="15" x14ac:dyDescent="0.25">
      <c r="A27" s="136" t="s">
        <v>1920</v>
      </c>
      <c r="B27" s="137">
        <v>0</v>
      </c>
      <c r="C27" s="137">
        <v>0</v>
      </c>
      <c r="D27" s="137">
        <v>0</v>
      </c>
      <c r="E27" s="137">
        <v>0</v>
      </c>
      <c r="F27" s="137">
        <v>0</v>
      </c>
      <c r="G27" s="137">
        <v>0</v>
      </c>
      <c r="H27" s="137">
        <v>0</v>
      </c>
      <c r="I27" s="137">
        <v>0</v>
      </c>
      <c r="J27" s="137">
        <v>0</v>
      </c>
      <c r="K27" s="137">
        <v>0</v>
      </c>
      <c r="L27" s="137">
        <v>0</v>
      </c>
      <c r="M27" s="137">
        <v>0</v>
      </c>
      <c r="N27" s="137">
        <v>0</v>
      </c>
      <c r="O27" s="137">
        <v>0</v>
      </c>
      <c r="P27" s="137">
        <v>0</v>
      </c>
      <c r="Q27" s="137">
        <v>0</v>
      </c>
      <c r="R27" s="137">
        <v>0</v>
      </c>
      <c r="S27" s="137">
        <v>0</v>
      </c>
      <c r="T27" s="137">
        <v>0</v>
      </c>
      <c r="U27" s="137">
        <v>0</v>
      </c>
      <c r="V27" s="137">
        <v>0</v>
      </c>
      <c r="W27" s="140" t="s">
        <v>1609</v>
      </c>
      <c r="X27" s="56">
        <f t="shared" si="0"/>
        <v>7</v>
      </c>
      <c r="Y27" s="56" t="str">
        <f t="shared" si="1"/>
        <v>NO LOGUEO</v>
      </c>
    </row>
    <row r="28" spans="1:25" ht="15" x14ac:dyDescent="0.25">
      <c r="A28" s="136" t="s">
        <v>1865</v>
      </c>
      <c r="B28" s="137">
        <v>2.8</v>
      </c>
      <c r="C28" s="137">
        <v>4.0999999999999996</v>
      </c>
      <c r="D28" s="137">
        <v>4.68</v>
      </c>
      <c r="E28" s="137">
        <v>7.46</v>
      </c>
      <c r="F28" s="137">
        <v>0.32</v>
      </c>
      <c r="G28" s="137">
        <v>3.52</v>
      </c>
      <c r="H28" s="137">
        <v>6.15</v>
      </c>
      <c r="I28" s="137">
        <v>1.08</v>
      </c>
      <c r="J28" s="137">
        <v>3.78</v>
      </c>
      <c r="K28" s="137">
        <v>5.95</v>
      </c>
      <c r="L28" s="137">
        <v>8.07</v>
      </c>
      <c r="M28" s="137">
        <v>8.17</v>
      </c>
      <c r="N28" s="137">
        <v>2.4</v>
      </c>
      <c r="O28" s="137">
        <v>6.28</v>
      </c>
      <c r="P28" s="137">
        <v>1.7599</v>
      </c>
      <c r="Q28" s="137">
        <v>1.56</v>
      </c>
      <c r="R28" s="137">
        <v>3.2199</v>
      </c>
      <c r="S28" s="137">
        <v>0</v>
      </c>
      <c r="T28" s="137">
        <v>0</v>
      </c>
      <c r="U28" s="137">
        <v>0</v>
      </c>
      <c r="V28" s="137">
        <v>0</v>
      </c>
      <c r="W28" s="140">
        <v>14104315</v>
      </c>
      <c r="X28" s="56">
        <f t="shared" si="0"/>
        <v>4</v>
      </c>
      <c r="Y28" s="56" t="str">
        <f t="shared" si="1"/>
        <v>NO LOGUEO</v>
      </c>
    </row>
    <row r="29" spans="1:25" ht="15" x14ac:dyDescent="0.25">
      <c r="A29" s="136" t="s">
        <v>1624</v>
      </c>
      <c r="B29" s="137">
        <v>2.27</v>
      </c>
      <c r="C29" s="137">
        <v>5.39</v>
      </c>
      <c r="D29" s="137">
        <v>4.93</v>
      </c>
      <c r="E29" s="137">
        <v>2.67</v>
      </c>
      <c r="F29" s="137">
        <v>3.17</v>
      </c>
      <c r="G29" s="137">
        <v>8.5899000000000001</v>
      </c>
      <c r="H29" s="137">
        <v>2.97</v>
      </c>
      <c r="I29" s="137">
        <v>2.4</v>
      </c>
      <c r="J29" s="137">
        <v>11</v>
      </c>
      <c r="K29" s="137">
        <v>4.95</v>
      </c>
      <c r="L29" s="137">
        <v>10.26</v>
      </c>
      <c r="M29" s="137">
        <v>5.0999999999999996</v>
      </c>
      <c r="N29" s="137">
        <v>5.48</v>
      </c>
      <c r="O29" s="137">
        <v>6.64</v>
      </c>
      <c r="P29" s="137">
        <v>0</v>
      </c>
      <c r="Q29" s="137">
        <v>9.84</v>
      </c>
      <c r="R29" s="137">
        <v>7.77</v>
      </c>
      <c r="S29" s="137">
        <v>8.8899000000000008</v>
      </c>
      <c r="T29" s="137">
        <v>5.24</v>
      </c>
      <c r="U29" s="137">
        <v>8.4700000000000006</v>
      </c>
      <c r="V29" s="137">
        <v>0</v>
      </c>
      <c r="W29" s="140" t="s">
        <v>1609</v>
      </c>
      <c r="X29" s="56">
        <f t="shared" si="0"/>
        <v>2</v>
      </c>
      <c r="Y29" s="56" t="str">
        <f t="shared" si="1"/>
        <v>NO LOGUEO</v>
      </c>
    </row>
    <row r="30" spans="1:25" ht="15" x14ac:dyDescent="0.25">
      <c r="A30" s="136" t="s">
        <v>1921</v>
      </c>
      <c r="B30" s="137">
        <v>0</v>
      </c>
      <c r="C30" s="137">
        <v>0</v>
      </c>
      <c r="D30" s="137">
        <v>0</v>
      </c>
      <c r="E30" s="137">
        <v>0</v>
      </c>
      <c r="F30" s="137">
        <v>0</v>
      </c>
      <c r="G30" s="137">
        <v>0</v>
      </c>
      <c r="H30" s="137">
        <v>0</v>
      </c>
      <c r="I30" s="137">
        <v>0</v>
      </c>
      <c r="J30" s="137">
        <v>0</v>
      </c>
      <c r="K30" s="137">
        <v>0</v>
      </c>
      <c r="L30" s="137">
        <v>0</v>
      </c>
      <c r="M30" s="137">
        <v>0</v>
      </c>
      <c r="N30" s="137">
        <v>0</v>
      </c>
      <c r="O30" s="137">
        <v>0</v>
      </c>
      <c r="P30" s="137">
        <v>0</v>
      </c>
      <c r="Q30" s="137">
        <v>0</v>
      </c>
      <c r="R30" s="137">
        <v>0</v>
      </c>
      <c r="S30" s="137">
        <v>0</v>
      </c>
      <c r="T30" s="137">
        <v>0</v>
      </c>
      <c r="U30" s="137">
        <v>0</v>
      </c>
      <c r="V30" s="137">
        <v>0</v>
      </c>
      <c r="W30" s="140" t="s">
        <v>1609</v>
      </c>
      <c r="X30" s="56">
        <f t="shared" si="0"/>
        <v>7</v>
      </c>
      <c r="Y30" s="56" t="str">
        <f t="shared" si="1"/>
        <v>NO LOGUEO</v>
      </c>
    </row>
    <row r="31" spans="1:25" ht="15" x14ac:dyDescent="0.25">
      <c r="A31" s="136" t="s">
        <v>1922</v>
      </c>
      <c r="B31" s="137">
        <v>0</v>
      </c>
      <c r="C31" s="137">
        <v>0</v>
      </c>
      <c r="D31" s="137">
        <v>0</v>
      </c>
      <c r="E31" s="137">
        <v>0</v>
      </c>
      <c r="F31" s="137">
        <v>0</v>
      </c>
      <c r="G31" s="137">
        <v>0</v>
      </c>
      <c r="H31" s="137">
        <v>0</v>
      </c>
      <c r="I31" s="137">
        <v>0</v>
      </c>
      <c r="J31" s="137">
        <v>0</v>
      </c>
      <c r="K31" s="137">
        <v>0</v>
      </c>
      <c r="L31" s="137">
        <v>0</v>
      </c>
      <c r="M31" s="137">
        <v>0</v>
      </c>
      <c r="N31" s="137">
        <v>0</v>
      </c>
      <c r="O31" s="137">
        <v>0</v>
      </c>
      <c r="P31" s="137">
        <v>0</v>
      </c>
      <c r="Q31" s="137">
        <v>0</v>
      </c>
      <c r="R31" s="137">
        <v>0</v>
      </c>
      <c r="S31" s="137">
        <v>0</v>
      </c>
      <c r="T31" s="137">
        <v>0</v>
      </c>
      <c r="U31" s="137">
        <v>0</v>
      </c>
      <c r="V31" s="137">
        <v>0</v>
      </c>
      <c r="W31" s="140" t="s">
        <v>1609</v>
      </c>
      <c r="X31" s="56">
        <f t="shared" si="0"/>
        <v>7</v>
      </c>
      <c r="Y31" s="56" t="str">
        <f t="shared" si="1"/>
        <v>NO LOGUEO</v>
      </c>
    </row>
    <row r="32" spans="1:25" ht="15" x14ac:dyDescent="0.25">
      <c r="A32" s="136" t="s">
        <v>1923</v>
      </c>
      <c r="B32" s="137">
        <v>7.12</v>
      </c>
      <c r="C32" s="137">
        <v>6.6</v>
      </c>
      <c r="D32" s="137">
        <v>7.75</v>
      </c>
      <c r="E32" s="137">
        <v>6.73</v>
      </c>
      <c r="F32" s="137">
        <v>7.69</v>
      </c>
      <c r="G32" s="137">
        <v>8.3199000000000005</v>
      </c>
      <c r="H32" s="137">
        <v>6.72</v>
      </c>
      <c r="I32" s="137">
        <v>0</v>
      </c>
      <c r="J32" s="137">
        <v>6.25</v>
      </c>
      <c r="K32" s="137">
        <v>7.18</v>
      </c>
      <c r="L32" s="137">
        <v>7.43</v>
      </c>
      <c r="M32" s="137">
        <v>6.8</v>
      </c>
      <c r="N32" s="137">
        <v>6.9</v>
      </c>
      <c r="O32" s="137">
        <v>7.35</v>
      </c>
      <c r="P32" s="137">
        <v>6.58</v>
      </c>
      <c r="Q32" s="137">
        <v>8.7898999999999994</v>
      </c>
      <c r="R32" s="137">
        <v>7.27</v>
      </c>
      <c r="S32" s="137">
        <v>7.17</v>
      </c>
      <c r="T32" s="137">
        <v>7.4</v>
      </c>
      <c r="U32" s="137">
        <v>0</v>
      </c>
      <c r="V32" s="137">
        <v>6.6</v>
      </c>
      <c r="W32" s="140" t="s">
        <v>1609</v>
      </c>
      <c r="X32" s="56">
        <f t="shared" si="0"/>
        <v>1</v>
      </c>
      <c r="Y32" s="56" t="str">
        <f t="shared" si="1"/>
        <v>LOGUEO</v>
      </c>
    </row>
    <row r="33" spans="1:25" ht="15" x14ac:dyDescent="0.25">
      <c r="A33" s="136" t="s">
        <v>1860</v>
      </c>
      <c r="B33" s="137">
        <v>0</v>
      </c>
      <c r="C33" s="137">
        <v>0</v>
      </c>
      <c r="D33" s="137">
        <v>0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7">
        <v>0</v>
      </c>
      <c r="O33" s="137">
        <v>0</v>
      </c>
      <c r="P33" s="137">
        <v>0</v>
      </c>
      <c r="Q33" s="137">
        <v>0</v>
      </c>
      <c r="R33" s="137">
        <v>0</v>
      </c>
      <c r="S33" s="137">
        <v>0</v>
      </c>
      <c r="T33" s="137">
        <v>0</v>
      </c>
      <c r="U33" s="137">
        <v>0</v>
      </c>
      <c r="V33" s="137">
        <v>0</v>
      </c>
      <c r="W33" s="140" t="s">
        <v>1609</v>
      </c>
      <c r="X33" s="56">
        <f t="shared" si="0"/>
        <v>7</v>
      </c>
      <c r="Y33" s="56" t="str">
        <f t="shared" si="1"/>
        <v>NO LOGUEO</v>
      </c>
    </row>
    <row r="34" spans="1:25" ht="15" x14ac:dyDescent="0.25">
      <c r="A34" s="136" t="s">
        <v>337</v>
      </c>
      <c r="B34" s="137">
        <v>0.42</v>
      </c>
      <c r="C34" s="137">
        <v>10.119999999999999</v>
      </c>
      <c r="D34" s="137">
        <v>9.73</v>
      </c>
      <c r="E34" s="137">
        <v>12.649900000000001</v>
      </c>
      <c r="F34" s="137">
        <v>8.8698999999999995</v>
      </c>
      <c r="G34" s="137">
        <v>13.82</v>
      </c>
      <c r="H34" s="137">
        <v>9.9600000000000009</v>
      </c>
      <c r="I34" s="137">
        <v>0</v>
      </c>
      <c r="J34" s="137">
        <v>7.11</v>
      </c>
      <c r="K34" s="137">
        <v>13.18</v>
      </c>
      <c r="L34" s="137">
        <v>10.289899999999999</v>
      </c>
      <c r="M34" s="137">
        <v>14.05</v>
      </c>
      <c r="N34" s="137">
        <v>9.9499999999999993</v>
      </c>
      <c r="O34" s="137">
        <v>13.91</v>
      </c>
      <c r="P34" s="137">
        <v>0.4</v>
      </c>
      <c r="Q34" s="137">
        <v>10.51</v>
      </c>
      <c r="R34" s="137">
        <v>10.1599</v>
      </c>
      <c r="S34" s="137">
        <v>12.97</v>
      </c>
      <c r="T34" s="137">
        <v>10.23</v>
      </c>
      <c r="U34" s="137">
        <v>13.99</v>
      </c>
      <c r="V34" s="137">
        <v>10.06</v>
      </c>
      <c r="W34" s="140">
        <v>14121522</v>
      </c>
      <c r="X34" s="56">
        <f t="shared" si="0"/>
        <v>0</v>
      </c>
      <c r="Y34" s="56" t="str">
        <f t="shared" si="1"/>
        <v>LOGUEO</v>
      </c>
    </row>
    <row r="35" spans="1:25" ht="15" x14ac:dyDescent="0.25">
      <c r="A35" s="136" t="s">
        <v>1924</v>
      </c>
      <c r="B35" s="137">
        <v>0</v>
      </c>
      <c r="C35" s="137">
        <v>0</v>
      </c>
      <c r="D35" s="137">
        <v>0</v>
      </c>
      <c r="E35" s="137">
        <v>0</v>
      </c>
      <c r="F35" s="137">
        <v>0</v>
      </c>
      <c r="G35" s="137">
        <v>0</v>
      </c>
      <c r="H35" s="137">
        <v>0</v>
      </c>
      <c r="I35" s="137">
        <v>0</v>
      </c>
      <c r="J35" s="137">
        <v>0</v>
      </c>
      <c r="K35" s="137">
        <v>5.03</v>
      </c>
      <c r="L35" s="137">
        <v>9.1399000000000008</v>
      </c>
      <c r="M35" s="137">
        <v>0</v>
      </c>
      <c r="N35" s="137">
        <v>9.58</v>
      </c>
      <c r="O35" s="137">
        <v>7.03</v>
      </c>
      <c r="P35" s="137">
        <v>3.8</v>
      </c>
      <c r="Q35" s="137">
        <v>8.52</v>
      </c>
      <c r="R35" s="137">
        <v>9.5</v>
      </c>
      <c r="S35" s="137">
        <v>8.35</v>
      </c>
      <c r="T35" s="137">
        <v>7.73</v>
      </c>
      <c r="U35" s="137">
        <v>11.539899999999999</v>
      </c>
      <c r="V35" s="137">
        <v>9.77</v>
      </c>
      <c r="W35" s="140" t="s">
        <v>1609</v>
      </c>
      <c r="X35" s="56">
        <f t="shared" si="0"/>
        <v>0</v>
      </c>
      <c r="Y35" s="56" t="str">
        <f t="shared" si="1"/>
        <v>LOGUEO</v>
      </c>
    </row>
    <row r="36" spans="1:25" ht="15" x14ac:dyDescent="0.25">
      <c r="A36" s="136" t="s">
        <v>1876</v>
      </c>
      <c r="B36" s="137">
        <v>0</v>
      </c>
      <c r="C36" s="137">
        <v>0</v>
      </c>
      <c r="D36" s="137">
        <v>0</v>
      </c>
      <c r="E36" s="137">
        <v>0</v>
      </c>
      <c r="F36" s="137">
        <v>0</v>
      </c>
      <c r="G36" s="137">
        <v>0</v>
      </c>
      <c r="H36" s="137">
        <v>0</v>
      </c>
      <c r="I36" s="137">
        <v>0</v>
      </c>
      <c r="J36" s="137">
        <v>0</v>
      </c>
      <c r="K36" s="137">
        <v>0</v>
      </c>
      <c r="L36" s="137">
        <v>0</v>
      </c>
      <c r="M36" s="137">
        <v>0</v>
      </c>
      <c r="N36" s="137">
        <v>0</v>
      </c>
      <c r="O36" s="137">
        <v>0</v>
      </c>
      <c r="P36" s="137">
        <v>0</v>
      </c>
      <c r="Q36" s="137">
        <v>0</v>
      </c>
      <c r="R36" s="137">
        <v>0</v>
      </c>
      <c r="S36" s="137">
        <v>0</v>
      </c>
      <c r="T36" s="137">
        <v>0</v>
      </c>
      <c r="U36" s="137">
        <v>0</v>
      </c>
      <c r="V36" s="137">
        <v>0</v>
      </c>
      <c r="W36" s="140" t="s">
        <v>1609</v>
      </c>
      <c r="X36" s="56">
        <f t="shared" si="0"/>
        <v>7</v>
      </c>
      <c r="Y36" s="56" t="str">
        <f t="shared" si="1"/>
        <v>NO LOGUEO</v>
      </c>
    </row>
    <row r="37" spans="1:25" ht="15" x14ac:dyDescent="0.25">
      <c r="A37" s="136" t="s">
        <v>333</v>
      </c>
      <c r="B37" s="137">
        <v>0</v>
      </c>
      <c r="C37" s="137">
        <v>0</v>
      </c>
      <c r="D37" s="137">
        <v>2.3498999999999999</v>
      </c>
      <c r="E37" s="137">
        <v>5.19</v>
      </c>
      <c r="F37" s="137">
        <v>1.91</v>
      </c>
      <c r="G37" s="137">
        <v>7.17</v>
      </c>
      <c r="H37" s="137">
        <v>6.43</v>
      </c>
      <c r="I37" s="137">
        <v>0</v>
      </c>
      <c r="J37" s="137">
        <v>6.51</v>
      </c>
      <c r="K37" s="137">
        <v>6.74</v>
      </c>
      <c r="L37" s="137">
        <v>6.2</v>
      </c>
      <c r="M37" s="137">
        <v>5</v>
      </c>
      <c r="N37" s="137">
        <v>0</v>
      </c>
      <c r="O37" s="137">
        <v>4.1900000000000004</v>
      </c>
      <c r="P37" s="137">
        <v>4.07</v>
      </c>
      <c r="Q37" s="137">
        <v>1.5</v>
      </c>
      <c r="R37" s="137">
        <v>2.87</v>
      </c>
      <c r="S37" s="137">
        <v>7.04</v>
      </c>
      <c r="T37" s="137">
        <v>6.5899000000000001</v>
      </c>
      <c r="U37" s="137">
        <v>6.5</v>
      </c>
      <c r="V37" s="137">
        <v>5.55</v>
      </c>
      <c r="W37" s="140">
        <v>14121398</v>
      </c>
      <c r="X37" s="56">
        <f t="shared" si="0"/>
        <v>0</v>
      </c>
      <c r="Y37" s="56" t="str">
        <f t="shared" si="1"/>
        <v>LOGUEO</v>
      </c>
    </row>
    <row r="38" spans="1:25" ht="15" x14ac:dyDescent="0.25">
      <c r="A38" s="136" t="s">
        <v>491</v>
      </c>
      <c r="B38" s="137">
        <v>0</v>
      </c>
      <c r="C38" s="137">
        <v>0</v>
      </c>
      <c r="D38" s="137">
        <v>4.0999999999999996</v>
      </c>
      <c r="E38" s="137">
        <v>3.74</v>
      </c>
      <c r="F38" s="137">
        <v>2.2199</v>
      </c>
      <c r="G38" s="137">
        <v>8.0500000000000007</v>
      </c>
      <c r="H38" s="137">
        <v>7.19</v>
      </c>
      <c r="I38" s="137">
        <v>8.2200000000000006</v>
      </c>
      <c r="J38" s="137">
        <v>7.07</v>
      </c>
      <c r="K38" s="137">
        <v>7.98</v>
      </c>
      <c r="L38" s="137">
        <v>4.5598999999999998</v>
      </c>
      <c r="M38" s="137">
        <v>0</v>
      </c>
      <c r="N38" s="137">
        <v>0</v>
      </c>
      <c r="O38" s="137">
        <v>0</v>
      </c>
      <c r="P38" s="137">
        <v>0</v>
      </c>
      <c r="Q38" s="137">
        <v>0</v>
      </c>
      <c r="R38" s="137">
        <v>0</v>
      </c>
      <c r="S38" s="137">
        <v>0</v>
      </c>
      <c r="T38" s="137">
        <v>0</v>
      </c>
      <c r="U38" s="137">
        <v>0</v>
      </c>
      <c r="V38" s="137">
        <v>0</v>
      </c>
      <c r="W38" s="140">
        <v>14112962</v>
      </c>
      <c r="X38" s="56">
        <f t="shared" si="0"/>
        <v>7</v>
      </c>
      <c r="Y38" s="56" t="str">
        <f t="shared" si="1"/>
        <v>NO LOGUEO</v>
      </c>
    </row>
    <row r="39" spans="1:25" ht="15" x14ac:dyDescent="0.25">
      <c r="A39" s="136" t="s">
        <v>222</v>
      </c>
      <c r="B39" s="137">
        <v>5.17</v>
      </c>
      <c r="C39" s="137">
        <v>6.22</v>
      </c>
      <c r="D39" s="137">
        <v>7.32</v>
      </c>
      <c r="E39" s="137">
        <v>5.57</v>
      </c>
      <c r="F39" s="137">
        <v>5.88</v>
      </c>
      <c r="G39" s="137">
        <v>7.02</v>
      </c>
      <c r="H39" s="137">
        <v>6.0198999999999998</v>
      </c>
      <c r="I39" s="137">
        <v>0</v>
      </c>
      <c r="J39" s="137">
        <v>5.93</v>
      </c>
      <c r="K39" s="137">
        <v>6.08</v>
      </c>
      <c r="L39" s="137">
        <v>5.95</v>
      </c>
      <c r="M39" s="137">
        <v>0</v>
      </c>
      <c r="N39" s="137">
        <v>7.1</v>
      </c>
      <c r="O39" s="137">
        <v>5.73</v>
      </c>
      <c r="P39" s="137">
        <v>7.6199000000000003</v>
      </c>
      <c r="Q39" s="137">
        <v>6.02</v>
      </c>
      <c r="R39" s="137">
        <v>5.92</v>
      </c>
      <c r="S39" s="137">
        <v>7.3</v>
      </c>
      <c r="T39" s="137">
        <v>6.68</v>
      </c>
      <c r="U39" s="137">
        <v>5.6498999999999997</v>
      </c>
      <c r="V39" s="137">
        <v>6.56</v>
      </c>
      <c r="W39" s="140">
        <v>14118892</v>
      </c>
      <c r="X39" s="56">
        <f t="shared" si="0"/>
        <v>0</v>
      </c>
      <c r="Y39" s="56" t="str">
        <f t="shared" si="1"/>
        <v>LOGUEO</v>
      </c>
    </row>
    <row r="40" spans="1:25" ht="15" x14ac:dyDescent="0.25">
      <c r="A40" s="136" t="s">
        <v>340</v>
      </c>
      <c r="B40" s="137">
        <v>0</v>
      </c>
      <c r="C40" s="137">
        <v>11.119899999999999</v>
      </c>
      <c r="D40" s="137">
        <v>10.08</v>
      </c>
      <c r="E40" s="137">
        <v>4.45</v>
      </c>
      <c r="F40" s="137">
        <v>8.0398999999999994</v>
      </c>
      <c r="G40" s="137">
        <v>4.47</v>
      </c>
      <c r="H40" s="137">
        <v>10.709899999999999</v>
      </c>
      <c r="I40" s="137">
        <v>0</v>
      </c>
      <c r="J40" s="137">
        <v>9.1198999999999995</v>
      </c>
      <c r="K40" s="137">
        <v>4.74</v>
      </c>
      <c r="L40" s="137">
        <v>10.219900000000001</v>
      </c>
      <c r="M40" s="137">
        <v>6.81</v>
      </c>
      <c r="N40" s="137">
        <v>5.21</v>
      </c>
      <c r="O40" s="137">
        <v>13.67</v>
      </c>
      <c r="P40" s="137">
        <v>0</v>
      </c>
      <c r="Q40" s="137">
        <v>5.72</v>
      </c>
      <c r="R40" s="137">
        <v>7.12</v>
      </c>
      <c r="S40" s="137">
        <v>1.92</v>
      </c>
      <c r="T40" s="137">
        <v>9.48</v>
      </c>
      <c r="U40" s="137">
        <v>4.58</v>
      </c>
      <c r="V40" s="137">
        <v>9.85</v>
      </c>
      <c r="W40" s="140">
        <v>14121545</v>
      </c>
      <c r="X40" s="56">
        <f t="shared" si="0"/>
        <v>1</v>
      </c>
      <c r="Y40" s="56" t="str">
        <f t="shared" si="1"/>
        <v>LOGUEO</v>
      </c>
    </row>
    <row r="41" spans="1:25" ht="15" x14ac:dyDescent="0.25">
      <c r="A41" s="136" t="s">
        <v>223</v>
      </c>
      <c r="B41" s="137">
        <v>4.21</v>
      </c>
      <c r="C41" s="137">
        <v>2.77</v>
      </c>
      <c r="D41" s="137">
        <v>4.01</v>
      </c>
      <c r="E41" s="137">
        <v>6.62</v>
      </c>
      <c r="F41" s="137">
        <v>3.93</v>
      </c>
      <c r="G41" s="137">
        <v>5.57</v>
      </c>
      <c r="H41" s="137">
        <v>1.47</v>
      </c>
      <c r="I41" s="137">
        <v>0</v>
      </c>
      <c r="J41" s="137">
        <v>7.35</v>
      </c>
      <c r="K41" s="137">
        <v>6.5</v>
      </c>
      <c r="L41" s="137">
        <v>4.67</v>
      </c>
      <c r="M41" s="137">
        <v>5.0999999999999996</v>
      </c>
      <c r="N41" s="137">
        <v>11.11</v>
      </c>
      <c r="O41" s="137">
        <v>4.66</v>
      </c>
      <c r="P41" s="137">
        <v>5.5198999999999998</v>
      </c>
      <c r="Q41" s="137">
        <v>8.08</v>
      </c>
      <c r="R41" s="137">
        <v>5.37</v>
      </c>
      <c r="S41" s="137">
        <v>7.8</v>
      </c>
      <c r="T41" s="137">
        <v>7.26</v>
      </c>
      <c r="U41" s="137">
        <v>1.6</v>
      </c>
      <c r="V41" s="137">
        <v>6.4798999999999998</v>
      </c>
      <c r="W41" s="140">
        <v>14100843</v>
      </c>
      <c r="X41" s="56">
        <f t="shared" si="0"/>
        <v>0</v>
      </c>
      <c r="Y41" s="56" t="str">
        <f t="shared" si="1"/>
        <v>LOGUEO</v>
      </c>
    </row>
    <row r="42" spans="1:25" ht="15" x14ac:dyDescent="0.25">
      <c r="A42" s="136" t="s">
        <v>336</v>
      </c>
      <c r="B42" s="137">
        <v>0</v>
      </c>
      <c r="C42" s="137">
        <v>8.75</v>
      </c>
      <c r="D42" s="137">
        <v>2.2599</v>
      </c>
      <c r="E42" s="137">
        <v>1.22</v>
      </c>
      <c r="F42" s="137">
        <v>0</v>
      </c>
      <c r="G42" s="137">
        <v>4.63</v>
      </c>
      <c r="H42" s="137">
        <v>1.1298999999999999</v>
      </c>
      <c r="I42" s="137">
        <v>0</v>
      </c>
      <c r="J42" s="137">
        <v>0</v>
      </c>
      <c r="K42" s="137">
        <v>0</v>
      </c>
      <c r="L42" s="137">
        <v>0</v>
      </c>
      <c r="M42" s="137">
        <v>0.18</v>
      </c>
      <c r="N42" s="137">
        <v>0</v>
      </c>
      <c r="O42" s="137">
        <v>0</v>
      </c>
      <c r="P42" s="137">
        <v>0</v>
      </c>
      <c r="Q42" s="137">
        <v>2.2999999999999998</v>
      </c>
      <c r="R42" s="137">
        <v>0</v>
      </c>
      <c r="S42" s="137">
        <v>3.33</v>
      </c>
      <c r="T42" s="137">
        <v>0</v>
      </c>
      <c r="U42" s="137">
        <v>5.04</v>
      </c>
      <c r="V42" s="137">
        <v>1.29</v>
      </c>
      <c r="W42" s="140">
        <v>14110604</v>
      </c>
      <c r="X42" s="56">
        <f t="shared" si="0"/>
        <v>3</v>
      </c>
      <c r="Y42" s="56" t="str">
        <f t="shared" si="1"/>
        <v>NO LOGUEO</v>
      </c>
    </row>
    <row r="43" spans="1:25" ht="15" x14ac:dyDescent="0.25">
      <c r="A43" s="136" t="s">
        <v>1901</v>
      </c>
      <c r="B43" s="137">
        <v>0</v>
      </c>
      <c r="C43" s="137">
        <v>0</v>
      </c>
      <c r="D43" s="137">
        <v>0</v>
      </c>
      <c r="E43" s="137">
        <v>0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7">
        <v>0</v>
      </c>
      <c r="M43" s="137">
        <v>0</v>
      </c>
      <c r="N43" s="137">
        <v>0</v>
      </c>
      <c r="O43" s="137">
        <v>0</v>
      </c>
      <c r="P43" s="137">
        <v>0</v>
      </c>
      <c r="Q43" s="137">
        <v>0</v>
      </c>
      <c r="R43" s="137">
        <v>0</v>
      </c>
      <c r="S43" s="137">
        <v>0</v>
      </c>
      <c r="T43" s="137">
        <v>0</v>
      </c>
      <c r="U43" s="137">
        <v>0</v>
      </c>
      <c r="V43" s="137">
        <v>0</v>
      </c>
      <c r="W43" s="140" t="s">
        <v>1609</v>
      </c>
      <c r="X43" s="56">
        <f t="shared" si="0"/>
        <v>7</v>
      </c>
      <c r="Y43" s="56" t="str">
        <f t="shared" si="1"/>
        <v>NO LOGUEO</v>
      </c>
    </row>
    <row r="44" spans="1:25" ht="15" x14ac:dyDescent="0.25">
      <c r="A44" s="136" t="s">
        <v>1925</v>
      </c>
      <c r="B44" s="137">
        <v>0</v>
      </c>
      <c r="C44" s="137">
        <v>0</v>
      </c>
      <c r="D44" s="137">
        <v>0</v>
      </c>
      <c r="E44" s="137">
        <v>0</v>
      </c>
      <c r="F44" s="137">
        <v>0</v>
      </c>
      <c r="G44" s="137">
        <v>0</v>
      </c>
      <c r="H44" s="137">
        <v>0</v>
      </c>
      <c r="I44" s="137">
        <v>0</v>
      </c>
      <c r="J44" s="137">
        <v>0</v>
      </c>
      <c r="K44" s="137">
        <v>0</v>
      </c>
      <c r="L44" s="137">
        <v>0</v>
      </c>
      <c r="M44" s="137">
        <v>0</v>
      </c>
      <c r="N44" s="137">
        <v>0</v>
      </c>
      <c r="O44" s="137">
        <v>0</v>
      </c>
      <c r="P44" s="137">
        <v>0</v>
      </c>
      <c r="Q44" s="137">
        <v>0</v>
      </c>
      <c r="R44" s="137">
        <v>0</v>
      </c>
      <c r="S44" s="137">
        <v>0</v>
      </c>
      <c r="T44" s="137">
        <v>0</v>
      </c>
      <c r="U44" s="137">
        <v>0</v>
      </c>
      <c r="V44" s="137">
        <v>0</v>
      </c>
      <c r="W44" s="140" t="s">
        <v>1609</v>
      </c>
      <c r="X44" s="56">
        <f t="shared" si="0"/>
        <v>7</v>
      </c>
      <c r="Y44" s="56" t="str">
        <f t="shared" si="1"/>
        <v>NO LOGUEO</v>
      </c>
    </row>
    <row r="45" spans="1:25" ht="15" x14ac:dyDescent="0.25">
      <c r="A45" s="136" t="s">
        <v>251</v>
      </c>
      <c r="B45" s="137">
        <v>5.19</v>
      </c>
      <c r="C45" s="137">
        <v>6.88</v>
      </c>
      <c r="D45" s="137">
        <v>9.4499999999999993</v>
      </c>
      <c r="E45" s="137">
        <v>2.25</v>
      </c>
      <c r="F45" s="137">
        <v>2.5099999999999998</v>
      </c>
      <c r="G45" s="137">
        <v>3.9</v>
      </c>
      <c r="H45" s="137">
        <v>0.56989999999999996</v>
      </c>
      <c r="I45" s="137">
        <v>1.92</v>
      </c>
      <c r="J45" s="137">
        <v>9.1199999999999992</v>
      </c>
      <c r="K45" s="137">
        <v>1.52</v>
      </c>
      <c r="L45" s="137">
        <v>8.0299999999999994</v>
      </c>
      <c r="M45" s="137">
        <v>4.25</v>
      </c>
      <c r="N45" s="137">
        <v>8.7100000000000009</v>
      </c>
      <c r="O45" s="137">
        <v>1.45</v>
      </c>
      <c r="P45" s="137">
        <v>0.6</v>
      </c>
      <c r="Q45" s="137">
        <v>1.96</v>
      </c>
      <c r="R45" s="137">
        <v>5.35</v>
      </c>
      <c r="S45" s="137">
        <v>4.38</v>
      </c>
      <c r="T45" s="137">
        <v>11.44</v>
      </c>
      <c r="U45" s="137">
        <v>0.4</v>
      </c>
      <c r="V45" s="137">
        <v>5.91</v>
      </c>
      <c r="W45" s="140">
        <v>14112124</v>
      </c>
      <c r="X45" s="56">
        <f t="shared" si="0"/>
        <v>0</v>
      </c>
      <c r="Y45" s="56" t="str">
        <f t="shared" si="1"/>
        <v>LOGUEO</v>
      </c>
    </row>
    <row r="46" spans="1:25" ht="15" x14ac:dyDescent="0.25">
      <c r="A46" s="136" t="s">
        <v>1877</v>
      </c>
      <c r="B46" s="137">
        <v>6.96</v>
      </c>
      <c r="C46" s="137">
        <v>10.569900000000001</v>
      </c>
      <c r="D46" s="137">
        <v>7.83</v>
      </c>
      <c r="E46" s="137">
        <v>1.3798999999999999</v>
      </c>
      <c r="F46" s="137">
        <v>7.7199</v>
      </c>
      <c r="G46" s="137">
        <v>9.75</v>
      </c>
      <c r="H46" s="137">
        <v>12.52</v>
      </c>
      <c r="I46" s="137">
        <v>6.71</v>
      </c>
      <c r="J46" s="137">
        <v>10.039899999999999</v>
      </c>
      <c r="K46" s="137">
        <v>9.6298999999999992</v>
      </c>
      <c r="L46" s="137">
        <v>12.99</v>
      </c>
      <c r="M46" s="137">
        <v>0.62</v>
      </c>
      <c r="N46" s="137">
        <v>6.78</v>
      </c>
      <c r="O46" s="137">
        <v>11.45</v>
      </c>
      <c r="P46" s="137">
        <v>6.13</v>
      </c>
      <c r="Q46" s="137">
        <v>4.1100000000000003</v>
      </c>
      <c r="R46" s="137">
        <v>2.35</v>
      </c>
      <c r="S46" s="137">
        <v>10.64</v>
      </c>
      <c r="T46" s="137">
        <v>11.75</v>
      </c>
      <c r="U46" s="137">
        <v>9.84</v>
      </c>
      <c r="V46" s="137">
        <v>11.39</v>
      </c>
      <c r="W46" s="140" t="s">
        <v>1609</v>
      </c>
      <c r="X46" s="56">
        <f t="shared" si="0"/>
        <v>0</v>
      </c>
      <c r="Y46" s="56" t="str">
        <f t="shared" si="1"/>
        <v>LOGUEO</v>
      </c>
    </row>
    <row r="47" spans="1:25" ht="15" x14ac:dyDescent="0.25">
      <c r="A47" s="136" t="s">
        <v>1926</v>
      </c>
      <c r="B47" s="137">
        <v>0</v>
      </c>
      <c r="C47" s="137">
        <v>0</v>
      </c>
      <c r="D47" s="137">
        <v>0</v>
      </c>
      <c r="E47" s="137">
        <v>0</v>
      </c>
      <c r="F47" s="137">
        <v>0</v>
      </c>
      <c r="G47" s="137">
        <v>0</v>
      </c>
      <c r="H47" s="137">
        <v>0</v>
      </c>
      <c r="I47" s="137">
        <v>0</v>
      </c>
      <c r="J47" s="137">
        <v>0</v>
      </c>
      <c r="K47" s="137">
        <v>0</v>
      </c>
      <c r="L47" s="137">
        <v>0</v>
      </c>
      <c r="M47" s="137">
        <v>0</v>
      </c>
      <c r="N47" s="137">
        <v>0</v>
      </c>
      <c r="O47" s="137">
        <v>0</v>
      </c>
      <c r="P47" s="137">
        <v>0</v>
      </c>
      <c r="Q47" s="137">
        <v>0</v>
      </c>
      <c r="R47" s="137">
        <v>0</v>
      </c>
      <c r="S47" s="137">
        <v>0</v>
      </c>
      <c r="T47" s="137">
        <v>0</v>
      </c>
      <c r="U47" s="137">
        <v>0</v>
      </c>
      <c r="V47" s="137">
        <v>0</v>
      </c>
      <c r="W47" s="140" t="s">
        <v>1609</v>
      </c>
      <c r="X47" s="56">
        <f t="shared" si="0"/>
        <v>7</v>
      </c>
      <c r="Y47" s="56" t="str">
        <f t="shared" si="1"/>
        <v>NO LOGUEO</v>
      </c>
    </row>
    <row r="48" spans="1:25" ht="15" x14ac:dyDescent="0.25">
      <c r="A48" s="136" t="s">
        <v>338</v>
      </c>
      <c r="B48" s="137">
        <v>0</v>
      </c>
      <c r="C48" s="137">
        <v>2</v>
      </c>
      <c r="D48" s="137">
        <v>10.1</v>
      </c>
      <c r="E48" s="137">
        <v>7.76</v>
      </c>
      <c r="F48" s="137">
        <v>2.73</v>
      </c>
      <c r="G48" s="137">
        <v>11.11</v>
      </c>
      <c r="H48" s="137">
        <v>10.24</v>
      </c>
      <c r="I48" s="137">
        <v>4.57</v>
      </c>
      <c r="J48" s="137">
        <v>4.04</v>
      </c>
      <c r="K48" s="137">
        <v>0</v>
      </c>
      <c r="L48" s="137">
        <v>4.2</v>
      </c>
      <c r="M48" s="137">
        <v>8.68</v>
      </c>
      <c r="N48" s="137">
        <v>10.0099</v>
      </c>
      <c r="O48" s="137">
        <v>9.9699000000000009</v>
      </c>
      <c r="P48" s="137">
        <v>2.72</v>
      </c>
      <c r="Q48" s="137">
        <v>11.09</v>
      </c>
      <c r="R48" s="137">
        <v>7.98</v>
      </c>
      <c r="S48" s="137">
        <v>10.25</v>
      </c>
      <c r="T48" s="137">
        <v>7.38</v>
      </c>
      <c r="U48" s="137">
        <v>6.82</v>
      </c>
      <c r="V48" s="137">
        <v>7.8</v>
      </c>
      <c r="W48" s="140">
        <v>14121523</v>
      </c>
      <c r="X48" s="56">
        <f t="shared" si="0"/>
        <v>0</v>
      </c>
      <c r="Y48" s="56" t="str">
        <f t="shared" si="1"/>
        <v>LOGUEO</v>
      </c>
    </row>
    <row r="49" spans="1:25" ht="15" x14ac:dyDescent="0.25">
      <c r="A49" s="136" t="s">
        <v>1927</v>
      </c>
      <c r="B49" s="137">
        <v>0</v>
      </c>
      <c r="C49" s="137">
        <v>0</v>
      </c>
      <c r="D49" s="137">
        <v>0</v>
      </c>
      <c r="E49" s="137">
        <v>0</v>
      </c>
      <c r="F49" s="137">
        <v>0</v>
      </c>
      <c r="G49" s="137">
        <v>0</v>
      </c>
      <c r="H49" s="137">
        <v>0</v>
      </c>
      <c r="I49" s="137">
        <v>0</v>
      </c>
      <c r="J49" s="137">
        <v>0</v>
      </c>
      <c r="K49" s="137">
        <v>0</v>
      </c>
      <c r="L49" s="137">
        <v>0</v>
      </c>
      <c r="M49" s="137">
        <v>0</v>
      </c>
      <c r="N49" s="137">
        <v>0</v>
      </c>
      <c r="O49" s="137">
        <v>0</v>
      </c>
      <c r="P49" s="137">
        <v>0</v>
      </c>
      <c r="Q49" s="137">
        <v>0</v>
      </c>
      <c r="R49" s="137">
        <v>0</v>
      </c>
      <c r="S49" s="137">
        <v>0</v>
      </c>
      <c r="T49" s="137">
        <v>0</v>
      </c>
      <c r="U49" s="137">
        <v>0</v>
      </c>
      <c r="V49" s="137">
        <v>0</v>
      </c>
      <c r="W49" s="140" t="s">
        <v>1609</v>
      </c>
      <c r="X49" s="56">
        <f t="shared" si="0"/>
        <v>7</v>
      </c>
      <c r="Y49" s="56" t="str">
        <f t="shared" si="1"/>
        <v>NO LOGUEO</v>
      </c>
    </row>
    <row r="50" spans="1:25" ht="15" x14ac:dyDescent="0.25">
      <c r="A50" s="136" t="s">
        <v>1928</v>
      </c>
      <c r="B50" s="137">
        <v>0</v>
      </c>
      <c r="C50" s="137">
        <v>0</v>
      </c>
      <c r="D50" s="137">
        <v>0</v>
      </c>
      <c r="E50" s="137">
        <v>0</v>
      </c>
      <c r="F50" s="137">
        <v>0</v>
      </c>
      <c r="G50" s="137">
        <v>0</v>
      </c>
      <c r="H50" s="137">
        <v>0</v>
      </c>
      <c r="I50" s="137">
        <v>0</v>
      </c>
      <c r="J50" s="137">
        <v>0</v>
      </c>
      <c r="K50" s="137">
        <v>0</v>
      </c>
      <c r="L50" s="137">
        <v>0</v>
      </c>
      <c r="M50" s="137">
        <v>0</v>
      </c>
      <c r="N50" s="137">
        <v>0</v>
      </c>
      <c r="O50" s="137">
        <v>0</v>
      </c>
      <c r="P50" s="137">
        <v>0</v>
      </c>
      <c r="Q50" s="137">
        <v>0</v>
      </c>
      <c r="R50" s="137">
        <v>0</v>
      </c>
      <c r="S50" s="137">
        <v>0</v>
      </c>
      <c r="T50" s="137">
        <v>0</v>
      </c>
      <c r="U50" s="137">
        <v>0</v>
      </c>
      <c r="V50" s="137">
        <v>0</v>
      </c>
      <c r="W50" s="140" t="s">
        <v>1609</v>
      </c>
      <c r="X50" s="56">
        <f t="shared" si="0"/>
        <v>7</v>
      </c>
      <c r="Y50" s="56" t="str">
        <f t="shared" si="1"/>
        <v>NO LOGUEO</v>
      </c>
    </row>
    <row r="51" spans="1:25" ht="15" x14ac:dyDescent="0.25">
      <c r="A51" s="136" t="s">
        <v>999</v>
      </c>
      <c r="B51" s="137">
        <v>8.27</v>
      </c>
      <c r="C51" s="137">
        <v>0</v>
      </c>
      <c r="D51" s="137">
        <v>6.97</v>
      </c>
      <c r="E51" s="137">
        <v>8.52</v>
      </c>
      <c r="F51" s="137">
        <v>8.2199000000000009</v>
      </c>
      <c r="G51" s="137">
        <v>7.72</v>
      </c>
      <c r="H51" s="137">
        <v>7.92</v>
      </c>
      <c r="I51" s="137">
        <v>9.1999999999999993</v>
      </c>
      <c r="J51" s="137">
        <v>0</v>
      </c>
      <c r="K51" s="137">
        <v>7.8</v>
      </c>
      <c r="L51" s="137">
        <v>7.34</v>
      </c>
      <c r="M51" s="137">
        <v>9.7499000000000002</v>
      </c>
      <c r="N51" s="137">
        <v>8.07</v>
      </c>
      <c r="O51" s="137">
        <v>8.09</v>
      </c>
      <c r="P51" s="137">
        <v>9.43</v>
      </c>
      <c r="Q51" s="137">
        <v>0</v>
      </c>
      <c r="R51" s="137">
        <v>9.35</v>
      </c>
      <c r="S51" s="137">
        <v>9.2200000000000006</v>
      </c>
      <c r="T51" s="137">
        <v>8.1198999999999995</v>
      </c>
      <c r="U51" s="137">
        <v>9.65</v>
      </c>
      <c r="V51" s="137">
        <v>7.3699000000000003</v>
      </c>
      <c r="W51" s="140" t="s">
        <v>1609</v>
      </c>
      <c r="X51" s="56">
        <f t="shared" si="0"/>
        <v>1</v>
      </c>
      <c r="Y51" s="56" t="str">
        <f t="shared" si="1"/>
        <v>LOGUEO</v>
      </c>
    </row>
    <row r="52" spans="1:25" ht="15" x14ac:dyDescent="0.25">
      <c r="A52" s="136" t="s">
        <v>250</v>
      </c>
      <c r="B52" s="137">
        <v>0</v>
      </c>
      <c r="C52" s="137">
        <v>0</v>
      </c>
      <c r="D52" s="137">
        <v>0</v>
      </c>
      <c r="E52" s="137">
        <v>0</v>
      </c>
      <c r="F52" s="137">
        <v>0</v>
      </c>
      <c r="G52" s="137">
        <v>0</v>
      </c>
      <c r="H52" s="137">
        <v>0</v>
      </c>
      <c r="I52" s="137">
        <v>0</v>
      </c>
      <c r="J52" s="137">
        <v>0</v>
      </c>
      <c r="K52" s="137">
        <v>0</v>
      </c>
      <c r="L52" s="137">
        <v>0</v>
      </c>
      <c r="M52" s="137">
        <v>0</v>
      </c>
      <c r="N52" s="137">
        <v>0</v>
      </c>
      <c r="O52" s="137">
        <v>0</v>
      </c>
      <c r="P52" s="137">
        <v>0</v>
      </c>
      <c r="Q52" s="137">
        <v>0</v>
      </c>
      <c r="R52" s="137">
        <v>2.97</v>
      </c>
      <c r="S52" s="137">
        <v>7.1</v>
      </c>
      <c r="T52" s="137">
        <v>8.3199000000000005</v>
      </c>
      <c r="U52" s="137">
        <v>6.92</v>
      </c>
      <c r="V52" s="137">
        <v>4.93</v>
      </c>
      <c r="W52" s="140">
        <v>14100897</v>
      </c>
      <c r="X52" s="56">
        <f t="shared" si="0"/>
        <v>2</v>
      </c>
      <c r="Y52" s="56" t="str">
        <f t="shared" si="1"/>
        <v>NO LOGUEO</v>
      </c>
    </row>
    <row r="53" spans="1:25" ht="15" x14ac:dyDescent="0.25">
      <c r="A53" s="136" t="s">
        <v>252</v>
      </c>
      <c r="B53" s="137">
        <v>1.27</v>
      </c>
      <c r="C53" s="137">
        <v>4.01</v>
      </c>
      <c r="D53" s="137">
        <v>3.28</v>
      </c>
      <c r="E53" s="137">
        <v>0</v>
      </c>
      <c r="F53" s="137">
        <v>0</v>
      </c>
      <c r="G53" s="137">
        <v>0</v>
      </c>
      <c r="H53" s="137">
        <v>0</v>
      </c>
      <c r="I53" s="137">
        <v>1.7</v>
      </c>
      <c r="J53" s="137">
        <v>5.29</v>
      </c>
      <c r="K53" s="137">
        <v>6.91</v>
      </c>
      <c r="L53" s="137">
        <v>5.29</v>
      </c>
      <c r="M53" s="137">
        <v>5.5298999999999996</v>
      </c>
      <c r="N53" s="137">
        <v>3.25</v>
      </c>
      <c r="O53" s="137">
        <v>3.67</v>
      </c>
      <c r="P53" s="137">
        <v>2.14</v>
      </c>
      <c r="Q53" s="137">
        <v>4.04</v>
      </c>
      <c r="R53" s="137">
        <v>5.5</v>
      </c>
      <c r="S53" s="137">
        <v>5.08</v>
      </c>
      <c r="T53" s="137">
        <v>6.04</v>
      </c>
      <c r="U53" s="137">
        <v>5.33</v>
      </c>
      <c r="V53" s="137">
        <v>3.75</v>
      </c>
      <c r="W53" s="140">
        <v>14119517</v>
      </c>
      <c r="X53" s="56">
        <f t="shared" si="0"/>
        <v>0</v>
      </c>
      <c r="Y53" s="56" t="str">
        <f t="shared" si="1"/>
        <v>LOGUEO</v>
      </c>
    </row>
    <row r="54" spans="1:25" ht="15" x14ac:dyDescent="0.25">
      <c r="A54" s="136" t="s">
        <v>281</v>
      </c>
      <c r="B54" s="137">
        <v>5.26</v>
      </c>
      <c r="C54" s="137">
        <v>7.2</v>
      </c>
      <c r="D54" s="137">
        <v>7.06</v>
      </c>
      <c r="E54" s="137">
        <v>7.53</v>
      </c>
      <c r="F54" s="137">
        <v>1.7199</v>
      </c>
      <c r="G54" s="137">
        <v>7.28</v>
      </c>
      <c r="H54" s="137">
        <v>7.02</v>
      </c>
      <c r="I54" s="137">
        <v>5.07</v>
      </c>
      <c r="J54" s="137">
        <v>6.72</v>
      </c>
      <c r="K54" s="137">
        <v>7.08</v>
      </c>
      <c r="L54" s="137">
        <v>7.46</v>
      </c>
      <c r="M54" s="137">
        <v>6.81</v>
      </c>
      <c r="N54" s="137">
        <v>6.64</v>
      </c>
      <c r="O54" s="137">
        <v>7.41</v>
      </c>
      <c r="P54" s="137">
        <v>0</v>
      </c>
      <c r="Q54" s="137">
        <v>7.63</v>
      </c>
      <c r="R54" s="137">
        <v>6.36</v>
      </c>
      <c r="S54" s="137">
        <v>7.86</v>
      </c>
      <c r="T54" s="137">
        <v>7.9</v>
      </c>
      <c r="U54" s="137">
        <v>7.21</v>
      </c>
      <c r="V54" s="137">
        <v>6.43</v>
      </c>
      <c r="W54" s="140">
        <v>14112730</v>
      </c>
      <c r="X54" s="56">
        <f t="shared" si="0"/>
        <v>1</v>
      </c>
      <c r="Y54" s="56" t="str">
        <f t="shared" si="1"/>
        <v>LOGUEO</v>
      </c>
    </row>
    <row r="55" spans="1:25" ht="15" x14ac:dyDescent="0.25">
      <c r="A55" s="136" t="s">
        <v>2017</v>
      </c>
      <c r="B55" s="137">
        <v>0</v>
      </c>
      <c r="C55" s="137">
        <v>13.3299</v>
      </c>
      <c r="D55" s="137">
        <v>12.59</v>
      </c>
      <c r="E55" s="137">
        <v>14.31</v>
      </c>
      <c r="F55" s="137">
        <v>11.639900000000001</v>
      </c>
      <c r="G55" s="137">
        <v>6.3</v>
      </c>
      <c r="H55" s="137">
        <v>6.86</v>
      </c>
      <c r="I55" s="137">
        <v>8.31</v>
      </c>
      <c r="J55" s="137">
        <v>11.51</v>
      </c>
      <c r="K55" s="137">
        <v>7.65</v>
      </c>
      <c r="L55" s="137">
        <v>13.72</v>
      </c>
      <c r="M55" s="137">
        <v>15.22</v>
      </c>
      <c r="N55" s="137">
        <v>13.6899</v>
      </c>
      <c r="O55" s="137">
        <v>8.3099000000000007</v>
      </c>
      <c r="P55" s="137">
        <v>0</v>
      </c>
      <c r="Q55" s="137">
        <v>1.75</v>
      </c>
      <c r="R55" s="137">
        <v>11.889900000000001</v>
      </c>
      <c r="S55" s="137">
        <v>12.17</v>
      </c>
      <c r="T55" s="137">
        <v>13.89</v>
      </c>
      <c r="U55" s="137">
        <v>13.81</v>
      </c>
      <c r="V55" s="137">
        <v>11.58</v>
      </c>
      <c r="W55" s="140" t="s">
        <v>1609</v>
      </c>
      <c r="X55" s="56">
        <f t="shared" si="0"/>
        <v>1</v>
      </c>
      <c r="Y55" s="56" t="str">
        <f t="shared" si="1"/>
        <v>LOGUEO</v>
      </c>
    </row>
    <row r="56" spans="1:25" ht="15" x14ac:dyDescent="0.25">
      <c r="A56" s="136" t="s">
        <v>1866</v>
      </c>
      <c r="B56" s="137">
        <v>0</v>
      </c>
      <c r="C56" s="137">
        <v>0</v>
      </c>
      <c r="D56" s="137">
        <v>0</v>
      </c>
      <c r="E56" s="137">
        <v>0</v>
      </c>
      <c r="F56" s="137">
        <v>0</v>
      </c>
      <c r="G56" s="137">
        <v>0</v>
      </c>
      <c r="H56" s="137">
        <v>0</v>
      </c>
      <c r="I56" s="137">
        <v>0</v>
      </c>
      <c r="J56" s="137">
        <v>0</v>
      </c>
      <c r="K56" s="137">
        <v>0</v>
      </c>
      <c r="L56" s="137">
        <v>0</v>
      </c>
      <c r="M56" s="137">
        <v>0</v>
      </c>
      <c r="N56" s="137">
        <v>0</v>
      </c>
      <c r="O56" s="137">
        <v>0</v>
      </c>
      <c r="P56" s="137">
        <v>0</v>
      </c>
      <c r="Q56" s="137">
        <v>0</v>
      </c>
      <c r="R56" s="137">
        <v>0</v>
      </c>
      <c r="S56" s="137">
        <v>0</v>
      </c>
      <c r="T56" s="137">
        <v>0</v>
      </c>
      <c r="U56" s="137">
        <v>0</v>
      </c>
      <c r="V56" s="137">
        <v>0</v>
      </c>
      <c r="W56" s="140" t="s">
        <v>1609</v>
      </c>
      <c r="X56" s="56">
        <f t="shared" si="0"/>
        <v>7</v>
      </c>
      <c r="Y56" s="56" t="str">
        <f t="shared" si="1"/>
        <v>NO LOGUEO</v>
      </c>
    </row>
    <row r="57" spans="1:25" ht="15" x14ac:dyDescent="0.25">
      <c r="A57" s="136" t="s">
        <v>308</v>
      </c>
      <c r="B57" s="137">
        <v>8.56</v>
      </c>
      <c r="C57" s="137">
        <v>3.84</v>
      </c>
      <c r="D57" s="137">
        <v>4.2</v>
      </c>
      <c r="E57" s="137">
        <v>5.2</v>
      </c>
      <c r="F57" s="137">
        <v>1.79</v>
      </c>
      <c r="G57" s="137">
        <v>4.07</v>
      </c>
      <c r="H57" s="137">
        <v>3.85</v>
      </c>
      <c r="I57" s="137">
        <v>0</v>
      </c>
      <c r="J57" s="137">
        <v>2</v>
      </c>
      <c r="K57" s="137">
        <v>3.74</v>
      </c>
      <c r="L57" s="137">
        <v>3.17</v>
      </c>
      <c r="M57" s="137">
        <v>4.07</v>
      </c>
      <c r="N57" s="137">
        <v>4.03</v>
      </c>
      <c r="O57" s="137">
        <v>4.58</v>
      </c>
      <c r="P57" s="137">
        <v>7.27</v>
      </c>
      <c r="Q57" s="137">
        <v>3.96</v>
      </c>
      <c r="R57" s="137">
        <v>4.3</v>
      </c>
      <c r="S57" s="137">
        <v>5.31</v>
      </c>
      <c r="T57" s="137">
        <v>4.18</v>
      </c>
      <c r="U57" s="137">
        <v>4</v>
      </c>
      <c r="V57" s="137">
        <v>3.89</v>
      </c>
      <c r="W57" s="140">
        <v>14104957</v>
      </c>
      <c r="X57" s="56">
        <f t="shared" si="0"/>
        <v>0</v>
      </c>
      <c r="Y57" s="56" t="str">
        <f t="shared" si="1"/>
        <v>LOGUEO</v>
      </c>
    </row>
    <row r="58" spans="1:25" ht="15" x14ac:dyDescent="0.25">
      <c r="A58" s="136" t="s">
        <v>309</v>
      </c>
      <c r="B58" s="137">
        <v>4.9000000000000004</v>
      </c>
      <c r="C58" s="137">
        <v>6.65</v>
      </c>
      <c r="D58" s="137">
        <v>9.82</v>
      </c>
      <c r="E58" s="137">
        <v>5.9099000000000004</v>
      </c>
      <c r="F58" s="137">
        <v>5.4199000000000002</v>
      </c>
      <c r="G58" s="137">
        <v>1.35</v>
      </c>
      <c r="H58" s="137">
        <v>3.81</v>
      </c>
      <c r="I58" s="137">
        <v>6.86</v>
      </c>
      <c r="J58" s="137">
        <v>5.48</v>
      </c>
      <c r="K58" s="137">
        <v>11.2</v>
      </c>
      <c r="L58" s="137">
        <v>7.31</v>
      </c>
      <c r="M58" s="137">
        <v>10.4399</v>
      </c>
      <c r="N58" s="137">
        <v>1</v>
      </c>
      <c r="O58" s="137">
        <v>5.84</v>
      </c>
      <c r="P58" s="137">
        <v>8.4799000000000007</v>
      </c>
      <c r="Q58" s="137">
        <v>7.35</v>
      </c>
      <c r="R58" s="137">
        <v>11.27</v>
      </c>
      <c r="S58" s="137">
        <v>9.2100000000000009</v>
      </c>
      <c r="T58" s="137">
        <v>7.2</v>
      </c>
      <c r="U58" s="137">
        <v>1.4</v>
      </c>
      <c r="V58" s="137">
        <v>4.08</v>
      </c>
      <c r="W58" s="140">
        <v>14120925</v>
      </c>
      <c r="X58" s="56">
        <f t="shared" si="0"/>
        <v>0</v>
      </c>
      <c r="Y58" s="56" t="str">
        <f t="shared" si="1"/>
        <v>LOGUEO</v>
      </c>
    </row>
    <row r="59" spans="1:25" ht="15" x14ac:dyDescent="0.25">
      <c r="A59" s="136" t="s">
        <v>1929</v>
      </c>
      <c r="B59" s="137">
        <v>0</v>
      </c>
      <c r="C59" s="137">
        <v>0</v>
      </c>
      <c r="D59" s="137">
        <v>0</v>
      </c>
      <c r="E59" s="137">
        <v>0</v>
      </c>
      <c r="F59" s="137">
        <v>0</v>
      </c>
      <c r="G59" s="137">
        <v>0</v>
      </c>
      <c r="H59" s="137">
        <v>0</v>
      </c>
      <c r="I59" s="137">
        <v>0</v>
      </c>
      <c r="J59" s="137">
        <v>0</v>
      </c>
      <c r="K59" s="137">
        <v>0</v>
      </c>
      <c r="L59" s="137">
        <v>0</v>
      </c>
      <c r="M59" s="137">
        <v>0</v>
      </c>
      <c r="N59" s="137">
        <v>0</v>
      </c>
      <c r="O59" s="137">
        <v>0</v>
      </c>
      <c r="P59" s="137">
        <v>0</v>
      </c>
      <c r="Q59" s="137">
        <v>0</v>
      </c>
      <c r="R59" s="137">
        <v>0</v>
      </c>
      <c r="S59" s="137">
        <v>0</v>
      </c>
      <c r="T59" s="137">
        <v>0</v>
      </c>
      <c r="U59" s="137">
        <v>0</v>
      </c>
      <c r="V59" s="137">
        <v>0</v>
      </c>
      <c r="W59" s="140" t="s">
        <v>1609</v>
      </c>
      <c r="X59" s="56">
        <f t="shared" si="0"/>
        <v>7</v>
      </c>
      <c r="Y59" s="56" t="str">
        <f t="shared" si="1"/>
        <v>NO LOGUEO</v>
      </c>
    </row>
    <row r="60" spans="1:25" ht="15" x14ac:dyDescent="0.25">
      <c r="A60" s="136" t="s">
        <v>326</v>
      </c>
      <c r="B60" s="137">
        <v>4.17</v>
      </c>
      <c r="C60" s="137">
        <v>5.4</v>
      </c>
      <c r="D60" s="137">
        <v>5.94</v>
      </c>
      <c r="E60" s="137">
        <v>2.7199</v>
      </c>
      <c r="F60" s="137">
        <v>0</v>
      </c>
      <c r="G60" s="137">
        <v>2.75</v>
      </c>
      <c r="H60" s="137">
        <v>8.48</v>
      </c>
      <c r="I60" s="137">
        <v>4.9800000000000004</v>
      </c>
      <c r="J60" s="137">
        <v>3.99</v>
      </c>
      <c r="K60" s="137">
        <v>4.4499000000000004</v>
      </c>
      <c r="L60" s="137">
        <v>4.13</v>
      </c>
      <c r="M60" s="137">
        <v>4.4800000000000004</v>
      </c>
      <c r="N60" s="137">
        <v>5.94</v>
      </c>
      <c r="O60" s="137">
        <v>8.7799999999999994</v>
      </c>
      <c r="P60" s="137">
        <v>4.03</v>
      </c>
      <c r="Q60" s="137">
        <v>0</v>
      </c>
      <c r="R60" s="137">
        <v>4.05</v>
      </c>
      <c r="S60" s="137">
        <v>5.29</v>
      </c>
      <c r="T60" s="137">
        <v>6.11</v>
      </c>
      <c r="U60" s="137">
        <v>3.85</v>
      </c>
      <c r="V60" s="137">
        <v>5.25</v>
      </c>
      <c r="W60" s="140">
        <v>14121235</v>
      </c>
      <c r="X60" s="56">
        <f t="shared" si="0"/>
        <v>1</v>
      </c>
      <c r="Y60" s="56" t="str">
        <f t="shared" si="1"/>
        <v>LOGUEO</v>
      </c>
    </row>
    <row r="61" spans="1:25" ht="15" x14ac:dyDescent="0.25">
      <c r="A61" s="136" t="s">
        <v>1930</v>
      </c>
      <c r="B61" s="137">
        <v>0</v>
      </c>
      <c r="C61" s="137">
        <v>0</v>
      </c>
      <c r="D61" s="137">
        <v>0</v>
      </c>
      <c r="E61" s="137">
        <v>0</v>
      </c>
      <c r="F61" s="137">
        <v>0</v>
      </c>
      <c r="G61" s="137">
        <v>0</v>
      </c>
      <c r="H61" s="137">
        <v>0</v>
      </c>
      <c r="I61" s="137">
        <v>0</v>
      </c>
      <c r="J61" s="137">
        <v>0</v>
      </c>
      <c r="K61" s="137">
        <v>0</v>
      </c>
      <c r="L61" s="137">
        <v>0</v>
      </c>
      <c r="M61" s="137">
        <v>0</v>
      </c>
      <c r="N61" s="137">
        <v>0</v>
      </c>
      <c r="O61" s="137">
        <v>0</v>
      </c>
      <c r="P61" s="137">
        <v>0</v>
      </c>
      <c r="Q61" s="137">
        <v>0</v>
      </c>
      <c r="R61" s="137">
        <v>0</v>
      </c>
      <c r="S61" s="137">
        <v>0</v>
      </c>
      <c r="T61" s="137">
        <v>0</v>
      </c>
      <c r="U61" s="137">
        <v>0</v>
      </c>
      <c r="V61" s="137">
        <v>0</v>
      </c>
      <c r="W61" s="140" t="s">
        <v>1609</v>
      </c>
      <c r="X61" s="56">
        <f t="shared" si="0"/>
        <v>7</v>
      </c>
      <c r="Y61" s="56" t="str">
        <f t="shared" si="1"/>
        <v>NO LOGUEO</v>
      </c>
    </row>
    <row r="62" spans="1:25" ht="15" x14ac:dyDescent="0.25">
      <c r="A62" s="136" t="s">
        <v>1931</v>
      </c>
      <c r="B62" s="137">
        <v>0</v>
      </c>
      <c r="C62" s="137">
        <v>0</v>
      </c>
      <c r="D62" s="137">
        <v>0</v>
      </c>
      <c r="E62" s="137">
        <v>0</v>
      </c>
      <c r="F62" s="137">
        <v>0</v>
      </c>
      <c r="G62" s="137">
        <v>0</v>
      </c>
      <c r="H62" s="137">
        <v>0</v>
      </c>
      <c r="I62" s="137">
        <v>0</v>
      </c>
      <c r="J62" s="137">
        <v>0</v>
      </c>
      <c r="K62" s="137">
        <v>0</v>
      </c>
      <c r="L62" s="137">
        <v>0</v>
      </c>
      <c r="M62" s="137">
        <v>0</v>
      </c>
      <c r="N62" s="137">
        <v>0</v>
      </c>
      <c r="O62" s="137">
        <v>0</v>
      </c>
      <c r="P62" s="137">
        <v>0</v>
      </c>
      <c r="Q62" s="137">
        <v>0</v>
      </c>
      <c r="R62" s="137">
        <v>0</v>
      </c>
      <c r="S62" s="137">
        <v>0</v>
      </c>
      <c r="T62" s="137">
        <v>0</v>
      </c>
      <c r="U62" s="137">
        <v>0</v>
      </c>
      <c r="V62" s="137">
        <v>0</v>
      </c>
      <c r="W62" s="140" t="s">
        <v>1609</v>
      </c>
      <c r="X62" s="56">
        <f t="shared" si="0"/>
        <v>7</v>
      </c>
      <c r="Y62" s="56" t="str">
        <f t="shared" si="1"/>
        <v>NO LOGUEO</v>
      </c>
    </row>
    <row r="63" spans="1:25" ht="15" x14ac:dyDescent="0.25">
      <c r="A63" s="136" t="s">
        <v>324</v>
      </c>
      <c r="B63" s="137">
        <v>1.47</v>
      </c>
      <c r="C63" s="137">
        <v>4.07</v>
      </c>
      <c r="D63" s="137">
        <v>6.74</v>
      </c>
      <c r="E63" s="137">
        <v>1.83</v>
      </c>
      <c r="F63" s="137">
        <v>1.52</v>
      </c>
      <c r="G63" s="137">
        <v>7.2899000000000003</v>
      </c>
      <c r="H63" s="137">
        <v>2.0299</v>
      </c>
      <c r="I63" s="137">
        <v>0.63</v>
      </c>
      <c r="J63" s="137">
        <v>3.52</v>
      </c>
      <c r="K63" s="137">
        <v>9.9899000000000004</v>
      </c>
      <c r="L63" s="137">
        <v>6.4099000000000004</v>
      </c>
      <c r="M63" s="137">
        <v>5.98</v>
      </c>
      <c r="N63" s="137">
        <v>5.93</v>
      </c>
      <c r="O63" s="137">
        <v>3.73</v>
      </c>
      <c r="P63" s="137">
        <v>2.0699999999999998</v>
      </c>
      <c r="Q63" s="137">
        <v>9.34</v>
      </c>
      <c r="R63" s="137">
        <v>2.77</v>
      </c>
      <c r="S63" s="137">
        <v>7.47</v>
      </c>
      <c r="T63" s="137">
        <v>2.5099</v>
      </c>
      <c r="U63" s="137">
        <v>5.0698999999999996</v>
      </c>
      <c r="V63" s="137">
        <v>1.6</v>
      </c>
      <c r="W63" s="140">
        <v>14121193</v>
      </c>
      <c r="X63" s="56">
        <f t="shared" si="0"/>
        <v>0</v>
      </c>
      <c r="Y63" s="56" t="str">
        <f t="shared" si="1"/>
        <v>LOGUEO</v>
      </c>
    </row>
    <row r="64" spans="1:25" ht="15" x14ac:dyDescent="0.25">
      <c r="A64" s="136" t="s">
        <v>306</v>
      </c>
      <c r="B64" s="137">
        <v>6.69</v>
      </c>
      <c r="C64" s="137">
        <v>3.57</v>
      </c>
      <c r="D64" s="137">
        <v>7.45</v>
      </c>
      <c r="E64" s="137">
        <v>3.4</v>
      </c>
      <c r="F64" s="137">
        <v>6.34</v>
      </c>
      <c r="G64" s="137">
        <v>3.11</v>
      </c>
      <c r="H64" s="137">
        <v>6.57</v>
      </c>
      <c r="I64" s="137">
        <v>3.2</v>
      </c>
      <c r="J64" s="137">
        <v>6.55</v>
      </c>
      <c r="K64" s="137">
        <v>6.21</v>
      </c>
      <c r="L64" s="137">
        <v>6.62</v>
      </c>
      <c r="M64" s="137">
        <v>1.3798999999999999</v>
      </c>
      <c r="N64" s="137">
        <v>4.5999999999999996</v>
      </c>
      <c r="O64" s="137">
        <v>3.37</v>
      </c>
      <c r="P64" s="137">
        <v>7.02</v>
      </c>
      <c r="Q64" s="137">
        <v>0</v>
      </c>
      <c r="R64" s="137">
        <v>7.39</v>
      </c>
      <c r="S64" s="137">
        <v>3.62</v>
      </c>
      <c r="T64" s="137">
        <v>7.08</v>
      </c>
      <c r="U64" s="137">
        <v>3.95</v>
      </c>
      <c r="V64" s="137">
        <v>6.88</v>
      </c>
      <c r="W64" s="140">
        <v>14120850</v>
      </c>
      <c r="X64" s="56">
        <f t="shared" si="0"/>
        <v>1</v>
      </c>
      <c r="Y64" s="56" t="str">
        <f t="shared" si="1"/>
        <v>LOGUEO</v>
      </c>
    </row>
    <row r="65" spans="1:25" ht="15" x14ac:dyDescent="0.25">
      <c r="A65" s="136" t="s">
        <v>239</v>
      </c>
      <c r="B65" s="137">
        <v>3.85</v>
      </c>
      <c r="C65" s="137">
        <v>7.49</v>
      </c>
      <c r="D65" s="137">
        <v>11.299899999999999</v>
      </c>
      <c r="E65" s="137">
        <v>7.05</v>
      </c>
      <c r="F65" s="137">
        <v>2.12</v>
      </c>
      <c r="G65" s="137">
        <v>3.9799000000000002</v>
      </c>
      <c r="H65" s="137">
        <v>2.7</v>
      </c>
      <c r="I65" s="137">
        <v>5.13</v>
      </c>
      <c r="J65" s="137">
        <v>8.26</v>
      </c>
      <c r="K65" s="137">
        <v>8.5299999999999994</v>
      </c>
      <c r="L65" s="137">
        <v>8.43</v>
      </c>
      <c r="M65" s="137">
        <v>8.8000000000000007</v>
      </c>
      <c r="N65" s="137">
        <v>8.02</v>
      </c>
      <c r="O65" s="137">
        <v>7.25</v>
      </c>
      <c r="P65" s="137">
        <v>5.76</v>
      </c>
      <c r="Q65" s="137">
        <v>7.86</v>
      </c>
      <c r="R65" s="137">
        <v>8.0500000000000007</v>
      </c>
      <c r="S65" s="137">
        <v>9.5398999999999994</v>
      </c>
      <c r="T65" s="137">
        <v>7.23</v>
      </c>
      <c r="U65" s="137">
        <v>0</v>
      </c>
      <c r="V65" s="137">
        <v>2.2200000000000002</v>
      </c>
      <c r="W65" s="140">
        <v>14118184</v>
      </c>
      <c r="X65" s="56">
        <f t="shared" si="0"/>
        <v>1</v>
      </c>
      <c r="Y65" s="56" t="str">
        <f t="shared" si="1"/>
        <v>LOGUEO</v>
      </c>
    </row>
    <row r="66" spans="1:25" ht="15" x14ac:dyDescent="0.25">
      <c r="A66" s="136" t="s">
        <v>220</v>
      </c>
      <c r="B66" s="137">
        <v>0</v>
      </c>
      <c r="C66" s="137">
        <v>3.41</v>
      </c>
      <c r="D66" s="137">
        <v>3.63</v>
      </c>
      <c r="E66" s="137">
        <v>5.41</v>
      </c>
      <c r="F66" s="137">
        <v>3.08</v>
      </c>
      <c r="G66" s="137">
        <v>3.75</v>
      </c>
      <c r="H66" s="137">
        <v>5.75</v>
      </c>
      <c r="I66" s="137">
        <v>0</v>
      </c>
      <c r="J66" s="137">
        <v>3.37</v>
      </c>
      <c r="K66" s="137">
        <v>5.91</v>
      </c>
      <c r="L66" s="137">
        <v>4.75</v>
      </c>
      <c r="M66" s="137">
        <v>8.0500000000000007</v>
      </c>
      <c r="N66" s="137">
        <v>4.57</v>
      </c>
      <c r="O66" s="137">
        <v>6.27</v>
      </c>
      <c r="P66" s="137">
        <v>0</v>
      </c>
      <c r="Q66" s="137">
        <v>7.61</v>
      </c>
      <c r="R66" s="137">
        <v>7.05</v>
      </c>
      <c r="S66" s="137">
        <v>6.88</v>
      </c>
      <c r="T66" s="137">
        <v>5.26</v>
      </c>
      <c r="U66" s="137">
        <v>4.03</v>
      </c>
      <c r="V66" s="137">
        <v>8.06</v>
      </c>
      <c r="W66" s="140">
        <v>14118887</v>
      </c>
      <c r="X66" s="56">
        <f t="shared" si="0"/>
        <v>1</v>
      </c>
      <c r="Y66" s="56" t="str">
        <f t="shared" si="1"/>
        <v>LOGUEO</v>
      </c>
    </row>
    <row r="67" spans="1:25" ht="15" x14ac:dyDescent="0.25">
      <c r="A67" s="136" t="s">
        <v>253</v>
      </c>
      <c r="B67" s="137">
        <v>8.39</v>
      </c>
      <c r="C67" s="137">
        <v>8.4</v>
      </c>
      <c r="D67" s="137">
        <v>6.78</v>
      </c>
      <c r="E67" s="137">
        <v>8.0398999999999994</v>
      </c>
      <c r="F67" s="137">
        <v>0.73</v>
      </c>
      <c r="G67" s="137">
        <v>6.35</v>
      </c>
      <c r="H67" s="137">
        <v>10.709899999999999</v>
      </c>
      <c r="I67" s="137">
        <v>0</v>
      </c>
      <c r="J67" s="137">
        <v>9.61</v>
      </c>
      <c r="K67" s="137">
        <v>10.91</v>
      </c>
      <c r="L67" s="137">
        <v>12.149900000000001</v>
      </c>
      <c r="M67" s="137">
        <v>11.809900000000001</v>
      </c>
      <c r="N67" s="137">
        <v>11.01</v>
      </c>
      <c r="O67" s="137">
        <v>11.549899999999999</v>
      </c>
      <c r="P67" s="137">
        <v>0</v>
      </c>
      <c r="Q67" s="137">
        <v>11.67</v>
      </c>
      <c r="R67" s="137">
        <v>11.25</v>
      </c>
      <c r="S67" s="137">
        <v>11.65</v>
      </c>
      <c r="T67" s="137">
        <v>12.52</v>
      </c>
      <c r="U67" s="137">
        <v>10.63</v>
      </c>
      <c r="V67" s="137">
        <v>11.67</v>
      </c>
      <c r="W67" s="140">
        <v>14119539</v>
      </c>
      <c r="X67" s="56">
        <f t="shared" ref="X67:X130" si="2">COUNTIF(P67:V67,0)</f>
        <v>1</v>
      </c>
      <c r="Y67" s="56" t="str">
        <f t="shared" ref="Y67:Y130" si="3">IF(X67&gt;1,"NO LOGUEO","LOGUEO")</f>
        <v>LOGUEO</v>
      </c>
    </row>
    <row r="68" spans="1:25" ht="15" x14ac:dyDescent="0.25">
      <c r="A68" s="136" t="s">
        <v>249</v>
      </c>
      <c r="B68" s="137">
        <v>0</v>
      </c>
      <c r="C68" s="137">
        <v>0</v>
      </c>
      <c r="D68" s="137">
        <v>0</v>
      </c>
      <c r="E68" s="137">
        <v>0</v>
      </c>
      <c r="F68" s="137">
        <v>0</v>
      </c>
      <c r="G68" s="137">
        <v>0</v>
      </c>
      <c r="H68" s="137">
        <v>0</v>
      </c>
      <c r="I68" s="137">
        <v>0</v>
      </c>
      <c r="J68" s="137">
        <v>0</v>
      </c>
      <c r="K68" s="137">
        <v>0</v>
      </c>
      <c r="L68" s="137">
        <v>0</v>
      </c>
      <c r="M68" s="137">
        <v>0</v>
      </c>
      <c r="N68" s="137">
        <v>0</v>
      </c>
      <c r="O68" s="137">
        <v>0</v>
      </c>
      <c r="P68" s="137">
        <v>0</v>
      </c>
      <c r="Q68" s="137">
        <v>0</v>
      </c>
      <c r="R68" s="137">
        <v>0</v>
      </c>
      <c r="S68" s="137">
        <v>0</v>
      </c>
      <c r="T68" s="137">
        <v>0</v>
      </c>
      <c r="U68" s="137">
        <v>0</v>
      </c>
      <c r="V68" s="137">
        <v>0</v>
      </c>
      <c r="W68" s="140">
        <v>14119483</v>
      </c>
      <c r="X68" s="56">
        <f t="shared" si="2"/>
        <v>7</v>
      </c>
      <c r="Y68" s="56" t="str">
        <f t="shared" si="3"/>
        <v>NO LOGUEO</v>
      </c>
    </row>
    <row r="69" spans="1:25" ht="15" x14ac:dyDescent="0.25">
      <c r="A69" s="136" t="s">
        <v>1003</v>
      </c>
      <c r="B69" s="137">
        <v>0</v>
      </c>
      <c r="C69" s="137">
        <v>10.92</v>
      </c>
      <c r="D69" s="137">
        <v>9</v>
      </c>
      <c r="E69" s="137">
        <v>11.879899999999999</v>
      </c>
      <c r="F69" s="137">
        <v>9.5500000000000007</v>
      </c>
      <c r="G69" s="137">
        <v>10.879899999999999</v>
      </c>
      <c r="H69" s="137">
        <v>12.26</v>
      </c>
      <c r="I69" s="137">
        <v>0</v>
      </c>
      <c r="J69" s="137">
        <v>11.75</v>
      </c>
      <c r="K69" s="137">
        <v>12.24</v>
      </c>
      <c r="L69" s="137">
        <v>11.219900000000001</v>
      </c>
      <c r="M69" s="137">
        <v>12.8299</v>
      </c>
      <c r="N69" s="137">
        <v>11.3</v>
      </c>
      <c r="O69" s="137">
        <v>11.86</v>
      </c>
      <c r="P69" s="137">
        <v>0</v>
      </c>
      <c r="Q69" s="137">
        <v>10.67</v>
      </c>
      <c r="R69" s="137">
        <v>11.5</v>
      </c>
      <c r="S69" s="137">
        <v>12.03</v>
      </c>
      <c r="T69" s="137">
        <v>10.8299</v>
      </c>
      <c r="U69" s="137">
        <v>8.44</v>
      </c>
      <c r="V69" s="137">
        <v>10.039899999999999</v>
      </c>
      <c r="W69" s="140" t="s">
        <v>1609</v>
      </c>
      <c r="X69" s="56">
        <f t="shared" si="2"/>
        <v>1</v>
      </c>
      <c r="Y69" s="56" t="str">
        <f t="shared" si="3"/>
        <v>LOGUEO</v>
      </c>
    </row>
    <row r="70" spans="1:25" ht="15" x14ac:dyDescent="0.25">
      <c r="A70" s="136" t="s">
        <v>1932</v>
      </c>
      <c r="B70" s="137">
        <v>0</v>
      </c>
      <c r="C70" s="137">
        <v>0</v>
      </c>
      <c r="D70" s="137">
        <v>0</v>
      </c>
      <c r="E70" s="137">
        <v>0</v>
      </c>
      <c r="F70" s="137">
        <v>0</v>
      </c>
      <c r="G70" s="137">
        <v>0</v>
      </c>
      <c r="H70" s="137">
        <v>0</v>
      </c>
      <c r="I70" s="137">
        <v>0</v>
      </c>
      <c r="J70" s="137">
        <v>0</v>
      </c>
      <c r="K70" s="137">
        <v>0</v>
      </c>
      <c r="L70" s="137">
        <v>0</v>
      </c>
      <c r="M70" s="137">
        <v>0</v>
      </c>
      <c r="N70" s="137">
        <v>0</v>
      </c>
      <c r="O70" s="137">
        <v>0</v>
      </c>
      <c r="P70" s="137">
        <v>0</v>
      </c>
      <c r="Q70" s="137">
        <v>0</v>
      </c>
      <c r="R70" s="137">
        <v>0</v>
      </c>
      <c r="S70" s="137">
        <v>0</v>
      </c>
      <c r="T70" s="137">
        <v>0</v>
      </c>
      <c r="U70" s="137">
        <v>0</v>
      </c>
      <c r="V70" s="137">
        <v>0</v>
      </c>
      <c r="W70" s="140" t="s">
        <v>1609</v>
      </c>
      <c r="X70" s="56">
        <f t="shared" si="2"/>
        <v>7</v>
      </c>
      <c r="Y70" s="56" t="str">
        <f t="shared" si="3"/>
        <v>NO LOGUEO</v>
      </c>
    </row>
    <row r="71" spans="1:25" ht="15" x14ac:dyDescent="0.25">
      <c r="A71" s="136" t="s">
        <v>1933</v>
      </c>
      <c r="B71" s="137">
        <v>0</v>
      </c>
      <c r="C71" s="137">
        <v>0</v>
      </c>
      <c r="D71" s="137">
        <v>0</v>
      </c>
      <c r="E71" s="137">
        <v>0</v>
      </c>
      <c r="F71" s="137">
        <v>0</v>
      </c>
      <c r="G71" s="137">
        <v>0</v>
      </c>
      <c r="H71" s="137">
        <v>0</v>
      </c>
      <c r="I71" s="137">
        <v>0</v>
      </c>
      <c r="J71" s="137">
        <v>0</v>
      </c>
      <c r="K71" s="137">
        <v>0</v>
      </c>
      <c r="L71" s="137">
        <v>0</v>
      </c>
      <c r="M71" s="137">
        <v>0</v>
      </c>
      <c r="N71" s="137">
        <v>0</v>
      </c>
      <c r="O71" s="137">
        <v>0</v>
      </c>
      <c r="P71" s="137">
        <v>0</v>
      </c>
      <c r="Q71" s="137">
        <v>0</v>
      </c>
      <c r="R71" s="137">
        <v>0</v>
      </c>
      <c r="S71" s="137">
        <v>0</v>
      </c>
      <c r="T71" s="137">
        <v>0</v>
      </c>
      <c r="U71" s="137">
        <v>0</v>
      </c>
      <c r="V71" s="137">
        <v>0</v>
      </c>
      <c r="W71" s="140" t="s">
        <v>1609</v>
      </c>
      <c r="X71" s="56">
        <f t="shared" si="2"/>
        <v>7</v>
      </c>
      <c r="Y71" s="56" t="str">
        <f t="shared" si="3"/>
        <v>NO LOGUEO</v>
      </c>
    </row>
    <row r="72" spans="1:25" ht="15" x14ac:dyDescent="0.25">
      <c r="A72" s="136" t="s">
        <v>331</v>
      </c>
      <c r="B72" s="137">
        <v>2.66</v>
      </c>
      <c r="C72" s="137">
        <v>10.050000000000001</v>
      </c>
      <c r="D72" s="137">
        <v>9.59</v>
      </c>
      <c r="E72" s="137">
        <v>7.15</v>
      </c>
      <c r="F72" s="137">
        <v>2.61</v>
      </c>
      <c r="G72" s="137">
        <v>7.01</v>
      </c>
      <c r="H72" s="137">
        <v>5.7798999999999996</v>
      </c>
      <c r="I72" s="137">
        <v>2.77</v>
      </c>
      <c r="J72" s="137">
        <v>5.62</v>
      </c>
      <c r="K72" s="137">
        <v>7.32</v>
      </c>
      <c r="L72" s="137">
        <v>8.94</v>
      </c>
      <c r="M72" s="137">
        <v>5.74</v>
      </c>
      <c r="N72" s="137">
        <v>8.2799999999999994</v>
      </c>
      <c r="O72" s="137">
        <v>3.92</v>
      </c>
      <c r="P72" s="137">
        <v>2.12</v>
      </c>
      <c r="Q72" s="137">
        <v>7.58</v>
      </c>
      <c r="R72" s="137">
        <v>7.76</v>
      </c>
      <c r="S72" s="137">
        <v>6.42</v>
      </c>
      <c r="T72" s="137">
        <v>7.7298999999999998</v>
      </c>
      <c r="U72" s="137">
        <v>9.7299000000000007</v>
      </c>
      <c r="V72" s="137">
        <v>5.81</v>
      </c>
      <c r="W72" s="140">
        <v>14121328</v>
      </c>
      <c r="X72" s="56">
        <f t="shared" si="2"/>
        <v>0</v>
      </c>
      <c r="Y72" s="56" t="str">
        <f t="shared" si="3"/>
        <v>LOGUEO</v>
      </c>
    </row>
    <row r="73" spans="1:25" ht="15" x14ac:dyDescent="0.25">
      <c r="A73" s="136" t="s">
        <v>302</v>
      </c>
      <c r="B73" s="137">
        <v>6.1</v>
      </c>
      <c r="C73" s="137">
        <v>10.23</v>
      </c>
      <c r="D73" s="137">
        <v>5.4</v>
      </c>
      <c r="E73" s="137">
        <v>7.03</v>
      </c>
      <c r="F73" s="137">
        <v>0</v>
      </c>
      <c r="G73" s="137">
        <v>5.1999000000000004</v>
      </c>
      <c r="H73" s="137">
        <v>7.2</v>
      </c>
      <c r="I73" s="137">
        <v>0</v>
      </c>
      <c r="J73" s="137">
        <v>12.3299</v>
      </c>
      <c r="K73" s="137">
        <v>4.57</v>
      </c>
      <c r="L73" s="137">
        <v>8.25</v>
      </c>
      <c r="M73" s="137">
        <v>4.7</v>
      </c>
      <c r="N73" s="137">
        <v>6.64</v>
      </c>
      <c r="O73" s="137">
        <v>8.14</v>
      </c>
      <c r="P73" s="137">
        <v>5.92</v>
      </c>
      <c r="Q73" s="137">
        <v>11.93</v>
      </c>
      <c r="R73" s="137">
        <v>7.35</v>
      </c>
      <c r="S73" s="137">
        <v>7.28</v>
      </c>
      <c r="T73" s="137">
        <v>3.59</v>
      </c>
      <c r="U73" s="137">
        <v>0</v>
      </c>
      <c r="V73" s="137">
        <v>1.47</v>
      </c>
      <c r="W73" s="140">
        <v>14120789</v>
      </c>
      <c r="X73" s="56">
        <f t="shared" si="2"/>
        <v>1</v>
      </c>
      <c r="Y73" s="56" t="str">
        <f t="shared" si="3"/>
        <v>LOGUEO</v>
      </c>
    </row>
    <row r="74" spans="1:25" ht="15" x14ac:dyDescent="0.25">
      <c r="A74" s="136" t="s">
        <v>1934</v>
      </c>
      <c r="B74" s="137">
        <v>0</v>
      </c>
      <c r="C74" s="137">
        <v>1.1298999999999999</v>
      </c>
      <c r="D74" s="137">
        <v>0</v>
      </c>
      <c r="E74" s="137">
        <v>0</v>
      </c>
      <c r="F74" s="137">
        <v>0</v>
      </c>
      <c r="G74" s="137">
        <v>0</v>
      </c>
      <c r="H74" s="137">
        <v>0</v>
      </c>
      <c r="I74" s="137">
        <v>0</v>
      </c>
      <c r="J74" s="137">
        <v>0</v>
      </c>
      <c r="K74" s="137">
        <v>0</v>
      </c>
      <c r="L74" s="137">
        <v>0</v>
      </c>
      <c r="M74" s="137">
        <v>0</v>
      </c>
      <c r="N74" s="137">
        <v>0</v>
      </c>
      <c r="O74" s="137">
        <v>0.98</v>
      </c>
      <c r="P74" s="137">
        <v>0</v>
      </c>
      <c r="Q74" s="137">
        <v>0</v>
      </c>
      <c r="R74" s="137">
        <v>0</v>
      </c>
      <c r="S74" s="137">
        <v>0</v>
      </c>
      <c r="T74" s="137">
        <v>0</v>
      </c>
      <c r="U74" s="137">
        <v>0.65</v>
      </c>
      <c r="V74" s="137">
        <v>1.75</v>
      </c>
      <c r="W74" s="140">
        <v>14109772</v>
      </c>
      <c r="X74" s="56">
        <f t="shared" si="2"/>
        <v>5</v>
      </c>
      <c r="Y74" s="56" t="str">
        <f t="shared" si="3"/>
        <v>NO LOGUEO</v>
      </c>
    </row>
    <row r="75" spans="1:25" ht="15" x14ac:dyDescent="0.25">
      <c r="A75" s="136" t="s">
        <v>234</v>
      </c>
      <c r="B75" s="137">
        <v>7.37</v>
      </c>
      <c r="C75" s="137">
        <v>11.4</v>
      </c>
      <c r="D75" s="137">
        <v>4.92</v>
      </c>
      <c r="E75" s="137">
        <v>0</v>
      </c>
      <c r="F75" s="137">
        <v>7.19</v>
      </c>
      <c r="G75" s="137">
        <v>8.9499999999999993</v>
      </c>
      <c r="H75" s="137">
        <v>9.3798999999999992</v>
      </c>
      <c r="I75" s="137">
        <v>5.2</v>
      </c>
      <c r="J75" s="137">
        <v>2.82</v>
      </c>
      <c r="K75" s="137">
        <v>5.55</v>
      </c>
      <c r="L75" s="137">
        <v>11.32</v>
      </c>
      <c r="M75" s="137">
        <v>12.3</v>
      </c>
      <c r="N75" s="137">
        <v>11.37</v>
      </c>
      <c r="O75" s="137">
        <v>7.53</v>
      </c>
      <c r="P75" s="137">
        <v>0</v>
      </c>
      <c r="Q75" s="137">
        <v>8.5299999999999994</v>
      </c>
      <c r="R75" s="137">
        <v>5.0598999999999998</v>
      </c>
      <c r="S75" s="137">
        <v>1.1298999999999999</v>
      </c>
      <c r="T75" s="137">
        <v>2.6</v>
      </c>
      <c r="U75" s="137">
        <v>4.12</v>
      </c>
      <c r="V75" s="137">
        <v>11.08</v>
      </c>
      <c r="W75" s="140">
        <v>14119154</v>
      </c>
      <c r="X75" s="56">
        <f t="shared" si="2"/>
        <v>1</v>
      </c>
      <c r="Y75" s="56" t="str">
        <f t="shared" si="3"/>
        <v>LOGUEO</v>
      </c>
    </row>
    <row r="76" spans="1:25" ht="15" x14ac:dyDescent="0.25">
      <c r="A76" s="136" t="s">
        <v>1613</v>
      </c>
      <c r="B76" s="137">
        <v>8.11</v>
      </c>
      <c r="C76" s="137">
        <v>12.56</v>
      </c>
      <c r="D76" s="137">
        <v>5.75</v>
      </c>
      <c r="E76" s="137">
        <v>0</v>
      </c>
      <c r="F76" s="137">
        <v>9.8698999999999995</v>
      </c>
      <c r="G76" s="137">
        <v>5.88</v>
      </c>
      <c r="H76" s="137">
        <v>6.29</v>
      </c>
      <c r="I76" s="137">
        <v>4.6500000000000004</v>
      </c>
      <c r="J76" s="137">
        <v>7.23</v>
      </c>
      <c r="K76" s="137">
        <v>5.35</v>
      </c>
      <c r="L76" s="137">
        <v>6.78</v>
      </c>
      <c r="M76" s="137">
        <v>3.11</v>
      </c>
      <c r="N76" s="137">
        <v>6.69</v>
      </c>
      <c r="O76" s="137">
        <v>6.0198999999999998</v>
      </c>
      <c r="P76" s="137">
        <v>4.26</v>
      </c>
      <c r="Q76" s="137">
        <v>13.45</v>
      </c>
      <c r="R76" s="137">
        <v>5.41</v>
      </c>
      <c r="S76" s="137">
        <v>7.29</v>
      </c>
      <c r="T76" s="137">
        <v>5.1498999999999997</v>
      </c>
      <c r="U76" s="137">
        <v>7.61</v>
      </c>
      <c r="V76" s="137">
        <v>5.2698999999999998</v>
      </c>
      <c r="W76" s="140" t="s">
        <v>1609</v>
      </c>
      <c r="X76" s="56">
        <f t="shared" si="2"/>
        <v>0</v>
      </c>
      <c r="Y76" s="56" t="str">
        <f t="shared" si="3"/>
        <v>LOGUEO</v>
      </c>
    </row>
    <row r="77" spans="1:25" ht="15" x14ac:dyDescent="0.25">
      <c r="A77" s="136" t="s">
        <v>1935</v>
      </c>
      <c r="B77" s="137">
        <v>0</v>
      </c>
      <c r="C77" s="137">
        <v>0</v>
      </c>
      <c r="D77" s="137">
        <v>0</v>
      </c>
      <c r="E77" s="137">
        <v>0</v>
      </c>
      <c r="F77" s="137">
        <v>0</v>
      </c>
      <c r="G77" s="137">
        <v>0</v>
      </c>
      <c r="H77" s="137">
        <v>0</v>
      </c>
      <c r="I77" s="137">
        <v>0</v>
      </c>
      <c r="J77" s="137">
        <v>0</v>
      </c>
      <c r="K77" s="137">
        <v>0</v>
      </c>
      <c r="L77" s="137">
        <v>0</v>
      </c>
      <c r="M77" s="137">
        <v>0</v>
      </c>
      <c r="N77" s="137">
        <v>0</v>
      </c>
      <c r="O77" s="137">
        <v>0</v>
      </c>
      <c r="P77" s="137">
        <v>0</v>
      </c>
      <c r="Q77" s="137">
        <v>0</v>
      </c>
      <c r="R77" s="137">
        <v>0</v>
      </c>
      <c r="S77" s="137">
        <v>0</v>
      </c>
      <c r="T77" s="137">
        <v>0</v>
      </c>
      <c r="U77" s="137">
        <v>0</v>
      </c>
      <c r="V77" s="137">
        <v>0</v>
      </c>
      <c r="W77" s="140" t="s">
        <v>1609</v>
      </c>
      <c r="X77" s="56">
        <f t="shared" si="2"/>
        <v>7</v>
      </c>
      <c r="Y77" s="56" t="str">
        <f t="shared" si="3"/>
        <v>NO LOGUEO</v>
      </c>
    </row>
    <row r="78" spans="1:25" ht="15" x14ac:dyDescent="0.25">
      <c r="A78" s="136" t="s">
        <v>233</v>
      </c>
      <c r="B78" s="137">
        <v>9.24</v>
      </c>
      <c r="C78" s="137">
        <v>7.72</v>
      </c>
      <c r="D78" s="137">
        <v>8.73</v>
      </c>
      <c r="E78" s="137">
        <v>1.33</v>
      </c>
      <c r="F78" s="137">
        <v>4.45</v>
      </c>
      <c r="G78" s="137">
        <v>4.47</v>
      </c>
      <c r="H78" s="137">
        <v>6.87</v>
      </c>
      <c r="I78" s="137">
        <v>0</v>
      </c>
      <c r="J78" s="137">
        <v>7.22</v>
      </c>
      <c r="K78" s="137">
        <v>7.3898999999999999</v>
      </c>
      <c r="L78" s="137">
        <v>1.9</v>
      </c>
      <c r="M78" s="137">
        <v>6.49</v>
      </c>
      <c r="N78" s="137">
        <v>2.91</v>
      </c>
      <c r="O78" s="137">
        <v>8.4</v>
      </c>
      <c r="P78" s="137">
        <v>3.78</v>
      </c>
      <c r="Q78" s="137">
        <v>5.72</v>
      </c>
      <c r="R78" s="137">
        <v>1.75</v>
      </c>
      <c r="S78" s="137">
        <v>6.12</v>
      </c>
      <c r="T78" s="137">
        <v>1.67</v>
      </c>
      <c r="U78" s="137">
        <v>6.5198999999999998</v>
      </c>
      <c r="V78" s="137">
        <v>0</v>
      </c>
      <c r="W78" s="140">
        <v>14119153</v>
      </c>
      <c r="X78" s="56">
        <f t="shared" si="2"/>
        <v>1</v>
      </c>
      <c r="Y78" s="56" t="str">
        <f t="shared" si="3"/>
        <v>LOGUEO</v>
      </c>
    </row>
    <row r="79" spans="1:25" ht="15" x14ac:dyDescent="0.25">
      <c r="A79" s="136" t="s">
        <v>1867</v>
      </c>
      <c r="B79" s="137">
        <v>0</v>
      </c>
      <c r="C79" s="137">
        <v>0</v>
      </c>
      <c r="D79" s="137">
        <v>0</v>
      </c>
      <c r="E79" s="137">
        <v>0</v>
      </c>
      <c r="F79" s="137">
        <v>0</v>
      </c>
      <c r="G79" s="137">
        <v>0</v>
      </c>
      <c r="H79" s="137">
        <v>0</v>
      </c>
      <c r="I79" s="137">
        <v>0</v>
      </c>
      <c r="J79" s="137">
        <v>0</v>
      </c>
      <c r="K79" s="137">
        <v>0</v>
      </c>
      <c r="L79" s="137">
        <v>0</v>
      </c>
      <c r="M79" s="137">
        <v>0</v>
      </c>
      <c r="N79" s="137">
        <v>0</v>
      </c>
      <c r="O79" s="137">
        <v>0</v>
      </c>
      <c r="P79" s="137">
        <v>0</v>
      </c>
      <c r="Q79" s="137">
        <v>0</v>
      </c>
      <c r="R79" s="137">
        <v>0</v>
      </c>
      <c r="S79" s="137">
        <v>0</v>
      </c>
      <c r="T79" s="137">
        <v>0</v>
      </c>
      <c r="U79" s="137">
        <v>0</v>
      </c>
      <c r="V79" s="137">
        <v>0</v>
      </c>
      <c r="W79" s="140" t="s">
        <v>1609</v>
      </c>
      <c r="X79" s="56">
        <f t="shared" si="2"/>
        <v>7</v>
      </c>
      <c r="Y79" s="56" t="str">
        <f t="shared" si="3"/>
        <v>NO LOGUEO</v>
      </c>
    </row>
    <row r="80" spans="1:25" ht="15" x14ac:dyDescent="0.25">
      <c r="A80" s="136" t="s">
        <v>2018</v>
      </c>
      <c r="B80" s="137">
        <v>0</v>
      </c>
      <c r="C80" s="137">
        <v>9.2200000000000006</v>
      </c>
      <c r="D80" s="137">
        <v>7.2</v>
      </c>
      <c r="E80" s="137">
        <v>6.53</v>
      </c>
      <c r="F80" s="137">
        <v>1.4</v>
      </c>
      <c r="G80" s="137">
        <v>6.35</v>
      </c>
      <c r="H80" s="137">
        <v>6.78</v>
      </c>
      <c r="I80" s="137">
        <v>6.97</v>
      </c>
      <c r="J80" s="137">
        <v>9.69</v>
      </c>
      <c r="K80" s="137">
        <v>8.01</v>
      </c>
      <c r="L80" s="137">
        <v>6.82</v>
      </c>
      <c r="M80" s="137">
        <v>7.06</v>
      </c>
      <c r="N80" s="137">
        <v>7.3898999999999999</v>
      </c>
      <c r="O80" s="137">
        <v>8.0399999999999991</v>
      </c>
      <c r="P80" s="137">
        <v>0</v>
      </c>
      <c r="Q80" s="137">
        <v>9.7799999999999994</v>
      </c>
      <c r="R80" s="137">
        <v>9.7100000000000009</v>
      </c>
      <c r="S80" s="137">
        <v>6.97</v>
      </c>
      <c r="T80" s="137">
        <v>7.19</v>
      </c>
      <c r="U80" s="137">
        <v>9.77</v>
      </c>
      <c r="V80" s="137">
        <v>8.4499999999999993</v>
      </c>
      <c r="W80" s="140" t="s">
        <v>1609</v>
      </c>
      <c r="X80" s="56">
        <f t="shared" si="2"/>
        <v>1</v>
      </c>
      <c r="Y80" s="56" t="str">
        <f t="shared" si="3"/>
        <v>LOGUEO</v>
      </c>
    </row>
    <row r="81" spans="1:25" ht="15" x14ac:dyDescent="0.25">
      <c r="A81" s="136" t="s">
        <v>1823</v>
      </c>
      <c r="B81" s="137">
        <v>3.85</v>
      </c>
      <c r="C81" s="137">
        <v>6.97</v>
      </c>
      <c r="D81" s="137">
        <v>7.23</v>
      </c>
      <c r="E81" s="137">
        <v>6.86</v>
      </c>
      <c r="F81" s="137">
        <v>2.63</v>
      </c>
      <c r="G81" s="137">
        <v>7.11</v>
      </c>
      <c r="H81" s="137">
        <v>7.4</v>
      </c>
      <c r="I81" s="137">
        <v>2.17</v>
      </c>
      <c r="J81" s="137">
        <v>6.55</v>
      </c>
      <c r="K81" s="137">
        <v>8.7799999999999994</v>
      </c>
      <c r="L81" s="137">
        <v>7.53</v>
      </c>
      <c r="M81" s="137">
        <v>6.96</v>
      </c>
      <c r="N81" s="137">
        <v>8.19</v>
      </c>
      <c r="O81" s="137">
        <v>7.98</v>
      </c>
      <c r="P81" s="137">
        <v>5.93</v>
      </c>
      <c r="Q81" s="137">
        <v>8.9499999999999993</v>
      </c>
      <c r="R81" s="137">
        <v>8</v>
      </c>
      <c r="S81" s="137">
        <v>5.4</v>
      </c>
      <c r="T81" s="137">
        <v>8.4499999999999993</v>
      </c>
      <c r="U81" s="137">
        <v>7.8</v>
      </c>
      <c r="V81" s="137">
        <v>7.41</v>
      </c>
      <c r="W81" s="140" t="s">
        <v>1609</v>
      </c>
      <c r="X81" s="56">
        <f t="shared" si="2"/>
        <v>0</v>
      </c>
      <c r="Y81" s="56" t="str">
        <f t="shared" si="3"/>
        <v>LOGUEO</v>
      </c>
    </row>
    <row r="82" spans="1:25" ht="15" x14ac:dyDescent="0.25">
      <c r="A82" s="136" t="s">
        <v>1417</v>
      </c>
      <c r="B82" s="137">
        <v>0</v>
      </c>
      <c r="C82" s="137">
        <v>0</v>
      </c>
      <c r="D82" s="137">
        <v>0</v>
      </c>
      <c r="E82" s="137">
        <v>0</v>
      </c>
      <c r="F82" s="137">
        <v>0</v>
      </c>
      <c r="G82" s="137">
        <v>0</v>
      </c>
      <c r="H82" s="137">
        <v>0</v>
      </c>
      <c r="I82" s="137">
        <v>0</v>
      </c>
      <c r="J82" s="137">
        <v>0</v>
      </c>
      <c r="K82" s="137">
        <v>0</v>
      </c>
      <c r="L82" s="137">
        <v>0</v>
      </c>
      <c r="M82" s="137">
        <v>0</v>
      </c>
      <c r="N82" s="137">
        <v>0</v>
      </c>
      <c r="O82" s="137">
        <v>0</v>
      </c>
      <c r="P82" s="137">
        <v>0</v>
      </c>
      <c r="Q82" s="137">
        <v>0</v>
      </c>
      <c r="R82" s="137">
        <v>0</v>
      </c>
      <c r="S82" s="137">
        <v>0</v>
      </c>
      <c r="T82" s="137">
        <v>0</v>
      </c>
      <c r="U82" s="137">
        <v>0</v>
      </c>
      <c r="V82" s="137">
        <v>0</v>
      </c>
      <c r="W82" s="140" t="s">
        <v>1609</v>
      </c>
      <c r="X82" s="56">
        <f t="shared" si="2"/>
        <v>7</v>
      </c>
      <c r="Y82" s="56" t="str">
        <f t="shared" si="3"/>
        <v>NO LOGUEO</v>
      </c>
    </row>
    <row r="83" spans="1:25" ht="15" x14ac:dyDescent="0.25">
      <c r="A83" s="136" t="s">
        <v>235</v>
      </c>
      <c r="B83" s="137">
        <v>0</v>
      </c>
      <c r="C83" s="137">
        <v>5.92</v>
      </c>
      <c r="D83" s="137">
        <v>5.1098999999999997</v>
      </c>
      <c r="E83" s="137">
        <v>5.7698999999999998</v>
      </c>
      <c r="F83" s="137">
        <v>1.24</v>
      </c>
      <c r="G83" s="137">
        <v>6.13</v>
      </c>
      <c r="H83" s="137">
        <v>5.49</v>
      </c>
      <c r="I83" s="137">
        <v>1.32</v>
      </c>
      <c r="J83" s="137">
        <v>5.3098999999999998</v>
      </c>
      <c r="K83" s="137">
        <v>5.58</v>
      </c>
      <c r="L83" s="137">
        <v>5.51</v>
      </c>
      <c r="M83" s="137">
        <v>5.56</v>
      </c>
      <c r="N83" s="137">
        <v>5.08</v>
      </c>
      <c r="O83" s="137">
        <v>5.63</v>
      </c>
      <c r="P83" s="137">
        <v>3.47</v>
      </c>
      <c r="Q83" s="137">
        <v>5.55</v>
      </c>
      <c r="R83" s="137">
        <v>5.47</v>
      </c>
      <c r="S83" s="137">
        <v>4.5199999999999996</v>
      </c>
      <c r="T83" s="137">
        <v>5.21</v>
      </c>
      <c r="U83" s="137">
        <v>0</v>
      </c>
      <c r="V83" s="137">
        <v>0</v>
      </c>
      <c r="W83" s="140">
        <v>14119155</v>
      </c>
      <c r="X83" s="56">
        <f t="shared" si="2"/>
        <v>2</v>
      </c>
      <c r="Y83" s="56" t="str">
        <f t="shared" si="3"/>
        <v>NO LOGUEO</v>
      </c>
    </row>
    <row r="84" spans="1:25" ht="15" x14ac:dyDescent="0.25">
      <c r="A84" s="136" t="s">
        <v>905</v>
      </c>
      <c r="B84" s="137">
        <v>7.16</v>
      </c>
      <c r="C84" s="137">
        <v>3.69</v>
      </c>
      <c r="D84" s="137">
        <v>7.19</v>
      </c>
      <c r="E84" s="137">
        <v>4.0599999999999996</v>
      </c>
      <c r="F84" s="137">
        <v>7.03</v>
      </c>
      <c r="G84" s="137">
        <v>4.6900000000000004</v>
      </c>
      <c r="H84" s="137">
        <v>4.4400000000000004</v>
      </c>
      <c r="I84" s="137">
        <v>3.13</v>
      </c>
      <c r="J84" s="137">
        <v>7.91</v>
      </c>
      <c r="K84" s="137">
        <v>2.08</v>
      </c>
      <c r="L84" s="137">
        <v>5.8</v>
      </c>
      <c r="M84" s="137">
        <v>4.6500000000000004</v>
      </c>
      <c r="N84" s="137">
        <v>7.63</v>
      </c>
      <c r="O84" s="137">
        <v>4.8600000000000003</v>
      </c>
      <c r="P84" s="137">
        <v>7.59</v>
      </c>
      <c r="Q84" s="137">
        <v>4.18</v>
      </c>
      <c r="R84" s="137">
        <v>5.2</v>
      </c>
      <c r="S84" s="137">
        <v>4.66</v>
      </c>
      <c r="T84" s="137">
        <v>3.95</v>
      </c>
      <c r="U84" s="137">
        <v>4.99</v>
      </c>
      <c r="V84" s="137">
        <v>0</v>
      </c>
      <c r="W84" s="140" t="s">
        <v>1609</v>
      </c>
      <c r="X84" s="56">
        <f t="shared" si="2"/>
        <v>1</v>
      </c>
      <c r="Y84" s="56" t="str">
        <f t="shared" si="3"/>
        <v>LOGUEO</v>
      </c>
    </row>
    <row r="85" spans="1:25" ht="15" x14ac:dyDescent="0.25">
      <c r="A85" s="136" t="s">
        <v>537</v>
      </c>
      <c r="B85" s="137">
        <v>0</v>
      </c>
      <c r="C85" s="137">
        <v>0</v>
      </c>
      <c r="D85" s="137">
        <v>1.65</v>
      </c>
      <c r="E85" s="137">
        <v>0</v>
      </c>
      <c r="F85" s="137">
        <v>2.4500000000000002</v>
      </c>
      <c r="G85" s="137">
        <v>4.82</v>
      </c>
      <c r="H85" s="137">
        <v>8.0399999999999991</v>
      </c>
      <c r="I85" s="137">
        <v>1.6</v>
      </c>
      <c r="J85" s="137">
        <v>2.59</v>
      </c>
      <c r="K85" s="137">
        <v>3.67</v>
      </c>
      <c r="L85" s="137">
        <v>2.0299999999999998</v>
      </c>
      <c r="M85" s="137">
        <v>4.91</v>
      </c>
      <c r="N85" s="137">
        <v>8.4799000000000007</v>
      </c>
      <c r="O85" s="137">
        <v>0</v>
      </c>
      <c r="P85" s="137">
        <v>3.5598999999999998</v>
      </c>
      <c r="Q85" s="137">
        <v>5.4499000000000004</v>
      </c>
      <c r="R85" s="137">
        <v>4.05</v>
      </c>
      <c r="S85" s="137">
        <v>7.94</v>
      </c>
      <c r="T85" s="137">
        <v>6.83</v>
      </c>
      <c r="U85" s="137">
        <v>3.7698999999999998</v>
      </c>
      <c r="V85" s="137">
        <v>5.01</v>
      </c>
      <c r="W85" s="140" t="s">
        <v>1609</v>
      </c>
      <c r="X85" s="56">
        <f t="shared" si="2"/>
        <v>0</v>
      </c>
      <c r="Y85" s="56" t="str">
        <f t="shared" si="3"/>
        <v>LOGUEO</v>
      </c>
    </row>
    <row r="86" spans="1:25" ht="15" x14ac:dyDescent="0.25">
      <c r="A86" s="136" t="s">
        <v>543</v>
      </c>
      <c r="B86" s="137">
        <v>7.97</v>
      </c>
      <c r="C86" s="137">
        <v>0</v>
      </c>
      <c r="D86" s="137">
        <v>10.19</v>
      </c>
      <c r="E86" s="137">
        <v>9.9600000000000009</v>
      </c>
      <c r="F86" s="137">
        <v>0</v>
      </c>
      <c r="G86" s="137">
        <v>8.43</v>
      </c>
      <c r="H86" s="137">
        <v>9.3798999999999992</v>
      </c>
      <c r="I86" s="137">
        <v>0</v>
      </c>
      <c r="J86" s="137">
        <v>5.91</v>
      </c>
      <c r="K86" s="137">
        <v>10.95</v>
      </c>
      <c r="L86" s="137">
        <v>10.76</v>
      </c>
      <c r="M86" s="137">
        <v>10.41</v>
      </c>
      <c r="N86" s="137">
        <v>11.16</v>
      </c>
      <c r="O86" s="137">
        <v>9.99</v>
      </c>
      <c r="P86" s="137">
        <v>0</v>
      </c>
      <c r="Q86" s="137">
        <v>7.6599000000000004</v>
      </c>
      <c r="R86" s="137">
        <v>10.130000000000001</v>
      </c>
      <c r="S86" s="137">
        <v>6.85</v>
      </c>
      <c r="T86" s="137">
        <v>8.42</v>
      </c>
      <c r="U86" s="137">
        <v>5.82</v>
      </c>
      <c r="V86" s="137">
        <v>1.08</v>
      </c>
      <c r="W86" s="140" t="s">
        <v>1609</v>
      </c>
      <c r="X86" s="56">
        <f t="shared" si="2"/>
        <v>1</v>
      </c>
      <c r="Y86" s="56" t="str">
        <f t="shared" si="3"/>
        <v>LOGUEO</v>
      </c>
    </row>
    <row r="87" spans="1:25" ht="15" x14ac:dyDescent="0.25">
      <c r="A87" s="136" t="s">
        <v>1798</v>
      </c>
      <c r="B87" s="137">
        <v>2.74</v>
      </c>
      <c r="C87" s="137">
        <v>5.62</v>
      </c>
      <c r="D87" s="137">
        <v>6.49</v>
      </c>
      <c r="E87" s="137">
        <v>3.5</v>
      </c>
      <c r="F87" s="137">
        <v>2.39</v>
      </c>
      <c r="G87" s="137">
        <v>6.67</v>
      </c>
      <c r="H87" s="137">
        <v>4.4000000000000004</v>
      </c>
      <c r="I87" s="137">
        <v>3.6</v>
      </c>
      <c r="J87" s="137">
        <v>4.99</v>
      </c>
      <c r="K87" s="137">
        <v>7.81</v>
      </c>
      <c r="L87" s="137">
        <v>6.86</v>
      </c>
      <c r="M87" s="137">
        <v>8.07</v>
      </c>
      <c r="N87" s="137">
        <v>7.73</v>
      </c>
      <c r="O87" s="137">
        <v>4.26</v>
      </c>
      <c r="P87" s="137">
        <v>2.8698999999999999</v>
      </c>
      <c r="Q87" s="137">
        <v>10.86</v>
      </c>
      <c r="R87" s="137">
        <v>6.56</v>
      </c>
      <c r="S87" s="137">
        <v>7.24</v>
      </c>
      <c r="T87" s="137">
        <v>6.96</v>
      </c>
      <c r="U87" s="137">
        <v>7.02</v>
      </c>
      <c r="V87" s="137">
        <v>3.58</v>
      </c>
      <c r="W87" s="140" t="s">
        <v>1609</v>
      </c>
      <c r="X87" s="56">
        <f t="shared" si="2"/>
        <v>0</v>
      </c>
      <c r="Y87" s="56" t="str">
        <f t="shared" si="3"/>
        <v>LOGUEO</v>
      </c>
    </row>
    <row r="88" spans="1:25" ht="15" x14ac:dyDescent="0.25">
      <c r="A88" s="136" t="s">
        <v>1004</v>
      </c>
      <c r="B88" s="137">
        <v>0</v>
      </c>
      <c r="C88" s="137">
        <v>8.3899000000000008</v>
      </c>
      <c r="D88" s="137">
        <v>7.88</v>
      </c>
      <c r="E88" s="137">
        <v>6.74</v>
      </c>
      <c r="F88" s="137">
        <v>6.55</v>
      </c>
      <c r="G88" s="137">
        <v>8.68</v>
      </c>
      <c r="H88" s="137">
        <v>6.2698999999999998</v>
      </c>
      <c r="I88" s="137">
        <v>5.66</v>
      </c>
      <c r="J88" s="137">
        <v>6.7</v>
      </c>
      <c r="K88" s="137">
        <v>7.64</v>
      </c>
      <c r="L88" s="137">
        <v>7.83</v>
      </c>
      <c r="M88" s="137">
        <v>7.49</v>
      </c>
      <c r="N88" s="137">
        <v>10.35</v>
      </c>
      <c r="O88" s="137">
        <v>8.43</v>
      </c>
      <c r="P88" s="137">
        <v>0</v>
      </c>
      <c r="Q88" s="137">
        <v>0.85</v>
      </c>
      <c r="R88" s="137">
        <v>7.17</v>
      </c>
      <c r="S88" s="137">
        <v>7.63</v>
      </c>
      <c r="T88" s="137">
        <v>7.8</v>
      </c>
      <c r="U88" s="137">
        <v>8.3699999999999992</v>
      </c>
      <c r="V88" s="137">
        <v>6.88</v>
      </c>
      <c r="W88" s="140" t="s">
        <v>1609</v>
      </c>
      <c r="X88" s="56">
        <f t="shared" si="2"/>
        <v>1</v>
      </c>
      <c r="Y88" s="56" t="str">
        <f t="shared" si="3"/>
        <v>LOGUEO</v>
      </c>
    </row>
    <row r="89" spans="1:25" ht="15" x14ac:dyDescent="0.25">
      <c r="A89" s="136" t="s">
        <v>1936</v>
      </c>
      <c r="B89" s="137">
        <v>0</v>
      </c>
      <c r="C89" s="137">
        <v>0</v>
      </c>
      <c r="D89" s="137">
        <v>0</v>
      </c>
      <c r="E89" s="137">
        <v>0</v>
      </c>
      <c r="F89" s="137">
        <v>0</v>
      </c>
      <c r="G89" s="137">
        <v>0</v>
      </c>
      <c r="H89" s="137">
        <v>0</v>
      </c>
      <c r="I89" s="137">
        <v>0</v>
      </c>
      <c r="J89" s="137">
        <v>0</v>
      </c>
      <c r="K89" s="137">
        <v>0</v>
      </c>
      <c r="L89" s="137">
        <v>0</v>
      </c>
      <c r="M89" s="137">
        <v>0</v>
      </c>
      <c r="N89" s="137">
        <v>0</v>
      </c>
      <c r="O89" s="137">
        <v>0</v>
      </c>
      <c r="P89" s="137">
        <v>0</v>
      </c>
      <c r="Q89" s="137">
        <v>0</v>
      </c>
      <c r="R89" s="137">
        <v>0</v>
      </c>
      <c r="S89" s="137">
        <v>0</v>
      </c>
      <c r="T89" s="137">
        <v>0</v>
      </c>
      <c r="U89" s="137">
        <v>0</v>
      </c>
      <c r="V89" s="137">
        <v>0</v>
      </c>
      <c r="W89" s="140" t="s">
        <v>1609</v>
      </c>
      <c r="X89" s="56">
        <f t="shared" si="2"/>
        <v>7</v>
      </c>
      <c r="Y89" s="56" t="str">
        <f t="shared" si="3"/>
        <v>NO LOGUEO</v>
      </c>
    </row>
    <row r="90" spans="1:25" ht="15" x14ac:dyDescent="0.25">
      <c r="A90" s="136" t="s">
        <v>1637</v>
      </c>
      <c r="B90" s="137">
        <v>5.3299000000000003</v>
      </c>
      <c r="C90" s="137">
        <v>9.1999999999999993</v>
      </c>
      <c r="D90" s="137">
        <v>9.18</v>
      </c>
      <c r="E90" s="137">
        <v>13.14</v>
      </c>
      <c r="F90" s="137">
        <v>0</v>
      </c>
      <c r="G90" s="137">
        <v>9.5500000000000007</v>
      </c>
      <c r="H90" s="137">
        <v>4.3</v>
      </c>
      <c r="I90" s="137">
        <v>10.899900000000001</v>
      </c>
      <c r="J90" s="137">
        <v>0.57999999999999996</v>
      </c>
      <c r="K90" s="137">
        <v>4.42</v>
      </c>
      <c r="L90" s="137">
        <v>6.47</v>
      </c>
      <c r="M90" s="137">
        <v>0.17</v>
      </c>
      <c r="N90" s="137">
        <v>10.09</v>
      </c>
      <c r="O90" s="137">
        <v>11.78</v>
      </c>
      <c r="P90" s="137">
        <v>10.1599</v>
      </c>
      <c r="Q90" s="137">
        <v>0.95</v>
      </c>
      <c r="R90" s="137">
        <v>8.7200000000000006</v>
      </c>
      <c r="S90" s="137">
        <v>11.7</v>
      </c>
      <c r="T90" s="137">
        <v>9.42</v>
      </c>
      <c r="U90" s="137">
        <v>11.299899999999999</v>
      </c>
      <c r="V90" s="137">
        <v>9.59</v>
      </c>
      <c r="W90" s="140">
        <v>14121860</v>
      </c>
      <c r="X90" s="56">
        <f t="shared" si="2"/>
        <v>0</v>
      </c>
      <c r="Y90" s="56" t="str">
        <f t="shared" si="3"/>
        <v>LOGUEO</v>
      </c>
    </row>
    <row r="91" spans="1:25" ht="15" x14ac:dyDescent="0.25">
      <c r="A91" s="136" t="s">
        <v>1937</v>
      </c>
      <c r="B91" s="137">
        <v>0</v>
      </c>
      <c r="C91" s="137">
        <v>0</v>
      </c>
      <c r="D91" s="137">
        <v>0</v>
      </c>
      <c r="E91" s="137">
        <v>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7">
        <v>0</v>
      </c>
      <c r="M91" s="137">
        <v>0</v>
      </c>
      <c r="N91" s="137">
        <v>0</v>
      </c>
      <c r="O91" s="137">
        <v>0</v>
      </c>
      <c r="P91" s="137">
        <v>0</v>
      </c>
      <c r="Q91" s="137">
        <v>0</v>
      </c>
      <c r="R91" s="137">
        <v>0</v>
      </c>
      <c r="S91" s="137">
        <v>0</v>
      </c>
      <c r="T91" s="137">
        <v>0</v>
      </c>
      <c r="U91" s="137">
        <v>0</v>
      </c>
      <c r="V91" s="137">
        <v>0</v>
      </c>
      <c r="W91" s="140" t="s">
        <v>1609</v>
      </c>
      <c r="X91" s="56">
        <f t="shared" si="2"/>
        <v>7</v>
      </c>
      <c r="Y91" s="56" t="str">
        <f t="shared" si="3"/>
        <v>NO LOGUEO</v>
      </c>
    </row>
    <row r="92" spans="1:25" ht="15" x14ac:dyDescent="0.25">
      <c r="A92" s="136" t="s">
        <v>985</v>
      </c>
      <c r="B92" s="137">
        <v>4.6999000000000004</v>
      </c>
      <c r="C92" s="137">
        <v>4.5999999999999996</v>
      </c>
      <c r="D92" s="137">
        <v>5.09</v>
      </c>
      <c r="E92" s="137">
        <v>0</v>
      </c>
      <c r="F92" s="137">
        <v>6.42</v>
      </c>
      <c r="G92" s="137">
        <v>9.57</v>
      </c>
      <c r="H92" s="137">
        <v>9.1199999999999992</v>
      </c>
      <c r="I92" s="137">
        <v>8.3800000000000008</v>
      </c>
      <c r="J92" s="137">
        <v>2.0099999999999998</v>
      </c>
      <c r="K92" s="137">
        <v>2.1</v>
      </c>
      <c r="L92" s="137">
        <v>11.93</v>
      </c>
      <c r="M92" s="137">
        <v>11.289899999999999</v>
      </c>
      <c r="N92" s="137">
        <v>10.62</v>
      </c>
      <c r="O92" s="137">
        <v>10.73</v>
      </c>
      <c r="P92" s="137">
        <v>10.78</v>
      </c>
      <c r="Q92" s="137">
        <v>0</v>
      </c>
      <c r="R92" s="137">
        <v>11.32</v>
      </c>
      <c r="S92" s="137">
        <v>12.16</v>
      </c>
      <c r="T92" s="137">
        <v>11.33</v>
      </c>
      <c r="U92" s="137">
        <v>11.25</v>
      </c>
      <c r="V92" s="137">
        <v>10.7</v>
      </c>
      <c r="W92" s="140" t="s">
        <v>1609</v>
      </c>
      <c r="X92" s="56">
        <f t="shared" si="2"/>
        <v>1</v>
      </c>
      <c r="Y92" s="56" t="str">
        <f t="shared" si="3"/>
        <v>LOGUEO</v>
      </c>
    </row>
    <row r="93" spans="1:25" ht="15" x14ac:dyDescent="0.25">
      <c r="A93" s="136" t="s">
        <v>1938</v>
      </c>
      <c r="B93" s="137">
        <v>0</v>
      </c>
      <c r="C93" s="137">
        <v>0</v>
      </c>
      <c r="D93" s="137">
        <v>0</v>
      </c>
      <c r="E93" s="137">
        <v>0</v>
      </c>
      <c r="F93" s="137">
        <v>0</v>
      </c>
      <c r="G93" s="137">
        <v>0</v>
      </c>
      <c r="H93" s="137">
        <v>0</v>
      </c>
      <c r="I93" s="137">
        <v>0</v>
      </c>
      <c r="J93" s="137">
        <v>0</v>
      </c>
      <c r="K93" s="137">
        <v>0</v>
      </c>
      <c r="L93" s="137">
        <v>0</v>
      </c>
      <c r="M93" s="137">
        <v>0</v>
      </c>
      <c r="N93" s="137">
        <v>0</v>
      </c>
      <c r="O93" s="137">
        <v>0</v>
      </c>
      <c r="P93" s="137">
        <v>0</v>
      </c>
      <c r="Q93" s="137">
        <v>0</v>
      </c>
      <c r="R93" s="137">
        <v>0</v>
      </c>
      <c r="S93" s="137">
        <v>0</v>
      </c>
      <c r="T93" s="137">
        <v>0</v>
      </c>
      <c r="U93" s="137">
        <v>0</v>
      </c>
      <c r="V93" s="137">
        <v>0</v>
      </c>
      <c r="W93" s="140" t="s">
        <v>1609</v>
      </c>
      <c r="X93" s="56">
        <f t="shared" si="2"/>
        <v>7</v>
      </c>
      <c r="Y93" s="56" t="str">
        <f t="shared" si="3"/>
        <v>NO LOGUEO</v>
      </c>
    </row>
    <row r="94" spans="1:25" ht="15" x14ac:dyDescent="0.25">
      <c r="A94" s="136" t="s">
        <v>1799</v>
      </c>
      <c r="B94" s="137">
        <v>3.87</v>
      </c>
      <c r="C94" s="137">
        <v>4.09</v>
      </c>
      <c r="D94" s="137">
        <v>0</v>
      </c>
      <c r="E94" s="137">
        <v>0</v>
      </c>
      <c r="F94" s="137">
        <v>0</v>
      </c>
      <c r="G94" s="137">
        <v>0</v>
      </c>
      <c r="H94" s="137">
        <v>0</v>
      </c>
      <c r="I94" s="137">
        <v>0</v>
      </c>
      <c r="J94" s="137">
        <v>0</v>
      </c>
      <c r="K94" s="137">
        <v>0</v>
      </c>
      <c r="L94" s="137">
        <v>2.67</v>
      </c>
      <c r="M94" s="137">
        <v>6.83</v>
      </c>
      <c r="N94" s="137">
        <v>8.9</v>
      </c>
      <c r="O94" s="137">
        <v>7.58</v>
      </c>
      <c r="P94" s="137">
        <v>5.26</v>
      </c>
      <c r="Q94" s="137">
        <v>7.49</v>
      </c>
      <c r="R94" s="137">
        <v>7.98</v>
      </c>
      <c r="S94" s="137">
        <v>7.98</v>
      </c>
      <c r="T94" s="137">
        <v>8.57</v>
      </c>
      <c r="U94" s="137">
        <v>7.84</v>
      </c>
      <c r="V94" s="137">
        <v>6.89</v>
      </c>
      <c r="W94" s="140" t="s">
        <v>1609</v>
      </c>
      <c r="X94" s="56">
        <f t="shared" si="2"/>
        <v>0</v>
      </c>
      <c r="Y94" s="56" t="str">
        <f t="shared" si="3"/>
        <v>LOGUEO</v>
      </c>
    </row>
    <row r="95" spans="1:25" ht="15" x14ac:dyDescent="0.25">
      <c r="A95" s="136" t="s">
        <v>512</v>
      </c>
      <c r="B95" s="137">
        <v>5.47</v>
      </c>
      <c r="C95" s="137">
        <v>8.27</v>
      </c>
      <c r="D95" s="137">
        <v>10.3299</v>
      </c>
      <c r="E95" s="137">
        <v>0</v>
      </c>
      <c r="F95" s="137">
        <v>0</v>
      </c>
      <c r="G95" s="137">
        <v>9.1199999999999992</v>
      </c>
      <c r="H95" s="137">
        <v>8.61</v>
      </c>
      <c r="I95" s="137">
        <v>5.0298999999999996</v>
      </c>
      <c r="J95" s="137">
        <v>10.79</v>
      </c>
      <c r="K95" s="137">
        <v>9.31</v>
      </c>
      <c r="L95" s="137">
        <v>6.73</v>
      </c>
      <c r="M95" s="137">
        <v>8.44</v>
      </c>
      <c r="N95" s="137">
        <v>8.4699000000000009</v>
      </c>
      <c r="O95" s="137">
        <v>8.64</v>
      </c>
      <c r="P95" s="137">
        <v>0</v>
      </c>
      <c r="Q95" s="137">
        <v>0</v>
      </c>
      <c r="R95" s="137">
        <v>9.89</v>
      </c>
      <c r="S95" s="137">
        <v>8.5498999999999992</v>
      </c>
      <c r="T95" s="137">
        <v>6.72</v>
      </c>
      <c r="U95" s="137">
        <v>8.61</v>
      </c>
      <c r="V95" s="137">
        <v>8.61</v>
      </c>
      <c r="W95" s="140">
        <v>14123332</v>
      </c>
      <c r="X95" s="56">
        <f t="shared" si="2"/>
        <v>2</v>
      </c>
      <c r="Y95" s="56" t="str">
        <f t="shared" si="3"/>
        <v>NO LOGUEO</v>
      </c>
    </row>
    <row r="96" spans="1:25" ht="15" x14ac:dyDescent="0.25">
      <c r="A96" s="136" t="s">
        <v>990</v>
      </c>
      <c r="B96" s="137">
        <v>8.59</v>
      </c>
      <c r="C96" s="137">
        <v>7.9</v>
      </c>
      <c r="D96" s="137">
        <v>7.46</v>
      </c>
      <c r="E96" s="137">
        <v>8.36</v>
      </c>
      <c r="F96" s="137">
        <v>3.95</v>
      </c>
      <c r="G96" s="137">
        <v>4.9499000000000004</v>
      </c>
      <c r="H96" s="137">
        <v>0</v>
      </c>
      <c r="I96" s="137">
        <v>0</v>
      </c>
      <c r="J96" s="137">
        <v>0</v>
      </c>
      <c r="K96" s="137">
        <v>0</v>
      </c>
      <c r="L96" s="137">
        <v>2.95</v>
      </c>
      <c r="M96" s="137">
        <v>7.02</v>
      </c>
      <c r="N96" s="137">
        <v>7.33</v>
      </c>
      <c r="O96" s="137">
        <v>10.4</v>
      </c>
      <c r="P96" s="137">
        <v>0</v>
      </c>
      <c r="Q96" s="137">
        <v>2.0099</v>
      </c>
      <c r="R96" s="137">
        <v>9.32</v>
      </c>
      <c r="S96" s="137">
        <v>5.7298999999999998</v>
      </c>
      <c r="T96" s="137">
        <v>10.73</v>
      </c>
      <c r="U96" s="137">
        <v>7.14</v>
      </c>
      <c r="V96" s="137">
        <v>8.85</v>
      </c>
      <c r="W96" s="140" t="s">
        <v>1609</v>
      </c>
      <c r="X96" s="56">
        <f t="shared" si="2"/>
        <v>1</v>
      </c>
      <c r="Y96" s="56" t="str">
        <f t="shared" si="3"/>
        <v>LOGUEO</v>
      </c>
    </row>
    <row r="97" spans="1:25" ht="15" x14ac:dyDescent="0.25">
      <c r="A97" s="136" t="s">
        <v>1749</v>
      </c>
      <c r="B97" s="137">
        <v>0</v>
      </c>
      <c r="C97" s="137">
        <v>3.87</v>
      </c>
      <c r="D97" s="137">
        <v>4.26</v>
      </c>
      <c r="E97" s="137">
        <v>3.74</v>
      </c>
      <c r="F97" s="137">
        <v>1.75</v>
      </c>
      <c r="G97" s="137">
        <v>4.57</v>
      </c>
      <c r="H97" s="137">
        <v>2.64</v>
      </c>
      <c r="I97" s="137">
        <v>1.1200000000000001</v>
      </c>
      <c r="J97" s="137">
        <v>3.4</v>
      </c>
      <c r="K97" s="137">
        <v>4.2999000000000001</v>
      </c>
      <c r="L97" s="137">
        <v>3.0198999999999998</v>
      </c>
      <c r="M97" s="137">
        <v>4.0999999999999996</v>
      </c>
      <c r="N97" s="137">
        <v>8</v>
      </c>
      <c r="O97" s="137">
        <v>3.52</v>
      </c>
      <c r="P97" s="137">
        <v>2</v>
      </c>
      <c r="Q97" s="137">
        <v>13.48</v>
      </c>
      <c r="R97" s="137">
        <v>4.67</v>
      </c>
      <c r="S97" s="137">
        <v>4.4800000000000004</v>
      </c>
      <c r="T97" s="137">
        <v>4.82</v>
      </c>
      <c r="U97" s="137">
        <v>4.34</v>
      </c>
      <c r="V97" s="137">
        <v>3.03</v>
      </c>
      <c r="W97" s="140">
        <v>14121785</v>
      </c>
      <c r="X97" s="56">
        <f t="shared" si="2"/>
        <v>0</v>
      </c>
      <c r="Y97" s="56" t="str">
        <f t="shared" si="3"/>
        <v>LOGUEO</v>
      </c>
    </row>
    <row r="98" spans="1:25" ht="15" x14ac:dyDescent="0.25">
      <c r="A98" s="136" t="s">
        <v>261</v>
      </c>
      <c r="B98" s="137">
        <v>0</v>
      </c>
      <c r="C98" s="137">
        <v>6.63</v>
      </c>
      <c r="D98" s="137">
        <v>7.69</v>
      </c>
      <c r="E98" s="137">
        <v>6.3098999999999998</v>
      </c>
      <c r="F98" s="137">
        <v>0</v>
      </c>
      <c r="G98" s="137">
        <v>6.72</v>
      </c>
      <c r="H98" s="137">
        <v>7.07</v>
      </c>
      <c r="I98" s="137">
        <v>8.3699999999999992</v>
      </c>
      <c r="J98" s="137">
        <v>6.99</v>
      </c>
      <c r="K98" s="137">
        <v>7.77</v>
      </c>
      <c r="L98" s="137">
        <v>4.9000000000000004</v>
      </c>
      <c r="M98" s="137">
        <v>7.67</v>
      </c>
      <c r="N98" s="137">
        <v>7.6</v>
      </c>
      <c r="O98" s="137">
        <v>7.02</v>
      </c>
      <c r="P98" s="137">
        <v>0</v>
      </c>
      <c r="Q98" s="137">
        <v>7.29</v>
      </c>
      <c r="R98" s="137">
        <v>7.8299000000000003</v>
      </c>
      <c r="S98" s="137">
        <v>7.83</v>
      </c>
      <c r="T98" s="137">
        <v>6.42</v>
      </c>
      <c r="U98" s="137">
        <v>0</v>
      </c>
      <c r="V98" s="137">
        <v>7.28</v>
      </c>
      <c r="W98" s="140">
        <v>14119787</v>
      </c>
      <c r="X98" s="56">
        <f t="shared" si="2"/>
        <v>2</v>
      </c>
      <c r="Y98" s="56" t="str">
        <f t="shared" si="3"/>
        <v>NO LOGUEO</v>
      </c>
    </row>
    <row r="99" spans="1:25" ht="15" x14ac:dyDescent="0.25">
      <c r="A99" s="136" t="s">
        <v>1001</v>
      </c>
      <c r="B99" s="137">
        <v>6.43</v>
      </c>
      <c r="C99" s="137">
        <v>8.6</v>
      </c>
      <c r="D99" s="137">
        <v>10.19</v>
      </c>
      <c r="E99" s="137">
        <v>10.3</v>
      </c>
      <c r="F99" s="137">
        <v>7.84</v>
      </c>
      <c r="G99" s="137">
        <v>2.63</v>
      </c>
      <c r="H99" s="137">
        <v>0</v>
      </c>
      <c r="I99" s="137">
        <v>0</v>
      </c>
      <c r="J99" s="137">
        <v>0</v>
      </c>
      <c r="K99" s="137">
        <v>7.84</v>
      </c>
      <c r="L99" s="137">
        <v>9.41</v>
      </c>
      <c r="M99" s="137">
        <v>9.0299999999999994</v>
      </c>
      <c r="N99" s="137">
        <v>8.94</v>
      </c>
      <c r="O99" s="137">
        <v>5</v>
      </c>
      <c r="P99" s="137">
        <v>5.59</v>
      </c>
      <c r="Q99" s="137">
        <v>0.88</v>
      </c>
      <c r="R99" s="137">
        <v>8.8698999999999995</v>
      </c>
      <c r="S99" s="137">
        <v>8.6198999999999995</v>
      </c>
      <c r="T99" s="137">
        <v>9.3699999999999992</v>
      </c>
      <c r="U99" s="137">
        <v>6.41</v>
      </c>
      <c r="V99" s="137">
        <v>6.16</v>
      </c>
      <c r="W99" s="140" t="s">
        <v>1609</v>
      </c>
      <c r="X99" s="56">
        <f t="shared" si="2"/>
        <v>0</v>
      </c>
      <c r="Y99" s="56" t="str">
        <f t="shared" si="3"/>
        <v>LOGUEO</v>
      </c>
    </row>
    <row r="100" spans="1:25" ht="15" x14ac:dyDescent="0.25">
      <c r="A100" s="136" t="s">
        <v>1939</v>
      </c>
      <c r="B100" s="137">
        <v>0</v>
      </c>
      <c r="C100" s="137">
        <v>0</v>
      </c>
      <c r="D100" s="137">
        <v>0</v>
      </c>
      <c r="E100" s="137">
        <v>0</v>
      </c>
      <c r="F100" s="137">
        <v>0</v>
      </c>
      <c r="G100" s="137">
        <v>0</v>
      </c>
      <c r="H100" s="137">
        <v>0</v>
      </c>
      <c r="I100" s="137">
        <v>0</v>
      </c>
      <c r="J100" s="137">
        <v>0</v>
      </c>
      <c r="K100" s="137">
        <v>0</v>
      </c>
      <c r="L100" s="137">
        <v>0</v>
      </c>
      <c r="M100" s="137">
        <v>0</v>
      </c>
      <c r="N100" s="137">
        <v>0</v>
      </c>
      <c r="O100" s="137">
        <v>0</v>
      </c>
      <c r="P100" s="137">
        <v>0</v>
      </c>
      <c r="Q100" s="137">
        <v>0</v>
      </c>
      <c r="R100" s="137">
        <v>0</v>
      </c>
      <c r="S100" s="137">
        <v>0</v>
      </c>
      <c r="T100" s="137">
        <v>0</v>
      </c>
      <c r="U100" s="137">
        <v>0</v>
      </c>
      <c r="V100" s="137">
        <v>0</v>
      </c>
      <c r="W100" s="140" t="s">
        <v>1609</v>
      </c>
      <c r="X100" s="56">
        <f t="shared" si="2"/>
        <v>7</v>
      </c>
      <c r="Y100" s="56" t="str">
        <f t="shared" si="3"/>
        <v>NO LOGUEO</v>
      </c>
    </row>
    <row r="101" spans="1:25" ht="15" x14ac:dyDescent="0.25">
      <c r="A101" s="136" t="s">
        <v>2520</v>
      </c>
      <c r="B101" s="137">
        <v>0</v>
      </c>
      <c r="C101" s="137">
        <v>0</v>
      </c>
      <c r="D101" s="137">
        <v>0</v>
      </c>
      <c r="E101" s="137">
        <v>0</v>
      </c>
      <c r="F101" s="137">
        <v>0</v>
      </c>
      <c r="G101" s="137">
        <v>0</v>
      </c>
      <c r="H101" s="137">
        <v>9.09</v>
      </c>
      <c r="I101" s="137">
        <v>8.8999000000000006</v>
      </c>
      <c r="J101" s="137">
        <v>11.549899999999999</v>
      </c>
      <c r="K101" s="137">
        <v>12.01</v>
      </c>
      <c r="L101" s="137">
        <v>10.71</v>
      </c>
      <c r="M101" s="137">
        <v>4.57</v>
      </c>
      <c r="N101" s="137">
        <v>12.26</v>
      </c>
      <c r="O101" s="137">
        <v>8.3798999999999992</v>
      </c>
      <c r="P101" s="137">
        <v>11.229900000000001</v>
      </c>
      <c r="Q101" s="137">
        <v>10.869899999999999</v>
      </c>
      <c r="R101" s="137">
        <v>12.39</v>
      </c>
      <c r="S101" s="137">
        <v>11.87</v>
      </c>
      <c r="T101" s="137">
        <v>0.42</v>
      </c>
      <c r="U101" s="137">
        <v>0</v>
      </c>
      <c r="V101" s="137">
        <v>0</v>
      </c>
      <c r="W101" s="140" t="s">
        <v>1609</v>
      </c>
      <c r="X101" s="56">
        <f t="shared" si="2"/>
        <v>2</v>
      </c>
      <c r="Y101" s="56" t="str">
        <f t="shared" si="3"/>
        <v>NO LOGUEO</v>
      </c>
    </row>
    <row r="102" spans="1:25" ht="15" x14ac:dyDescent="0.25">
      <c r="A102" s="136" t="s">
        <v>1824</v>
      </c>
      <c r="B102" s="137">
        <v>0</v>
      </c>
      <c r="C102" s="137">
        <v>0</v>
      </c>
      <c r="D102" s="137">
        <v>0</v>
      </c>
      <c r="E102" s="137">
        <v>0</v>
      </c>
      <c r="F102" s="137">
        <v>0</v>
      </c>
      <c r="G102" s="137">
        <v>0</v>
      </c>
      <c r="H102" s="137">
        <v>0</v>
      </c>
      <c r="I102" s="137">
        <v>0</v>
      </c>
      <c r="J102" s="137">
        <v>0</v>
      </c>
      <c r="K102" s="137">
        <v>0</v>
      </c>
      <c r="L102" s="137">
        <v>0</v>
      </c>
      <c r="M102" s="137">
        <v>0</v>
      </c>
      <c r="N102" s="137">
        <v>0</v>
      </c>
      <c r="O102" s="137">
        <v>0</v>
      </c>
      <c r="P102" s="137">
        <v>0</v>
      </c>
      <c r="Q102" s="137">
        <v>0</v>
      </c>
      <c r="R102" s="137">
        <v>0</v>
      </c>
      <c r="S102" s="137">
        <v>0</v>
      </c>
      <c r="T102" s="137">
        <v>0</v>
      </c>
      <c r="U102" s="137">
        <v>0</v>
      </c>
      <c r="V102" s="137">
        <v>0</v>
      </c>
      <c r="W102" s="140" t="s">
        <v>1609</v>
      </c>
      <c r="X102" s="56">
        <f t="shared" si="2"/>
        <v>7</v>
      </c>
      <c r="Y102" s="56" t="str">
        <f t="shared" si="3"/>
        <v>NO LOGUEO</v>
      </c>
    </row>
    <row r="103" spans="1:25" ht="15" x14ac:dyDescent="0.25">
      <c r="A103" s="136" t="s">
        <v>351</v>
      </c>
      <c r="B103" s="137">
        <v>0</v>
      </c>
      <c r="C103" s="137">
        <v>0</v>
      </c>
      <c r="D103" s="137">
        <v>0</v>
      </c>
      <c r="E103" s="137">
        <v>0</v>
      </c>
      <c r="F103" s="137">
        <v>0</v>
      </c>
      <c r="G103" s="137">
        <v>0</v>
      </c>
      <c r="H103" s="137">
        <v>0</v>
      </c>
      <c r="I103" s="137">
        <v>0</v>
      </c>
      <c r="J103" s="137">
        <v>0</v>
      </c>
      <c r="K103" s="137">
        <v>0</v>
      </c>
      <c r="L103" s="137">
        <v>0</v>
      </c>
      <c r="M103" s="137">
        <v>0</v>
      </c>
      <c r="N103" s="137">
        <v>0</v>
      </c>
      <c r="O103" s="137">
        <v>0</v>
      </c>
      <c r="P103" s="137">
        <v>0</v>
      </c>
      <c r="Q103" s="137">
        <v>0</v>
      </c>
      <c r="R103" s="137">
        <v>0</v>
      </c>
      <c r="S103" s="137">
        <v>0</v>
      </c>
      <c r="T103" s="137">
        <v>0</v>
      </c>
      <c r="U103" s="137">
        <v>0</v>
      </c>
      <c r="V103" s="137">
        <v>0</v>
      </c>
      <c r="W103" s="140">
        <v>14121687</v>
      </c>
      <c r="X103" s="56">
        <f t="shared" si="2"/>
        <v>7</v>
      </c>
      <c r="Y103" s="56" t="str">
        <f t="shared" si="3"/>
        <v>NO LOGUEO</v>
      </c>
    </row>
    <row r="104" spans="1:25" ht="15" x14ac:dyDescent="0.25">
      <c r="A104" s="136" t="s">
        <v>1890</v>
      </c>
      <c r="B104" s="137">
        <v>0</v>
      </c>
      <c r="C104" s="137">
        <v>0</v>
      </c>
      <c r="D104" s="137">
        <v>0</v>
      </c>
      <c r="E104" s="137">
        <v>0</v>
      </c>
      <c r="F104" s="137">
        <v>0</v>
      </c>
      <c r="G104" s="137">
        <v>0</v>
      </c>
      <c r="H104" s="137">
        <v>0</v>
      </c>
      <c r="I104" s="137">
        <v>0</v>
      </c>
      <c r="J104" s="137">
        <v>0</v>
      </c>
      <c r="K104" s="137">
        <v>0</v>
      </c>
      <c r="L104" s="137">
        <v>0</v>
      </c>
      <c r="M104" s="137">
        <v>0</v>
      </c>
      <c r="N104" s="137">
        <v>0</v>
      </c>
      <c r="O104" s="137">
        <v>0</v>
      </c>
      <c r="P104" s="137">
        <v>0</v>
      </c>
      <c r="Q104" s="137">
        <v>0</v>
      </c>
      <c r="R104" s="137">
        <v>0</v>
      </c>
      <c r="S104" s="137">
        <v>0</v>
      </c>
      <c r="T104" s="137">
        <v>0</v>
      </c>
      <c r="U104" s="137">
        <v>0</v>
      </c>
      <c r="V104" s="137">
        <v>0</v>
      </c>
      <c r="W104" s="140" t="s">
        <v>1609</v>
      </c>
      <c r="X104" s="56">
        <f t="shared" si="2"/>
        <v>7</v>
      </c>
      <c r="Y104" s="56" t="str">
        <f t="shared" si="3"/>
        <v>NO LOGUEO</v>
      </c>
    </row>
    <row r="105" spans="1:25" ht="15" x14ac:dyDescent="0.25">
      <c r="A105" s="136" t="s">
        <v>519</v>
      </c>
      <c r="B105" s="137">
        <v>0</v>
      </c>
      <c r="C105" s="137">
        <v>0</v>
      </c>
      <c r="D105" s="137">
        <v>0</v>
      </c>
      <c r="E105" s="137">
        <v>0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7">
        <v>0</v>
      </c>
      <c r="L105" s="137">
        <v>0</v>
      </c>
      <c r="M105" s="137">
        <v>0</v>
      </c>
      <c r="N105" s="137">
        <v>0</v>
      </c>
      <c r="O105" s="137">
        <v>0</v>
      </c>
      <c r="P105" s="137">
        <v>0</v>
      </c>
      <c r="Q105" s="137">
        <v>0</v>
      </c>
      <c r="R105" s="137">
        <v>0</v>
      </c>
      <c r="S105" s="137">
        <v>0</v>
      </c>
      <c r="T105" s="137">
        <v>0</v>
      </c>
      <c r="U105" s="137">
        <v>0</v>
      </c>
      <c r="V105" s="137">
        <v>3.38</v>
      </c>
      <c r="W105" s="140">
        <v>14123446</v>
      </c>
      <c r="X105" s="56">
        <f t="shared" si="2"/>
        <v>6</v>
      </c>
      <c r="Y105" s="56" t="str">
        <f t="shared" si="3"/>
        <v>NO LOGUEO</v>
      </c>
    </row>
    <row r="106" spans="1:25" ht="15" x14ac:dyDescent="0.25">
      <c r="A106" s="136" t="s">
        <v>520</v>
      </c>
      <c r="B106" s="137">
        <v>0</v>
      </c>
      <c r="C106" s="137">
        <v>5.6</v>
      </c>
      <c r="D106" s="137">
        <v>6.52</v>
      </c>
      <c r="E106" s="137">
        <v>8.85</v>
      </c>
      <c r="F106" s="137">
        <v>4.83</v>
      </c>
      <c r="G106" s="137">
        <v>9.44</v>
      </c>
      <c r="H106" s="137">
        <v>5.63</v>
      </c>
      <c r="I106" s="137">
        <v>2.5099</v>
      </c>
      <c r="J106" s="137">
        <v>0.82</v>
      </c>
      <c r="K106" s="137">
        <v>8.1999999999999993</v>
      </c>
      <c r="L106" s="137">
        <v>5.46</v>
      </c>
      <c r="M106" s="137">
        <v>5.34</v>
      </c>
      <c r="N106" s="137">
        <v>5.83</v>
      </c>
      <c r="O106" s="137">
        <v>7.2099000000000002</v>
      </c>
      <c r="P106" s="137">
        <v>0</v>
      </c>
      <c r="Q106" s="137">
        <v>6.21</v>
      </c>
      <c r="R106" s="137">
        <v>5.07</v>
      </c>
      <c r="S106" s="137">
        <v>8.1</v>
      </c>
      <c r="T106" s="137">
        <v>5.3198999999999996</v>
      </c>
      <c r="U106" s="137">
        <v>7.93</v>
      </c>
      <c r="V106" s="137">
        <v>5.54</v>
      </c>
      <c r="W106" s="140">
        <v>14123447</v>
      </c>
      <c r="X106" s="56">
        <f t="shared" si="2"/>
        <v>1</v>
      </c>
      <c r="Y106" s="56" t="str">
        <f t="shared" si="3"/>
        <v>LOGUEO</v>
      </c>
    </row>
    <row r="107" spans="1:25" ht="15" x14ac:dyDescent="0.25">
      <c r="A107" s="136" t="s">
        <v>472</v>
      </c>
      <c r="B107" s="137">
        <v>9.61</v>
      </c>
      <c r="C107" s="137">
        <v>10.33</v>
      </c>
      <c r="D107" s="137">
        <v>6.5</v>
      </c>
      <c r="E107" s="137">
        <v>6.74</v>
      </c>
      <c r="F107" s="137">
        <v>2.0499999999999998</v>
      </c>
      <c r="G107" s="137">
        <v>8.1198999999999995</v>
      </c>
      <c r="H107" s="137">
        <v>10.82</v>
      </c>
      <c r="I107" s="137">
        <v>0</v>
      </c>
      <c r="J107" s="137">
        <v>9.17</v>
      </c>
      <c r="K107" s="137">
        <v>11.869899999999999</v>
      </c>
      <c r="L107" s="137">
        <v>6.86</v>
      </c>
      <c r="M107" s="137">
        <v>7.83</v>
      </c>
      <c r="N107" s="137">
        <v>7.53</v>
      </c>
      <c r="O107" s="137">
        <v>6.6299000000000001</v>
      </c>
      <c r="P107" s="137">
        <v>6.05</v>
      </c>
      <c r="Q107" s="137">
        <v>8.31</v>
      </c>
      <c r="R107" s="137">
        <v>14.66</v>
      </c>
      <c r="S107" s="137">
        <v>6.57</v>
      </c>
      <c r="T107" s="137">
        <v>8.2200000000000006</v>
      </c>
      <c r="U107" s="137">
        <v>5.57</v>
      </c>
      <c r="V107" s="137">
        <v>3.44</v>
      </c>
      <c r="W107" s="140">
        <v>14122992</v>
      </c>
      <c r="X107" s="56">
        <f t="shared" si="2"/>
        <v>0</v>
      </c>
      <c r="Y107" s="56" t="str">
        <f t="shared" si="3"/>
        <v>LOGUEO</v>
      </c>
    </row>
    <row r="108" spans="1:25" ht="15" x14ac:dyDescent="0.25">
      <c r="A108" s="136" t="s">
        <v>431</v>
      </c>
      <c r="B108" s="137">
        <v>0</v>
      </c>
      <c r="C108" s="137">
        <v>0</v>
      </c>
      <c r="D108" s="137">
        <v>2.23</v>
      </c>
      <c r="E108" s="137">
        <v>5.37</v>
      </c>
      <c r="F108" s="137">
        <v>1.1499999999999999</v>
      </c>
      <c r="G108" s="137">
        <v>6.46</v>
      </c>
      <c r="H108" s="137">
        <v>4.91</v>
      </c>
      <c r="I108" s="137">
        <v>4.08</v>
      </c>
      <c r="J108" s="137">
        <v>6.25</v>
      </c>
      <c r="K108" s="137">
        <v>5.29</v>
      </c>
      <c r="L108" s="137">
        <v>6.74</v>
      </c>
      <c r="M108" s="137">
        <v>5.9</v>
      </c>
      <c r="N108" s="137">
        <v>7.19</v>
      </c>
      <c r="O108" s="137">
        <v>4.26</v>
      </c>
      <c r="P108" s="137">
        <v>0</v>
      </c>
      <c r="Q108" s="137">
        <v>7.24</v>
      </c>
      <c r="R108" s="137">
        <v>6.65</v>
      </c>
      <c r="S108" s="137">
        <v>6.2698999999999998</v>
      </c>
      <c r="T108" s="137">
        <v>6.72</v>
      </c>
      <c r="U108" s="137">
        <v>7.5</v>
      </c>
      <c r="V108" s="137">
        <v>5.5598999999999998</v>
      </c>
      <c r="W108" s="140">
        <v>14116250</v>
      </c>
      <c r="X108" s="56">
        <f t="shared" si="2"/>
        <v>1</v>
      </c>
      <c r="Y108" s="56" t="str">
        <f t="shared" si="3"/>
        <v>LOGUEO</v>
      </c>
    </row>
    <row r="109" spans="1:25" ht="15" x14ac:dyDescent="0.25">
      <c r="A109" s="136" t="s">
        <v>1800</v>
      </c>
      <c r="B109" s="137">
        <v>0</v>
      </c>
      <c r="C109" s="137">
        <v>0</v>
      </c>
      <c r="D109" s="137">
        <v>0</v>
      </c>
      <c r="E109" s="137">
        <v>0</v>
      </c>
      <c r="F109" s="137">
        <v>0.35</v>
      </c>
      <c r="G109" s="137">
        <v>0</v>
      </c>
      <c r="H109" s="137">
        <v>0</v>
      </c>
      <c r="I109" s="137">
        <v>0</v>
      </c>
      <c r="J109" s="137">
        <v>0</v>
      </c>
      <c r="K109" s="137">
        <v>0</v>
      </c>
      <c r="L109" s="137">
        <v>0</v>
      </c>
      <c r="M109" s="137">
        <v>0</v>
      </c>
      <c r="N109" s="137">
        <v>0</v>
      </c>
      <c r="O109" s="137">
        <v>0</v>
      </c>
      <c r="P109" s="137">
        <v>0</v>
      </c>
      <c r="Q109" s="137">
        <v>0</v>
      </c>
      <c r="R109" s="137">
        <v>0</v>
      </c>
      <c r="S109" s="137">
        <v>0</v>
      </c>
      <c r="T109" s="137">
        <v>2.02</v>
      </c>
      <c r="U109" s="137">
        <v>3.32</v>
      </c>
      <c r="V109" s="137">
        <v>1.5899000000000001</v>
      </c>
      <c r="W109" s="140">
        <v>14118893</v>
      </c>
      <c r="X109" s="56">
        <f t="shared" si="2"/>
        <v>4</v>
      </c>
      <c r="Y109" s="56" t="str">
        <f t="shared" si="3"/>
        <v>NO LOGUEO</v>
      </c>
    </row>
    <row r="110" spans="1:25" ht="15" x14ac:dyDescent="0.25">
      <c r="A110" s="136" t="s">
        <v>465</v>
      </c>
      <c r="B110" s="137">
        <v>0</v>
      </c>
      <c r="C110" s="137">
        <v>0</v>
      </c>
      <c r="D110" s="137">
        <v>0</v>
      </c>
      <c r="E110" s="137">
        <v>0</v>
      </c>
      <c r="F110" s="137">
        <v>0</v>
      </c>
      <c r="G110" s="137">
        <v>0</v>
      </c>
      <c r="H110" s="137">
        <v>0</v>
      </c>
      <c r="I110" s="137">
        <v>0</v>
      </c>
      <c r="J110" s="137">
        <v>0</v>
      </c>
      <c r="K110" s="137">
        <v>0</v>
      </c>
      <c r="L110" s="137">
        <v>0</v>
      </c>
      <c r="M110" s="137">
        <v>0</v>
      </c>
      <c r="N110" s="137">
        <v>0</v>
      </c>
      <c r="O110" s="137">
        <v>0</v>
      </c>
      <c r="P110" s="137">
        <v>0</v>
      </c>
      <c r="Q110" s="137">
        <v>2.5499999999999998</v>
      </c>
      <c r="R110" s="137">
        <v>7.72</v>
      </c>
      <c r="S110" s="137">
        <v>8.66</v>
      </c>
      <c r="T110" s="137">
        <v>6.13</v>
      </c>
      <c r="U110" s="137">
        <v>8.09</v>
      </c>
      <c r="V110" s="137">
        <v>6.45</v>
      </c>
      <c r="W110" s="140">
        <v>14122922</v>
      </c>
      <c r="X110" s="56">
        <f t="shared" si="2"/>
        <v>1</v>
      </c>
      <c r="Y110" s="56" t="str">
        <f t="shared" si="3"/>
        <v>LOGUEO</v>
      </c>
    </row>
    <row r="111" spans="1:25" ht="15" x14ac:dyDescent="0.25">
      <c r="A111" s="136" t="s">
        <v>1347</v>
      </c>
      <c r="B111" s="137">
        <v>3.29</v>
      </c>
      <c r="C111" s="137">
        <v>7.8</v>
      </c>
      <c r="D111" s="137">
        <v>10.649900000000001</v>
      </c>
      <c r="E111" s="137">
        <v>5.76</v>
      </c>
      <c r="F111" s="137">
        <v>5.24</v>
      </c>
      <c r="G111" s="137">
        <v>5.9798999999999998</v>
      </c>
      <c r="H111" s="137">
        <v>0</v>
      </c>
      <c r="I111" s="137">
        <v>3.79</v>
      </c>
      <c r="J111" s="137">
        <v>7.65</v>
      </c>
      <c r="K111" s="137">
        <v>6.43</v>
      </c>
      <c r="L111" s="137">
        <v>13.2</v>
      </c>
      <c r="M111" s="137">
        <v>2.69</v>
      </c>
      <c r="N111" s="137">
        <v>0</v>
      </c>
      <c r="O111" s="137">
        <v>8.44</v>
      </c>
      <c r="P111" s="137">
        <v>0</v>
      </c>
      <c r="Q111" s="137">
        <v>9.4598999999999993</v>
      </c>
      <c r="R111" s="137">
        <v>10.81</v>
      </c>
      <c r="S111" s="137">
        <v>10.01</v>
      </c>
      <c r="T111" s="137">
        <v>12.889900000000001</v>
      </c>
      <c r="U111" s="137">
        <v>1.88</v>
      </c>
      <c r="V111" s="137">
        <v>6.3799000000000001</v>
      </c>
      <c r="W111" s="140">
        <v>14120788</v>
      </c>
      <c r="X111" s="56">
        <f t="shared" si="2"/>
        <v>1</v>
      </c>
      <c r="Y111" s="56" t="str">
        <f t="shared" si="3"/>
        <v>LOGUEO</v>
      </c>
    </row>
    <row r="112" spans="1:25" ht="15" x14ac:dyDescent="0.25">
      <c r="A112" s="136" t="s">
        <v>503</v>
      </c>
      <c r="B112" s="137">
        <v>2.52</v>
      </c>
      <c r="C112" s="137">
        <v>0</v>
      </c>
      <c r="D112" s="137">
        <v>5.93</v>
      </c>
      <c r="E112" s="137">
        <v>6.47</v>
      </c>
      <c r="F112" s="137">
        <v>3</v>
      </c>
      <c r="G112" s="137">
        <v>2.4500000000000002</v>
      </c>
      <c r="H112" s="137">
        <v>6.45</v>
      </c>
      <c r="I112" s="137">
        <v>0</v>
      </c>
      <c r="J112" s="137">
        <v>5.37</v>
      </c>
      <c r="K112" s="137">
        <v>7.2</v>
      </c>
      <c r="L112" s="137">
        <v>8</v>
      </c>
      <c r="M112" s="137">
        <v>6.55</v>
      </c>
      <c r="N112" s="137">
        <v>7.31</v>
      </c>
      <c r="O112" s="137">
        <v>6.75</v>
      </c>
      <c r="P112" s="137">
        <v>0</v>
      </c>
      <c r="Q112" s="137">
        <v>0</v>
      </c>
      <c r="R112" s="137">
        <v>0</v>
      </c>
      <c r="S112" s="137">
        <v>0</v>
      </c>
      <c r="T112" s="137">
        <v>0</v>
      </c>
      <c r="U112" s="137">
        <v>0</v>
      </c>
      <c r="V112" s="137">
        <v>3.25</v>
      </c>
      <c r="W112" s="140">
        <v>14123275</v>
      </c>
      <c r="X112" s="56">
        <f t="shared" si="2"/>
        <v>6</v>
      </c>
      <c r="Y112" s="56" t="str">
        <f t="shared" si="3"/>
        <v>NO LOGUEO</v>
      </c>
    </row>
    <row r="113" spans="1:25" ht="15" x14ac:dyDescent="0.25">
      <c r="A113" s="136" t="s">
        <v>1940</v>
      </c>
      <c r="B113" s="137">
        <v>0</v>
      </c>
      <c r="C113" s="137">
        <v>0</v>
      </c>
      <c r="D113" s="137">
        <v>0</v>
      </c>
      <c r="E113" s="137">
        <v>0</v>
      </c>
      <c r="F113" s="137">
        <v>0</v>
      </c>
      <c r="G113" s="137">
        <v>0</v>
      </c>
      <c r="H113" s="137">
        <v>0</v>
      </c>
      <c r="I113" s="137">
        <v>0</v>
      </c>
      <c r="J113" s="137">
        <v>0</v>
      </c>
      <c r="K113" s="137">
        <v>0</v>
      </c>
      <c r="L113" s="137">
        <v>0</v>
      </c>
      <c r="M113" s="137">
        <v>0</v>
      </c>
      <c r="N113" s="137">
        <v>0</v>
      </c>
      <c r="O113" s="137">
        <v>0</v>
      </c>
      <c r="P113" s="137">
        <v>0</v>
      </c>
      <c r="Q113" s="137">
        <v>0</v>
      </c>
      <c r="R113" s="137">
        <v>0</v>
      </c>
      <c r="S113" s="137">
        <v>0</v>
      </c>
      <c r="T113" s="137">
        <v>0</v>
      </c>
      <c r="U113" s="137">
        <v>0</v>
      </c>
      <c r="V113" s="137">
        <v>0</v>
      </c>
      <c r="W113" s="140" t="s">
        <v>1609</v>
      </c>
      <c r="X113" s="56">
        <f t="shared" si="2"/>
        <v>7</v>
      </c>
      <c r="Y113" s="56" t="str">
        <f t="shared" si="3"/>
        <v>NO LOGUEO</v>
      </c>
    </row>
    <row r="114" spans="1:25" ht="15" x14ac:dyDescent="0.25">
      <c r="A114" s="136" t="s">
        <v>539</v>
      </c>
      <c r="B114" s="137">
        <v>0</v>
      </c>
      <c r="C114" s="137">
        <v>11.26</v>
      </c>
      <c r="D114" s="137">
        <v>0</v>
      </c>
      <c r="E114" s="137">
        <v>8.94</v>
      </c>
      <c r="F114" s="137">
        <v>2.78</v>
      </c>
      <c r="G114" s="137">
        <v>10.98</v>
      </c>
      <c r="H114" s="137">
        <v>10.6</v>
      </c>
      <c r="I114" s="137">
        <v>0</v>
      </c>
      <c r="J114" s="137">
        <v>13.75</v>
      </c>
      <c r="K114" s="137">
        <v>0</v>
      </c>
      <c r="L114" s="137">
        <v>12.53</v>
      </c>
      <c r="M114" s="137">
        <v>10.539899999999999</v>
      </c>
      <c r="N114" s="137">
        <v>12.1699</v>
      </c>
      <c r="O114" s="137">
        <v>11.02</v>
      </c>
      <c r="P114" s="137">
        <v>0</v>
      </c>
      <c r="Q114" s="137">
        <v>0</v>
      </c>
      <c r="R114" s="137">
        <v>12.16</v>
      </c>
      <c r="S114" s="137">
        <v>11.7499</v>
      </c>
      <c r="T114" s="137">
        <v>8.7799999999999994</v>
      </c>
      <c r="U114" s="137">
        <v>12.11</v>
      </c>
      <c r="V114" s="137">
        <v>10.33</v>
      </c>
      <c r="W114" s="140" t="s">
        <v>1609</v>
      </c>
      <c r="X114" s="56">
        <f t="shared" si="2"/>
        <v>2</v>
      </c>
      <c r="Y114" s="56" t="str">
        <f t="shared" si="3"/>
        <v>NO LOGUEO</v>
      </c>
    </row>
    <row r="115" spans="1:25" ht="15" x14ac:dyDescent="0.25">
      <c r="A115" s="136" t="s">
        <v>363</v>
      </c>
      <c r="B115" s="137">
        <v>0</v>
      </c>
      <c r="C115" s="137">
        <v>0</v>
      </c>
      <c r="D115" s="137">
        <v>1.18</v>
      </c>
      <c r="E115" s="137">
        <v>1.25</v>
      </c>
      <c r="F115" s="137">
        <v>0</v>
      </c>
      <c r="G115" s="137">
        <v>0</v>
      </c>
      <c r="H115" s="137">
        <v>1.58</v>
      </c>
      <c r="I115" s="137">
        <v>3.45</v>
      </c>
      <c r="J115" s="137">
        <v>6.78</v>
      </c>
      <c r="K115" s="137">
        <v>9.92</v>
      </c>
      <c r="L115" s="137">
        <v>7.45</v>
      </c>
      <c r="M115" s="137">
        <v>6.58</v>
      </c>
      <c r="N115" s="137">
        <v>10.809900000000001</v>
      </c>
      <c r="O115" s="137">
        <v>6.57</v>
      </c>
      <c r="P115" s="137">
        <v>5.22</v>
      </c>
      <c r="Q115" s="137">
        <v>7.68</v>
      </c>
      <c r="R115" s="137">
        <v>6.05</v>
      </c>
      <c r="S115" s="137">
        <v>7.2999000000000001</v>
      </c>
      <c r="T115" s="137">
        <v>0</v>
      </c>
      <c r="U115" s="137">
        <v>9.24</v>
      </c>
      <c r="V115" s="137">
        <v>6.54</v>
      </c>
      <c r="W115" s="140">
        <v>14121811</v>
      </c>
      <c r="X115" s="56">
        <f t="shared" si="2"/>
        <v>1</v>
      </c>
      <c r="Y115" s="56" t="str">
        <f t="shared" si="3"/>
        <v>LOGUEO</v>
      </c>
    </row>
    <row r="116" spans="1:25" ht="15" x14ac:dyDescent="0.25">
      <c r="A116" s="136" t="s">
        <v>528</v>
      </c>
      <c r="B116" s="137">
        <v>7.78</v>
      </c>
      <c r="C116" s="137">
        <v>4.08</v>
      </c>
      <c r="D116" s="137">
        <v>10.299899999999999</v>
      </c>
      <c r="E116" s="137">
        <v>9.09</v>
      </c>
      <c r="F116" s="137">
        <v>0</v>
      </c>
      <c r="G116" s="137">
        <v>2.89</v>
      </c>
      <c r="H116" s="137">
        <v>7.8799000000000001</v>
      </c>
      <c r="I116" s="137">
        <v>2.94</v>
      </c>
      <c r="J116" s="137">
        <v>8.7799999999999994</v>
      </c>
      <c r="K116" s="137">
        <v>10.4</v>
      </c>
      <c r="L116" s="137">
        <v>11.66</v>
      </c>
      <c r="M116" s="137">
        <v>10.73</v>
      </c>
      <c r="N116" s="137">
        <v>6.89</v>
      </c>
      <c r="O116" s="137">
        <v>11.42</v>
      </c>
      <c r="P116" s="137">
        <v>7.9</v>
      </c>
      <c r="Q116" s="137">
        <v>4.25</v>
      </c>
      <c r="R116" s="137">
        <v>6.85</v>
      </c>
      <c r="S116" s="137">
        <v>9.89</v>
      </c>
      <c r="T116" s="137">
        <v>9.56</v>
      </c>
      <c r="U116" s="137">
        <v>0</v>
      </c>
      <c r="V116" s="137">
        <v>10.02</v>
      </c>
      <c r="W116" s="140" t="s">
        <v>1609</v>
      </c>
      <c r="X116" s="56">
        <f t="shared" si="2"/>
        <v>1</v>
      </c>
      <c r="Y116" s="56" t="str">
        <f t="shared" si="3"/>
        <v>LOGUEO</v>
      </c>
    </row>
    <row r="117" spans="1:25" ht="15" x14ac:dyDescent="0.25">
      <c r="A117" s="136" t="s">
        <v>992</v>
      </c>
      <c r="B117" s="137">
        <v>0</v>
      </c>
      <c r="C117" s="137">
        <v>11.15</v>
      </c>
      <c r="D117" s="137">
        <v>10.01</v>
      </c>
      <c r="E117" s="137">
        <v>10.27</v>
      </c>
      <c r="F117" s="137">
        <v>7.26</v>
      </c>
      <c r="G117" s="137">
        <v>12.4999</v>
      </c>
      <c r="H117" s="137">
        <v>10.06</v>
      </c>
      <c r="I117" s="137">
        <v>3.95</v>
      </c>
      <c r="J117" s="137">
        <v>3.88</v>
      </c>
      <c r="K117" s="137">
        <v>4.1898999999999997</v>
      </c>
      <c r="L117" s="137">
        <v>2.74</v>
      </c>
      <c r="M117" s="137">
        <v>10.8</v>
      </c>
      <c r="N117" s="137">
        <v>2.92</v>
      </c>
      <c r="O117" s="137">
        <v>1.58</v>
      </c>
      <c r="P117" s="137">
        <v>0</v>
      </c>
      <c r="Q117" s="137">
        <v>10.41</v>
      </c>
      <c r="R117" s="137">
        <v>10.99</v>
      </c>
      <c r="S117" s="137">
        <v>12.57</v>
      </c>
      <c r="T117" s="137">
        <v>10.3</v>
      </c>
      <c r="U117" s="137">
        <v>11.68</v>
      </c>
      <c r="V117" s="137">
        <v>10.14</v>
      </c>
      <c r="W117" s="140" t="s">
        <v>1609</v>
      </c>
      <c r="X117" s="56">
        <f t="shared" si="2"/>
        <v>1</v>
      </c>
      <c r="Y117" s="56" t="str">
        <f t="shared" si="3"/>
        <v>LOGUEO</v>
      </c>
    </row>
    <row r="118" spans="1:25" ht="15" x14ac:dyDescent="0.25">
      <c r="A118" s="136" t="s">
        <v>1941</v>
      </c>
      <c r="B118" s="137">
        <v>0</v>
      </c>
      <c r="C118" s="137">
        <v>0</v>
      </c>
      <c r="D118" s="137">
        <v>0</v>
      </c>
      <c r="E118" s="137">
        <v>0</v>
      </c>
      <c r="F118" s="137">
        <v>0</v>
      </c>
      <c r="G118" s="137">
        <v>0</v>
      </c>
      <c r="H118" s="137">
        <v>0</v>
      </c>
      <c r="I118" s="137">
        <v>0</v>
      </c>
      <c r="J118" s="137">
        <v>0</v>
      </c>
      <c r="K118" s="137">
        <v>0</v>
      </c>
      <c r="L118" s="137">
        <v>0</v>
      </c>
      <c r="M118" s="137">
        <v>0</v>
      </c>
      <c r="N118" s="137">
        <v>0</v>
      </c>
      <c r="O118" s="137">
        <v>0</v>
      </c>
      <c r="P118" s="137">
        <v>0</v>
      </c>
      <c r="Q118" s="137">
        <v>0</v>
      </c>
      <c r="R118" s="137">
        <v>0</v>
      </c>
      <c r="S118" s="137">
        <v>0</v>
      </c>
      <c r="T118" s="137">
        <v>0</v>
      </c>
      <c r="U118" s="137">
        <v>0</v>
      </c>
      <c r="V118" s="137">
        <v>0</v>
      </c>
      <c r="W118" s="140" t="s">
        <v>1609</v>
      </c>
      <c r="X118" s="56">
        <f t="shared" si="2"/>
        <v>7</v>
      </c>
      <c r="Y118" s="56" t="str">
        <f t="shared" si="3"/>
        <v>NO LOGUEO</v>
      </c>
    </row>
    <row r="119" spans="1:25" ht="15" x14ac:dyDescent="0.25">
      <c r="A119" s="136" t="s">
        <v>1902</v>
      </c>
      <c r="B119" s="137">
        <v>0</v>
      </c>
      <c r="C119" s="137">
        <v>0</v>
      </c>
      <c r="D119" s="137">
        <v>0</v>
      </c>
      <c r="E119" s="137">
        <v>0</v>
      </c>
      <c r="F119" s="137">
        <v>0</v>
      </c>
      <c r="G119" s="137">
        <v>0</v>
      </c>
      <c r="H119" s="137">
        <v>0</v>
      </c>
      <c r="I119" s="137">
        <v>0</v>
      </c>
      <c r="J119" s="137">
        <v>0</v>
      </c>
      <c r="K119" s="137">
        <v>0</v>
      </c>
      <c r="L119" s="137">
        <v>0</v>
      </c>
      <c r="M119" s="137">
        <v>0</v>
      </c>
      <c r="N119" s="137">
        <v>0</v>
      </c>
      <c r="O119" s="137">
        <v>0</v>
      </c>
      <c r="P119" s="137">
        <v>0</v>
      </c>
      <c r="Q119" s="137">
        <v>0</v>
      </c>
      <c r="R119" s="137">
        <v>0</v>
      </c>
      <c r="S119" s="137">
        <v>0</v>
      </c>
      <c r="T119" s="137">
        <v>0</v>
      </c>
      <c r="U119" s="137">
        <v>0</v>
      </c>
      <c r="V119" s="137">
        <v>0</v>
      </c>
      <c r="W119" s="140" t="s">
        <v>1609</v>
      </c>
      <c r="X119" s="56">
        <f t="shared" si="2"/>
        <v>7</v>
      </c>
      <c r="Y119" s="56" t="str">
        <f t="shared" si="3"/>
        <v>NO LOGUEO</v>
      </c>
    </row>
    <row r="120" spans="1:25" ht="15" x14ac:dyDescent="0.25">
      <c r="A120" s="136" t="s">
        <v>1942</v>
      </c>
      <c r="B120" s="137">
        <v>0</v>
      </c>
      <c r="C120" s="137">
        <v>0</v>
      </c>
      <c r="D120" s="137">
        <v>0</v>
      </c>
      <c r="E120" s="137">
        <v>0</v>
      </c>
      <c r="F120" s="137">
        <v>0</v>
      </c>
      <c r="G120" s="137">
        <v>0</v>
      </c>
      <c r="H120" s="137">
        <v>0</v>
      </c>
      <c r="I120" s="137">
        <v>0</v>
      </c>
      <c r="J120" s="137">
        <v>0</v>
      </c>
      <c r="K120" s="137">
        <v>0</v>
      </c>
      <c r="L120" s="137">
        <v>0</v>
      </c>
      <c r="M120" s="137">
        <v>0</v>
      </c>
      <c r="N120" s="137">
        <v>0</v>
      </c>
      <c r="O120" s="137">
        <v>0</v>
      </c>
      <c r="P120" s="137">
        <v>0</v>
      </c>
      <c r="Q120" s="137">
        <v>0</v>
      </c>
      <c r="R120" s="137">
        <v>0</v>
      </c>
      <c r="S120" s="137">
        <v>0</v>
      </c>
      <c r="T120" s="137">
        <v>0</v>
      </c>
      <c r="U120" s="137">
        <v>0</v>
      </c>
      <c r="V120" s="137">
        <v>0.48</v>
      </c>
      <c r="W120" s="140" t="s">
        <v>1609</v>
      </c>
      <c r="X120" s="56">
        <f t="shared" si="2"/>
        <v>6</v>
      </c>
      <c r="Y120" s="56" t="str">
        <f t="shared" si="3"/>
        <v>NO LOGUEO</v>
      </c>
    </row>
    <row r="121" spans="1:25" ht="15" x14ac:dyDescent="0.25">
      <c r="A121" s="136" t="s">
        <v>518</v>
      </c>
      <c r="B121" s="137">
        <v>2.42</v>
      </c>
      <c r="C121" s="137">
        <v>5.3598999999999997</v>
      </c>
      <c r="D121" s="137">
        <v>8.7898999999999994</v>
      </c>
      <c r="E121" s="137">
        <v>7.26</v>
      </c>
      <c r="F121" s="137">
        <v>0</v>
      </c>
      <c r="G121" s="137">
        <v>7.3299000000000003</v>
      </c>
      <c r="H121" s="137">
        <v>6.32</v>
      </c>
      <c r="I121" s="137">
        <v>2.15</v>
      </c>
      <c r="J121" s="137">
        <v>6.4699</v>
      </c>
      <c r="K121" s="137">
        <v>9.5</v>
      </c>
      <c r="L121" s="137">
        <v>9.0299999999999994</v>
      </c>
      <c r="M121" s="137">
        <v>5.53</v>
      </c>
      <c r="N121" s="137">
        <v>8.86</v>
      </c>
      <c r="O121" s="137">
        <v>7.6</v>
      </c>
      <c r="P121" s="137">
        <v>2.9</v>
      </c>
      <c r="Q121" s="137">
        <v>10.459899999999999</v>
      </c>
      <c r="R121" s="137">
        <v>6.56</v>
      </c>
      <c r="S121" s="137">
        <v>9.41</v>
      </c>
      <c r="T121" s="137">
        <v>9.6599000000000004</v>
      </c>
      <c r="U121" s="137">
        <v>8.7998999999999992</v>
      </c>
      <c r="V121" s="137">
        <v>7.96</v>
      </c>
      <c r="W121" s="140" t="s">
        <v>1609</v>
      </c>
      <c r="X121" s="56">
        <f t="shared" si="2"/>
        <v>0</v>
      </c>
      <c r="Y121" s="56" t="str">
        <f t="shared" si="3"/>
        <v>LOGUEO</v>
      </c>
    </row>
    <row r="122" spans="1:25" ht="15" x14ac:dyDescent="0.25">
      <c r="A122" s="136" t="s">
        <v>993</v>
      </c>
      <c r="B122" s="137">
        <v>0</v>
      </c>
      <c r="C122" s="137">
        <v>0</v>
      </c>
      <c r="D122" s="137">
        <v>0</v>
      </c>
      <c r="E122" s="137">
        <v>0</v>
      </c>
      <c r="F122" s="137">
        <v>0</v>
      </c>
      <c r="G122" s="137">
        <v>0</v>
      </c>
      <c r="H122" s="137">
        <v>0</v>
      </c>
      <c r="I122" s="137">
        <v>0</v>
      </c>
      <c r="J122" s="137">
        <v>0</v>
      </c>
      <c r="K122" s="137">
        <v>0</v>
      </c>
      <c r="L122" s="137">
        <v>0</v>
      </c>
      <c r="M122" s="137">
        <v>1.92</v>
      </c>
      <c r="N122" s="137">
        <v>9.16</v>
      </c>
      <c r="O122" s="137">
        <v>10.82</v>
      </c>
      <c r="P122" s="137">
        <v>0</v>
      </c>
      <c r="Q122" s="137">
        <v>10.93</v>
      </c>
      <c r="R122" s="137">
        <v>10.71</v>
      </c>
      <c r="S122" s="137">
        <v>10.7399</v>
      </c>
      <c r="T122" s="137">
        <v>9.3000000000000007</v>
      </c>
      <c r="U122" s="137">
        <v>11.149900000000001</v>
      </c>
      <c r="V122" s="137">
        <v>9.64</v>
      </c>
      <c r="W122" s="140" t="s">
        <v>1609</v>
      </c>
      <c r="X122" s="56">
        <f t="shared" si="2"/>
        <v>1</v>
      </c>
      <c r="Y122" s="56" t="str">
        <f t="shared" si="3"/>
        <v>LOGUEO</v>
      </c>
    </row>
    <row r="123" spans="1:25" ht="15" x14ac:dyDescent="0.25">
      <c r="A123" s="136" t="s">
        <v>462</v>
      </c>
      <c r="B123" s="137">
        <v>0</v>
      </c>
      <c r="C123" s="137">
        <v>11.69</v>
      </c>
      <c r="D123" s="137">
        <v>10.8299</v>
      </c>
      <c r="E123" s="137">
        <v>4.95</v>
      </c>
      <c r="F123" s="137">
        <v>6.64</v>
      </c>
      <c r="G123" s="137">
        <v>5.33</v>
      </c>
      <c r="H123" s="137">
        <v>10.68</v>
      </c>
      <c r="I123" s="137">
        <v>4.5598999999999998</v>
      </c>
      <c r="J123" s="137">
        <v>12.34</v>
      </c>
      <c r="K123" s="137">
        <v>11.32</v>
      </c>
      <c r="L123" s="137">
        <v>8.48</v>
      </c>
      <c r="M123" s="137">
        <v>11.85</v>
      </c>
      <c r="N123" s="137">
        <v>10.94</v>
      </c>
      <c r="O123" s="137">
        <v>8.33</v>
      </c>
      <c r="P123" s="137">
        <v>0</v>
      </c>
      <c r="Q123" s="137">
        <v>9.6199999999999992</v>
      </c>
      <c r="R123" s="137">
        <v>9.98</v>
      </c>
      <c r="S123" s="137">
        <v>0</v>
      </c>
      <c r="T123" s="137">
        <v>8.6298999999999992</v>
      </c>
      <c r="U123" s="137">
        <v>5.3699000000000003</v>
      </c>
      <c r="V123" s="137">
        <v>6.57</v>
      </c>
      <c r="W123" s="140">
        <v>14110799</v>
      </c>
      <c r="X123" s="56">
        <f t="shared" si="2"/>
        <v>2</v>
      </c>
      <c r="Y123" s="56" t="str">
        <f t="shared" si="3"/>
        <v>NO LOGUEO</v>
      </c>
    </row>
    <row r="124" spans="1:25" ht="15" x14ac:dyDescent="0.25">
      <c r="A124" s="136" t="s">
        <v>1943</v>
      </c>
      <c r="B124" s="137">
        <v>0</v>
      </c>
      <c r="C124" s="137">
        <v>0</v>
      </c>
      <c r="D124" s="137">
        <v>0</v>
      </c>
      <c r="E124" s="137">
        <v>0</v>
      </c>
      <c r="F124" s="137">
        <v>0</v>
      </c>
      <c r="G124" s="137">
        <v>0</v>
      </c>
      <c r="H124" s="137">
        <v>0</v>
      </c>
      <c r="I124" s="137">
        <v>0</v>
      </c>
      <c r="J124" s="137">
        <v>0</v>
      </c>
      <c r="K124" s="137">
        <v>0</v>
      </c>
      <c r="L124" s="137">
        <v>0</v>
      </c>
      <c r="M124" s="137">
        <v>0</v>
      </c>
      <c r="N124" s="137">
        <v>0</v>
      </c>
      <c r="O124" s="137">
        <v>0</v>
      </c>
      <c r="P124" s="137">
        <v>0</v>
      </c>
      <c r="Q124" s="137">
        <v>0</v>
      </c>
      <c r="R124" s="137">
        <v>0</v>
      </c>
      <c r="S124" s="137">
        <v>0</v>
      </c>
      <c r="T124" s="137">
        <v>0</v>
      </c>
      <c r="U124" s="137">
        <v>0</v>
      </c>
      <c r="V124" s="137">
        <v>0</v>
      </c>
      <c r="W124" s="140" t="s">
        <v>1609</v>
      </c>
      <c r="X124" s="56">
        <f t="shared" si="2"/>
        <v>7</v>
      </c>
      <c r="Y124" s="56" t="str">
        <f t="shared" si="3"/>
        <v>NO LOGUEO</v>
      </c>
    </row>
    <row r="125" spans="1:25" ht="15" x14ac:dyDescent="0.25">
      <c r="A125" s="136" t="s">
        <v>1944</v>
      </c>
      <c r="B125" s="137">
        <v>0</v>
      </c>
      <c r="C125" s="137">
        <v>0</v>
      </c>
      <c r="D125" s="137">
        <v>0</v>
      </c>
      <c r="E125" s="137">
        <v>0</v>
      </c>
      <c r="F125" s="137">
        <v>0</v>
      </c>
      <c r="G125" s="137">
        <v>0</v>
      </c>
      <c r="H125" s="137">
        <v>0</v>
      </c>
      <c r="I125" s="137">
        <v>0</v>
      </c>
      <c r="J125" s="137">
        <v>0</v>
      </c>
      <c r="K125" s="137">
        <v>0</v>
      </c>
      <c r="L125" s="137">
        <v>0</v>
      </c>
      <c r="M125" s="137">
        <v>0</v>
      </c>
      <c r="N125" s="137">
        <v>0</v>
      </c>
      <c r="O125" s="137">
        <v>0</v>
      </c>
      <c r="P125" s="137">
        <v>0</v>
      </c>
      <c r="Q125" s="137">
        <v>0</v>
      </c>
      <c r="R125" s="137">
        <v>0</v>
      </c>
      <c r="S125" s="137">
        <v>0</v>
      </c>
      <c r="T125" s="137">
        <v>0</v>
      </c>
      <c r="U125" s="137">
        <v>0</v>
      </c>
      <c r="V125" s="137">
        <v>0</v>
      </c>
      <c r="W125" s="140" t="s">
        <v>1609</v>
      </c>
      <c r="X125" s="56">
        <f t="shared" si="2"/>
        <v>7</v>
      </c>
      <c r="Y125" s="56" t="str">
        <f t="shared" si="3"/>
        <v>NO LOGUEO</v>
      </c>
    </row>
    <row r="126" spans="1:25" ht="15" x14ac:dyDescent="0.25">
      <c r="A126" s="136" t="s">
        <v>2540</v>
      </c>
      <c r="B126" s="137">
        <v>0</v>
      </c>
      <c r="C126" s="137">
        <v>0</v>
      </c>
      <c r="D126" s="137">
        <v>0</v>
      </c>
      <c r="E126" s="137">
        <v>0</v>
      </c>
      <c r="F126" s="137">
        <v>0</v>
      </c>
      <c r="G126" s="137">
        <v>0</v>
      </c>
      <c r="H126" s="137">
        <v>0</v>
      </c>
      <c r="I126" s="137">
        <v>0</v>
      </c>
      <c r="J126" s="137">
        <v>0</v>
      </c>
      <c r="K126" s="137">
        <v>0</v>
      </c>
      <c r="L126" s="137">
        <v>0</v>
      </c>
      <c r="M126" s="137">
        <v>0</v>
      </c>
      <c r="N126" s="137">
        <v>0</v>
      </c>
      <c r="O126" s="137">
        <v>0</v>
      </c>
      <c r="P126" s="137">
        <v>0</v>
      </c>
      <c r="Q126" s="137">
        <v>0.67</v>
      </c>
      <c r="R126" s="137">
        <v>1.8</v>
      </c>
      <c r="S126" s="137">
        <v>0</v>
      </c>
      <c r="T126" s="137">
        <v>0</v>
      </c>
      <c r="U126" s="137">
        <v>0</v>
      </c>
      <c r="V126" s="137">
        <v>0</v>
      </c>
      <c r="W126" s="140" t="s">
        <v>1609</v>
      </c>
      <c r="X126" s="56">
        <f t="shared" si="2"/>
        <v>5</v>
      </c>
      <c r="Y126" s="56" t="str">
        <f t="shared" si="3"/>
        <v>NO LOGUEO</v>
      </c>
    </row>
    <row r="127" spans="1:25" ht="15" x14ac:dyDescent="0.25">
      <c r="A127" s="136" t="s">
        <v>3707</v>
      </c>
      <c r="B127" s="137">
        <v>7.27</v>
      </c>
      <c r="C127" s="137">
        <v>3.2599</v>
      </c>
      <c r="D127" s="137">
        <v>8.2199000000000009</v>
      </c>
      <c r="E127" s="137">
        <v>2.0499999999999998</v>
      </c>
      <c r="F127" s="137">
        <v>1.45</v>
      </c>
      <c r="G127" s="137">
        <v>2.0299999999999998</v>
      </c>
      <c r="H127" s="137">
        <v>0</v>
      </c>
      <c r="I127" s="137">
        <v>0</v>
      </c>
      <c r="J127" s="137">
        <v>0</v>
      </c>
      <c r="K127" s="137">
        <v>0</v>
      </c>
      <c r="L127" s="137">
        <v>1.6</v>
      </c>
      <c r="M127" s="137">
        <v>0</v>
      </c>
      <c r="N127" s="137">
        <v>3.77</v>
      </c>
      <c r="O127" s="137">
        <v>1.08</v>
      </c>
      <c r="P127" s="137">
        <v>0</v>
      </c>
      <c r="Q127" s="137">
        <v>0</v>
      </c>
      <c r="R127" s="137">
        <v>0</v>
      </c>
      <c r="S127" s="137">
        <v>0</v>
      </c>
      <c r="T127" s="137">
        <v>0</v>
      </c>
      <c r="U127" s="137">
        <v>0</v>
      </c>
      <c r="V127" s="137">
        <v>0</v>
      </c>
      <c r="W127" s="140" t="s">
        <v>1609</v>
      </c>
      <c r="X127" s="56">
        <f t="shared" si="2"/>
        <v>7</v>
      </c>
      <c r="Y127" s="56" t="str">
        <f t="shared" si="3"/>
        <v>NO LOGUEO</v>
      </c>
    </row>
    <row r="128" spans="1:25" ht="15" x14ac:dyDescent="0.25">
      <c r="A128" s="136" t="s">
        <v>461</v>
      </c>
      <c r="B128" s="137">
        <v>0</v>
      </c>
      <c r="C128" s="137">
        <v>0</v>
      </c>
      <c r="D128" s="137">
        <v>0</v>
      </c>
      <c r="E128" s="137">
        <v>0</v>
      </c>
      <c r="F128" s="137">
        <v>0</v>
      </c>
      <c r="G128" s="137">
        <v>0</v>
      </c>
      <c r="H128" s="137">
        <v>0</v>
      </c>
      <c r="I128" s="137">
        <v>0</v>
      </c>
      <c r="J128" s="137">
        <v>0</v>
      </c>
      <c r="K128" s="137">
        <v>0</v>
      </c>
      <c r="L128" s="137">
        <v>0</v>
      </c>
      <c r="M128" s="137">
        <v>0</v>
      </c>
      <c r="N128" s="137">
        <v>0</v>
      </c>
      <c r="O128" s="137">
        <v>0</v>
      </c>
      <c r="P128" s="137">
        <v>0</v>
      </c>
      <c r="Q128" s="137">
        <v>0</v>
      </c>
      <c r="R128" s="137">
        <v>0</v>
      </c>
      <c r="S128" s="137">
        <v>0</v>
      </c>
      <c r="T128" s="137">
        <v>0</v>
      </c>
      <c r="U128" s="137">
        <v>0</v>
      </c>
      <c r="V128" s="137">
        <v>0</v>
      </c>
      <c r="W128" s="140">
        <v>14103766</v>
      </c>
      <c r="X128" s="56">
        <f t="shared" si="2"/>
        <v>7</v>
      </c>
      <c r="Y128" s="56" t="str">
        <f t="shared" si="3"/>
        <v>NO LOGUEO</v>
      </c>
    </row>
    <row r="129" spans="1:25" ht="15" x14ac:dyDescent="0.25">
      <c r="A129" s="136" t="s">
        <v>470</v>
      </c>
      <c r="B129" s="137">
        <v>4.43</v>
      </c>
      <c r="C129" s="137">
        <v>6.58</v>
      </c>
      <c r="D129" s="137">
        <v>6.68</v>
      </c>
      <c r="E129" s="137">
        <v>6.57</v>
      </c>
      <c r="F129" s="137">
        <v>1.37</v>
      </c>
      <c r="G129" s="137">
        <v>6.83</v>
      </c>
      <c r="H129" s="137">
        <v>6.26</v>
      </c>
      <c r="I129" s="137">
        <v>0</v>
      </c>
      <c r="J129" s="137">
        <v>5.58</v>
      </c>
      <c r="K129" s="137">
        <v>6.47</v>
      </c>
      <c r="L129" s="137">
        <v>6.08</v>
      </c>
      <c r="M129" s="137">
        <v>6.1898999999999997</v>
      </c>
      <c r="N129" s="137">
        <v>6.85</v>
      </c>
      <c r="O129" s="137">
        <v>5.35</v>
      </c>
      <c r="P129" s="137">
        <v>2.92</v>
      </c>
      <c r="Q129" s="137">
        <v>4.6999000000000004</v>
      </c>
      <c r="R129" s="137">
        <v>6.51</v>
      </c>
      <c r="S129" s="137">
        <v>6.76</v>
      </c>
      <c r="T129" s="137">
        <v>6.5198999999999998</v>
      </c>
      <c r="U129" s="137">
        <v>7.1599000000000004</v>
      </c>
      <c r="V129" s="137">
        <v>5.93</v>
      </c>
      <c r="W129" s="140">
        <v>14122929</v>
      </c>
      <c r="X129" s="56">
        <f t="shared" si="2"/>
        <v>0</v>
      </c>
      <c r="Y129" s="56" t="str">
        <f t="shared" si="3"/>
        <v>LOGUEO</v>
      </c>
    </row>
    <row r="130" spans="1:25" ht="15" x14ac:dyDescent="0.25">
      <c r="A130" s="136" t="s">
        <v>246</v>
      </c>
      <c r="B130" s="137">
        <v>0</v>
      </c>
      <c r="C130" s="137">
        <v>9.8000000000000007</v>
      </c>
      <c r="D130" s="137">
        <v>10.059900000000001</v>
      </c>
      <c r="E130" s="137">
        <v>2.2799</v>
      </c>
      <c r="F130" s="137">
        <v>6.96</v>
      </c>
      <c r="G130" s="137">
        <v>3.13</v>
      </c>
      <c r="H130" s="137">
        <v>6.78</v>
      </c>
      <c r="I130" s="137">
        <v>7.69</v>
      </c>
      <c r="J130" s="137">
        <v>9.27</v>
      </c>
      <c r="K130" s="137">
        <v>10.81</v>
      </c>
      <c r="L130" s="137">
        <v>4.1898999999999997</v>
      </c>
      <c r="M130" s="137">
        <v>11.72</v>
      </c>
      <c r="N130" s="137">
        <v>9.67</v>
      </c>
      <c r="O130" s="137">
        <v>10</v>
      </c>
      <c r="P130" s="137">
        <v>4.17</v>
      </c>
      <c r="Q130" s="137">
        <v>3.16</v>
      </c>
      <c r="R130" s="137">
        <v>6.85</v>
      </c>
      <c r="S130" s="137">
        <v>6.0298999999999996</v>
      </c>
      <c r="T130" s="137">
        <v>9.5799000000000003</v>
      </c>
      <c r="U130" s="137">
        <v>11.32</v>
      </c>
      <c r="V130" s="137">
        <v>9.58</v>
      </c>
      <c r="W130" s="140">
        <v>14117157</v>
      </c>
      <c r="X130" s="56">
        <f t="shared" si="2"/>
        <v>0</v>
      </c>
      <c r="Y130" s="56" t="str">
        <f t="shared" si="3"/>
        <v>LOGUEO</v>
      </c>
    </row>
    <row r="131" spans="1:25" ht="15" x14ac:dyDescent="0.25">
      <c r="A131" s="136" t="s">
        <v>1945</v>
      </c>
      <c r="B131" s="137">
        <v>0</v>
      </c>
      <c r="C131" s="137">
        <v>0</v>
      </c>
      <c r="D131" s="137">
        <v>0</v>
      </c>
      <c r="E131" s="137">
        <v>0</v>
      </c>
      <c r="F131" s="137">
        <v>0</v>
      </c>
      <c r="G131" s="137">
        <v>0</v>
      </c>
      <c r="H131" s="137">
        <v>0</v>
      </c>
      <c r="I131" s="137">
        <v>0</v>
      </c>
      <c r="J131" s="137">
        <v>0</v>
      </c>
      <c r="K131" s="137">
        <v>0</v>
      </c>
      <c r="L131" s="137">
        <v>0</v>
      </c>
      <c r="M131" s="137">
        <v>0</v>
      </c>
      <c r="N131" s="137">
        <v>0</v>
      </c>
      <c r="O131" s="137">
        <v>0</v>
      </c>
      <c r="P131" s="137">
        <v>0</v>
      </c>
      <c r="Q131" s="137">
        <v>0</v>
      </c>
      <c r="R131" s="137">
        <v>0</v>
      </c>
      <c r="S131" s="137">
        <v>0</v>
      </c>
      <c r="T131" s="137">
        <v>0</v>
      </c>
      <c r="U131" s="137">
        <v>0</v>
      </c>
      <c r="V131" s="137">
        <v>0</v>
      </c>
      <c r="W131" s="140" t="s">
        <v>1609</v>
      </c>
      <c r="X131" s="56">
        <f t="shared" ref="X131:X194" si="4">COUNTIF(P131:V131,0)</f>
        <v>7</v>
      </c>
      <c r="Y131" s="56" t="str">
        <f t="shared" ref="Y131:Y194" si="5">IF(X131&gt;1,"NO LOGUEO","LOGUEO")</f>
        <v>NO LOGUEO</v>
      </c>
    </row>
    <row r="132" spans="1:25" ht="15" x14ac:dyDescent="0.25">
      <c r="A132" s="136" t="s">
        <v>2543</v>
      </c>
      <c r="B132" s="137">
        <v>0</v>
      </c>
      <c r="C132" s="137">
        <v>0</v>
      </c>
      <c r="D132" s="137">
        <v>0</v>
      </c>
      <c r="E132" s="137">
        <v>0</v>
      </c>
      <c r="F132" s="137">
        <v>0</v>
      </c>
      <c r="G132" s="137">
        <v>0</v>
      </c>
      <c r="H132" s="137">
        <v>0</v>
      </c>
      <c r="I132" s="137">
        <v>0</v>
      </c>
      <c r="J132" s="137">
        <v>0</v>
      </c>
      <c r="K132" s="137">
        <v>0</v>
      </c>
      <c r="L132" s="137">
        <v>1.38</v>
      </c>
      <c r="M132" s="137">
        <v>3.26</v>
      </c>
      <c r="N132" s="137">
        <v>0</v>
      </c>
      <c r="O132" s="137">
        <v>0.4</v>
      </c>
      <c r="P132" s="137">
        <v>0</v>
      </c>
      <c r="Q132" s="137">
        <v>0</v>
      </c>
      <c r="R132" s="137">
        <v>1.22</v>
      </c>
      <c r="S132" s="137">
        <v>0</v>
      </c>
      <c r="T132" s="137">
        <v>0</v>
      </c>
      <c r="U132" s="137">
        <v>0</v>
      </c>
      <c r="V132" s="137">
        <v>0</v>
      </c>
      <c r="W132" s="140" t="s">
        <v>1609</v>
      </c>
      <c r="X132" s="56">
        <f t="shared" si="4"/>
        <v>6</v>
      </c>
      <c r="Y132" s="56" t="str">
        <f t="shared" si="5"/>
        <v>NO LOGUEO</v>
      </c>
    </row>
    <row r="133" spans="1:25" ht="15" x14ac:dyDescent="0.25">
      <c r="A133" s="136" t="s">
        <v>225</v>
      </c>
      <c r="B133" s="137">
        <v>5.05</v>
      </c>
      <c r="C133" s="137">
        <v>4.09</v>
      </c>
      <c r="D133" s="137">
        <v>7.03</v>
      </c>
      <c r="E133" s="137">
        <v>6.23</v>
      </c>
      <c r="F133" s="137">
        <v>3.41</v>
      </c>
      <c r="G133" s="137">
        <v>5.2698999999999998</v>
      </c>
      <c r="H133" s="137">
        <v>0</v>
      </c>
      <c r="I133" s="137">
        <v>3.13</v>
      </c>
      <c r="J133" s="137">
        <v>4.8098999999999998</v>
      </c>
      <c r="K133" s="137">
        <v>4.7</v>
      </c>
      <c r="L133" s="137">
        <v>5.85</v>
      </c>
      <c r="M133" s="137">
        <v>4.28</v>
      </c>
      <c r="N133" s="137">
        <v>4.38</v>
      </c>
      <c r="O133" s="137">
        <v>4.6500000000000004</v>
      </c>
      <c r="P133" s="137">
        <v>4.8099999999999996</v>
      </c>
      <c r="Q133" s="137">
        <v>4.1900000000000004</v>
      </c>
      <c r="R133" s="137">
        <v>4.3</v>
      </c>
      <c r="S133" s="137">
        <v>3.82</v>
      </c>
      <c r="T133" s="137">
        <v>0</v>
      </c>
      <c r="U133" s="137">
        <v>4.8098999999999998</v>
      </c>
      <c r="V133" s="137">
        <v>4.46</v>
      </c>
      <c r="W133" s="140">
        <v>14118957</v>
      </c>
      <c r="X133" s="56">
        <f t="shared" si="4"/>
        <v>1</v>
      </c>
      <c r="Y133" s="56" t="str">
        <f t="shared" si="5"/>
        <v>LOGUEO</v>
      </c>
    </row>
    <row r="134" spans="1:25" ht="15" x14ac:dyDescent="0.25">
      <c r="A134" s="136" t="s">
        <v>466</v>
      </c>
      <c r="B134" s="137">
        <v>0</v>
      </c>
      <c r="C134" s="137">
        <v>9.0299999999999994</v>
      </c>
      <c r="D134" s="137">
        <v>9.99</v>
      </c>
      <c r="E134" s="137">
        <v>8.1399000000000008</v>
      </c>
      <c r="F134" s="137">
        <v>4.6399999999999997</v>
      </c>
      <c r="G134" s="137">
        <v>8.51</v>
      </c>
      <c r="H134" s="137">
        <v>8.31</v>
      </c>
      <c r="I134" s="137">
        <v>0</v>
      </c>
      <c r="J134" s="137">
        <v>8.48</v>
      </c>
      <c r="K134" s="137">
        <v>9.11</v>
      </c>
      <c r="L134" s="137">
        <v>8.59</v>
      </c>
      <c r="M134" s="137">
        <v>9.6399000000000008</v>
      </c>
      <c r="N134" s="137">
        <v>8.92</v>
      </c>
      <c r="O134" s="137">
        <v>8.6</v>
      </c>
      <c r="P134" s="137">
        <v>0</v>
      </c>
      <c r="Q134" s="137">
        <v>8.98</v>
      </c>
      <c r="R134" s="137">
        <v>10.19</v>
      </c>
      <c r="S134" s="137">
        <v>7.46</v>
      </c>
      <c r="T134" s="137">
        <v>11.13</v>
      </c>
      <c r="U134" s="137">
        <v>7.92</v>
      </c>
      <c r="V134" s="137">
        <v>9.4699000000000009</v>
      </c>
      <c r="W134" s="140">
        <v>14122923</v>
      </c>
      <c r="X134" s="56">
        <f t="shared" si="4"/>
        <v>1</v>
      </c>
      <c r="Y134" s="56" t="str">
        <f t="shared" si="5"/>
        <v>LOGUEO</v>
      </c>
    </row>
    <row r="135" spans="1:25" ht="15" x14ac:dyDescent="0.25">
      <c r="A135" s="136" t="s">
        <v>290</v>
      </c>
      <c r="B135" s="137">
        <v>8.66</v>
      </c>
      <c r="C135" s="137">
        <v>9.75</v>
      </c>
      <c r="D135" s="137">
        <v>9.4499999999999993</v>
      </c>
      <c r="E135" s="137">
        <v>10.68</v>
      </c>
      <c r="F135" s="137">
        <v>8.66</v>
      </c>
      <c r="G135" s="137">
        <v>9.0299999999999994</v>
      </c>
      <c r="H135" s="137">
        <v>6.68</v>
      </c>
      <c r="I135" s="137">
        <v>9.34</v>
      </c>
      <c r="J135" s="137">
        <v>7.48</v>
      </c>
      <c r="K135" s="137">
        <v>9.16</v>
      </c>
      <c r="L135" s="137">
        <v>8.0299999999999994</v>
      </c>
      <c r="M135" s="137">
        <v>9.34</v>
      </c>
      <c r="N135" s="137">
        <v>8.7799999999999994</v>
      </c>
      <c r="O135" s="137">
        <v>8.4499999999999993</v>
      </c>
      <c r="P135" s="137">
        <v>8.49</v>
      </c>
      <c r="Q135" s="137">
        <v>9.25</v>
      </c>
      <c r="R135" s="137">
        <v>7.94</v>
      </c>
      <c r="S135" s="137">
        <v>9.86</v>
      </c>
      <c r="T135" s="137">
        <v>0.38</v>
      </c>
      <c r="U135" s="137">
        <v>9.84</v>
      </c>
      <c r="V135" s="137">
        <v>8.5699000000000005</v>
      </c>
      <c r="W135" s="140">
        <v>14120455</v>
      </c>
      <c r="X135" s="56">
        <f t="shared" si="4"/>
        <v>0</v>
      </c>
      <c r="Y135" s="56" t="str">
        <f t="shared" si="5"/>
        <v>LOGUEO</v>
      </c>
    </row>
    <row r="136" spans="1:25" ht="15" x14ac:dyDescent="0.25">
      <c r="A136" s="136" t="s">
        <v>1903</v>
      </c>
      <c r="B136" s="137">
        <v>0</v>
      </c>
      <c r="C136" s="137">
        <v>0</v>
      </c>
      <c r="D136" s="137">
        <v>0</v>
      </c>
      <c r="E136" s="137">
        <v>0</v>
      </c>
      <c r="F136" s="137">
        <v>0</v>
      </c>
      <c r="G136" s="137">
        <v>0</v>
      </c>
      <c r="H136" s="137">
        <v>0</v>
      </c>
      <c r="I136" s="137">
        <v>0</v>
      </c>
      <c r="J136" s="137">
        <v>0</v>
      </c>
      <c r="K136" s="137">
        <v>0</v>
      </c>
      <c r="L136" s="137">
        <v>0</v>
      </c>
      <c r="M136" s="137">
        <v>0</v>
      </c>
      <c r="N136" s="137">
        <v>0</v>
      </c>
      <c r="O136" s="137">
        <v>4.5198999999999998</v>
      </c>
      <c r="P136" s="137">
        <v>0</v>
      </c>
      <c r="Q136" s="137">
        <v>5.86</v>
      </c>
      <c r="R136" s="137">
        <v>8.5500000000000007</v>
      </c>
      <c r="S136" s="137">
        <v>5.91</v>
      </c>
      <c r="T136" s="137">
        <v>6.85</v>
      </c>
      <c r="U136" s="137">
        <v>7.13</v>
      </c>
      <c r="V136" s="137">
        <v>4.76</v>
      </c>
      <c r="W136" s="140">
        <v>14119482</v>
      </c>
      <c r="X136" s="56">
        <f t="shared" si="4"/>
        <v>1</v>
      </c>
      <c r="Y136" s="56" t="str">
        <f t="shared" si="5"/>
        <v>LOGUEO</v>
      </c>
    </row>
    <row r="137" spans="1:25" ht="15" x14ac:dyDescent="0.25">
      <c r="A137" s="136" t="s">
        <v>1946</v>
      </c>
      <c r="B137" s="137">
        <v>0</v>
      </c>
      <c r="C137" s="137">
        <v>0</v>
      </c>
      <c r="D137" s="137">
        <v>0</v>
      </c>
      <c r="E137" s="137">
        <v>0</v>
      </c>
      <c r="F137" s="137">
        <v>0</v>
      </c>
      <c r="G137" s="137">
        <v>0</v>
      </c>
      <c r="H137" s="137">
        <v>0</v>
      </c>
      <c r="I137" s="137">
        <v>0</v>
      </c>
      <c r="J137" s="137">
        <v>0</v>
      </c>
      <c r="K137" s="137">
        <v>0</v>
      </c>
      <c r="L137" s="137">
        <v>0</v>
      </c>
      <c r="M137" s="137">
        <v>0</v>
      </c>
      <c r="N137" s="137">
        <v>0</v>
      </c>
      <c r="O137" s="137">
        <v>0</v>
      </c>
      <c r="P137" s="137">
        <v>0</v>
      </c>
      <c r="Q137" s="137">
        <v>0</v>
      </c>
      <c r="R137" s="137">
        <v>0</v>
      </c>
      <c r="S137" s="137">
        <v>0</v>
      </c>
      <c r="T137" s="137">
        <v>0</v>
      </c>
      <c r="U137" s="137">
        <v>0</v>
      </c>
      <c r="V137" s="137">
        <v>0</v>
      </c>
      <c r="W137" s="140" t="s">
        <v>1609</v>
      </c>
      <c r="X137" s="56">
        <f t="shared" si="4"/>
        <v>7</v>
      </c>
      <c r="Y137" s="56" t="str">
        <f t="shared" si="5"/>
        <v>NO LOGUEO</v>
      </c>
    </row>
    <row r="138" spans="1:25" ht="15" x14ac:dyDescent="0.25">
      <c r="A138" s="136" t="s">
        <v>991</v>
      </c>
      <c r="B138" s="137">
        <v>0</v>
      </c>
      <c r="C138" s="137">
        <v>0</v>
      </c>
      <c r="D138" s="137">
        <v>0</v>
      </c>
      <c r="E138" s="137">
        <v>0</v>
      </c>
      <c r="F138" s="137">
        <v>0</v>
      </c>
      <c r="G138" s="137">
        <v>0</v>
      </c>
      <c r="H138" s="137">
        <v>0</v>
      </c>
      <c r="I138" s="137">
        <v>0</v>
      </c>
      <c r="J138" s="137">
        <v>0</v>
      </c>
      <c r="K138" s="137">
        <v>0</v>
      </c>
      <c r="L138" s="137">
        <v>0</v>
      </c>
      <c r="M138" s="137">
        <v>0</v>
      </c>
      <c r="N138" s="137">
        <v>0</v>
      </c>
      <c r="O138" s="137">
        <v>0</v>
      </c>
      <c r="P138" s="137">
        <v>0</v>
      </c>
      <c r="Q138" s="137">
        <v>0</v>
      </c>
      <c r="R138" s="137">
        <v>0</v>
      </c>
      <c r="S138" s="137">
        <v>0</v>
      </c>
      <c r="T138" s="137">
        <v>0</v>
      </c>
      <c r="U138" s="137">
        <v>0</v>
      </c>
      <c r="V138" s="137">
        <v>0</v>
      </c>
      <c r="W138" s="140" t="s">
        <v>1609</v>
      </c>
      <c r="X138" s="56">
        <f t="shared" si="4"/>
        <v>7</v>
      </c>
      <c r="Y138" s="56" t="str">
        <f t="shared" si="5"/>
        <v>NO LOGUEO</v>
      </c>
    </row>
    <row r="139" spans="1:25" ht="15" x14ac:dyDescent="0.25">
      <c r="A139" s="136" t="s">
        <v>464</v>
      </c>
      <c r="B139" s="137">
        <v>10.52</v>
      </c>
      <c r="C139" s="137">
        <v>11.19</v>
      </c>
      <c r="D139" s="137">
        <v>11.89</v>
      </c>
      <c r="E139" s="137">
        <v>12.08</v>
      </c>
      <c r="F139" s="137">
        <v>4.3</v>
      </c>
      <c r="G139" s="137">
        <v>0</v>
      </c>
      <c r="H139" s="137">
        <v>11.5899</v>
      </c>
      <c r="I139" s="137">
        <v>9.6</v>
      </c>
      <c r="J139" s="137">
        <v>10.76</v>
      </c>
      <c r="K139" s="137">
        <v>6.76</v>
      </c>
      <c r="L139" s="137">
        <v>10.8</v>
      </c>
      <c r="M139" s="137">
        <v>8.3798999999999992</v>
      </c>
      <c r="N139" s="137">
        <v>9.1</v>
      </c>
      <c r="O139" s="137">
        <v>8.8798999999999992</v>
      </c>
      <c r="P139" s="137">
        <v>7.4599000000000002</v>
      </c>
      <c r="Q139" s="137">
        <v>11.049899999999999</v>
      </c>
      <c r="R139" s="137">
        <v>12.01</v>
      </c>
      <c r="S139" s="137">
        <v>11.459899999999999</v>
      </c>
      <c r="T139" s="137">
        <v>9.18</v>
      </c>
      <c r="U139" s="137">
        <v>11.49</v>
      </c>
      <c r="V139" s="137">
        <v>10.89</v>
      </c>
      <c r="W139" s="140">
        <v>14122904</v>
      </c>
      <c r="X139" s="56">
        <f t="shared" si="4"/>
        <v>0</v>
      </c>
      <c r="Y139" s="56" t="str">
        <f t="shared" si="5"/>
        <v>LOGUEO</v>
      </c>
    </row>
    <row r="140" spans="1:25" ht="15" x14ac:dyDescent="0.25">
      <c r="A140" s="136" t="s">
        <v>1104</v>
      </c>
      <c r="B140" s="137">
        <v>2.92</v>
      </c>
      <c r="C140" s="137">
        <v>5.05</v>
      </c>
      <c r="D140" s="137">
        <v>5.74</v>
      </c>
      <c r="E140" s="137">
        <v>3.55</v>
      </c>
      <c r="F140" s="137">
        <v>1.9</v>
      </c>
      <c r="G140" s="137">
        <v>3.21</v>
      </c>
      <c r="H140" s="137">
        <v>0</v>
      </c>
      <c r="I140" s="137">
        <v>0</v>
      </c>
      <c r="J140" s="137">
        <v>0</v>
      </c>
      <c r="K140" s="137">
        <v>1.74</v>
      </c>
      <c r="L140" s="137">
        <v>0</v>
      </c>
      <c r="M140" s="137">
        <v>3.99</v>
      </c>
      <c r="N140" s="137">
        <v>4.3600000000000003</v>
      </c>
      <c r="O140" s="137">
        <v>5.17</v>
      </c>
      <c r="P140" s="137">
        <v>3.72</v>
      </c>
      <c r="Q140" s="137">
        <v>3.48</v>
      </c>
      <c r="R140" s="137">
        <v>4.7298999999999998</v>
      </c>
      <c r="S140" s="137">
        <v>3.4</v>
      </c>
      <c r="T140" s="137">
        <v>0</v>
      </c>
      <c r="U140" s="137">
        <v>2.83</v>
      </c>
      <c r="V140" s="137">
        <v>3.92</v>
      </c>
      <c r="W140" s="140">
        <v>14120807</v>
      </c>
      <c r="X140" s="56">
        <f t="shared" si="4"/>
        <v>1</v>
      </c>
      <c r="Y140" s="56" t="str">
        <f t="shared" si="5"/>
        <v>LOGUEO</v>
      </c>
    </row>
    <row r="141" spans="1:25" ht="15" x14ac:dyDescent="0.25">
      <c r="A141" s="136" t="s">
        <v>241</v>
      </c>
      <c r="B141" s="137">
        <v>0</v>
      </c>
      <c r="C141" s="137">
        <v>6.63</v>
      </c>
      <c r="D141" s="137">
        <v>6.67</v>
      </c>
      <c r="E141" s="137">
        <v>5.99</v>
      </c>
      <c r="F141" s="137">
        <v>1.57</v>
      </c>
      <c r="G141" s="137">
        <v>6.2199</v>
      </c>
      <c r="H141" s="137">
        <v>5.86</v>
      </c>
      <c r="I141" s="137">
        <v>3.2599</v>
      </c>
      <c r="J141" s="137">
        <v>6.3</v>
      </c>
      <c r="K141" s="137">
        <v>7.65</v>
      </c>
      <c r="L141" s="137">
        <v>7.6</v>
      </c>
      <c r="M141" s="137">
        <v>6.8799000000000001</v>
      </c>
      <c r="N141" s="137">
        <v>6.54</v>
      </c>
      <c r="O141" s="137">
        <v>6.66</v>
      </c>
      <c r="P141" s="137">
        <v>0</v>
      </c>
      <c r="Q141" s="137">
        <v>7</v>
      </c>
      <c r="R141" s="137">
        <v>2.74</v>
      </c>
      <c r="S141" s="137">
        <v>0</v>
      </c>
      <c r="T141" s="137">
        <v>0</v>
      </c>
      <c r="U141" s="137">
        <v>0</v>
      </c>
      <c r="V141" s="137">
        <v>0</v>
      </c>
      <c r="W141" s="140">
        <v>14117156</v>
      </c>
      <c r="X141" s="56">
        <f t="shared" si="4"/>
        <v>5</v>
      </c>
      <c r="Y141" s="56" t="str">
        <f t="shared" si="5"/>
        <v>NO LOGUEO</v>
      </c>
    </row>
    <row r="142" spans="1:25" ht="15" x14ac:dyDescent="0.25">
      <c r="A142" s="136" t="s">
        <v>266</v>
      </c>
      <c r="B142" s="137">
        <v>5.43</v>
      </c>
      <c r="C142" s="137">
        <v>5.68</v>
      </c>
      <c r="D142" s="137">
        <v>0</v>
      </c>
      <c r="E142" s="137">
        <v>8.32</v>
      </c>
      <c r="F142" s="137">
        <v>5.68</v>
      </c>
      <c r="G142" s="137">
        <v>7.49</v>
      </c>
      <c r="H142" s="137">
        <v>5.89</v>
      </c>
      <c r="I142" s="137">
        <v>5.53</v>
      </c>
      <c r="J142" s="137">
        <v>6.54</v>
      </c>
      <c r="K142" s="137">
        <v>7.51</v>
      </c>
      <c r="L142" s="137">
        <v>7.37</v>
      </c>
      <c r="M142" s="137">
        <v>5.6898999999999997</v>
      </c>
      <c r="N142" s="137">
        <v>0</v>
      </c>
      <c r="O142" s="137">
        <v>0</v>
      </c>
      <c r="P142" s="137">
        <v>0</v>
      </c>
      <c r="Q142" s="137">
        <v>0</v>
      </c>
      <c r="R142" s="137">
        <v>0</v>
      </c>
      <c r="S142" s="137">
        <v>0</v>
      </c>
      <c r="T142" s="137">
        <v>5.84</v>
      </c>
      <c r="U142" s="137">
        <v>8.39</v>
      </c>
      <c r="V142" s="137">
        <v>7.34</v>
      </c>
      <c r="W142" s="140">
        <v>14119839</v>
      </c>
      <c r="X142" s="56">
        <f t="shared" si="4"/>
        <v>4</v>
      </c>
      <c r="Y142" s="56" t="str">
        <f t="shared" si="5"/>
        <v>NO LOGUEO</v>
      </c>
    </row>
    <row r="143" spans="1:25" ht="15" x14ac:dyDescent="0.25">
      <c r="A143" s="136" t="s">
        <v>282</v>
      </c>
      <c r="B143" s="137">
        <v>5.64</v>
      </c>
      <c r="C143" s="137">
        <v>6.69</v>
      </c>
      <c r="D143" s="137">
        <v>8.5500000000000007</v>
      </c>
      <c r="E143" s="137">
        <v>9.07</v>
      </c>
      <c r="F143" s="137">
        <v>4.8</v>
      </c>
      <c r="G143" s="137">
        <v>7.94</v>
      </c>
      <c r="H143" s="137">
        <v>9.3699999999999992</v>
      </c>
      <c r="I143" s="137">
        <v>6.3098999999999998</v>
      </c>
      <c r="J143" s="137">
        <v>2.4298999999999999</v>
      </c>
      <c r="K143" s="137">
        <v>7.07</v>
      </c>
      <c r="L143" s="137">
        <v>8.24</v>
      </c>
      <c r="M143" s="137">
        <v>8.73</v>
      </c>
      <c r="N143" s="137">
        <v>0</v>
      </c>
      <c r="O143" s="137">
        <v>5.31</v>
      </c>
      <c r="P143" s="137">
        <v>1.83</v>
      </c>
      <c r="Q143" s="137">
        <v>9.11</v>
      </c>
      <c r="R143" s="137">
        <v>9.3698999999999995</v>
      </c>
      <c r="S143" s="137">
        <v>9.99</v>
      </c>
      <c r="T143" s="137">
        <v>7.99</v>
      </c>
      <c r="U143" s="137">
        <v>9.34</v>
      </c>
      <c r="V143" s="137">
        <v>10</v>
      </c>
      <c r="W143" s="140">
        <v>14120270</v>
      </c>
      <c r="X143" s="56">
        <f t="shared" si="4"/>
        <v>0</v>
      </c>
      <c r="Y143" s="56" t="str">
        <f t="shared" si="5"/>
        <v>LOGUEO</v>
      </c>
    </row>
    <row r="144" spans="1:25" ht="15" x14ac:dyDescent="0.25">
      <c r="A144" s="136" t="s">
        <v>517</v>
      </c>
      <c r="B144" s="137">
        <v>0</v>
      </c>
      <c r="C144" s="137">
        <v>0</v>
      </c>
      <c r="D144" s="137">
        <v>0</v>
      </c>
      <c r="E144" s="137">
        <v>0</v>
      </c>
      <c r="F144" s="137">
        <v>0</v>
      </c>
      <c r="G144" s="137">
        <v>0</v>
      </c>
      <c r="H144" s="137">
        <v>0</v>
      </c>
      <c r="I144" s="137">
        <v>0</v>
      </c>
      <c r="J144" s="137">
        <v>0</v>
      </c>
      <c r="K144" s="137">
        <v>0</v>
      </c>
      <c r="L144" s="137">
        <v>0</v>
      </c>
      <c r="M144" s="137">
        <v>0</v>
      </c>
      <c r="N144" s="137">
        <v>0</v>
      </c>
      <c r="O144" s="137">
        <v>0</v>
      </c>
      <c r="P144" s="137">
        <v>0</v>
      </c>
      <c r="Q144" s="137">
        <v>0</v>
      </c>
      <c r="R144" s="137">
        <v>0</v>
      </c>
      <c r="S144" s="137">
        <v>0</v>
      </c>
      <c r="T144" s="137">
        <v>0</v>
      </c>
      <c r="U144" s="137">
        <v>0</v>
      </c>
      <c r="V144" s="137">
        <v>0</v>
      </c>
      <c r="W144" s="140" t="s">
        <v>1609</v>
      </c>
      <c r="X144" s="56">
        <f t="shared" si="4"/>
        <v>7</v>
      </c>
      <c r="Y144" s="56" t="str">
        <f t="shared" si="5"/>
        <v>NO LOGUEO</v>
      </c>
    </row>
    <row r="145" spans="1:25" ht="15" x14ac:dyDescent="0.25">
      <c r="A145" s="136" t="s">
        <v>318</v>
      </c>
      <c r="B145" s="137">
        <v>8.94</v>
      </c>
      <c r="C145" s="137">
        <v>10.7499</v>
      </c>
      <c r="D145" s="137">
        <v>10.64</v>
      </c>
      <c r="E145" s="137">
        <v>11.35</v>
      </c>
      <c r="F145" s="137">
        <v>0</v>
      </c>
      <c r="G145" s="137">
        <v>8.3698999999999995</v>
      </c>
      <c r="H145" s="137">
        <v>10.66</v>
      </c>
      <c r="I145" s="137">
        <v>9.86</v>
      </c>
      <c r="J145" s="137">
        <v>10.459899999999999</v>
      </c>
      <c r="K145" s="137">
        <v>11.69</v>
      </c>
      <c r="L145" s="137">
        <v>11.819900000000001</v>
      </c>
      <c r="M145" s="137">
        <v>10.5999</v>
      </c>
      <c r="N145" s="137">
        <v>11.52</v>
      </c>
      <c r="O145" s="137">
        <v>8.2998999999999992</v>
      </c>
      <c r="P145" s="137">
        <v>0</v>
      </c>
      <c r="Q145" s="137">
        <v>11.139900000000001</v>
      </c>
      <c r="R145" s="137">
        <v>11.6</v>
      </c>
      <c r="S145" s="137">
        <v>11.1799</v>
      </c>
      <c r="T145" s="137">
        <v>10.29</v>
      </c>
      <c r="U145" s="137">
        <v>12.8</v>
      </c>
      <c r="V145" s="137">
        <v>0.28000000000000003</v>
      </c>
      <c r="W145" s="140">
        <v>14117508</v>
      </c>
      <c r="X145" s="56">
        <f t="shared" si="4"/>
        <v>1</v>
      </c>
      <c r="Y145" s="56" t="str">
        <f t="shared" si="5"/>
        <v>LOGUEO</v>
      </c>
    </row>
    <row r="146" spans="1:25" ht="15" x14ac:dyDescent="0.25">
      <c r="A146" s="136" t="s">
        <v>2551</v>
      </c>
      <c r="B146" s="137">
        <v>0</v>
      </c>
      <c r="C146" s="137">
        <v>3.73</v>
      </c>
      <c r="D146" s="137">
        <v>4.8499999999999996</v>
      </c>
      <c r="E146" s="137">
        <v>0</v>
      </c>
      <c r="F146" s="137">
        <v>7.46</v>
      </c>
      <c r="G146" s="137">
        <v>5.34</v>
      </c>
      <c r="H146" s="137">
        <v>2.9298999999999999</v>
      </c>
      <c r="I146" s="137">
        <v>6</v>
      </c>
      <c r="J146" s="137">
        <v>5.22</v>
      </c>
      <c r="K146" s="137">
        <v>8.6999999999999993</v>
      </c>
      <c r="L146" s="137">
        <v>5.0999999999999996</v>
      </c>
      <c r="M146" s="137">
        <v>4.43</v>
      </c>
      <c r="N146" s="137">
        <v>4.97</v>
      </c>
      <c r="O146" s="137">
        <v>1.43</v>
      </c>
      <c r="P146" s="137">
        <v>0</v>
      </c>
      <c r="Q146" s="137">
        <v>0</v>
      </c>
      <c r="R146" s="137">
        <v>0</v>
      </c>
      <c r="S146" s="137">
        <v>0</v>
      </c>
      <c r="T146" s="137">
        <v>0</v>
      </c>
      <c r="U146" s="137">
        <v>0</v>
      </c>
      <c r="V146" s="137">
        <v>0</v>
      </c>
      <c r="W146" s="140" t="s">
        <v>1609</v>
      </c>
      <c r="X146" s="56">
        <f t="shared" si="4"/>
        <v>7</v>
      </c>
      <c r="Y146" s="56" t="str">
        <f t="shared" si="5"/>
        <v>NO LOGUEO</v>
      </c>
    </row>
    <row r="147" spans="1:25" ht="15" x14ac:dyDescent="0.25">
      <c r="A147" s="136" t="s">
        <v>1947</v>
      </c>
      <c r="B147" s="137">
        <v>0</v>
      </c>
      <c r="C147" s="137">
        <v>0</v>
      </c>
      <c r="D147" s="137">
        <v>0</v>
      </c>
      <c r="E147" s="137">
        <v>0</v>
      </c>
      <c r="F147" s="137">
        <v>0</v>
      </c>
      <c r="G147" s="137">
        <v>0</v>
      </c>
      <c r="H147" s="137">
        <v>0</v>
      </c>
      <c r="I147" s="137">
        <v>0</v>
      </c>
      <c r="J147" s="137">
        <v>0</v>
      </c>
      <c r="K147" s="137">
        <v>0</v>
      </c>
      <c r="L147" s="137">
        <v>0</v>
      </c>
      <c r="M147" s="137">
        <v>0</v>
      </c>
      <c r="N147" s="137">
        <v>0</v>
      </c>
      <c r="O147" s="137">
        <v>0</v>
      </c>
      <c r="P147" s="137">
        <v>0</v>
      </c>
      <c r="Q147" s="137">
        <v>0</v>
      </c>
      <c r="R147" s="137">
        <v>0</v>
      </c>
      <c r="S147" s="137">
        <v>0</v>
      </c>
      <c r="T147" s="137">
        <v>0</v>
      </c>
      <c r="U147" s="137">
        <v>0</v>
      </c>
      <c r="V147" s="137">
        <v>0</v>
      </c>
      <c r="W147" s="140" t="s">
        <v>1609</v>
      </c>
      <c r="X147" s="56">
        <f t="shared" si="4"/>
        <v>7</v>
      </c>
      <c r="Y147" s="56" t="str">
        <f t="shared" si="5"/>
        <v>NO LOGUEO</v>
      </c>
    </row>
    <row r="148" spans="1:25" ht="15" x14ac:dyDescent="0.25">
      <c r="A148" s="136" t="s">
        <v>968</v>
      </c>
      <c r="B148" s="137">
        <v>0</v>
      </c>
      <c r="C148" s="137">
        <v>0</v>
      </c>
      <c r="D148" s="137">
        <v>0</v>
      </c>
      <c r="E148" s="137">
        <v>0</v>
      </c>
      <c r="F148" s="137">
        <v>0.93</v>
      </c>
      <c r="G148" s="137">
        <v>4.6399999999999997</v>
      </c>
      <c r="H148" s="137">
        <v>6.68</v>
      </c>
      <c r="I148" s="137">
        <v>0</v>
      </c>
      <c r="J148" s="137">
        <v>6.73</v>
      </c>
      <c r="K148" s="137">
        <v>8.17</v>
      </c>
      <c r="L148" s="137">
        <v>7.78</v>
      </c>
      <c r="M148" s="137">
        <v>7.3699000000000003</v>
      </c>
      <c r="N148" s="137">
        <v>8.1298999999999992</v>
      </c>
      <c r="O148" s="137">
        <v>8.48</v>
      </c>
      <c r="P148" s="137">
        <v>0</v>
      </c>
      <c r="Q148" s="137">
        <v>7.97</v>
      </c>
      <c r="R148" s="137">
        <v>7.91</v>
      </c>
      <c r="S148" s="137">
        <v>5.89</v>
      </c>
      <c r="T148" s="137">
        <v>9.2799999999999994</v>
      </c>
      <c r="U148" s="137">
        <v>7.46</v>
      </c>
      <c r="V148" s="137">
        <v>6.49</v>
      </c>
      <c r="W148" s="140" t="s">
        <v>1609</v>
      </c>
      <c r="X148" s="56">
        <f t="shared" si="4"/>
        <v>1</v>
      </c>
      <c r="Y148" s="56" t="str">
        <f t="shared" si="5"/>
        <v>LOGUEO</v>
      </c>
    </row>
    <row r="149" spans="1:25" ht="15" x14ac:dyDescent="0.25">
      <c r="A149" s="136" t="s">
        <v>1801</v>
      </c>
      <c r="B149" s="137">
        <v>2.42</v>
      </c>
      <c r="C149" s="137">
        <v>5.96</v>
      </c>
      <c r="D149" s="137">
        <v>6.18</v>
      </c>
      <c r="E149" s="137">
        <v>6.47</v>
      </c>
      <c r="F149" s="137">
        <v>1.75</v>
      </c>
      <c r="G149" s="137">
        <v>6.73</v>
      </c>
      <c r="H149" s="137">
        <v>6.64</v>
      </c>
      <c r="I149" s="137">
        <v>0.92</v>
      </c>
      <c r="J149" s="137">
        <v>4.75</v>
      </c>
      <c r="K149" s="137">
        <v>7.11</v>
      </c>
      <c r="L149" s="137">
        <v>9.7998999999999992</v>
      </c>
      <c r="M149" s="137">
        <v>5.93</v>
      </c>
      <c r="N149" s="137">
        <v>4.63</v>
      </c>
      <c r="O149" s="137">
        <v>4.5198999999999998</v>
      </c>
      <c r="P149" s="137">
        <v>4.6100000000000003</v>
      </c>
      <c r="Q149" s="137">
        <v>8.49</v>
      </c>
      <c r="R149" s="137">
        <v>4.95</v>
      </c>
      <c r="S149" s="137">
        <v>5.72</v>
      </c>
      <c r="T149" s="137">
        <v>5.7798999999999996</v>
      </c>
      <c r="U149" s="137">
        <v>6.59</v>
      </c>
      <c r="V149" s="137">
        <v>4.38</v>
      </c>
      <c r="W149" s="140" t="s">
        <v>1609</v>
      </c>
      <c r="X149" s="56">
        <f t="shared" si="4"/>
        <v>0</v>
      </c>
      <c r="Y149" s="56" t="str">
        <f t="shared" si="5"/>
        <v>LOGUEO</v>
      </c>
    </row>
    <row r="150" spans="1:25" ht="15" x14ac:dyDescent="0.25">
      <c r="A150" s="136" t="s">
        <v>329</v>
      </c>
      <c r="B150" s="137">
        <v>2.2199</v>
      </c>
      <c r="C150" s="137">
        <v>4.5599999999999996</v>
      </c>
      <c r="D150" s="137">
        <v>4.8</v>
      </c>
      <c r="E150" s="137">
        <v>4.37</v>
      </c>
      <c r="F150" s="137">
        <v>2.57</v>
      </c>
      <c r="G150" s="137">
        <v>0</v>
      </c>
      <c r="H150" s="137">
        <v>4.25</v>
      </c>
      <c r="I150" s="137">
        <v>4.24</v>
      </c>
      <c r="J150" s="137">
        <v>4.8699000000000003</v>
      </c>
      <c r="K150" s="137">
        <v>5.0198999999999998</v>
      </c>
      <c r="L150" s="137">
        <v>4.8</v>
      </c>
      <c r="M150" s="137">
        <v>4.42</v>
      </c>
      <c r="N150" s="137">
        <v>4.9499000000000004</v>
      </c>
      <c r="O150" s="137">
        <v>4.45</v>
      </c>
      <c r="P150" s="137">
        <v>4.58</v>
      </c>
      <c r="Q150" s="137">
        <v>4.62</v>
      </c>
      <c r="R150" s="137">
        <v>2.72</v>
      </c>
      <c r="S150" s="137">
        <v>4.8</v>
      </c>
      <c r="T150" s="137">
        <v>5.05</v>
      </c>
      <c r="U150" s="137">
        <v>3.37</v>
      </c>
      <c r="V150" s="137">
        <v>0</v>
      </c>
      <c r="W150" s="140">
        <v>14121266</v>
      </c>
      <c r="X150" s="56">
        <f t="shared" si="4"/>
        <v>1</v>
      </c>
      <c r="Y150" s="56" t="str">
        <f t="shared" si="5"/>
        <v>LOGUEO</v>
      </c>
    </row>
    <row r="151" spans="1:25" ht="15" x14ac:dyDescent="0.25">
      <c r="A151" s="136" t="s">
        <v>940</v>
      </c>
      <c r="B151" s="137">
        <v>6.25</v>
      </c>
      <c r="C151" s="137">
        <v>0</v>
      </c>
      <c r="D151" s="137">
        <v>6.34</v>
      </c>
      <c r="E151" s="137">
        <v>6.44</v>
      </c>
      <c r="F151" s="137">
        <v>5.0598999999999998</v>
      </c>
      <c r="G151" s="137">
        <v>6.66</v>
      </c>
      <c r="H151" s="137">
        <v>0</v>
      </c>
      <c r="I151" s="137">
        <v>5.08</v>
      </c>
      <c r="J151" s="137">
        <v>5.3</v>
      </c>
      <c r="K151" s="137">
        <v>7.82</v>
      </c>
      <c r="L151" s="137">
        <v>4.97</v>
      </c>
      <c r="M151" s="137">
        <v>6.39</v>
      </c>
      <c r="N151" s="137">
        <v>7.07</v>
      </c>
      <c r="O151" s="137">
        <v>6.95</v>
      </c>
      <c r="P151" s="137">
        <v>5.18</v>
      </c>
      <c r="Q151" s="137">
        <v>8.15</v>
      </c>
      <c r="R151" s="137">
        <v>7.99</v>
      </c>
      <c r="S151" s="137">
        <v>0</v>
      </c>
      <c r="T151" s="137">
        <v>7.2</v>
      </c>
      <c r="U151" s="137">
        <v>7.28</v>
      </c>
      <c r="V151" s="137">
        <v>7.25</v>
      </c>
      <c r="W151" s="140" t="s">
        <v>1609</v>
      </c>
      <c r="X151" s="56">
        <f t="shared" si="4"/>
        <v>1</v>
      </c>
      <c r="Y151" s="56" t="str">
        <f t="shared" si="5"/>
        <v>LOGUEO</v>
      </c>
    </row>
    <row r="152" spans="1:25" ht="15" x14ac:dyDescent="0.25">
      <c r="A152" s="136" t="s">
        <v>523</v>
      </c>
      <c r="B152" s="137">
        <v>0</v>
      </c>
      <c r="C152" s="137">
        <v>5.1898999999999997</v>
      </c>
      <c r="D152" s="137">
        <v>4.74</v>
      </c>
      <c r="E152" s="137">
        <v>4.43</v>
      </c>
      <c r="F152" s="137">
        <v>2.3199999999999998</v>
      </c>
      <c r="G152" s="137">
        <v>8.4499999999999993</v>
      </c>
      <c r="H152" s="137">
        <v>5.31</v>
      </c>
      <c r="I152" s="137">
        <v>3.4</v>
      </c>
      <c r="J152" s="137">
        <v>7.18</v>
      </c>
      <c r="K152" s="137">
        <v>4.58</v>
      </c>
      <c r="L152" s="137">
        <v>4.25</v>
      </c>
      <c r="M152" s="137">
        <v>4.18</v>
      </c>
      <c r="N152" s="137">
        <v>5.0999999999999996</v>
      </c>
      <c r="O152" s="137">
        <v>4.6399999999999997</v>
      </c>
      <c r="P152" s="137">
        <v>8.82</v>
      </c>
      <c r="Q152" s="137">
        <v>6.5598999999999998</v>
      </c>
      <c r="R152" s="137">
        <v>5.2398999999999996</v>
      </c>
      <c r="S152" s="137">
        <v>4.7798999999999996</v>
      </c>
      <c r="T152" s="137">
        <v>5.6</v>
      </c>
      <c r="U152" s="137">
        <v>4.3600000000000003</v>
      </c>
      <c r="V152" s="137">
        <v>4.6399999999999997</v>
      </c>
      <c r="W152" s="140" t="s">
        <v>1609</v>
      </c>
      <c r="X152" s="56">
        <f t="shared" si="4"/>
        <v>0</v>
      </c>
      <c r="Y152" s="56" t="str">
        <f t="shared" si="5"/>
        <v>LOGUEO</v>
      </c>
    </row>
    <row r="153" spans="1:25" ht="15" x14ac:dyDescent="0.25">
      <c r="A153" s="136" t="s">
        <v>521</v>
      </c>
      <c r="B153" s="137">
        <v>0</v>
      </c>
      <c r="C153" s="137">
        <v>0</v>
      </c>
      <c r="D153" s="137">
        <v>0</v>
      </c>
      <c r="E153" s="137">
        <v>0</v>
      </c>
      <c r="F153" s="137">
        <v>0</v>
      </c>
      <c r="G153" s="137">
        <v>0</v>
      </c>
      <c r="H153" s="137">
        <v>0</v>
      </c>
      <c r="I153" s="137">
        <v>0</v>
      </c>
      <c r="J153" s="137">
        <v>0</v>
      </c>
      <c r="K153" s="137">
        <v>0</v>
      </c>
      <c r="L153" s="137">
        <v>0</v>
      </c>
      <c r="M153" s="137">
        <v>0</v>
      </c>
      <c r="N153" s="137">
        <v>0</v>
      </c>
      <c r="O153" s="137">
        <v>0</v>
      </c>
      <c r="P153" s="137">
        <v>0</v>
      </c>
      <c r="Q153" s="137">
        <v>0</v>
      </c>
      <c r="R153" s="137">
        <v>0</v>
      </c>
      <c r="S153" s="137">
        <v>0</v>
      </c>
      <c r="T153" s="137">
        <v>0</v>
      </c>
      <c r="U153" s="137">
        <v>0</v>
      </c>
      <c r="V153" s="137">
        <v>0</v>
      </c>
      <c r="W153" s="140" t="s">
        <v>1609</v>
      </c>
      <c r="X153" s="56">
        <f t="shared" si="4"/>
        <v>7</v>
      </c>
      <c r="Y153" s="56" t="str">
        <f t="shared" si="5"/>
        <v>NO LOGUEO</v>
      </c>
    </row>
    <row r="154" spans="1:25" ht="15" x14ac:dyDescent="0.25">
      <c r="A154" s="136" t="s">
        <v>507</v>
      </c>
      <c r="B154" s="137">
        <v>0</v>
      </c>
      <c r="C154" s="137">
        <v>3.66</v>
      </c>
      <c r="D154" s="137">
        <v>3.54</v>
      </c>
      <c r="E154" s="137">
        <v>1.1298999999999999</v>
      </c>
      <c r="F154" s="137">
        <v>0</v>
      </c>
      <c r="G154" s="137">
        <v>4.5999999999999996</v>
      </c>
      <c r="H154" s="137">
        <v>5.05</v>
      </c>
      <c r="I154" s="137">
        <v>0</v>
      </c>
      <c r="J154" s="137">
        <v>1.5</v>
      </c>
      <c r="K154" s="137">
        <v>3.7</v>
      </c>
      <c r="L154" s="137">
        <v>9.09</v>
      </c>
      <c r="M154" s="137">
        <v>0</v>
      </c>
      <c r="N154" s="137">
        <v>3.97</v>
      </c>
      <c r="O154" s="137">
        <v>3.52</v>
      </c>
      <c r="P154" s="137">
        <v>5.4</v>
      </c>
      <c r="Q154" s="137">
        <v>5.0598999999999998</v>
      </c>
      <c r="R154" s="137">
        <v>1.8</v>
      </c>
      <c r="S154" s="137">
        <v>7.75</v>
      </c>
      <c r="T154" s="137">
        <v>7.97</v>
      </c>
      <c r="U154" s="137">
        <v>6.67</v>
      </c>
      <c r="V154" s="137">
        <v>10.8</v>
      </c>
      <c r="W154" s="140">
        <v>14123312</v>
      </c>
      <c r="X154" s="56">
        <f t="shared" si="4"/>
        <v>0</v>
      </c>
      <c r="Y154" s="56" t="str">
        <f t="shared" si="5"/>
        <v>LOGUEO</v>
      </c>
    </row>
    <row r="155" spans="1:25" ht="15" x14ac:dyDescent="0.25">
      <c r="A155" s="136" t="s">
        <v>522</v>
      </c>
      <c r="B155" s="137">
        <v>7.03</v>
      </c>
      <c r="C155" s="137">
        <v>5.32</v>
      </c>
      <c r="D155" s="137">
        <v>8.1999999999999993</v>
      </c>
      <c r="E155" s="137">
        <v>7.34</v>
      </c>
      <c r="F155" s="137">
        <v>2.83</v>
      </c>
      <c r="G155" s="137">
        <v>7.09</v>
      </c>
      <c r="H155" s="137">
        <v>6.76</v>
      </c>
      <c r="I155" s="137">
        <v>5.94</v>
      </c>
      <c r="J155" s="137">
        <v>7.6</v>
      </c>
      <c r="K155" s="137">
        <v>7.6</v>
      </c>
      <c r="L155" s="137">
        <v>8.06</v>
      </c>
      <c r="M155" s="137">
        <v>2.7</v>
      </c>
      <c r="N155" s="137">
        <v>0</v>
      </c>
      <c r="O155" s="137">
        <v>0</v>
      </c>
      <c r="P155" s="137">
        <v>0.53</v>
      </c>
      <c r="Q155" s="137">
        <v>8.8999000000000006</v>
      </c>
      <c r="R155" s="137">
        <v>7.61</v>
      </c>
      <c r="S155" s="137">
        <v>6.81</v>
      </c>
      <c r="T155" s="137">
        <v>9.82</v>
      </c>
      <c r="U155" s="137">
        <v>7.27</v>
      </c>
      <c r="V155" s="137">
        <v>0</v>
      </c>
      <c r="W155" s="140" t="s">
        <v>1609</v>
      </c>
      <c r="X155" s="56">
        <f t="shared" si="4"/>
        <v>1</v>
      </c>
      <c r="Y155" s="56" t="str">
        <f t="shared" si="5"/>
        <v>LOGUEO</v>
      </c>
    </row>
    <row r="156" spans="1:25" ht="15" x14ac:dyDescent="0.25">
      <c r="A156" s="136" t="s">
        <v>971</v>
      </c>
      <c r="B156" s="137">
        <v>4.6098999999999997</v>
      </c>
      <c r="C156" s="137">
        <v>4.96</v>
      </c>
      <c r="D156" s="137">
        <v>7.17</v>
      </c>
      <c r="E156" s="137">
        <v>1.2</v>
      </c>
      <c r="F156" s="137">
        <v>2.23</v>
      </c>
      <c r="G156" s="137">
        <v>6.73</v>
      </c>
      <c r="H156" s="137">
        <v>4.59</v>
      </c>
      <c r="I156" s="137">
        <v>5.73</v>
      </c>
      <c r="J156" s="137">
        <v>7.97</v>
      </c>
      <c r="K156" s="137">
        <v>8.86</v>
      </c>
      <c r="L156" s="137">
        <v>8.1999999999999993</v>
      </c>
      <c r="M156" s="137">
        <v>0</v>
      </c>
      <c r="N156" s="137">
        <v>5.71</v>
      </c>
      <c r="O156" s="137">
        <v>2.44</v>
      </c>
      <c r="P156" s="137">
        <v>0</v>
      </c>
      <c r="Q156" s="137">
        <v>0</v>
      </c>
      <c r="R156" s="137">
        <v>0</v>
      </c>
      <c r="S156" s="137">
        <v>0</v>
      </c>
      <c r="T156" s="137">
        <v>0</v>
      </c>
      <c r="U156" s="137">
        <v>0</v>
      </c>
      <c r="V156" s="137">
        <v>1.71</v>
      </c>
      <c r="W156" s="140" t="s">
        <v>1609</v>
      </c>
      <c r="X156" s="56">
        <f t="shared" si="4"/>
        <v>6</v>
      </c>
      <c r="Y156" s="56" t="str">
        <f t="shared" si="5"/>
        <v>NO LOGUEO</v>
      </c>
    </row>
    <row r="157" spans="1:25" ht="15" x14ac:dyDescent="0.25">
      <c r="A157" s="136" t="s">
        <v>524</v>
      </c>
      <c r="B157" s="137">
        <v>0</v>
      </c>
      <c r="C157" s="137">
        <v>0</v>
      </c>
      <c r="D157" s="137">
        <v>0</v>
      </c>
      <c r="E157" s="137">
        <v>0</v>
      </c>
      <c r="F157" s="137">
        <v>0</v>
      </c>
      <c r="G157" s="137">
        <v>0</v>
      </c>
      <c r="H157" s="137">
        <v>0</v>
      </c>
      <c r="I157" s="137">
        <v>0</v>
      </c>
      <c r="J157" s="137">
        <v>0</v>
      </c>
      <c r="K157" s="137">
        <v>0</v>
      </c>
      <c r="L157" s="137">
        <v>0</v>
      </c>
      <c r="M157" s="137">
        <v>0</v>
      </c>
      <c r="N157" s="137">
        <v>0</v>
      </c>
      <c r="O157" s="137">
        <v>0</v>
      </c>
      <c r="P157" s="137">
        <v>0</v>
      </c>
      <c r="Q157" s="137">
        <v>0</v>
      </c>
      <c r="R157" s="137">
        <v>0</v>
      </c>
      <c r="S157" s="137">
        <v>2.02</v>
      </c>
      <c r="T157" s="137">
        <v>6.3098999999999998</v>
      </c>
      <c r="U157" s="137">
        <v>8.49</v>
      </c>
      <c r="V157" s="137">
        <v>4.8099999999999996</v>
      </c>
      <c r="W157" s="140" t="s">
        <v>1609</v>
      </c>
      <c r="X157" s="56">
        <f t="shared" si="4"/>
        <v>3</v>
      </c>
      <c r="Y157" s="56" t="str">
        <f t="shared" si="5"/>
        <v>NO LOGUEO</v>
      </c>
    </row>
    <row r="158" spans="1:25" ht="15" x14ac:dyDescent="0.25">
      <c r="A158" s="136" t="s">
        <v>2521</v>
      </c>
      <c r="B158" s="137">
        <v>0</v>
      </c>
      <c r="C158" s="137">
        <v>0</v>
      </c>
      <c r="D158" s="137">
        <v>0</v>
      </c>
      <c r="E158" s="137">
        <v>0</v>
      </c>
      <c r="F158" s="137">
        <v>0</v>
      </c>
      <c r="G158" s="137">
        <v>0</v>
      </c>
      <c r="H158" s="137">
        <v>0</v>
      </c>
      <c r="I158" s="137">
        <v>0</v>
      </c>
      <c r="J158" s="137">
        <v>0</v>
      </c>
      <c r="K158" s="137">
        <v>0</v>
      </c>
      <c r="L158" s="137">
        <v>0</v>
      </c>
      <c r="M158" s="137">
        <v>0</v>
      </c>
      <c r="N158" s="137">
        <v>0</v>
      </c>
      <c r="O158" s="137">
        <v>0</v>
      </c>
      <c r="P158" s="137">
        <v>0</v>
      </c>
      <c r="Q158" s="137">
        <v>0</v>
      </c>
      <c r="R158" s="137">
        <v>0</v>
      </c>
      <c r="S158" s="137">
        <v>0</v>
      </c>
      <c r="T158" s="137">
        <v>1.3798999999999999</v>
      </c>
      <c r="U158" s="137">
        <v>0</v>
      </c>
      <c r="V158" s="137">
        <v>0</v>
      </c>
      <c r="W158" s="140" t="s">
        <v>1609</v>
      </c>
      <c r="X158" s="56">
        <f t="shared" si="4"/>
        <v>6</v>
      </c>
      <c r="Y158" s="56" t="str">
        <f t="shared" si="5"/>
        <v>NO LOGUEO</v>
      </c>
    </row>
    <row r="159" spans="1:25" ht="15" x14ac:dyDescent="0.25">
      <c r="A159" s="136" t="s">
        <v>1948</v>
      </c>
      <c r="B159" s="137">
        <v>0</v>
      </c>
      <c r="C159" s="137">
        <v>0</v>
      </c>
      <c r="D159" s="137">
        <v>0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7">
        <v>0</v>
      </c>
      <c r="K159" s="137">
        <v>0</v>
      </c>
      <c r="L159" s="137">
        <v>0</v>
      </c>
      <c r="M159" s="137">
        <v>0</v>
      </c>
      <c r="N159" s="137">
        <v>0</v>
      </c>
      <c r="O159" s="137">
        <v>0</v>
      </c>
      <c r="P159" s="137">
        <v>0</v>
      </c>
      <c r="Q159" s="137">
        <v>0</v>
      </c>
      <c r="R159" s="137">
        <v>0</v>
      </c>
      <c r="S159" s="137">
        <v>0</v>
      </c>
      <c r="T159" s="137">
        <v>0</v>
      </c>
      <c r="U159" s="137">
        <v>0</v>
      </c>
      <c r="V159" s="137">
        <v>0</v>
      </c>
      <c r="W159" s="140" t="s">
        <v>1609</v>
      </c>
      <c r="X159" s="56">
        <f t="shared" si="4"/>
        <v>7</v>
      </c>
      <c r="Y159" s="56" t="str">
        <f t="shared" si="5"/>
        <v>NO LOGUEO</v>
      </c>
    </row>
    <row r="160" spans="1:25" ht="15" x14ac:dyDescent="0.25">
      <c r="A160" s="136" t="s">
        <v>242</v>
      </c>
      <c r="B160" s="137">
        <v>3.0099</v>
      </c>
      <c r="C160" s="137">
        <v>7.21</v>
      </c>
      <c r="D160" s="137">
        <v>5.33</v>
      </c>
      <c r="E160" s="137">
        <v>3.35</v>
      </c>
      <c r="F160" s="137">
        <v>4.3099999999999996</v>
      </c>
      <c r="G160" s="137">
        <v>3.96</v>
      </c>
      <c r="H160" s="137">
        <v>0</v>
      </c>
      <c r="I160" s="137">
        <v>5.54</v>
      </c>
      <c r="J160" s="137">
        <v>2.73</v>
      </c>
      <c r="K160" s="137">
        <v>5.92</v>
      </c>
      <c r="L160" s="137">
        <v>5.93</v>
      </c>
      <c r="M160" s="137">
        <v>0</v>
      </c>
      <c r="N160" s="137">
        <v>6.18</v>
      </c>
      <c r="O160" s="137">
        <v>6.28</v>
      </c>
      <c r="P160" s="137">
        <v>7.01</v>
      </c>
      <c r="Q160" s="137">
        <v>3.13</v>
      </c>
      <c r="R160" s="137">
        <v>8.51</v>
      </c>
      <c r="S160" s="137">
        <v>5.1100000000000003</v>
      </c>
      <c r="T160" s="137">
        <v>6.18</v>
      </c>
      <c r="U160" s="137">
        <v>6.6</v>
      </c>
      <c r="V160" s="137">
        <v>7.04</v>
      </c>
      <c r="W160" s="140">
        <v>14119323</v>
      </c>
      <c r="X160" s="56">
        <f t="shared" si="4"/>
        <v>0</v>
      </c>
      <c r="Y160" s="56" t="str">
        <f t="shared" si="5"/>
        <v>LOGUEO</v>
      </c>
    </row>
    <row r="161" spans="1:25" ht="15" x14ac:dyDescent="0.25">
      <c r="A161" s="136" t="s">
        <v>509</v>
      </c>
      <c r="B161" s="137">
        <v>6.55</v>
      </c>
      <c r="C161" s="137">
        <v>4.6399999999999997</v>
      </c>
      <c r="D161" s="137">
        <v>10.39</v>
      </c>
      <c r="E161" s="137">
        <v>5.04</v>
      </c>
      <c r="F161" s="137">
        <v>6.3598999999999997</v>
      </c>
      <c r="G161" s="137">
        <v>1.5</v>
      </c>
      <c r="H161" s="137">
        <v>2.52</v>
      </c>
      <c r="I161" s="137">
        <v>0</v>
      </c>
      <c r="J161" s="137">
        <v>12.95</v>
      </c>
      <c r="K161" s="137">
        <v>13.12</v>
      </c>
      <c r="L161" s="137">
        <v>13.39</v>
      </c>
      <c r="M161" s="137">
        <v>13.37</v>
      </c>
      <c r="N161" s="137">
        <v>12.2</v>
      </c>
      <c r="O161" s="137">
        <v>12.25</v>
      </c>
      <c r="P161" s="137">
        <v>0</v>
      </c>
      <c r="Q161" s="137">
        <v>14.08</v>
      </c>
      <c r="R161" s="137">
        <v>9.8800000000000008</v>
      </c>
      <c r="S161" s="137">
        <v>13.55</v>
      </c>
      <c r="T161" s="137">
        <v>9.26</v>
      </c>
      <c r="U161" s="137">
        <v>10.41</v>
      </c>
      <c r="V161" s="137">
        <v>8.17</v>
      </c>
      <c r="W161" s="140">
        <v>14119838</v>
      </c>
      <c r="X161" s="56">
        <f t="shared" si="4"/>
        <v>1</v>
      </c>
      <c r="Y161" s="56" t="str">
        <f t="shared" si="5"/>
        <v>LOGUEO</v>
      </c>
    </row>
    <row r="162" spans="1:25" ht="15" x14ac:dyDescent="0.25">
      <c r="A162" s="136" t="s">
        <v>1949</v>
      </c>
      <c r="B162" s="137">
        <v>0</v>
      </c>
      <c r="C162" s="137">
        <v>0</v>
      </c>
      <c r="D162" s="137">
        <v>0</v>
      </c>
      <c r="E162" s="137">
        <v>0</v>
      </c>
      <c r="F162" s="137">
        <v>0</v>
      </c>
      <c r="G162" s="137">
        <v>0</v>
      </c>
      <c r="H162" s="137">
        <v>0</v>
      </c>
      <c r="I162" s="137">
        <v>0</v>
      </c>
      <c r="J162" s="137">
        <v>0</v>
      </c>
      <c r="K162" s="137">
        <v>0</v>
      </c>
      <c r="L162" s="137">
        <v>0</v>
      </c>
      <c r="M162" s="137">
        <v>0</v>
      </c>
      <c r="N162" s="137">
        <v>0</v>
      </c>
      <c r="O162" s="137">
        <v>0</v>
      </c>
      <c r="P162" s="137">
        <v>0</v>
      </c>
      <c r="Q162" s="137">
        <v>0</v>
      </c>
      <c r="R162" s="137">
        <v>0</v>
      </c>
      <c r="S162" s="137">
        <v>0</v>
      </c>
      <c r="T162" s="137">
        <v>0</v>
      </c>
      <c r="U162" s="137">
        <v>0</v>
      </c>
      <c r="V162" s="137">
        <v>0</v>
      </c>
      <c r="W162" s="140">
        <v>14121997</v>
      </c>
      <c r="X162" s="56">
        <f t="shared" si="4"/>
        <v>7</v>
      </c>
      <c r="Y162" s="56" t="str">
        <f t="shared" si="5"/>
        <v>NO LOGUEO</v>
      </c>
    </row>
    <row r="163" spans="1:25" ht="15" x14ac:dyDescent="0.25">
      <c r="A163" s="136" t="s">
        <v>504</v>
      </c>
      <c r="B163" s="137">
        <v>0</v>
      </c>
      <c r="C163" s="137">
        <v>0</v>
      </c>
      <c r="D163" s="137">
        <v>0</v>
      </c>
      <c r="E163" s="137">
        <v>0</v>
      </c>
      <c r="F163" s="137">
        <v>0</v>
      </c>
      <c r="G163" s="137">
        <v>0</v>
      </c>
      <c r="H163" s="137">
        <v>0</v>
      </c>
      <c r="I163" s="137">
        <v>0</v>
      </c>
      <c r="J163" s="137">
        <v>0</v>
      </c>
      <c r="K163" s="137">
        <v>0</v>
      </c>
      <c r="L163" s="137">
        <v>0</v>
      </c>
      <c r="M163" s="137">
        <v>0</v>
      </c>
      <c r="N163" s="137">
        <v>0</v>
      </c>
      <c r="O163" s="137">
        <v>0</v>
      </c>
      <c r="P163" s="137">
        <v>0</v>
      </c>
      <c r="Q163" s="137">
        <v>0</v>
      </c>
      <c r="R163" s="137">
        <v>0</v>
      </c>
      <c r="S163" s="137">
        <v>0</v>
      </c>
      <c r="T163" s="137">
        <v>1.6298999999999999</v>
      </c>
      <c r="U163" s="137">
        <v>8.42</v>
      </c>
      <c r="V163" s="137">
        <v>2.2400000000000002</v>
      </c>
      <c r="W163" s="140">
        <v>14123276</v>
      </c>
      <c r="X163" s="56">
        <f t="shared" si="4"/>
        <v>4</v>
      </c>
      <c r="Y163" s="56" t="str">
        <f t="shared" si="5"/>
        <v>NO LOGUEO</v>
      </c>
    </row>
    <row r="164" spans="1:25" ht="15" x14ac:dyDescent="0.25">
      <c r="A164" s="136" t="s">
        <v>481</v>
      </c>
      <c r="B164" s="137">
        <v>8.68</v>
      </c>
      <c r="C164" s="137">
        <v>6.84</v>
      </c>
      <c r="D164" s="137">
        <v>0</v>
      </c>
      <c r="E164" s="137">
        <v>8.15</v>
      </c>
      <c r="F164" s="137">
        <v>7.8</v>
      </c>
      <c r="G164" s="137">
        <v>8.84</v>
      </c>
      <c r="H164" s="137">
        <v>9</v>
      </c>
      <c r="I164" s="137">
        <v>8.6300000000000008</v>
      </c>
      <c r="J164" s="137">
        <v>9.73</v>
      </c>
      <c r="K164" s="137">
        <v>6.0698999999999996</v>
      </c>
      <c r="L164" s="137">
        <v>10.16</v>
      </c>
      <c r="M164" s="137">
        <v>7.69</v>
      </c>
      <c r="N164" s="137">
        <v>0</v>
      </c>
      <c r="O164" s="137">
        <v>8.6</v>
      </c>
      <c r="P164" s="137">
        <v>9.4700000000000006</v>
      </c>
      <c r="Q164" s="137">
        <v>9.6300000000000008</v>
      </c>
      <c r="R164" s="137">
        <v>9.02</v>
      </c>
      <c r="S164" s="137">
        <v>7.84</v>
      </c>
      <c r="T164" s="137">
        <v>9.0299999999999994</v>
      </c>
      <c r="U164" s="137">
        <v>8.2098999999999993</v>
      </c>
      <c r="V164" s="137">
        <v>8.8699999999999992</v>
      </c>
      <c r="W164" s="140">
        <v>14123066</v>
      </c>
      <c r="X164" s="56">
        <f t="shared" si="4"/>
        <v>0</v>
      </c>
      <c r="Y164" s="56" t="str">
        <f t="shared" si="5"/>
        <v>LOGUEO</v>
      </c>
    </row>
    <row r="165" spans="1:25" ht="15" x14ac:dyDescent="0.25">
      <c r="A165" s="136" t="s">
        <v>966</v>
      </c>
      <c r="B165" s="137">
        <v>0</v>
      </c>
      <c r="C165" s="137">
        <v>5.7</v>
      </c>
      <c r="D165" s="137">
        <v>6.64</v>
      </c>
      <c r="E165" s="137">
        <v>5.41</v>
      </c>
      <c r="F165" s="137">
        <v>1.42</v>
      </c>
      <c r="G165" s="137">
        <v>8.57</v>
      </c>
      <c r="H165" s="137">
        <v>6.67</v>
      </c>
      <c r="I165" s="137">
        <v>5.78</v>
      </c>
      <c r="J165" s="137">
        <v>6.78</v>
      </c>
      <c r="K165" s="137">
        <v>8.16</v>
      </c>
      <c r="L165" s="137">
        <v>6.66</v>
      </c>
      <c r="M165" s="137">
        <v>6.6</v>
      </c>
      <c r="N165" s="137">
        <v>6.8898999999999999</v>
      </c>
      <c r="O165" s="137">
        <v>7.28</v>
      </c>
      <c r="P165" s="137">
        <v>0</v>
      </c>
      <c r="Q165" s="137">
        <v>4.17</v>
      </c>
      <c r="R165" s="137">
        <v>8.3800000000000008</v>
      </c>
      <c r="S165" s="137">
        <v>6.72</v>
      </c>
      <c r="T165" s="137">
        <v>6.65</v>
      </c>
      <c r="U165" s="137">
        <v>6.4499000000000004</v>
      </c>
      <c r="V165" s="137">
        <v>7.99</v>
      </c>
      <c r="W165" s="140" t="s">
        <v>1609</v>
      </c>
      <c r="X165" s="56">
        <f t="shared" si="4"/>
        <v>1</v>
      </c>
      <c r="Y165" s="56" t="str">
        <f t="shared" si="5"/>
        <v>LOGUEO</v>
      </c>
    </row>
    <row r="166" spans="1:25" ht="15" x14ac:dyDescent="0.25">
      <c r="A166" s="136" t="s">
        <v>1802</v>
      </c>
      <c r="B166" s="137">
        <v>0</v>
      </c>
      <c r="C166" s="137">
        <v>7.65</v>
      </c>
      <c r="D166" s="137">
        <v>6.91</v>
      </c>
      <c r="E166" s="137">
        <v>6.74</v>
      </c>
      <c r="F166" s="137">
        <v>11.08</v>
      </c>
      <c r="G166" s="137">
        <v>6.53</v>
      </c>
      <c r="H166" s="137">
        <v>6.4499000000000004</v>
      </c>
      <c r="I166" s="137">
        <v>10.75</v>
      </c>
      <c r="J166" s="137">
        <v>9.17</v>
      </c>
      <c r="K166" s="137">
        <v>5.1299000000000001</v>
      </c>
      <c r="L166" s="137">
        <v>7.27</v>
      </c>
      <c r="M166" s="137">
        <v>8.32</v>
      </c>
      <c r="N166" s="137">
        <v>7.09</v>
      </c>
      <c r="O166" s="137">
        <v>6.98</v>
      </c>
      <c r="P166" s="137">
        <v>0</v>
      </c>
      <c r="Q166" s="137">
        <v>7.65</v>
      </c>
      <c r="R166" s="137">
        <v>7.24</v>
      </c>
      <c r="S166" s="137">
        <v>6.86</v>
      </c>
      <c r="T166" s="137">
        <v>7.23</v>
      </c>
      <c r="U166" s="137">
        <v>7.17</v>
      </c>
      <c r="V166" s="137">
        <v>6.9</v>
      </c>
      <c r="W166" s="140" t="s">
        <v>1609</v>
      </c>
      <c r="X166" s="56">
        <f t="shared" si="4"/>
        <v>1</v>
      </c>
      <c r="Y166" s="56" t="str">
        <f t="shared" si="5"/>
        <v>LOGUEO</v>
      </c>
    </row>
    <row r="167" spans="1:25" ht="15" x14ac:dyDescent="0.25">
      <c r="A167" s="136" t="s">
        <v>328</v>
      </c>
      <c r="B167" s="137">
        <v>8.43</v>
      </c>
      <c r="C167" s="137">
        <v>7.59</v>
      </c>
      <c r="D167" s="137">
        <v>9.42</v>
      </c>
      <c r="E167" s="137">
        <v>9.09</v>
      </c>
      <c r="F167" s="137">
        <v>3.08</v>
      </c>
      <c r="G167" s="137">
        <v>8.4</v>
      </c>
      <c r="H167" s="137">
        <v>9.1999999999999993</v>
      </c>
      <c r="I167" s="137">
        <v>0</v>
      </c>
      <c r="J167" s="137">
        <v>8.1499000000000006</v>
      </c>
      <c r="K167" s="137">
        <v>8.66</v>
      </c>
      <c r="L167" s="137">
        <v>9.4499999999999993</v>
      </c>
      <c r="M167" s="137">
        <v>9.2399000000000004</v>
      </c>
      <c r="N167" s="137">
        <v>6.61</v>
      </c>
      <c r="O167" s="137">
        <v>8.42</v>
      </c>
      <c r="P167" s="137">
        <v>6.88</v>
      </c>
      <c r="Q167" s="137">
        <v>12.379899999999999</v>
      </c>
      <c r="R167" s="137">
        <v>10.719900000000001</v>
      </c>
      <c r="S167" s="137">
        <v>10.199999999999999</v>
      </c>
      <c r="T167" s="137">
        <v>9.93</v>
      </c>
      <c r="U167" s="137">
        <v>0</v>
      </c>
      <c r="V167" s="137">
        <v>9.61</v>
      </c>
      <c r="W167" s="140">
        <v>14121239</v>
      </c>
      <c r="X167" s="56">
        <f t="shared" si="4"/>
        <v>1</v>
      </c>
      <c r="Y167" s="56" t="str">
        <f t="shared" si="5"/>
        <v>LOGUEO</v>
      </c>
    </row>
    <row r="168" spans="1:25" ht="15" x14ac:dyDescent="0.25">
      <c r="A168" s="136" t="s">
        <v>213</v>
      </c>
      <c r="B168" s="137">
        <v>7.02</v>
      </c>
      <c r="C168" s="137">
        <v>5.74</v>
      </c>
      <c r="D168" s="137">
        <v>4.0298999999999996</v>
      </c>
      <c r="E168" s="137">
        <v>3.29</v>
      </c>
      <c r="F168" s="137">
        <v>1.42</v>
      </c>
      <c r="G168" s="137">
        <v>4.9398999999999997</v>
      </c>
      <c r="H168" s="137">
        <v>5.09</v>
      </c>
      <c r="I168" s="137">
        <v>0</v>
      </c>
      <c r="J168" s="137">
        <v>4.12</v>
      </c>
      <c r="K168" s="137">
        <v>5.63</v>
      </c>
      <c r="L168" s="137">
        <v>5.0198999999999998</v>
      </c>
      <c r="M168" s="137">
        <v>5.5</v>
      </c>
      <c r="N168" s="137">
        <v>6.92</v>
      </c>
      <c r="O168" s="137">
        <v>5.5198999999999998</v>
      </c>
      <c r="P168" s="137">
        <v>8.26</v>
      </c>
      <c r="Q168" s="137">
        <v>5.13</v>
      </c>
      <c r="R168" s="137">
        <v>5.83</v>
      </c>
      <c r="S168" s="137">
        <v>0</v>
      </c>
      <c r="T168" s="137">
        <v>4.91</v>
      </c>
      <c r="U168" s="137">
        <v>5.39</v>
      </c>
      <c r="V168" s="137">
        <v>5.2798999999999996</v>
      </c>
      <c r="W168" s="140">
        <v>14118773</v>
      </c>
      <c r="X168" s="56">
        <f t="shared" si="4"/>
        <v>1</v>
      </c>
      <c r="Y168" s="56" t="str">
        <f t="shared" si="5"/>
        <v>LOGUEO</v>
      </c>
    </row>
    <row r="169" spans="1:25" ht="15" x14ac:dyDescent="0.25">
      <c r="A169" s="136" t="s">
        <v>1950</v>
      </c>
      <c r="B169" s="137">
        <v>0</v>
      </c>
      <c r="C169" s="137">
        <v>0</v>
      </c>
      <c r="D169" s="137">
        <v>0</v>
      </c>
      <c r="E169" s="137">
        <v>0</v>
      </c>
      <c r="F169" s="137">
        <v>0</v>
      </c>
      <c r="G169" s="137">
        <v>0</v>
      </c>
      <c r="H169" s="137">
        <v>0</v>
      </c>
      <c r="I169" s="137">
        <v>0</v>
      </c>
      <c r="J169" s="137">
        <v>0</v>
      </c>
      <c r="K169" s="137">
        <v>0</v>
      </c>
      <c r="L169" s="137">
        <v>0</v>
      </c>
      <c r="M169" s="137">
        <v>0</v>
      </c>
      <c r="N169" s="137">
        <v>0</v>
      </c>
      <c r="O169" s="137">
        <v>0</v>
      </c>
      <c r="P169" s="137">
        <v>0</v>
      </c>
      <c r="Q169" s="137">
        <v>0</v>
      </c>
      <c r="R169" s="137">
        <v>0</v>
      </c>
      <c r="S169" s="137">
        <v>0</v>
      </c>
      <c r="T169" s="137">
        <v>0</v>
      </c>
      <c r="U169" s="137">
        <v>0</v>
      </c>
      <c r="V169" s="137">
        <v>0</v>
      </c>
      <c r="W169" s="140" t="s">
        <v>1609</v>
      </c>
      <c r="X169" s="56">
        <f t="shared" si="4"/>
        <v>7</v>
      </c>
      <c r="Y169" s="56" t="str">
        <f t="shared" si="5"/>
        <v>NO LOGUEO</v>
      </c>
    </row>
    <row r="170" spans="1:25" ht="15" x14ac:dyDescent="0.25">
      <c r="A170" s="136" t="s">
        <v>208</v>
      </c>
      <c r="B170" s="137">
        <v>7.26</v>
      </c>
      <c r="C170" s="137">
        <v>9.18</v>
      </c>
      <c r="D170" s="137">
        <v>7.5</v>
      </c>
      <c r="E170" s="137">
        <v>6.6</v>
      </c>
      <c r="F170" s="137">
        <v>0</v>
      </c>
      <c r="G170" s="137">
        <v>6.46</v>
      </c>
      <c r="H170" s="137">
        <v>8.06</v>
      </c>
      <c r="I170" s="137">
        <v>12.01</v>
      </c>
      <c r="J170" s="137">
        <v>9.01</v>
      </c>
      <c r="K170" s="137">
        <v>7.37</v>
      </c>
      <c r="L170" s="137">
        <v>6.89</v>
      </c>
      <c r="M170" s="137">
        <v>8.9600000000000009</v>
      </c>
      <c r="N170" s="137">
        <v>9.93</v>
      </c>
      <c r="O170" s="137">
        <v>8.91</v>
      </c>
      <c r="P170" s="137">
        <v>13.2</v>
      </c>
      <c r="Q170" s="137">
        <v>5.31</v>
      </c>
      <c r="R170" s="137">
        <v>9.44</v>
      </c>
      <c r="S170" s="137">
        <v>0</v>
      </c>
      <c r="T170" s="137">
        <v>0</v>
      </c>
      <c r="U170" s="137">
        <v>0</v>
      </c>
      <c r="V170" s="137">
        <v>0</v>
      </c>
      <c r="W170" s="140">
        <v>14118627</v>
      </c>
      <c r="X170" s="56">
        <f t="shared" si="4"/>
        <v>4</v>
      </c>
      <c r="Y170" s="56" t="str">
        <f t="shared" si="5"/>
        <v>NO LOGUEO</v>
      </c>
    </row>
    <row r="171" spans="1:25" ht="15" x14ac:dyDescent="0.25">
      <c r="A171" s="136" t="s">
        <v>210</v>
      </c>
      <c r="B171" s="137">
        <v>3.44</v>
      </c>
      <c r="C171" s="137">
        <v>7.76</v>
      </c>
      <c r="D171" s="137">
        <v>8.92</v>
      </c>
      <c r="E171" s="137">
        <v>7.98</v>
      </c>
      <c r="F171" s="137">
        <v>1.78</v>
      </c>
      <c r="G171" s="137">
        <v>8.7100000000000009</v>
      </c>
      <c r="H171" s="137">
        <v>7.1</v>
      </c>
      <c r="I171" s="137">
        <v>6.72</v>
      </c>
      <c r="J171" s="137">
        <v>7.9</v>
      </c>
      <c r="K171" s="137">
        <v>9.23</v>
      </c>
      <c r="L171" s="137">
        <v>8.86</v>
      </c>
      <c r="M171" s="137">
        <v>9.9499999999999993</v>
      </c>
      <c r="N171" s="137">
        <v>10.17</v>
      </c>
      <c r="O171" s="137">
        <v>8.86</v>
      </c>
      <c r="P171" s="137">
        <v>0</v>
      </c>
      <c r="Q171" s="137">
        <v>7.74</v>
      </c>
      <c r="R171" s="137">
        <v>6.9</v>
      </c>
      <c r="S171" s="137">
        <v>7.84</v>
      </c>
      <c r="T171" s="137">
        <v>10</v>
      </c>
      <c r="U171" s="137">
        <v>9.59</v>
      </c>
      <c r="V171" s="137">
        <v>8.68</v>
      </c>
      <c r="W171" s="140">
        <v>14118660</v>
      </c>
      <c r="X171" s="56">
        <f t="shared" si="4"/>
        <v>1</v>
      </c>
      <c r="Y171" s="56" t="str">
        <f t="shared" si="5"/>
        <v>LOGUEO</v>
      </c>
    </row>
    <row r="172" spans="1:25" ht="15" x14ac:dyDescent="0.25">
      <c r="A172" s="136" t="s">
        <v>2522</v>
      </c>
      <c r="B172" s="137">
        <v>0</v>
      </c>
      <c r="C172" s="137">
        <v>0</v>
      </c>
      <c r="D172" s="137">
        <v>0</v>
      </c>
      <c r="E172" s="137">
        <v>0</v>
      </c>
      <c r="F172" s="137">
        <v>0</v>
      </c>
      <c r="G172" s="137">
        <v>0</v>
      </c>
      <c r="H172" s="137">
        <v>0</v>
      </c>
      <c r="I172" s="137">
        <v>0</v>
      </c>
      <c r="J172" s="137">
        <v>0</v>
      </c>
      <c r="K172" s="137">
        <v>0</v>
      </c>
      <c r="L172" s="137">
        <v>3.43</v>
      </c>
      <c r="M172" s="137">
        <v>0</v>
      </c>
      <c r="N172" s="137">
        <v>3.53</v>
      </c>
      <c r="O172" s="137">
        <v>1.02</v>
      </c>
      <c r="P172" s="137">
        <v>0</v>
      </c>
      <c r="Q172" s="137">
        <v>0</v>
      </c>
      <c r="R172" s="137">
        <v>2.0499999999999998</v>
      </c>
      <c r="S172" s="137">
        <v>0.47</v>
      </c>
      <c r="T172" s="137">
        <v>1.3</v>
      </c>
      <c r="U172" s="137">
        <v>0</v>
      </c>
      <c r="V172" s="137">
        <v>0</v>
      </c>
      <c r="W172" s="140" t="s">
        <v>1609</v>
      </c>
      <c r="X172" s="56">
        <f t="shared" si="4"/>
        <v>4</v>
      </c>
      <c r="Y172" s="56" t="str">
        <f t="shared" si="5"/>
        <v>NO LOGUEO</v>
      </c>
    </row>
    <row r="173" spans="1:25" ht="15" x14ac:dyDescent="0.25">
      <c r="A173" s="136" t="s">
        <v>273</v>
      </c>
      <c r="B173" s="137">
        <v>4.7298999999999998</v>
      </c>
      <c r="C173" s="137">
        <v>6.46</v>
      </c>
      <c r="D173" s="137">
        <v>8.35</v>
      </c>
      <c r="E173" s="137">
        <v>5.88</v>
      </c>
      <c r="F173" s="137">
        <v>1.53</v>
      </c>
      <c r="G173" s="137">
        <v>7.3098999999999998</v>
      </c>
      <c r="H173" s="137">
        <v>8.31</v>
      </c>
      <c r="I173" s="137">
        <v>4.5298999999999996</v>
      </c>
      <c r="J173" s="137">
        <v>6.53</v>
      </c>
      <c r="K173" s="137">
        <v>7.7</v>
      </c>
      <c r="L173" s="137">
        <v>7.64</v>
      </c>
      <c r="M173" s="137">
        <v>8.7200000000000006</v>
      </c>
      <c r="N173" s="137">
        <v>5.75</v>
      </c>
      <c r="O173" s="137">
        <v>8.1198999999999995</v>
      </c>
      <c r="P173" s="137">
        <v>3.82</v>
      </c>
      <c r="Q173" s="137">
        <v>8.6199999999999992</v>
      </c>
      <c r="R173" s="137">
        <v>5.29</v>
      </c>
      <c r="S173" s="137">
        <v>9.0299999999999994</v>
      </c>
      <c r="T173" s="137">
        <v>7.85</v>
      </c>
      <c r="U173" s="137">
        <v>7.73</v>
      </c>
      <c r="V173" s="137">
        <v>7.02</v>
      </c>
      <c r="W173" s="140">
        <v>14120041</v>
      </c>
      <c r="X173" s="56">
        <f t="shared" si="4"/>
        <v>0</v>
      </c>
      <c r="Y173" s="56" t="str">
        <f t="shared" si="5"/>
        <v>LOGUEO</v>
      </c>
    </row>
    <row r="174" spans="1:25" ht="15" x14ac:dyDescent="0.25">
      <c r="A174" s="136" t="s">
        <v>3710</v>
      </c>
      <c r="B174" s="137">
        <v>0</v>
      </c>
      <c r="C174" s="137">
        <v>0</v>
      </c>
      <c r="D174" s="137">
        <v>0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7">
        <v>0.27</v>
      </c>
      <c r="L174" s="137">
        <v>0</v>
      </c>
      <c r="M174" s="137">
        <v>0</v>
      </c>
      <c r="N174" s="137">
        <v>0</v>
      </c>
      <c r="O174" s="137">
        <v>0</v>
      </c>
      <c r="P174" s="137">
        <v>0</v>
      </c>
      <c r="Q174" s="137">
        <v>0</v>
      </c>
      <c r="R174" s="137">
        <v>0</v>
      </c>
      <c r="S174" s="137">
        <v>0</v>
      </c>
      <c r="T174" s="137">
        <v>0</v>
      </c>
      <c r="U174" s="137">
        <v>0</v>
      </c>
      <c r="V174" s="137">
        <v>0</v>
      </c>
      <c r="W174" s="140" t="s">
        <v>1609</v>
      </c>
      <c r="X174" s="56">
        <f t="shared" si="4"/>
        <v>7</v>
      </c>
      <c r="Y174" s="56" t="str">
        <f t="shared" si="5"/>
        <v>NO LOGUEO</v>
      </c>
    </row>
    <row r="175" spans="1:25" ht="15" x14ac:dyDescent="0.25">
      <c r="A175" s="136" t="s">
        <v>973</v>
      </c>
      <c r="B175" s="137">
        <v>0</v>
      </c>
      <c r="C175" s="137">
        <v>0</v>
      </c>
      <c r="D175" s="137">
        <v>0</v>
      </c>
      <c r="E175" s="137">
        <v>0</v>
      </c>
      <c r="F175" s="137">
        <v>0</v>
      </c>
      <c r="G175" s="137">
        <v>0</v>
      </c>
      <c r="H175" s="137">
        <v>0</v>
      </c>
      <c r="I175" s="137">
        <v>0</v>
      </c>
      <c r="J175" s="137">
        <v>0</v>
      </c>
      <c r="K175" s="137">
        <v>0</v>
      </c>
      <c r="L175" s="137">
        <v>0</v>
      </c>
      <c r="M175" s="137">
        <v>0</v>
      </c>
      <c r="N175" s="137">
        <v>0</v>
      </c>
      <c r="O175" s="137">
        <v>0</v>
      </c>
      <c r="P175" s="137">
        <v>0</v>
      </c>
      <c r="Q175" s="137">
        <v>0</v>
      </c>
      <c r="R175" s="137">
        <v>0</v>
      </c>
      <c r="S175" s="137">
        <v>0</v>
      </c>
      <c r="T175" s="137">
        <v>0</v>
      </c>
      <c r="U175" s="137">
        <v>0</v>
      </c>
      <c r="V175" s="137">
        <v>0</v>
      </c>
      <c r="W175" s="140" t="s">
        <v>1609</v>
      </c>
      <c r="X175" s="56">
        <f t="shared" si="4"/>
        <v>7</v>
      </c>
      <c r="Y175" s="56" t="str">
        <f t="shared" si="5"/>
        <v>NO LOGUEO</v>
      </c>
    </row>
    <row r="176" spans="1:25" ht="15" x14ac:dyDescent="0.25">
      <c r="A176" s="136" t="s">
        <v>961</v>
      </c>
      <c r="B176" s="137">
        <v>7.68</v>
      </c>
      <c r="C176" s="137">
        <v>0</v>
      </c>
      <c r="D176" s="137">
        <v>14.67</v>
      </c>
      <c r="E176" s="137">
        <v>13.18</v>
      </c>
      <c r="F176" s="137">
        <v>5.07</v>
      </c>
      <c r="G176" s="137">
        <v>12.799899999999999</v>
      </c>
      <c r="H176" s="137">
        <v>10.87</v>
      </c>
      <c r="I176" s="137">
        <v>4.2798999999999996</v>
      </c>
      <c r="J176" s="137">
        <v>0</v>
      </c>
      <c r="K176" s="137">
        <v>12.66</v>
      </c>
      <c r="L176" s="137">
        <v>10.9099</v>
      </c>
      <c r="M176" s="137">
        <v>11.33</v>
      </c>
      <c r="N176" s="137">
        <v>12.57</v>
      </c>
      <c r="O176" s="137">
        <v>12.66</v>
      </c>
      <c r="P176" s="137">
        <v>5.3998999999999997</v>
      </c>
      <c r="Q176" s="137">
        <v>3.8</v>
      </c>
      <c r="R176" s="137">
        <v>12.07</v>
      </c>
      <c r="S176" s="137">
        <v>10.52</v>
      </c>
      <c r="T176" s="137">
        <v>0.38</v>
      </c>
      <c r="U176" s="137">
        <v>2.4</v>
      </c>
      <c r="V176" s="137">
        <v>6.07</v>
      </c>
      <c r="W176" s="140" t="s">
        <v>1609</v>
      </c>
      <c r="X176" s="56">
        <f t="shared" si="4"/>
        <v>0</v>
      </c>
      <c r="Y176" s="56" t="str">
        <f t="shared" si="5"/>
        <v>LOGUEO</v>
      </c>
    </row>
    <row r="177" spans="1:25" ht="15" x14ac:dyDescent="0.25">
      <c r="A177" s="136" t="s">
        <v>3711</v>
      </c>
      <c r="B177" s="137">
        <v>0</v>
      </c>
      <c r="C177" s="137">
        <v>9.42</v>
      </c>
      <c r="D177" s="137">
        <v>11.16</v>
      </c>
      <c r="E177" s="137">
        <v>9.19</v>
      </c>
      <c r="F177" s="137">
        <v>7.7499000000000002</v>
      </c>
      <c r="G177" s="137">
        <v>9.94</v>
      </c>
      <c r="H177" s="137">
        <v>9.5998999999999999</v>
      </c>
      <c r="I177" s="137">
        <v>0</v>
      </c>
      <c r="J177" s="137">
        <v>8.36</v>
      </c>
      <c r="K177" s="137">
        <v>0</v>
      </c>
      <c r="L177" s="137">
        <v>0</v>
      </c>
      <c r="M177" s="137">
        <v>1.22</v>
      </c>
      <c r="N177" s="137">
        <v>0</v>
      </c>
      <c r="O177" s="137">
        <v>1.68</v>
      </c>
      <c r="P177" s="137">
        <v>0</v>
      </c>
      <c r="Q177" s="137">
        <v>2.72</v>
      </c>
      <c r="R177" s="137">
        <v>0</v>
      </c>
      <c r="S177" s="137">
        <v>0</v>
      </c>
      <c r="T177" s="137">
        <v>0</v>
      </c>
      <c r="U177" s="137">
        <v>0</v>
      </c>
      <c r="V177" s="137">
        <v>0</v>
      </c>
      <c r="W177" s="140" t="s">
        <v>1609</v>
      </c>
      <c r="X177" s="56">
        <f t="shared" si="4"/>
        <v>6</v>
      </c>
      <c r="Y177" s="56" t="str">
        <f t="shared" si="5"/>
        <v>NO LOGUEO</v>
      </c>
    </row>
    <row r="178" spans="1:25" ht="15" x14ac:dyDescent="0.25">
      <c r="A178" s="136" t="s">
        <v>2523</v>
      </c>
      <c r="B178" s="137">
        <v>0</v>
      </c>
      <c r="C178" s="137">
        <v>0</v>
      </c>
      <c r="D178" s="137">
        <v>0</v>
      </c>
      <c r="E178" s="137">
        <v>0</v>
      </c>
      <c r="F178" s="137">
        <v>0</v>
      </c>
      <c r="G178" s="137">
        <v>0</v>
      </c>
      <c r="H178" s="137">
        <v>0</v>
      </c>
      <c r="I178" s="137">
        <v>0</v>
      </c>
      <c r="J178" s="137">
        <v>0</v>
      </c>
      <c r="K178" s="137">
        <v>0</v>
      </c>
      <c r="L178" s="137">
        <v>0</v>
      </c>
      <c r="M178" s="137">
        <v>0</v>
      </c>
      <c r="N178" s="137">
        <v>0</v>
      </c>
      <c r="O178" s="137">
        <v>0</v>
      </c>
      <c r="P178" s="137">
        <v>0</v>
      </c>
      <c r="Q178" s="137">
        <v>0</v>
      </c>
      <c r="R178" s="137">
        <v>0.68</v>
      </c>
      <c r="S178" s="137">
        <v>0</v>
      </c>
      <c r="T178" s="137">
        <v>2.37</v>
      </c>
      <c r="U178" s="137">
        <v>2.25</v>
      </c>
      <c r="V178" s="137">
        <v>0</v>
      </c>
      <c r="W178" s="140" t="s">
        <v>1609</v>
      </c>
      <c r="X178" s="56">
        <f t="shared" si="4"/>
        <v>4</v>
      </c>
      <c r="Y178" s="56" t="str">
        <f t="shared" si="5"/>
        <v>NO LOGUEO</v>
      </c>
    </row>
    <row r="179" spans="1:25" ht="15" x14ac:dyDescent="0.25">
      <c r="A179" s="136" t="s">
        <v>1951</v>
      </c>
      <c r="B179" s="137">
        <v>0</v>
      </c>
      <c r="C179" s="137">
        <v>0</v>
      </c>
      <c r="D179" s="137">
        <v>0</v>
      </c>
      <c r="E179" s="137">
        <v>0</v>
      </c>
      <c r="F179" s="137">
        <v>0</v>
      </c>
      <c r="G179" s="137">
        <v>0</v>
      </c>
      <c r="H179" s="137">
        <v>0</v>
      </c>
      <c r="I179" s="137">
        <v>0</v>
      </c>
      <c r="J179" s="137">
        <v>0</v>
      </c>
      <c r="K179" s="137">
        <v>0</v>
      </c>
      <c r="L179" s="137">
        <v>0</v>
      </c>
      <c r="M179" s="137">
        <v>0</v>
      </c>
      <c r="N179" s="137">
        <v>0</v>
      </c>
      <c r="O179" s="137">
        <v>0</v>
      </c>
      <c r="P179" s="137">
        <v>0</v>
      </c>
      <c r="Q179" s="137">
        <v>0</v>
      </c>
      <c r="R179" s="137">
        <v>0</v>
      </c>
      <c r="S179" s="137">
        <v>0</v>
      </c>
      <c r="T179" s="137">
        <v>0</v>
      </c>
      <c r="U179" s="137">
        <v>0</v>
      </c>
      <c r="V179" s="137">
        <v>0</v>
      </c>
      <c r="W179" s="140" t="s">
        <v>1609</v>
      </c>
      <c r="X179" s="56">
        <f t="shared" si="4"/>
        <v>7</v>
      </c>
      <c r="Y179" s="56" t="str">
        <f t="shared" si="5"/>
        <v>NO LOGUEO</v>
      </c>
    </row>
    <row r="180" spans="1:25" ht="15" x14ac:dyDescent="0.25">
      <c r="A180" s="136" t="s">
        <v>1803</v>
      </c>
      <c r="B180" s="137">
        <v>2.4700000000000002</v>
      </c>
      <c r="C180" s="137">
        <v>3.52</v>
      </c>
      <c r="D180" s="137">
        <v>6.8898999999999999</v>
      </c>
      <c r="E180" s="137">
        <v>7.7</v>
      </c>
      <c r="F180" s="137">
        <v>2.7799</v>
      </c>
      <c r="G180" s="137">
        <v>8.2799999999999994</v>
      </c>
      <c r="H180" s="137">
        <v>6.43</v>
      </c>
      <c r="I180" s="137">
        <v>1.1399999999999999</v>
      </c>
      <c r="J180" s="137">
        <v>4.84</v>
      </c>
      <c r="K180" s="137">
        <v>5.83</v>
      </c>
      <c r="L180" s="137">
        <v>5.58</v>
      </c>
      <c r="M180" s="137">
        <v>7.79</v>
      </c>
      <c r="N180" s="137">
        <v>6.05</v>
      </c>
      <c r="O180" s="137">
        <v>7.31</v>
      </c>
      <c r="P180" s="137">
        <v>1.8</v>
      </c>
      <c r="Q180" s="137">
        <v>4.75</v>
      </c>
      <c r="R180" s="137">
        <v>0.85</v>
      </c>
      <c r="S180" s="137">
        <v>3.5198999999999998</v>
      </c>
      <c r="T180" s="137">
        <v>5.77</v>
      </c>
      <c r="U180" s="137">
        <v>7.61</v>
      </c>
      <c r="V180" s="137">
        <v>5.47</v>
      </c>
      <c r="W180" s="140" t="s">
        <v>1609</v>
      </c>
      <c r="X180" s="56">
        <f t="shared" si="4"/>
        <v>0</v>
      </c>
      <c r="Y180" s="56" t="str">
        <f t="shared" si="5"/>
        <v>LOGUEO</v>
      </c>
    </row>
    <row r="181" spans="1:25" ht="15" x14ac:dyDescent="0.25">
      <c r="A181" s="136" t="s">
        <v>407</v>
      </c>
      <c r="B181" s="137">
        <v>8.08</v>
      </c>
      <c r="C181" s="137">
        <v>0.18</v>
      </c>
      <c r="D181" s="137">
        <v>8.27</v>
      </c>
      <c r="E181" s="137">
        <v>11.19</v>
      </c>
      <c r="F181" s="137">
        <v>8.3800000000000008</v>
      </c>
      <c r="G181" s="137">
        <v>12.06</v>
      </c>
      <c r="H181" s="137">
        <v>8.14</v>
      </c>
      <c r="I181" s="137">
        <v>8.1298999999999992</v>
      </c>
      <c r="J181" s="137">
        <v>0.27</v>
      </c>
      <c r="K181" s="137">
        <v>9.49</v>
      </c>
      <c r="L181" s="137">
        <v>7.44</v>
      </c>
      <c r="M181" s="137">
        <v>11.07</v>
      </c>
      <c r="N181" s="137">
        <v>7.59</v>
      </c>
      <c r="O181" s="137">
        <v>6.59</v>
      </c>
      <c r="P181" s="137">
        <v>9.1999999999999993</v>
      </c>
      <c r="Q181" s="137">
        <v>9.42</v>
      </c>
      <c r="R181" s="137">
        <v>9.34</v>
      </c>
      <c r="S181" s="137">
        <v>9.77</v>
      </c>
      <c r="T181" s="137">
        <v>8.1199999999999992</v>
      </c>
      <c r="U181" s="137">
        <v>8.6</v>
      </c>
      <c r="V181" s="137">
        <v>0.17</v>
      </c>
      <c r="W181" s="140">
        <v>14122263</v>
      </c>
      <c r="X181" s="56">
        <f t="shared" si="4"/>
        <v>0</v>
      </c>
      <c r="Y181" s="56" t="str">
        <f t="shared" si="5"/>
        <v>LOGUEO</v>
      </c>
    </row>
    <row r="182" spans="1:25" ht="15" x14ac:dyDescent="0.25">
      <c r="A182" s="136" t="s">
        <v>187</v>
      </c>
      <c r="B182" s="137">
        <v>5.59</v>
      </c>
      <c r="C182" s="137">
        <v>8.4499999999999993</v>
      </c>
      <c r="D182" s="137">
        <v>6.14</v>
      </c>
      <c r="E182" s="137">
        <v>7.67</v>
      </c>
      <c r="F182" s="137">
        <v>5.2698999999999998</v>
      </c>
      <c r="G182" s="137">
        <v>6.91</v>
      </c>
      <c r="H182" s="137">
        <v>6.62</v>
      </c>
      <c r="I182" s="137">
        <v>4.34</v>
      </c>
      <c r="J182" s="137">
        <v>0</v>
      </c>
      <c r="K182" s="137">
        <v>3.2</v>
      </c>
      <c r="L182" s="137">
        <v>5.85</v>
      </c>
      <c r="M182" s="137">
        <v>7.6</v>
      </c>
      <c r="N182" s="137">
        <v>5.4</v>
      </c>
      <c r="O182" s="137">
        <v>5.07</v>
      </c>
      <c r="P182" s="137">
        <v>7.2</v>
      </c>
      <c r="Q182" s="137">
        <v>6.54</v>
      </c>
      <c r="R182" s="137">
        <v>5.83</v>
      </c>
      <c r="S182" s="137">
        <v>6.84</v>
      </c>
      <c r="T182" s="137">
        <v>0</v>
      </c>
      <c r="U182" s="137">
        <v>5.9898999999999996</v>
      </c>
      <c r="V182" s="137">
        <v>4.74</v>
      </c>
      <c r="W182" s="140">
        <v>14110512</v>
      </c>
      <c r="X182" s="56">
        <f t="shared" si="4"/>
        <v>1</v>
      </c>
      <c r="Y182" s="56" t="str">
        <f t="shared" si="5"/>
        <v>LOGUEO</v>
      </c>
    </row>
    <row r="183" spans="1:25" ht="15" x14ac:dyDescent="0.25">
      <c r="A183" s="136" t="s">
        <v>1952</v>
      </c>
      <c r="B183" s="137">
        <v>0</v>
      </c>
      <c r="C183" s="137">
        <v>0</v>
      </c>
      <c r="D183" s="137">
        <v>0</v>
      </c>
      <c r="E183" s="137">
        <v>0</v>
      </c>
      <c r="F183" s="137">
        <v>0</v>
      </c>
      <c r="G183" s="137">
        <v>0</v>
      </c>
      <c r="H183" s="137">
        <v>0</v>
      </c>
      <c r="I183" s="137">
        <v>0</v>
      </c>
      <c r="J183" s="137">
        <v>0</v>
      </c>
      <c r="K183" s="137">
        <v>0</v>
      </c>
      <c r="L183" s="137">
        <v>0</v>
      </c>
      <c r="M183" s="137">
        <v>0</v>
      </c>
      <c r="N183" s="137">
        <v>0</v>
      </c>
      <c r="O183" s="137">
        <v>0</v>
      </c>
      <c r="P183" s="137">
        <v>0</v>
      </c>
      <c r="Q183" s="137">
        <v>0</v>
      </c>
      <c r="R183" s="137">
        <v>0</v>
      </c>
      <c r="S183" s="137">
        <v>0</v>
      </c>
      <c r="T183" s="137">
        <v>0</v>
      </c>
      <c r="U183" s="137">
        <v>0</v>
      </c>
      <c r="V183" s="137">
        <v>0</v>
      </c>
      <c r="W183" s="140" t="s">
        <v>1609</v>
      </c>
      <c r="X183" s="56">
        <f t="shared" si="4"/>
        <v>7</v>
      </c>
      <c r="Y183" s="56" t="str">
        <f t="shared" si="5"/>
        <v>NO LOGUEO</v>
      </c>
    </row>
    <row r="184" spans="1:25" ht="15" x14ac:dyDescent="0.25">
      <c r="A184" s="136" t="s">
        <v>2524</v>
      </c>
      <c r="B184" s="137">
        <v>0</v>
      </c>
      <c r="C184" s="137">
        <v>0</v>
      </c>
      <c r="D184" s="137">
        <v>0</v>
      </c>
      <c r="E184" s="137">
        <v>0</v>
      </c>
      <c r="F184" s="137">
        <v>0</v>
      </c>
      <c r="G184" s="137">
        <v>0</v>
      </c>
      <c r="H184" s="137">
        <v>0</v>
      </c>
      <c r="I184" s="137">
        <v>0</v>
      </c>
      <c r="J184" s="137">
        <v>0</v>
      </c>
      <c r="K184" s="137">
        <v>0</v>
      </c>
      <c r="L184" s="137">
        <v>0</v>
      </c>
      <c r="M184" s="137">
        <v>0</v>
      </c>
      <c r="N184" s="137">
        <v>0</v>
      </c>
      <c r="O184" s="137">
        <v>0</v>
      </c>
      <c r="P184" s="137">
        <v>0</v>
      </c>
      <c r="Q184" s="137">
        <v>0</v>
      </c>
      <c r="R184" s="137">
        <v>3.97</v>
      </c>
      <c r="S184" s="137">
        <v>4.83</v>
      </c>
      <c r="T184" s="137">
        <v>0</v>
      </c>
      <c r="U184" s="137">
        <v>1.95</v>
      </c>
      <c r="V184" s="137">
        <v>0</v>
      </c>
      <c r="W184" s="140" t="s">
        <v>1609</v>
      </c>
      <c r="X184" s="56">
        <f t="shared" si="4"/>
        <v>4</v>
      </c>
      <c r="Y184" s="56" t="str">
        <f t="shared" si="5"/>
        <v>NO LOGUEO</v>
      </c>
    </row>
    <row r="185" spans="1:25" ht="15" x14ac:dyDescent="0.25">
      <c r="A185" s="136" t="s">
        <v>2552</v>
      </c>
      <c r="B185" s="137">
        <v>2.2999999999999998</v>
      </c>
      <c r="C185" s="137">
        <v>7.99</v>
      </c>
      <c r="D185" s="137">
        <v>4.21</v>
      </c>
      <c r="E185" s="137">
        <v>2.38</v>
      </c>
      <c r="F185" s="137">
        <v>1.87</v>
      </c>
      <c r="G185" s="137">
        <v>6.35</v>
      </c>
      <c r="H185" s="137">
        <v>1.97</v>
      </c>
      <c r="I185" s="137">
        <v>2.9</v>
      </c>
      <c r="J185" s="137">
        <v>3.96</v>
      </c>
      <c r="K185" s="137">
        <v>9.4</v>
      </c>
      <c r="L185" s="137">
        <v>6.39</v>
      </c>
      <c r="M185" s="137">
        <v>7.67</v>
      </c>
      <c r="N185" s="137">
        <v>7.12</v>
      </c>
      <c r="O185" s="137">
        <v>2.4500000000000002</v>
      </c>
      <c r="P185" s="137">
        <v>2.19</v>
      </c>
      <c r="Q185" s="137">
        <v>3.08</v>
      </c>
      <c r="R185" s="137">
        <v>0</v>
      </c>
      <c r="S185" s="137">
        <v>0</v>
      </c>
      <c r="T185" s="137">
        <v>0</v>
      </c>
      <c r="U185" s="137">
        <v>0</v>
      </c>
      <c r="V185" s="137">
        <v>0</v>
      </c>
      <c r="W185" s="140" t="s">
        <v>1609</v>
      </c>
      <c r="X185" s="56">
        <f t="shared" si="4"/>
        <v>5</v>
      </c>
      <c r="Y185" s="56" t="str">
        <f t="shared" si="5"/>
        <v>NO LOGUEO</v>
      </c>
    </row>
    <row r="186" spans="1:25" ht="15" x14ac:dyDescent="0.25">
      <c r="A186" s="136" t="s">
        <v>265</v>
      </c>
      <c r="B186" s="137">
        <v>0</v>
      </c>
      <c r="C186" s="137">
        <v>2.4</v>
      </c>
      <c r="D186" s="137">
        <v>3.47</v>
      </c>
      <c r="E186" s="137">
        <v>6.4398999999999997</v>
      </c>
      <c r="F186" s="137">
        <v>3.37</v>
      </c>
      <c r="G186" s="137">
        <v>2.91</v>
      </c>
      <c r="H186" s="137">
        <v>3.66</v>
      </c>
      <c r="I186" s="137">
        <v>3.05</v>
      </c>
      <c r="J186" s="137">
        <v>3.13</v>
      </c>
      <c r="K186" s="137">
        <v>0</v>
      </c>
      <c r="L186" s="137">
        <v>8.73</v>
      </c>
      <c r="M186" s="137">
        <v>8.02</v>
      </c>
      <c r="N186" s="137">
        <v>5.23</v>
      </c>
      <c r="O186" s="137">
        <v>5.42</v>
      </c>
      <c r="P186" s="137">
        <v>6.34</v>
      </c>
      <c r="Q186" s="137">
        <v>0</v>
      </c>
      <c r="R186" s="137">
        <v>6.42</v>
      </c>
      <c r="S186" s="137">
        <v>12.59</v>
      </c>
      <c r="T186" s="137">
        <v>11.96</v>
      </c>
      <c r="U186" s="137">
        <v>8.1199999999999992</v>
      </c>
      <c r="V186" s="137">
        <v>11.639900000000001</v>
      </c>
      <c r="W186" s="140">
        <v>14119837</v>
      </c>
      <c r="X186" s="56">
        <f t="shared" si="4"/>
        <v>1</v>
      </c>
      <c r="Y186" s="56" t="str">
        <f t="shared" si="5"/>
        <v>LOGUEO</v>
      </c>
    </row>
    <row r="187" spans="1:25" ht="15" x14ac:dyDescent="0.25">
      <c r="A187" s="136" t="s">
        <v>2596</v>
      </c>
      <c r="B187" s="137">
        <v>0</v>
      </c>
      <c r="C187" s="137">
        <v>4.6399999999999997</v>
      </c>
      <c r="D187" s="137">
        <v>5.51</v>
      </c>
      <c r="E187" s="137">
        <v>6.1</v>
      </c>
      <c r="F187" s="137">
        <v>0</v>
      </c>
      <c r="G187" s="137">
        <v>6.1999000000000004</v>
      </c>
      <c r="H187" s="137">
        <v>5</v>
      </c>
      <c r="I187" s="137">
        <v>2.85</v>
      </c>
      <c r="J187" s="137">
        <v>1.24</v>
      </c>
      <c r="K187" s="137">
        <v>0</v>
      </c>
      <c r="L187" s="137">
        <v>0</v>
      </c>
      <c r="M187" s="137">
        <v>2.93</v>
      </c>
      <c r="N187" s="137">
        <v>0</v>
      </c>
      <c r="O187" s="137">
        <v>1.48</v>
      </c>
      <c r="P187" s="137">
        <v>0</v>
      </c>
      <c r="Q187" s="137">
        <v>2.08</v>
      </c>
      <c r="R187" s="137">
        <v>0</v>
      </c>
      <c r="S187" s="137">
        <v>0</v>
      </c>
      <c r="T187" s="137">
        <v>0</v>
      </c>
      <c r="U187" s="137">
        <v>0</v>
      </c>
      <c r="V187" s="137">
        <v>0</v>
      </c>
      <c r="W187" s="140" t="s">
        <v>1609</v>
      </c>
      <c r="X187" s="56">
        <f t="shared" si="4"/>
        <v>6</v>
      </c>
      <c r="Y187" s="56" t="str">
        <f t="shared" si="5"/>
        <v>NO LOGUEO</v>
      </c>
    </row>
    <row r="188" spans="1:25" ht="15" x14ac:dyDescent="0.25">
      <c r="A188" s="136" t="s">
        <v>2541</v>
      </c>
      <c r="B188" s="137">
        <v>0</v>
      </c>
      <c r="C188" s="137">
        <v>0</v>
      </c>
      <c r="D188" s="137">
        <v>0</v>
      </c>
      <c r="E188" s="137">
        <v>0</v>
      </c>
      <c r="F188" s="137">
        <v>0</v>
      </c>
      <c r="G188" s="137">
        <v>0</v>
      </c>
      <c r="H188" s="137">
        <v>0</v>
      </c>
      <c r="I188" s="137">
        <v>0</v>
      </c>
      <c r="J188" s="137">
        <v>0</v>
      </c>
      <c r="K188" s="137">
        <v>0</v>
      </c>
      <c r="L188" s="137">
        <v>0</v>
      </c>
      <c r="M188" s="137">
        <v>0</v>
      </c>
      <c r="N188" s="137">
        <v>0</v>
      </c>
      <c r="O188" s="137">
        <v>0</v>
      </c>
      <c r="P188" s="137">
        <v>0</v>
      </c>
      <c r="Q188" s="137">
        <v>0</v>
      </c>
      <c r="R188" s="137">
        <v>1.6</v>
      </c>
      <c r="S188" s="137">
        <v>0</v>
      </c>
      <c r="T188" s="137">
        <v>0</v>
      </c>
      <c r="U188" s="137">
        <v>0</v>
      </c>
      <c r="V188" s="137">
        <v>0</v>
      </c>
      <c r="W188" s="140" t="s">
        <v>1609</v>
      </c>
      <c r="X188" s="56">
        <f t="shared" si="4"/>
        <v>6</v>
      </c>
      <c r="Y188" s="56" t="str">
        <f t="shared" si="5"/>
        <v>NO LOGUEO</v>
      </c>
    </row>
    <row r="189" spans="1:25" ht="15" x14ac:dyDescent="0.25">
      <c r="A189" s="136" t="s">
        <v>2599</v>
      </c>
      <c r="B189" s="137">
        <v>1.93</v>
      </c>
      <c r="C189" s="137">
        <v>10.51</v>
      </c>
      <c r="D189" s="137">
        <v>12.3399</v>
      </c>
      <c r="E189" s="137">
        <v>4.17</v>
      </c>
      <c r="F189" s="137">
        <v>3.79</v>
      </c>
      <c r="G189" s="137">
        <v>0</v>
      </c>
      <c r="H189" s="137">
        <v>6.25</v>
      </c>
      <c r="I189" s="137">
        <v>0</v>
      </c>
      <c r="J189" s="137">
        <v>0</v>
      </c>
      <c r="K189" s="137">
        <v>0</v>
      </c>
      <c r="L189" s="137">
        <v>0</v>
      </c>
      <c r="M189" s="137">
        <v>1.1499999999999999</v>
      </c>
      <c r="N189" s="137">
        <v>0</v>
      </c>
      <c r="O189" s="137">
        <v>0.52</v>
      </c>
      <c r="P189" s="137">
        <v>0</v>
      </c>
      <c r="Q189" s="137">
        <v>1.3</v>
      </c>
      <c r="R189" s="137">
        <v>0</v>
      </c>
      <c r="S189" s="137">
        <v>0</v>
      </c>
      <c r="T189" s="137">
        <v>0</v>
      </c>
      <c r="U189" s="137">
        <v>0</v>
      </c>
      <c r="V189" s="137">
        <v>0</v>
      </c>
      <c r="W189" s="140" t="s">
        <v>1609</v>
      </c>
      <c r="X189" s="56">
        <f t="shared" si="4"/>
        <v>6</v>
      </c>
      <c r="Y189" s="56" t="str">
        <f t="shared" si="5"/>
        <v>NO LOGUEO</v>
      </c>
    </row>
    <row r="190" spans="1:25" ht="15" x14ac:dyDescent="0.25">
      <c r="A190" s="136" t="s">
        <v>2525</v>
      </c>
      <c r="B190" s="137">
        <v>0</v>
      </c>
      <c r="C190" s="137">
        <v>0</v>
      </c>
      <c r="D190" s="137">
        <v>0</v>
      </c>
      <c r="E190" s="137">
        <v>0</v>
      </c>
      <c r="F190" s="137">
        <v>0</v>
      </c>
      <c r="G190" s="137">
        <v>0</v>
      </c>
      <c r="H190" s="137">
        <v>0</v>
      </c>
      <c r="I190" s="137">
        <v>0</v>
      </c>
      <c r="J190" s="137">
        <v>0</v>
      </c>
      <c r="K190" s="137">
        <v>0</v>
      </c>
      <c r="L190" s="137">
        <v>0</v>
      </c>
      <c r="M190" s="137">
        <v>0</v>
      </c>
      <c r="N190" s="137">
        <v>0</v>
      </c>
      <c r="O190" s="137">
        <v>0</v>
      </c>
      <c r="P190" s="137">
        <v>0</v>
      </c>
      <c r="Q190" s="137">
        <v>0</v>
      </c>
      <c r="R190" s="137">
        <v>1.5</v>
      </c>
      <c r="S190" s="137">
        <v>0</v>
      </c>
      <c r="T190" s="137">
        <v>1.67</v>
      </c>
      <c r="U190" s="137">
        <v>0</v>
      </c>
      <c r="V190" s="137">
        <v>0</v>
      </c>
      <c r="W190" s="140" t="s">
        <v>1609</v>
      </c>
      <c r="X190" s="56">
        <f t="shared" si="4"/>
        <v>5</v>
      </c>
      <c r="Y190" s="56" t="str">
        <f t="shared" si="5"/>
        <v>NO LOGUEO</v>
      </c>
    </row>
    <row r="191" spans="1:25" ht="15" x14ac:dyDescent="0.25">
      <c r="A191" s="136" t="s">
        <v>272</v>
      </c>
      <c r="B191" s="137">
        <v>2.62</v>
      </c>
      <c r="C191" s="137">
        <v>3.5</v>
      </c>
      <c r="D191" s="137">
        <v>2.8</v>
      </c>
      <c r="E191" s="137">
        <v>2.85</v>
      </c>
      <c r="F191" s="137">
        <v>2.4499</v>
      </c>
      <c r="G191" s="137">
        <v>2.9699</v>
      </c>
      <c r="H191" s="137">
        <v>2.94</v>
      </c>
      <c r="I191" s="137">
        <v>3.81</v>
      </c>
      <c r="J191" s="137">
        <v>3.48</v>
      </c>
      <c r="K191" s="137">
        <v>2.9899</v>
      </c>
      <c r="L191" s="137">
        <v>3.23</v>
      </c>
      <c r="M191" s="137">
        <v>2.7</v>
      </c>
      <c r="N191" s="137">
        <v>3.17</v>
      </c>
      <c r="O191" s="137">
        <v>3.0099</v>
      </c>
      <c r="P191" s="137">
        <v>2.73</v>
      </c>
      <c r="Q191" s="137">
        <v>3.03</v>
      </c>
      <c r="R191" s="137">
        <v>3.28</v>
      </c>
      <c r="S191" s="137">
        <v>3.24</v>
      </c>
      <c r="T191" s="137">
        <v>2.89</v>
      </c>
      <c r="U191" s="137">
        <v>2.93</v>
      </c>
      <c r="V191" s="137">
        <v>2.58</v>
      </c>
      <c r="W191" s="140">
        <v>14118225</v>
      </c>
      <c r="X191" s="56">
        <f t="shared" si="4"/>
        <v>0</v>
      </c>
      <c r="Y191" s="56" t="str">
        <f t="shared" si="5"/>
        <v>LOGUEO</v>
      </c>
    </row>
    <row r="192" spans="1:25" ht="15" x14ac:dyDescent="0.25">
      <c r="A192" s="136" t="s">
        <v>2553</v>
      </c>
      <c r="B192" s="137">
        <v>3.19</v>
      </c>
      <c r="C192" s="137">
        <v>5.31</v>
      </c>
      <c r="D192" s="137">
        <v>3.13</v>
      </c>
      <c r="E192" s="137">
        <v>7.34</v>
      </c>
      <c r="F192" s="137">
        <v>6.1898999999999997</v>
      </c>
      <c r="G192" s="137">
        <v>6.51</v>
      </c>
      <c r="H192" s="137">
        <v>1.32</v>
      </c>
      <c r="I192" s="137">
        <v>0</v>
      </c>
      <c r="J192" s="137">
        <v>6.15</v>
      </c>
      <c r="K192" s="137">
        <v>8.68</v>
      </c>
      <c r="L192" s="137">
        <v>3.86</v>
      </c>
      <c r="M192" s="137">
        <v>4.82</v>
      </c>
      <c r="N192" s="137">
        <v>11.049899999999999</v>
      </c>
      <c r="O192" s="137">
        <v>0.88</v>
      </c>
      <c r="P192" s="137">
        <v>0</v>
      </c>
      <c r="Q192" s="137">
        <v>0</v>
      </c>
      <c r="R192" s="137">
        <v>0</v>
      </c>
      <c r="S192" s="137">
        <v>0</v>
      </c>
      <c r="T192" s="137">
        <v>0</v>
      </c>
      <c r="U192" s="137">
        <v>0</v>
      </c>
      <c r="V192" s="137">
        <v>0</v>
      </c>
      <c r="W192" s="140" t="s">
        <v>1609</v>
      </c>
      <c r="X192" s="56">
        <f t="shared" si="4"/>
        <v>7</v>
      </c>
      <c r="Y192" s="56" t="str">
        <f t="shared" si="5"/>
        <v>NO LOGUEO</v>
      </c>
    </row>
    <row r="193" spans="1:25" ht="15" x14ac:dyDescent="0.25">
      <c r="A193" s="136" t="s">
        <v>1933</v>
      </c>
      <c r="B193" s="137">
        <v>0</v>
      </c>
      <c r="C193" s="137">
        <v>0</v>
      </c>
      <c r="D193" s="137">
        <v>0</v>
      </c>
      <c r="E193" s="137">
        <v>0</v>
      </c>
      <c r="F193" s="137">
        <v>0</v>
      </c>
      <c r="G193" s="137">
        <v>0</v>
      </c>
      <c r="H193" s="137">
        <v>0</v>
      </c>
      <c r="I193" s="137">
        <v>0</v>
      </c>
      <c r="J193" s="137">
        <v>0</v>
      </c>
      <c r="K193" s="137">
        <v>0</v>
      </c>
      <c r="L193" s="137">
        <v>0</v>
      </c>
      <c r="M193" s="137">
        <v>0</v>
      </c>
      <c r="N193" s="137">
        <v>0</v>
      </c>
      <c r="O193" s="137">
        <v>0</v>
      </c>
      <c r="P193" s="137">
        <v>0</v>
      </c>
      <c r="Q193" s="137">
        <v>0</v>
      </c>
      <c r="R193" s="137">
        <v>0.13</v>
      </c>
      <c r="S193" s="137">
        <v>3.71</v>
      </c>
      <c r="T193" s="137">
        <v>0</v>
      </c>
      <c r="U193" s="137">
        <v>0.7</v>
      </c>
      <c r="V193" s="137">
        <v>0</v>
      </c>
      <c r="W193" s="140" t="s">
        <v>1609</v>
      </c>
      <c r="X193" s="56">
        <f t="shared" si="4"/>
        <v>4</v>
      </c>
      <c r="Y193" s="56" t="str">
        <f t="shared" si="5"/>
        <v>NO LOGUEO</v>
      </c>
    </row>
    <row r="194" spans="1:25" ht="15" x14ac:dyDescent="0.25">
      <c r="A194" s="136" t="s">
        <v>212</v>
      </c>
      <c r="B194" s="137">
        <v>4.3499999999999996</v>
      </c>
      <c r="C194" s="137">
        <v>1.75</v>
      </c>
      <c r="D194" s="137">
        <v>7.01</v>
      </c>
      <c r="E194" s="137">
        <v>5.93</v>
      </c>
      <c r="F194" s="137">
        <v>1.22</v>
      </c>
      <c r="G194" s="137">
        <v>7.16</v>
      </c>
      <c r="H194" s="137">
        <v>6.95</v>
      </c>
      <c r="I194" s="137">
        <v>4.0698999999999996</v>
      </c>
      <c r="J194" s="137">
        <v>5.6898999999999997</v>
      </c>
      <c r="K194" s="137">
        <v>6.85</v>
      </c>
      <c r="L194" s="137">
        <v>6.8699000000000003</v>
      </c>
      <c r="M194" s="137">
        <v>5.84</v>
      </c>
      <c r="N194" s="137">
        <v>5.76</v>
      </c>
      <c r="O194" s="137">
        <v>6.13</v>
      </c>
      <c r="P194" s="137">
        <v>0</v>
      </c>
      <c r="Q194" s="137">
        <v>5.45</v>
      </c>
      <c r="R194" s="137">
        <v>6.4</v>
      </c>
      <c r="S194" s="137">
        <v>5.83</v>
      </c>
      <c r="T194" s="137">
        <v>6.08</v>
      </c>
      <c r="U194" s="137">
        <v>6.78</v>
      </c>
      <c r="V194" s="137">
        <v>6.21</v>
      </c>
      <c r="W194" s="140">
        <v>14118745</v>
      </c>
      <c r="X194" s="56">
        <f t="shared" si="4"/>
        <v>1</v>
      </c>
      <c r="Y194" s="56" t="str">
        <f t="shared" si="5"/>
        <v>LOGUEO</v>
      </c>
    </row>
    <row r="195" spans="1:25" ht="15" x14ac:dyDescent="0.25">
      <c r="A195" s="136" t="s">
        <v>387</v>
      </c>
      <c r="B195" s="137">
        <v>5.0598999999999998</v>
      </c>
      <c r="C195" s="137">
        <v>3.28</v>
      </c>
      <c r="D195" s="137">
        <v>6.54</v>
      </c>
      <c r="E195" s="137">
        <v>5.82</v>
      </c>
      <c r="F195" s="137">
        <v>1.65</v>
      </c>
      <c r="G195" s="137">
        <v>3.66</v>
      </c>
      <c r="H195" s="137">
        <v>4.4800000000000004</v>
      </c>
      <c r="I195" s="137">
        <v>0</v>
      </c>
      <c r="J195" s="137">
        <v>3.75</v>
      </c>
      <c r="K195" s="137">
        <v>5.7298999999999998</v>
      </c>
      <c r="L195" s="137">
        <v>3.83</v>
      </c>
      <c r="M195" s="137">
        <v>3.8</v>
      </c>
      <c r="N195" s="137">
        <v>4.4800000000000004</v>
      </c>
      <c r="O195" s="137">
        <v>3.69</v>
      </c>
      <c r="P195" s="137">
        <v>3.28</v>
      </c>
      <c r="Q195" s="137">
        <v>2.5499999999999998</v>
      </c>
      <c r="R195" s="137">
        <v>3.66</v>
      </c>
      <c r="S195" s="137">
        <v>3.72</v>
      </c>
      <c r="T195" s="137">
        <v>3.54</v>
      </c>
      <c r="U195" s="137">
        <v>2.87</v>
      </c>
      <c r="V195" s="137">
        <v>2.9</v>
      </c>
      <c r="W195" s="140">
        <v>14122095</v>
      </c>
      <c r="X195" s="56">
        <f t="shared" ref="X195:X258" si="6">COUNTIF(P195:V195,0)</f>
        <v>0</v>
      </c>
      <c r="Y195" s="56" t="str">
        <f t="shared" ref="Y195:Y258" si="7">IF(X195&gt;1,"NO LOGUEO","LOGUEO")</f>
        <v>LOGUEO</v>
      </c>
    </row>
    <row r="196" spans="1:25" ht="15" x14ac:dyDescent="0.25">
      <c r="A196" s="136" t="s">
        <v>1618</v>
      </c>
      <c r="B196" s="137">
        <v>5.22</v>
      </c>
      <c r="C196" s="137">
        <v>8.08</v>
      </c>
      <c r="D196" s="137">
        <v>12.26</v>
      </c>
      <c r="E196" s="137">
        <v>8.65</v>
      </c>
      <c r="F196" s="137">
        <v>8.1199999999999992</v>
      </c>
      <c r="G196" s="137">
        <v>3.91</v>
      </c>
      <c r="H196" s="137">
        <v>0</v>
      </c>
      <c r="I196" s="137">
        <v>0</v>
      </c>
      <c r="J196" s="137">
        <v>0</v>
      </c>
      <c r="K196" s="137">
        <v>0</v>
      </c>
      <c r="L196" s="137">
        <v>0</v>
      </c>
      <c r="M196" s="137">
        <v>0</v>
      </c>
      <c r="N196" s="137">
        <v>0</v>
      </c>
      <c r="O196" s="137">
        <v>0</v>
      </c>
      <c r="P196" s="137">
        <v>9.31</v>
      </c>
      <c r="Q196" s="137">
        <v>6.37</v>
      </c>
      <c r="R196" s="137">
        <v>8.74</v>
      </c>
      <c r="S196" s="137">
        <v>9.4700000000000006</v>
      </c>
      <c r="T196" s="137">
        <v>9.3399000000000001</v>
      </c>
      <c r="U196" s="137">
        <v>4.96</v>
      </c>
      <c r="V196" s="137">
        <v>0</v>
      </c>
      <c r="W196" s="140" t="s">
        <v>1609</v>
      </c>
      <c r="X196" s="56">
        <f t="shared" si="6"/>
        <v>1</v>
      </c>
      <c r="Y196" s="56" t="str">
        <f t="shared" si="7"/>
        <v>LOGUEO</v>
      </c>
    </row>
    <row r="197" spans="1:25" ht="15" x14ac:dyDescent="0.25">
      <c r="A197" s="136" t="s">
        <v>1953</v>
      </c>
      <c r="B197" s="137">
        <v>0</v>
      </c>
      <c r="C197" s="137">
        <v>0</v>
      </c>
      <c r="D197" s="137">
        <v>0</v>
      </c>
      <c r="E197" s="137">
        <v>0</v>
      </c>
      <c r="F197" s="137">
        <v>0</v>
      </c>
      <c r="G197" s="137">
        <v>0</v>
      </c>
      <c r="H197" s="137">
        <v>0</v>
      </c>
      <c r="I197" s="137">
        <v>0</v>
      </c>
      <c r="J197" s="137">
        <v>0</v>
      </c>
      <c r="K197" s="137">
        <v>0</v>
      </c>
      <c r="L197" s="137">
        <v>0</v>
      </c>
      <c r="M197" s="137">
        <v>0</v>
      </c>
      <c r="N197" s="137">
        <v>0</v>
      </c>
      <c r="O197" s="137">
        <v>0</v>
      </c>
      <c r="P197" s="137">
        <v>0</v>
      </c>
      <c r="Q197" s="137">
        <v>0</v>
      </c>
      <c r="R197" s="137">
        <v>0</v>
      </c>
      <c r="S197" s="137">
        <v>0</v>
      </c>
      <c r="T197" s="137">
        <v>0</v>
      </c>
      <c r="U197" s="137">
        <v>0</v>
      </c>
      <c r="V197" s="137">
        <v>0</v>
      </c>
      <c r="W197" s="140" t="s">
        <v>1609</v>
      </c>
      <c r="X197" s="56">
        <f t="shared" si="6"/>
        <v>7</v>
      </c>
      <c r="Y197" s="56" t="str">
        <f t="shared" si="7"/>
        <v>NO LOGUEO</v>
      </c>
    </row>
    <row r="198" spans="1:25" ht="15" x14ac:dyDescent="0.25">
      <c r="A198" s="136" t="s">
        <v>194</v>
      </c>
      <c r="B198" s="137">
        <v>4.6098999999999997</v>
      </c>
      <c r="C198" s="137">
        <v>4.2798999999999996</v>
      </c>
      <c r="D198" s="137">
        <v>5.2798999999999996</v>
      </c>
      <c r="E198" s="137">
        <v>5.86</v>
      </c>
      <c r="F198" s="137">
        <v>2.3199999999999998</v>
      </c>
      <c r="G198" s="137">
        <v>5.7999000000000001</v>
      </c>
      <c r="H198" s="137">
        <v>0</v>
      </c>
      <c r="I198" s="137">
        <v>3.6</v>
      </c>
      <c r="J198" s="137">
        <v>5.48</v>
      </c>
      <c r="K198" s="137">
        <v>5.9</v>
      </c>
      <c r="L198" s="137">
        <v>5.0598999999999998</v>
      </c>
      <c r="M198" s="137">
        <v>4.1500000000000004</v>
      </c>
      <c r="N198" s="137">
        <v>2.71</v>
      </c>
      <c r="O198" s="137">
        <v>2.87</v>
      </c>
      <c r="P198" s="137">
        <v>4.08</v>
      </c>
      <c r="Q198" s="137">
        <v>4.01</v>
      </c>
      <c r="R198" s="137">
        <v>4.22</v>
      </c>
      <c r="S198" s="137">
        <v>4.34</v>
      </c>
      <c r="T198" s="137">
        <v>5.59</v>
      </c>
      <c r="U198" s="137">
        <v>3.09</v>
      </c>
      <c r="V198" s="137">
        <v>0</v>
      </c>
      <c r="W198" s="140">
        <v>14118210</v>
      </c>
      <c r="X198" s="56">
        <f t="shared" si="6"/>
        <v>1</v>
      </c>
      <c r="Y198" s="56" t="str">
        <f t="shared" si="7"/>
        <v>LOGUEO</v>
      </c>
    </row>
    <row r="199" spans="1:25" ht="15" x14ac:dyDescent="0.25">
      <c r="A199" s="136" t="s">
        <v>982</v>
      </c>
      <c r="B199" s="137">
        <v>8.5299999999999994</v>
      </c>
      <c r="C199" s="137">
        <v>5.43</v>
      </c>
      <c r="D199" s="137">
        <v>9.5398999999999994</v>
      </c>
      <c r="E199" s="137">
        <v>3</v>
      </c>
      <c r="F199" s="137">
        <v>0</v>
      </c>
      <c r="G199" s="137">
        <v>1.33</v>
      </c>
      <c r="H199" s="137">
        <v>10.92</v>
      </c>
      <c r="I199" s="137">
        <v>8.1198999999999995</v>
      </c>
      <c r="J199" s="137">
        <v>1.55</v>
      </c>
      <c r="K199" s="137">
        <v>3.67</v>
      </c>
      <c r="L199" s="137">
        <v>8.6</v>
      </c>
      <c r="M199" s="137">
        <v>5.49</v>
      </c>
      <c r="N199" s="137">
        <v>12.69</v>
      </c>
      <c r="O199" s="137">
        <v>0</v>
      </c>
      <c r="P199" s="137">
        <v>0</v>
      </c>
      <c r="Q199" s="137">
        <v>0</v>
      </c>
      <c r="R199" s="137">
        <v>3.23</v>
      </c>
      <c r="S199" s="137">
        <v>8.8000000000000007</v>
      </c>
      <c r="T199" s="137">
        <v>4.8</v>
      </c>
      <c r="U199" s="137">
        <v>6.61</v>
      </c>
      <c r="V199" s="137">
        <v>4.51</v>
      </c>
      <c r="W199" s="140" t="s">
        <v>1609</v>
      </c>
      <c r="X199" s="56">
        <f t="shared" si="6"/>
        <v>2</v>
      </c>
      <c r="Y199" s="56" t="str">
        <f t="shared" si="7"/>
        <v>NO LOGUEO</v>
      </c>
    </row>
    <row r="200" spans="1:25" ht="15" x14ac:dyDescent="0.25">
      <c r="A200" s="136" t="s">
        <v>1954</v>
      </c>
      <c r="B200" s="137">
        <v>0</v>
      </c>
      <c r="C200" s="137">
        <v>0</v>
      </c>
      <c r="D200" s="137">
        <v>0</v>
      </c>
      <c r="E200" s="137">
        <v>0</v>
      </c>
      <c r="F200" s="137">
        <v>0</v>
      </c>
      <c r="G200" s="137">
        <v>0</v>
      </c>
      <c r="H200" s="137">
        <v>0</v>
      </c>
      <c r="I200" s="137">
        <v>0</v>
      </c>
      <c r="J200" s="137">
        <v>6.49</v>
      </c>
      <c r="K200" s="137">
        <v>7.55</v>
      </c>
      <c r="L200" s="137">
        <v>8.0498999999999992</v>
      </c>
      <c r="M200" s="137">
        <v>6.32</v>
      </c>
      <c r="N200" s="137">
        <v>8.0299999999999994</v>
      </c>
      <c r="O200" s="137">
        <v>9.35</v>
      </c>
      <c r="P200" s="137">
        <v>0</v>
      </c>
      <c r="Q200" s="137">
        <v>7.75</v>
      </c>
      <c r="R200" s="137">
        <v>8.44</v>
      </c>
      <c r="S200" s="137">
        <v>10.07</v>
      </c>
      <c r="T200" s="137">
        <v>8.94</v>
      </c>
      <c r="U200" s="137">
        <v>7.9</v>
      </c>
      <c r="V200" s="137">
        <v>7.7899000000000003</v>
      </c>
      <c r="W200" s="140" t="s">
        <v>1609</v>
      </c>
      <c r="X200" s="56">
        <f t="shared" si="6"/>
        <v>1</v>
      </c>
      <c r="Y200" s="56" t="str">
        <f t="shared" si="7"/>
        <v>LOGUEO</v>
      </c>
    </row>
    <row r="201" spans="1:25" ht="15" x14ac:dyDescent="0.25">
      <c r="A201" s="136" t="s">
        <v>1612</v>
      </c>
      <c r="B201" s="137">
        <v>3.28</v>
      </c>
      <c r="C201" s="137">
        <v>1.2</v>
      </c>
      <c r="D201" s="137">
        <v>6.6898999999999997</v>
      </c>
      <c r="E201" s="137">
        <v>7.08</v>
      </c>
      <c r="F201" s="137">
        <v>5.72</v>
      </c>
      <c r="G201" s="137">
        <v>6.5399000000000003</v>
      </c>
      <c r="H201" s="137">
        <v>6.71</v>
      </c>
      <c r="I201" s="137">
        <v>3.37</v>
      </c>
      <c r="J201" s="137">
        <v>0</v>
      </c>
      <c r="K201" s="137">
        <v>2.8498999999999999</v>
      </c>
      <c r="L201" s="137">
        <v>6.84</v>
      </c>
      <c r="M201" s="137">
        <v>6.66</v>
      </c>
      <c r="N201" s="137">
        <v>7.22</v>
      </c>
      <c r="O201" s="137">
        <v>6.1098999999999997</v>
      </c>
      <c r="P201" s="137">
        <v>2.9899</v>
      </c>
      <c r="Q201" s="137">
        <v>0</v>
      </c>
      <c r="R201" s="137">
        <v>6.76</v>
      </c>
      <c r="S201" s="137">
        <v>6.96</v>
      </c>
      <c r="T201" s="137">
        <v>7.02</v>
      </c>
      <c r="U201" s="137">
        <v>6.57</v>
      </c>
      <c r="V201" s="137">
        <v>6.2499000000000002</v>
      </c>
      <c r="W201" s="140" t="s">
        <v>1609</v>
      </c>
      <c r="X201" s="56">
        <f t="shared" si="6"/>
        <v>1</v>
      </c>
      <c r="Y201" s="56" t="str">
        <f t="shared" si="7"/>
        <v>LOGUEO</v>
      </c>
    </row>
    <row r="202" spans="1:25" ht="15" x14ac:dyDescent="0.25">
      <c r="A202" s="136" t="s">
        <v>1955</v>
      </c>
      <c r="B202" s="137">
        <v>0</v>
      </c>
      <c r="C202" s="137">
        <v>0</v>
      </c>
      <c r="D202" s="137">
        <v>0</v>
      </c>
      <c r="E202" s="137">
        <v>0</v>
      </c>
      <c r="F202" s="137">
        <v>0</v>
      </c>
      <c r="G202" s="137">
        <v>0</v>
      </c>
      <c r="H202" s="137">
        <v>0</v>
      </c>
      <c r="I202" s="137">
        <v>0</v>
      </c>
      <c r="J202" s="137">
        <v>0</v>
      </c>
      <c r="K202" s="137">
        <v>0</v>
      </c>
      <c r="L202" s="137">
        <v>0</v>
      </c>
      <c r="M202" s="137">
        <v>0</v>
      </c>
      <c r="N202" s="137">
        <v>0</v>
      </c>
      <c r="O202" s="137">
        <v>0</v>
      </c>
      <c r="P202" s="137">
        <v>0</v>
      </c>
      <c r="Q202" s="137">
        <v>0</v>
      </c>
      <c r="R202" s="137">
        <v>0</v>
      </c>
      <c r="S202" s="137">
        <v>0</v>
      </c>
      <c r="T202" s="137">
        <v>0</v>
      </c>
      <c r="U202" s="137">
        <v>0</v>
      </c>
      <c r="V202" s="137">
        <v>0</v>
      </c>
      <c r="W202" s="140" t="s">
        <v>1609</v>
      </c>
      <c r="X202" s="56">
        <f t="shared" si="6"/>
        <v>7</v>
      </c>
      <c r="Y202" s="56" t="str">
        <f t="shared" si="7"/>
        <v>NO LOGUEO</v>
      </c>
    </row>
    <row r="203" spans="1:25" ht="15" x14ac:dyDescent="0.25">
      <c r="A203" s="136" t="s">
        <v>319</v>
      </c>
      <c r="B203" s="137">
        <v>0</v>
      </c>
      <c r="C203" s="137">
        <v>9.59</v>
      </c>
      <c r="D203" s="137">
        <v>10.210000000000001</v>
      </c>
      <c r="E203" s="137">
        <v>9.11</v>
      </c>
      <c r="F203" s="137">
        <v>9.7998999999999992</v>
      </c>
      <c r="G203" s="137">
        <v>8.3798999999999992</v>
      </c>
      <c r="H203" s="137">
        <v>8.85</v>
      </c>
      <c r="I203" s="137">
        <v>0.25</v>
      </c>
      <c r="J203" s="137">
        <v>9.11</v>
      </c>
      <c r="K203" s="137">
        <v>8.2899999999999991</v>
      </c>
      <c r="L203" s="137">
        <v>8.65</v>
      </c>
      <c r="M203" s="137">
        <v>9.25</v>
      </c>
      <c r="N203" s="137">
        <v>8.65</v>
      </c>
      <c r="O203" s="137">
        <v>6.95</v>
      </c>
      <c r="P203" s="137">
        <v>0</v>
      </c>
      <c r="Q203" s="137">
        <v>10.539899999999999</v>
      </c>
      <c r="R203" s="137">
        <v>8.66</v>
      </c>
      <c r="S203" s="137">
        <v>8.0299999999999994</v>
      </c>
      <c r="T203" s="137">
        <v>10.58</v>
      </c>
      <c r="U203" s="137">
        <v>8.24</v>
      </c>
      <c r="V203" s="137">
        <v>9.17</v>
      </c>
      <c r="W203" s="140">
        <v>14121116</v>
      </c>
      <c r="X203" s="56">
        <f t="shared" si="6"/>
        <v>1</v>
      </c>
      <c r="Y203" s="56" t="str">
        <f t="shared" si="7"/>
        <v>LOGUEO</v>
      </c>
    </row>
    <row r="204" spans="1:25" ht="15" x14ac:dyDescent="0.25">
      <c r="A204" s="136" t="s">
        <v>292</v>
      </c>
      <c r="B204" s="137">
        <v>0</v>
      </c>
      <c r="C204" s="137">
        <v>0</v>
      </c>
      <c r="D204" s="137">
        <v>0</v>
      </c>
      <c r="E204" s="137">
        <v>0</v>
      </c>
      <c r="F204" s="137">
        <v>0</v>
      </c>
      <c r="G204" s="137">
        <v>5.9798999999999998</v>
      </c>
      <c r="H204" s="137">
        <v>4.96</v>
      </c>
      <c r="I204" s="137">
        <v>0</v>
      </c>
      <c r="J204" s="137">
        <v>5.26</v>
      </c>
      <c r="K204" s="137">
        <v>6.73</v>
      </c>
      <c r="L204" s="137">
        <v>5.0199999999999996</v>
      </c>
      <c r="M204" s="137">
        <v>5.47</v>
      </c>
      <c r="N204" s="137">
        <v>5.35</v>
      </c>
      <c r="O204" s="137">
        <v>5.6999000000000004</v>
      </c>
      <c r="P204" s="137">
        <v>4.16</v>
      </c>
      <c r="Q204" s="137">
        <v>5.43</v>
      </c>
      <c r="R204" s="137">
        <v>5.95</v>
      </c>
      <c r="S204" s="137">
        <v>2.8</v>
      </c>
      <c r="T204" s="137">
        <v>1.8</v>
      </c>
      <c r="U204" s="137">
        <v>6.11</v>
      </c>
      <c r="V204" s="137">
        <v>4.45</v>
      </c>
      <c r="W204" s="140">
        <v>14120611</v>
      </c>
      <c r="X204" s="56">
        <f t="shared" si="6"/>
        <v>0</v>
      </c>
      <c r="Y204" s="56" t="str">
        <f t="shared" si="7"/>
        <v>LOGUEO</v>
      </c>
    </row>
    <row r="205" spans="1:25" ht="15" x14ac:dyDescent="0.25">
      <c r="A205" s="136" t="s">
        <v>1825</v>
      </c>
      <c r="B205" s="137">
        <v>0</v>
      </c>
      <c r="C205" s="137">
        <v>12.45</v>
      </c>
      <c r="D205" s="137">
        <v>10.33</v>
      </c>
      <c r="E205" s="137">
        <v>9.67</v>
      </c>
      <c r="F205" s="137">
        <v>8.74</v>
      </c>
      <c r="G205" s="137">
        <v>10.5199</v>
      </c>
      <c r="H205" s="137">
        <v>10.27</v>
      </c>
      <c r="I205" s="137">
        <v>0</v>
      </c>
      <c r="J205" s="137">
        <v>11.139900000000001</v>
      </c>
      <c r="K205" s="137">
        <v>10.869899999999999</v>
      </c>
      <c r="L205" s="137">
        <v>10.36</v>
      </c>
      <c r="M205" s="137">
        <v>10.7</v>
      </c>
      <c r="N205" s="137">
        <v>10.5199</v>
      </c>
      <c r="O205" s="137">
        <v>10.02</v>
      </c>
      <c r="P205" s="137">
        <v>0</v>
      </c>
      <c r="Q205" s="137">
        <v>10.2399</v>
      </c>
      <c r="R205" s="137">
        <v>12.69</v>
      </c>
      <c r="S205" s="137">
        <v>10.47</v>
      </c>
      <c r="T205" s="137">
        <v>8.51</v>
      </c>
      <c r="U205" s="137">
        <v>10.029999999999999</v>
      </c>
      <c r="V205" s="137">
        <v>10.8499</v>
      </c>
      <c r="W205" s="140" t="s">
        <v>1609</v>
      </c>
      <c r="X205" s="56">
        <f t="shared" si="6"/>
        <v>1</v>
      </c>
      <c r="Y205" s="56" t="str">
        <f t="shared" si="7"/>
        <v>LOGUEO</v>
      </c>
    </row>
    <row r="206" spans="1:25" ht="15" x14ac:dyDescent="0.25">
      <c r="A206" s="136" t="s">
        <v>1826</v>
      </c>
      <c r="B206" s="137">
        <v>3.99</v>
      </c>
      <c r="C206" s="137">
        <v>0</v>
      </c>
      <c r="D206" s="137">
        <v>4.74</v>
      </c>
      <c r="E206" s="137">
        <v>4.92</v>
      </c>
      <c r="F206" s="137">
        <v>3.79</v>
      </c>
      <c r="G206" s="137">
        <v>5.6</v>
      </c>
      <c r="H206" s="137">
        <v>4.8198999999999996</v>
      </c>
      <c r="I206" s="137">
        <v>4.72</v>
      </c>
      <c r="J206" s="137">
        <v>5.93</v>
      </c>
      <c r="K206" s="137">
        <v>5.42</v>
      </c>
      <c r="L206" s="137">
        <v>4.2</v>
      </c>
      <c r="M206" s="137">
        <v>0</v>
      </c>
      <c r="N206" s="137">
        <v>0</v>
      </c>
      <c r="O206" s="137">
        <v>0</v>
      </c>
      <c r="P206" s="137">
        <v>0</v>
      </c>
      <c r="Q206" s="137">
        <v>0</v>
      </c>
      <c r="R206" s="137">
        <v>5.1999000000000004</v>
      </c>
      <c r="S206" s="137">
        <v>5.57</v>
      </c>
      <c r="T206" s="137">
        <v>5.07</v>
      </c>
      <c r="U206" s="137">
        <v>5.0999999999999996</v>
      </c>
      <c r="V206" s="137">
        <v>9.57</v>
      </c>
      <c r="W206" s="140" t="s">
        <v>1609</v>
      </c>
      <c r="X206" s="56">
        <f t="shared" si="6"/>
        <v>2</v>
      </c>
      <c r="Y206" s="56" t="str">
        <f t="shared" si="7"/>
        <v>NO LOGUEO</v>
      </c>
    </row>
    <row r="207" spans="1:25" ht="15" x14ac:dyDescent="0.25">
      <c r="A207" s="136" t="s">
        <v>315</v>
      </c>
      <c r="B207" s="137">
        <v>0</v>
      </c>
      <c r="C207" s="137">
        <v>0</v>
      </c>
      <c r="D207" s="137">
        <v>0</v>
      </c>
      <c r="E207" s="137">
        <v>0</v>
      </c>
      <c r="F207" s="137">
        <v>0</v>
      </c>
      <c r="G207" s="137">
        <v>0</v>
      </c>
      <c r="H207" s="137">
        <v>0</v>
      </c>
      <c r="I207" s="137">
        <v>0</v>
      </c>
      <c r="J207" s="137">
        <v>0</v>
      </c>
      <c r="K207" s="137">
        <v>0</v>
      </c>
      <c r="L207" s="137">
        <v>0</v>
      </c>
      <c r="M207" s="137">
        <v>0</v>
      </c>
      <c r="N207" s="137">
        <v>0</v>
      </c>
      <c r="O207" s="137">
        <v>0</v>
      </c>
      <c r="P207" s="137">
        <v>0</v>
      </c>
      <c r="Q207" s="137">
        <v>0</v>
      </c>
      <c r="R207" s="137">
        <v>0</v>
      </c>
      <c r="S207" s="137">
        <v>0</v>
      </c>
      <c r="T207" s="137">
        <v>0</v>
      </c>
      <c r="U207" s="137">
        <v>0</v>
      </c>
      <c r="V207" s="137">
        <v>0</v>
      </c>
      <c r="W207" s="140">
        <v>14110741</v>
      </c>
      <c r="X207" s="56">
        <f t="shared" si="6"/>
        <v>7</v>
      </c>
      <c r="Y207" s="56" t="str">
        <f t="shared" si="7"/>
        <v>NO LOGUEO</v>
      </c>
    </row>
    <row r="208" spans="1:25" ht="15" x14ac:dyDescent="0.25">
      <c r="A208" s="136" t="s">
        <v>501</v>
      </c>
      <c r="B208" s="137">
        <v>0</v>
      </c>
      <c r="C208" s="137">
        <v>7.07</v>
      </c>
      <c r="D208" s="137">
        <v>11.11</v>
      </c>
      <c r="E208" s="137">
        <v>10.24</v>
      </c>
      <c r="F208" s="137">
        <v>1.9</v>
      </c>
      <c r="G208" s="137">
        <v>9.07</v>
      </c>
      <c r="H208" s="137">
        <v>9.35</v>
      </c>
      <c r="I208" s="137">
        <v>4.62</v>
      </c>
      <c r="J208" s="137">
        <v>9.24</v>
      </c>
      <c r="K208" s="137">
        <v>11.51</v>
      </c>
      <c r="L208" s="137">
        <v>7.12</v>
      </c>
      <c r="M208" s="137">
        <v>9.9499999999999993</v>
      </c>
      <c r="N208" s="137">
        <v>8.31</v>
      </c>
      <c r="O208" s="137">
        <v>10.08</v>
      </c>
      <c r="P208" s="137">
        <v>6.83</v>
      </c>
      <c r="Q208" s="137">
        <v>6.5</v>
      </c>
      <c r="R208" s="137">
        <v>10.199999999999999</v>
      </c>
      <c r="S208" s="137">
        <v>10.78</v>
      </c>
      <c r="T208" s="137">
        <v>8.08</v>
      </c>
      <c r="U208" s="137">
        <v>6.99</v>
      </c>
      <c r="V208" s="137">
        <v>6.41</v>
      </c>
      <c r="W208" s="140">
        <v>14123273</v>
      </c>
      <c r="X208" s="56">
        <f t="shared" si="6"/>
        <v>0</v>
      </c>
      <c r="Y208" s="56" t="str">
        <f t="shared" si="7"/>
        <v>LOGUEO</v>
      </c>
    </row>
    <row r="209" spans="1:25" ht="15" x14ac:dyDescent="0.25">
      <c r="A209" s="136" t="s">
        <v>942</v>
      </c>
      <c r="B209" s="137">
        <v>0</v>
      </c>
      <c r="C209" s="137">
        <v>0</v>
      </c>
      <c r="D209" s="137">
        <v>0</v>
      </c>
      <c r="E209" s="137">
        <v>0</v>
      </c>
      <c r="F209" s="137">
        <v>0</v>
      </c>
      <c r="G209" s="137">
        <v>0</v>
      </c>
      <c r="H209" s="137">
        <v>0</v>
      </c>
      <c r="I209" s="137">
        <v>0</v>
      </c>
      <c r="J209" s="137">
        <v>0</v>
      </c>
      <c r="K209" s="137">
        <v>0</v>
      </c>
      <c r="L209" s="137">
        <v>0</v>
      </c>
      <c r="M209" s="137">
        <v>7.42</v>
      </c>
      <c r="N209" s="137">
        <v>0</v>
      </c>
      <c r="O209" s="137">
        <v>0</v>
      </c>
      <c r="P209" s="137">
        <v>7.3</v>
      </c>
      <c r="Q209" s="137">
        <v>10.629899999999999</v>
      </c>
      <c r="R209" s="137">
        <v>0</v>
      </c>
      <c r="S209" s="137">
        <v>0</v>
      </c>
      <c r="T209" s="137">
        <v>8.35</v>
      </c>
      <c r="U209" s="137">
        <v>0</v>
      </c>
      <c r="V209" s="137">
        <v>1.2</v>
      </c>
      <c r="W209" s="140" t="s">
        <v>1609</v>
      </c>
      <c r="X209" s="56">
        <f t="shared" si="6"/>
        <v>3</v>
      </c>
      <c r="Y209" s="56" t="str">
        <f t="shared" si="7"/>
        <v>NO LOGUEO</v>
      </c>
    </row>
    <row r="210" spans="1:25" ht="15" x14ac:dyDescent="0.25">
      <c r="A210" s="136" t="s">
        <v>1956</v>
      </c>
      <c r="B210" s="137">
        <v>0</v>
      </c>
      <c r="C210" s="137">
        <v>0</v>
      </c>
      <c r="D210" s="137">
        <v>0</v>
      </c>
      <c r="E210" s="137">
        <v>0</v>
      </c>
      <c r="F210" s="137">
        <v>0</v>
      </c>
      <c r="G210" s="137">
        <v>0</v>
      </c>
      <c r="H210" s="137">
        <v>0</v>
      </c>
      <c r="I210" s="137">
        <v>0</v>
      </c>
      <c r="J210" s="137">
        <v>0</v>
      </c>
      <c r="K210" s="137">
        <v>0</v>
      </c>
      <c r="L210" s="137">
        <v>0</v>
      </c>
      <c r="M210" s="137">
        <v>0</v>
      </c>
      <c r="N210" s="137">
        <v>0</v>
      </c>
      <c r="O210" s="137">
        <v>0</v>
      </c>
      <c r="P210" s="137">
        <v>0</v>
      </c>
      <c r="Q210" s="137">
        <v>0</v>
      </c>
      <c r="R210" s="137">
        <v>0</v>
      </c>
      <c r="S210" s="137">
        <v>0</v>
      </c>
      <c r="T210" s="137">
        <v>0</v>
      </c>
      <c r="U210" s="137">
        <v>0</v>
      </c>
      <c r="V210" s="137">
        <v>0</v>
      </c>
      <c r="W210" s="140" t="s">
        <v>1609</v>
      </c>
      <c r="X210" s="56">
        <f t="shared" si="6"/>
        <v>7</v>
      </c>
      <c r="Y210" s="56" t="str">
        <f t="shared" si="7"/>
        <v>NO LOGUEO</v>
      </c>
    </row>
    <row r="211" spans="1:25" ht="15" x14ac:dyDescent="0.25">
      <c r="A211" s="136" t="s">
        <v>944</v>
      </c>
      <c r="B211" s="137">
        <v>4.13</v>
      </c>
      <c r="C211" s="137">
        <v>4.93</v>
      </c>
      <c r="D211" s="137">
        <v>5.24</v>
      </c>
      <c r="E211" s="137">
        <v>4.0999999999999996</v>
      </c>
      <c r="F211" s="137">
        <v>1.71</v>
      </c>
      <c r="G211" s="137">
        <v>3.83</v>
      </c>
      <c r="H211" s="137">
        <v>0</v>
      </c>
      <c r="I211" s="137">
        <v>3.18</v>
      </c>
      <c r="J211" s="137">
        <v>4.42</v>
      </c>
      <c r="K211" s="137">
        <v>4.54</v>
      </c>
      <c r="L211" s="137">
        <v>3.87</v>
      </c>
      <c r="M211" s="137">
        <v>4.67</v>
      </c>
      <c r="N211" s="137">
        <v>4.54</v>
      </c>
      <c r="O211" s="137">
        <v>4.3</v>
      </c>
      <c r="P211" s="137">
        <v>4.07</v>
      </c>
      <c r="Q211" s="137">
        <v>4.17</v>
      </c>
      <c r="R211" s="137">
        <v>5.3198999999999996</v>
      </c>
      <c r="S211" s="137">
        <v>0</v>
      </c>
      <c r="T211" s="137">
        <v>4.5199999999999996</v>
      </c>
      <c r="U211" s="137">
        <v>4.59</v>
      </c>
      <c r="V211" s="137">
        <v>3.9</v>
      </c>
      <c r="W211" s="140" t="s">
        <v>1609</v>
      </c>
      <c r="X211" s="56">
        <f t="shared" si="6"/>
        <v>1</v>
      </c>
      <c r="Y211" s="56" t="str">
        <f t="shared" si="7"/>
        <v>LOGUEO</v>
      </c>
    </row>
    <row r="212" spans="1:25" ht="15" x14ac:dyDescent="0.25">
      <c r="A212" s="136" t="s">
        <v>2554</v>
      </c>
      <c r="B212" s="137">
        <v>0</v>
      </c>
      <c r="C212" s="137">
        <v>3.77</v>
      </c>
      <c r="D212" s="137">
        <v>6.7899000000000003</v>
      </c>
      <c r="E212" s="137">
        <v>5.6098999999999997</v>
      </c>
      <c r="F212" s="137">
        <v>2.19</v>
      </c>
      <c r="G212" s="137">
        <v>6.86</v>
      </c>
      <c r="H212" s="137">
        <v>4.4599000000000002</v>
      </c>
      <c r="I212" s="137">
        <v>4.3899999999999997</v>
      </c>
      <c r="J212" s="137">
        <v>8.19</v>
      </c>
      <c r="K212" s="137">
        <v>7.04</v>
      </c>
      <c r="L212" s="137">
        <v>5.89</v>
      </c>
      <c r="M212" s="137">
        <v>7.06</v>
      </c>
      <c r="N212" s="137">
        <v>6.49</v>
      </c>
      <c r="O212" s="137">
        <v>1.35</v>
      </c>
      <c r="P212" s="137">
        <v>0</v>
      </c>
      <c r="Q212" s="137">
        <v>0</v>
      </c>
      <c r="R212" s="137">
        <v>0</v>
      </c>
      <c r="S212" s="137">
        <v>0</v>
      </c>
      <c r="T212" s="137">
        <v>0</v>
      </c>
      <c r="U212" s="137">
        <v>0</v>
      </c>
      <c r="V212" s="137">
        <v>0</v>
      </c>
      <c r="W212" s="140" t="s">
        <v>1609</v>
      </c>
      <c r="X212" s="56">
        <f t="shared" si="6"/>
        <v>7</v>
      </c>
      <c r="Y212" s="56" t="str">
        <f t="shared" si="7"/>
        <v>NO LOGUEO</v>
      </c>
    </row>
    <row r="213" spans="1:25" ht="15" x14ac:dyDescent="0.25">
      <c r="A213" s="136" t="s">
        <v>203</v>
      </c>
      <c r="B213" s="137">
        <v>7.31</v>
      </c>
      <c r="C213" s="137">
        <v>8.14</v>
      </c>
      <c r="D213" s="137">
        <v>7.1</v>
      </c>
      <c r="E213" s="137">
        <v>8.23</v>
      </c>
      <c r="F213" s="137">
        <v>5.28</v>
      </c>
      <c r="G213" s="137">
        <v>6.73</v>
      </c>
      <c r="H213" s="137">
        <v>7.09</v>
      </c>
      <c r="I213" s="137">
        <v>5.86</v>
      </c>
      <c r="J213" s="137">
        <v>0</v>
      </c>
      <c r="K213" s="137">
        <v>7.11</v>
      </c>
      <c r="L213" s="137">
        <v>7.79</v>
      </c>
      <c r="M213" s="137">
        <v>6.69</v>
      </c>
      <c r="N213" s="137">
        <v>7.23</v>
      </c>
      <c r="O213" s="137">
        <v>6.57</v>
      </c>
      <c r="P213" s="137">
        <v>5.8598999999999997</v>
      </c>
      <c r="Q213" s="137">
        <v>0</v>
      </c>
      <c r="R213" s="137">
        <v>8.5299999999999994</v>
      </c>
      <c r="S213" s="137">
        <v>7.36</v>
      </c>
      <c r="T213" s="137">
        <v>8.7100000000000009</v>
      </c>
      <c r="U213" s="137">
        <v>8.08</v>
      </c>
      <c r="V213" s="137">
        <v>7.27</v>
      </c>
      <c r="W213" s="140">
        <v>14118501</v>
      </c>
      <c r="X213" s="56">
        <f t="shared" si="6"/>
        <v>1</v>
      </c>
      <c r="Y213" s="56" t="str">
        <f t="shared" si="7"/>
        <v>LOGUEO</v>
      </c>
    </row>
    <row r="214" spans="1:25" ht="15" x14ac:dyDescent="0.25">
      <c r="A214" s="136" t="s">
        <v>957</v>
      </c>
      <c r="B214" s="137">
        <v>0</v>
      </c>
      <c r="C214" s="137">
        <v>2.25</v>
      </c>
      <c r="D214" s="137">
        <v>6.23</v>
      </c>
      <c r="E214" s="137">
        <v>4.09</v>
      </c>
      <c r="F214" s="137">
        <v>2.11</v>
      </c>
      <c r="G214" s="137">
        <v>8.3699999999999992</v>
      </c>
      <c r="H214" s="137">
        <v>5.01</v>
      </c>
      <c r="I214" s="137">
        <v>2.3199999999999998</v>
      </c>
      <c r="J214" s="137">
        <v>7.21</v>
      </c>
      <c r="K214" s="137">
        <v>5.0999999999999996</v>
      </c>
      <c r="L214" s="137">
        <v>8.84</v>
      </c>
      <c r="M214" s="137">
        <v>8.0299999999999994</v>
      </c>
      <c r="N214" s="137">
        <v>7.18</v>
      </c>
      <c r="O214" s="137">
        <v>2.98</v>
      </c>
      <c r="P214" s="137">
        <v>2.42</v>
      </c>
      <c r="Q214" s="137">
        <v>13.8299</v>
      </c>
      <c r="R214" s="137">
        <v>6.96</v>
      </c>
      <c r="S214" s="137">
        <v>9.3698999999999995</v>
      </c>
      <c r="T214" s="137">
        <v>7.76</v>
      </c>
      <c r="U214" s="137">
        <v>5.42</v>
      </c>
      <c r="V214" s="137">
        <v>4.47</v>
      </c>
      <c r="W214" s="140" t="s">
        <v>1609</v>
      </c>
      <c r="X214" s="56">
        <f t="shared" si="6"/>
        <v>0</v>
      </c>
      <c r="Y214" s="56" t="str">
        <f t="shared" si="7"/>
        <v>LOGUEO</v>
      </c>
    </row>
    <row r="215" spans="1:25" ht="15" x14ac:dyDescent="0.25">
      <c r="A215" s="136" t="s">
        <v>499</v>
      </c>
      <c r="B215" s="137">
        <v>4.05</v>
      </c>
      <c r="C215" s="137">
        <v>8.59</v>
      </c>
      <c r="D215" s="137">
        <v>9.7200000000000006</v>
      </c>
      <c r="E215" s="137">
        <v>9.77</v>
      </c>
      <c r="F215" s="137">
        <v>2.62</v>
      </c>
      <c r="G215" s="137">
        <v>9.27</v>
      </c>
      <c r="H215" s="137">
        <v>10</v>
      </c>
      <c r="I215" s="137">
        <v>5.2899000000000003</v>
      </c>
      <c r="J215" s="137">
        <v>8.3000000000000007</v>
      </c>
      <c r="K215" s="137">
        <v>11.35</v>
      </c>
      <c r="L215" s="137">
        <v>10.5799</v>
      </c>
      <c r="M215" s="137">
        <v>10.42</v>
      </c>
      <c r="N215" s="137">
        <v>12.3599</v>
      </c>
      <c r="O215" s="137">
        <v>9.92</v>
      </c>
      <c r="P215" s="137">
        <v>1.1000000000000001</v>
      </c>
      <c r="Q215" s="137">
        <v>0</v>
      </c>
      <c r="R215" s="137">
        <v>7.08</v>
      </c>
      <c r="S215" s="137">
        <v>11.18</v>
      </c>
      <c r="T215" s="137">
        <v>10.24</v>
      </c>
      <c r="U215" s="137">
        <v>9.81</v>
      </c>
      <c r="V215" s="137">
        <v>9.69</v>
      </c>
      <c r="W215" s="140">
        <v>14123254</v>
      </c>
      <c r="X215" s="56">
        <f t="shared" si="6"/>
        <v>1</v>
      </c>
      <c r="Y215" s="56" t="str">
        <f t="shared" si="7"/>
        <v>LOGUEO</v>
      </c>
    </row>
    <row r="216" spans="1:25" ht="15" x14ac:dyDescent="0.25">
      <c r="A216" s="136" t="s">
        <v>374</v>
      </c>
      <c r="B216" s="137">
        <v>0</v>
      </c>
      <c r="C216" s="137">
        <v>1.97</v>
      </c>
      <c r="D216" s="137">
        <v>9.5299999999999994</v>
      </c>
      <c r="E216" s="137">
        <v>0</v>
      </c>
      <c r="F216" s="137">
        <v>0</v>
      </c>
      <c r="G216" s="137">
        <v>0</v>
      </c>
      <c r="H216" s="137">
        <v>0</v>
      </c>
      <c r="I216" s="137">
        <v>0</v>
      </c>
      <c r="J216" s="137">
        <v>3.59</v>
      </c>
      <c r="K216" s="137">
        <v>10.07</v>
      </c>
      <c r="L216" s="137">
        <v>8.4700000000000006</v>
      </c>
      <c r="M216" s="137">
        <v>0</v>
      </c>
      <c r="N216" s="137">
        <v>0</v>
      </c>
      <c r="O216" s="137">
        <v>0</v>
      </c>
      <c r="P216" s="137">
        <v>0</v>
      </c>
      <c r="Q216" s="137">
        <v>0</v>
      </c>
      <c r="R216" s="137">
        <v>0</v>
      </c>
      <c r="S216" s="137">
        <v>0</v>
      </c>
      <c r="T216" s="137">
        <v>0</v>
      </c>
      <c r="U216" s="137">
        <v>0</v>
      </c>
      <c r="V216" s="137">
        <v>0</v>
      </c>
      <c r="W216" s="140">
        <v>14118958</v>
      </c>
      <c r="X216" s="56">
        <f t="shared" si="6"/>
        <v>7</v>
      </c>
      <c r="Y216" s="56" t="str">
        <f t="shared" si="7"/>
        <v>NO LOGUEO</v>
      </c>
    </row>
    <row r="217" spans="1:25" ht="15" x14ac:dyDescent="0.25">
      <c r="A217" s="136" t="s">
        <v>1957</v>
      </c>
      <c r="B217" s="137">
        <v>0</v>
      </c>
      <c r="C217" s="137">
        <v>0</v>
      </c>
      <c r="D217" s="137">
        <v>0</v>
      </c>
      <c r="E217" s="137">
        <v>0</v>
      </c>
      <c r="F217" s="137">
        <v>0</v>
      </c>
      <c r="G217" s="137">
        <v>0</v>
      </c>
      <c r="H217" s="137">
        <v>0</v>
      </c>
      <c r="I217" s="137">
        <v>0</v>
      </c>
      <c r="J217" s="137">
        <v>0</v>
      </c>
      <c r="K217" s="137">
        <v>0</v>
      </c>
      <c r="L217" s="137">
        <v>0</v>
      </c>
      <c r="M217" s="137">
        <v>0</v>
      </c>
      <c r="N217" s="137">
        <v>0</v>
      </c>
      <c r="O217" s="137">
        <v>0</v>
      </c>
      <c r="P217" s="137">
        <v>0</v>
      </c>
      <c r="Q217" s="137">
        <v>0</v>
      </c>
      <c r="R217" s="137">
        <v>0</v>
      </c>
      <c r="S217" s="137">
        <v>0</v>
      </c>
      <c r="T217" s="137">
        <v>0</v>
      </c>
      <c r="U217" s="137">
        <v>0</v>
      </c>
      <c r="V217" s="137">
        <v>0</v>
      </c>
      <c r="W217" s="140" t="s">
        <v>1609</v>
      </c>
      <c r="X217" s="56">
        <f t="shared" si="6"/>
        <v>7</v>
      </c>
      <c r="Y217" s="56" t="str">
        <f t="shared" si="7"/>
        <v>NO LOGUEO</v>
      </c>
    </row>
    <row r="218" spans="1:25" ht="15" x14ac:dyDescent="0.25">
      <c r="A218" s="136" t="s">
        <v>2526</v>
      </c>
      <c r="B218" s="137">
        <v>0</v>
      </c>
      <c r="C218" s="137">
        <v>0</v>
      </c>
      <c r="D218" s="137">
        <v>0</v>
      </c>
      <c r="E218" s="137">
        <v>0</v>
      </c>
      <c r="F218" s="137">
        <v>0</v>
      </c>
      <c r="G218" s="137">
        <v>0</v>
      </c>
      <c r="H218" s="137">
        <v>0</v>
      </c>
      <c r="I218" s="137">
        <v>0</v>
      </c>
      <c r="J218" s="137">
        <v>0</v>
      </c>
      <c r="K218" s="137">
        <v>0</v>
      </c>
      <c r="L218" s="137">
        <v>0</v>
      </c>
      <c r="M218" s="137">
        <v>0</v>
      </c>
      <c r="N218" s="137">
        <v>0</v>
      </c>
      <c r="O218" s="137">
        <v>0</v>
      </c>
      <c r="P218" s="137">
        <v>0</v>
      </c>
      <c r="Q218" s="137">
        <v>0</v>
      </c>
      <c r="R218" s="137">
        <v>2.1</v>
      </c>
      <c r="S218" s="137">
        <v>3.1</v>
      </c>
      <c r="T218" s="137">
        <v>0</v>
      </c>
      <c r="U218" s="137">
        <v>1.52</v>
      </c>
      <c r="V218" s="137">
        <v>1.28</v>
      </c>
      <c r="W218" s="140" t="s">
        <v>1609</v>
      </c>
      <c r="X218" s="56">
        <f t="shared" si="6"/>
        <v>3</v>
      </c>
      <c r="Y218" s="56" t="str">
        <f t="shared" si="7"/>
        <v>NO LOGUEO</v>
      </c>
    </row>
    <row r="219" spans="1:25" ht="15" x14ac:dyDescent="0.25">
      <c r="A219" s="136" t="s">
        <v>2555</v>
      </c>
      <c r="B219" s="137">
        <v>4.4499000000000004</v>
      </c>
      <c r="C219" s="137">
        <v>8.01</v>
      </c>
      <c r="D219" s="137">
        <v>11.0299</v>
      </c>
      <c r="E219" s="137">
        <v>9.3899000000000008</v>
      </c>
      <c r="F219" s="137">
        <v>0.17</v>
      </c>
      <c r="G219" s="137">
        <v>4.25</v>
      </c>
      <c r="H219" s="137">
        <v>6.11</v>
      </c>
      <c r="I219" s="137">
        <v>5.05</v>
      </c>
      <c r="J219" s="137">
        <v>10.75</v>
      </c>
      <c r="K219" s="137">
        <v>7.95</v>
      </c>
      <c r="L219" s="137">
        <v>0</v>
      </c>
      <c r="M219" s="137">
        <v>9.39</v>
      </c>
      <c r="N219" s="137">
        <v>10.5899</v>
      </c>
      <c r="O219" s="137">
        <v>9.91</v>
      </c>
      <c r="P219" s="137">
        <v>0</v>
      </c>
      <c r="Q219" s="137">
        <v>5.0999999999999996</v>
      </c>
      <c r="R219" s="137">
        <v>0</v>
      </c>
      <c r="S219" s="137">
        <v>0</v>
      </c>
      <c r="T219" s="137">
        <v>0</v>
      </c>
      <c r="U219" s="137">
        <v>0</v>
      </c>
      <c r="V219" s="137">
        <v>0</v>
      </c>
      <c r="W219" s="140" t="s">
        <v>1609</v>
      </c>
      <c r="X219" s="56">
        <f t="shared" si="6"/>
        <v>6</v>
      </c>
      <c r="Y219" s="56" t="str">
        <f t="shared" si="7"/>
        <v>NO LOGUEO</v>
      </c>
    </row>
    <row r="220" spans="1:25" ht="15" x14ac:dyDescent="0.25">
      <c r="A220" s="136" t="s">
        <v>510</v>
      </c>
      <c r="B220" s="137">
        <v>0</v>
      </c>
      <c r="C220" s="137">
        <v>0</v>
      </c>
      <c r="D220" s="137">
        <v>0</v>
      </c>
      <c r="E220" s="137">
        <v>0</v>
      </c>
      <c r="F220" s="137">
        <v>0</v>
      </c>
      <c r="G220" s="137">
        <v>0</v>
      </c>
      <c r="H220" s="137">
        <v>0</v>
      </c>
      <c r="I220" s="137">
        <v>0</v>
      </c>
      <c r="J220" s="137">
        <v>0</v>
      </c>
      <c r="K220" s="137">
        <v>0</v>
      </c>
      <c r="L220" s="137">
        <v>0</v>
      </c>
      <c r="M220" s="137">
        <v>0</v>
      </c>
      <c r="N220" s="137">
        <v>0</v>
      </c>
      <c r="O220" s="137">
        <v>0</v>
      </c>
      <c r="P220" s="137">
        <v>0</v>
      </c>
      <c r="Q220" s="137">
        <v>0</v>
      </c>
      <c r="R220" s="137">
        <v>0</v>
      </c>
      <c r="S220" s="137">
        <v>0</v>
      </c>
      <c r="T220" s="137">
        <v>0</v>
      </c>
      <c r="U220" s="137">
        <v>0</v>
      </c>
      <c r="V220" s="137">
        <v>2.2799</v>
      </c>
      <c r="W220" s="140">
        <v>14123272</v>
      </c>
      <c r="X220" s="56">
        <f t="shared" si="6"/>
        <v>6</v>
      </c>
      <c r="Y220" s="56" t="str">
        <f t="shared" si="7"/>
        <v>NO LOGUEO</v>
      </c>
    </row>
    <row r="221" spans="1:25" ht="15" x14ac:dyDescent="0.25">
      <c r="A221" s="136" t="s">
        <v>907</v>
      </c>
      <c r="B221" s="137">
        <v>0</v>
      </c>
      <c r="C221" s="137">
        <v>0</v>
      </c>
      <c r="D221" s="137">
        <v>0</v>
      </c>
      <c r="E221" s="137">
        <v>0</v>
      </c>
      <c r="F221" s="137">
        <v>0</v>
      </c>
      <c r="G221" s="137">
        <v>0</v>
      </c>
      <c r="H221" s="137">
        <v>0</v>
      </c>
      <c r="I221" s="137">
        <v>0</v>
      </c>
      <c r="J221" s="137">
        <v>0</v>
      </c>
      <c r="K221" s="137">
        <v>0</v>
      </c>
      <c r="L221" s="137">
        <v>4.5999999999999996</v>
      </c>
      <c r="M221" s="137">
        <v>9.81</v>
      </c>
      <c r="N221" s="137">
        <v>11.77</v>
      </c>
      <c r="O221" s="137">
        <v>12.13</v>
      </c>
      <c r="P221" s="137">
        <v>0</v>
      </c>
      <c r="Q221" s="137">
        <v>10.38</v>
      </c>
      <c r="R221" s="137">
        <v>4.66</v>
      </c>
      <c r="S221" s="137">
        <v>4.45</v>
      </c>
      <c r="T221" s="137">
        <v>9.36</v>
      </c>
      <c r="U221" s="137">
        <v>9.75</v>
      </c>
      <c r="V221" s="137">
        <v>6.78</v>
      </c>
      <c r="W221" s="140" t="s">
        <v>1609</v>
      </c>
      <c r="X221" s="56">
        <f t="shared" si="6"/>
        <v>1</v>
      </c>
      <c r="Y221" s="56" t="str">
        <f t="shared" si="7"/>
        <v>LOGUEO</v>
      </c>
    </row>
    <row r="222" spans="1:25" ht="15" x14ac:dyDescent="0.25">
      <c r="A222" s="136" t="s">
        <v>322</v>
      </c>
      <c r="B222" s="137">
        <v>2.57</v>
      </c>
      <c r="C222" s="137">
        <v>2.57</v>
      </c>
      <c r="D222" s="137">
        <v>3.09</v>
      </c>
      <c r="E222" s="137">
        <v>3.32</v>
      </c>
      <c r="F222" s="137">
        <v>2.5499999999999998</v>
      </c>
      <c r="G222" s="137">
        <v>2.81</v>
      </c>
      <c r="H222" s="137">
        <v>3.3098999999999998</v>
      </c>
      <c r="I222" s="137">
        <v>2.2599</v>
      </c>
      <c r="J222" s="137">
        <v>2.68</v>
      </c>
      <c r="K222" s="137">
        <v>5.14</v>
      </c>
      <c r="L222" s="137">
        <v>3.28</v>
      </c>
      <c r="M222" s="137">
        <v>2.4500000000000002</v>
      </c>
      <c r="N222" s="137">
        <v>2.8</v>
      </c>
      <c r="O222" s="137">
        <v>2.92</v>
      </c>
      <c r="P222" s="137">
        <v>0</v>
      </c>
      <c r="Q222" s="137">
        <v>2.8498999999999999</v>
      </c>
      <c r="R222" s="137">
        <v>2.58</v>
      </c>
      <c r="S222" s="137">
        <v>2.75</v>
      </c>
      <c r="T222" s="137">
        <v>2.7599</v>
      </c>
      <c r="U222" s="137">
        <v>3.27</v>
      </c>
      <c r="V222" s="137">
        <v>2.58</v>
      </c>
      <c r="W222" s="140">
        <v>14121158</v>
      </c>
      <c r="X222" s="56">
        <f t="shared" si="6"/>
        <v>1</v>
      </c>
      <c r="Y222" s="56" t="str">
        <f t="shared" si="7"/>
        <v>LOGUEO</v>
      </c>
    </row>
    <row r="223" spans="1:25" ht="15" x14ac:dyDescent="0.25">
      <c r="A223" s="136" t="s">
        <v>955</v>
      </c>
      <c r="B223" s="137">
        <v>0.35</v>
      </c>
      <c r="C223" s="137">
        <v>11.39</v>
      </c>
      <c r="D223" s="137">
        <v>0</v>
      </c>
      <c r="E223" s="137">
        <v>11.21</v>
      </c>
      <c r="F223" s="137">
        <v>0.83</v>
      </c>
      <c r="G223" s="137">
        <v>13.29</v>
      </c>
      <c r="H223" s="137">
        <v>0</v>
      </c>
      <c r="I223" s="137">
        <v>10.220000000000001</v>
      </c>
      <c r="J223" s="137">
        <v>0.23</v>
      </c>
      <c r="K223" s="137">
        <v>13.21</v>
      </c>
      <c r="L223" s="137">
        <v>0</v>
      </c>
      <c r="M223" s="137">
        <v>14.29</v>
      </c>
      <c r="N223" s="137">
        <v>0.3</v>
      </c>
      <c r="O223" s="137">
        <v>8.77</v>
      </c>
      <c r="P223" s="137">
        <v>0</v>
      </c>
      <c r="Q223" s="137">
        <v>12.34</v>
      </c>
      <c r="R223" s="137">
        <v>0.23</v>
      </c>
      <c r="S223" s="137">
        <v>13.08</v>
      </c>
      <c r="T223" s="137">
        <v>0</v>
      </c>
      <c r="U223" s="137">
        <v>13.0099</v>
      </c>
      <c r="V223" s="137">
        <v>0</v>
      </c>
      <c r="W223" s="140" t="s">
        <v>1609</v>
      </c>
      <c r="X223" s="56">
        <f t="shared" si="6"/>
        <v>3</v>
      </c>
      <c r="Y223" s="56" t="str">
        <f t="shared" si="7"/>
        <v>NO LOGUEO</v>
      </c>
    </row>
    <row r="224" spans="1:25" ht="15" x14ac:dyDescent="0.25">
      <c r="A224" s="136" t="s">
        <v>323</v>
      </c>
      <c r="B224" s="137">
        <v>0</v>
      </c>
      <c r="C224" s="137">
        <v>9.08</v>
      </c>
      <c r="D224" s="137">
        <v>9.33</v>
      </c>
      <c r="E224" s="137">
        <v>8.4699000000000009</v>
      </c>
      <c r="F224" s="137">
        <v>2.23</v>
      </c>
      <c r="G224" s="137">
        <v>12.43</v>
      </c>
      <c r="H224" s="137">
        <v>9.3699999999999992</v>
      </c>
      <c r="I224" s="137">
        <v>6.3098999999999998</v>
      </c>
      <c r="J224" s="137">
        <v>8.99</v>
      </c>
      <c r="K224" s="137">
        <v>10.34</v>
      </c>
      <c r="L224" s="137">
        <v>10.32</v>
      </c>
      <c r="M224" s="137">
        <v>11.0799</v>
      </c>
      <c r="N224" s="137">
        <v>9.6499000000000006</v>
      </c>
      <c r="O224" s="137">
        <v>8.77</v>
      </c>
      <c r="P224" s="137">
        <v>0</v>
      </c>
      <c r="Q224" s="137">
        <v>9.06</v>
      </c>
      <c r="R224" s="137">
        <v>8.7199000000000009</v>
      </c>
      <c r="S224" s="137">
        <v>8.56</v>
      </c>
      <c r="T224" s="137">
        <v>7.8399000000000001</v>
      </c>
      <c r="U224" s="137">
        <v>0</v>
      </c>
      <c r="V224" s="137">
        <v>4.9000000000000004</v>
      </c>
      <c r="W224" s="140">
        <v>14121159</v>
      </c>
      <c r="X224" s="56">
        <f t="shared" si="6"/>
        <v>2</v>
      </c>
      <c r="Y224" s="56" t="str">
        <f t="shared" si="7"/>
        <v>NO LOGUEO</v>
      </c>
    </row>
    <row r="225" spans="1:25" ht="15" x14ac:dyDescent="0.25">
      <c r="A225" s="136" t="s">
        <v>445</v>
      </c>
      <c r="B225" s="137">
        <v>0</v>
      </c>
      <c r="C225" s="137">
        <v>0</v>
      </c>
      <c r="D225" s="137">
        <v>0</v>
      </c>
      <c r="E225" s="137">
        <v>0</v>
      </c>
      <c r="F225" s="137">
        <v>0</v>
      </c>
      <c r="G225" s="137">
        <v>0</v>
      </c>
      <c r="H225" s="137">
        <v>0</v>
      </c>
      <c r="I225" s="137">
        <v>0</v>
      </c>
      <c r="J225" s="137">
        <v>0</v>
      </c>
      <c r="K225" s="137">
        <v>0</v>
      </c>
      <c r="L225" s="137">
        <v>0</v>
      </c>
      <c r="M225" s="137">
        <v>0</v>
      </c>
      <c r="N225" s="137">
        <v>1.33</v>
      </c>
      <c r="O225" s="137">
        <v>2.56</v>
      </c>
      <c r="P225" s="137">
        <v>0</v>
      </c>
      <c r="Q225" s="137">
        <v>0</v>
      </c>
      <c r="R225" s="137">
        <v>1.79</v>
      </c>
      <c r="S225" s="137">
        <v>11.28</v>
      </c>
      <c r="T225" s="137">
        <v>3.42</v>
      </c>
      <c r="U225" s="137">
        <v>0</v>
      </c>
      <c r="V225" s="137">
        <v>3.57</v>
      </c>
      <c r="W225" s="140">
        <v>14122708</v>
      </c>
      <c r="X225" s="56">
        <f t="shared" si="6"/>
        <v>3</v>
      </c>
      <c r="Y225" s="56" t="str">
        <f t="shared" si="7"/>
        <v>NO LOGUEO</v>
      </c>
    </row>
    <row r="226" spans="1:25" ht="15" x14ac:dyDescent="0.25">
      <c r="A226" s="136" t="s">
        <v>460</v>
      </c>
      <c r="B226" s="137">
        <v>9.35</v>
      </c>
      <c r="C226" s="137">
        <v>6.03</v>
      </c>
      <c r="D226" s="137">
        <v>8.09</v>
      </c>
      <c r="E226" s="137">
        <v>0</v>
      </c>
      <c r="F226" s="137">
        <v>0</v>
      </c>
      <c r="G226" s="137">
        <v>0</v>
      </c>
      <c r="H226" s="137">
        <v>0</v>
      </c>
      <c r="I226" s="137">
        <v>0</v>
      </c>
      <c r="J226" s="137">
        <v>6.78</v>
      </c>
      <c r="K226" s="137">
        <v>7.92</v>
      </c>
      <c r="L226" s="137">
        <v>10.899900000000001</v>
      </c>
      <c r="M226" s="137">
        <v>8.1499000000000006</v>
      </c>
      <c r="N226" s="137">
        <v>8.35</v>
      </c>
      <c r="O226" s="137">
        <v>0.92</v>
      </c>
      <c r="P226" s="137">
        <v>0</v>
      </c>
      <c r="Q226" s="137">
        <v>8.8699999999999992</v>
      </c>
      <c r="R226" s="137">
        <v>10.9</v>
      </c>
      <c r="S226" s="137">
        <v>10.74</v>
      </c>
      <c r="T226" s="137">
        <v>8.08</v>
      </c>
      <c r="U226" s="137">
        <v>7.8799000000000001</v>
      </c>
      <c r="V226" s="137">
        <v>4.08</v>
      </c>
      <c r="W226" s="140">
        <v>14122873</v>
      </c>
      <c r="X226" s="56">
        <f t="shared" si="6"/>
        <v>1</v>
      </c>
      <c r="Y226" s="56" t="str">
        <f t="shared" si="7"/>
        <v>LOGUEO</v>
      </c>
    </row>
    <row r="227" spans="1:25" ht="15" x14ac:dyDescent="0.25">
      <c r="A227" s="136" t="s">
        <v>2527</v>
      </c>
      <c r="B227" s="137">
        <v>0</v>
      </c>
      <c r="C227" s="137">
        <v>0</v>
      </c>
      <c r="D227" s="137">
        <v>0</v>
      </c>
      <c r="E227" s="137">
        <v>0</v>
      </c>
      <c r="F227" s="137">
        <v>0</v>
      </c>
      <c r="G227" s="137">
        <v>0</v>
      </c>
      <c r="H227" s="137">
        <v>0</v>
      </c>
      <c r="I227" s="137">
        <v>0</v>
      </c>
      <c r="J227" s="137">
        <v>0</v>
      </c>
      <c r="K227" s="137">
        <v>5.05</v>
      </c>
      <c r="L227" s="137">
        <v>0</v>
      </c>
      <c r="M227" s="137">
        <v>2.5</v>
      </c>
      <c r="N227" s="137">
        <v>3.78</v>
      </c>
      <c r="O227" s="137">
        <v>1.52</v>
      </c>
      <c r="P227" s="137">
        <v>0</v>
      </c>
      <c r="Q227" s="137">
        <v>0</v>
      </c>
      <c r="R227" s="137">
        <v>2.5299</v>
      </c>
      <c r="S227" s="137">
        <v>2.25</v>
      </c>
      <c r="T227" s="137">
        <v>0</v>
      </c>
      <c r="U227" s="137">
        <v>1.1298999999999999</v>
      </c>
      <c r="V227" s="137">
        <v>0.9</v>
      </c>
      <c r="W227" s="140" t="s">
        <v>1609</v>
      </c>
      <c r="X227" s="56">
        <f t="shared" si="6"/>
        <v>3</v>
      </c>
      <c r="Y227" s="56" t="str">
        <f t="shared" si="7"/>
        <v>NO LOGUEO</v>
      </c>
    </row>
    <row r="228" spans="1:25" ht="15" x14ac:dyDescent="0.25">
      <c r="A228" s="136" t="s">
        <v>2598</v>
      </c>
      <c r="B228" s="137">
        <v>7.7</v>
      </c>
      <c r="C228" s="137">
        <v>8.8000000000000007</v>
      </c>
      <c r="D228" s="137">
        <v>8.1999999999999993</v>
      </c>
      <c r="E228" s="137">
        <v>8.5500000000000007</v>
      </c>
      <c r="F228" s="137">
        <v>6.4</v>
      </c>
      <c r="G228" s="137">
        <v>8.51</v>
      </c>
      <c r="H228" s="137">
        <v>9.08</v>
      </c>
      <c r="I228" s="137">
        <v>6.5</v>
      </c>
      <c r="J228" s="137">
        <v>7.02</v>
      </c>
      <c r="K228" s="137">
        <v>0</v>
      </c>
      <c r="L228" s="137">
        <v>0</v>
      </c>
      <c r="M228" s="137">
        <v>0</v>
      </c>
      <c r="N228" s="137">
        <v>0</v>
      </c>
      <c r="O228" s="137">
        <v>0</v>
      </c>
      <c r="P228" s="137">
        <v>0</v>
      </c>
      <c r="Q228" s="137">
        <v>0</v>
      </c>
      <c r="R228" s="137">
        <v>0</v>
      </c>
      <c r="S228" s="137">
        <v>0</v>
      </c>
      <c r="T228" s="137">
        <v>0</v>
      </c>
      <c r="U228" s="137">
        <v>0</v>
      </c>
      <c r="V228" s="137">
        <v>0</v>
      </c>
      <c r="W228" s="140" t="s">
        <v>1609</v>
      </c>
      <c r="X228" s="56">
        <f t="shared" si="6"/>
        <v>7</v>
      </c>
      <c r="Y228" s="56" t="str">
        <f t="shared" si="7"/>
        <v>NO LOGUEO</v>
      </c>
    </row>
    <row r="229" spans="1:25" ht="15" x14ac:dyDescent="0.25">
      <c r="A229" s="136" t="s">
        <v>1868</v>
      </c>
      <c r="B229" s="137">
        <v>0</v>
      </c>
      <c r="C229" s="137">
        <v>0</v>
      </c>
      <c r="D229" s="137">
        <v>0</v>
      </c>
      <c r="E229" s="137">
        <v>0</v>
      </c>
      <c r="F229" s="137">
        <v>0</v>
      </c>
      <c r="G229" s="137">
        <v>0</v>
      </c>
      <c r="H229" s="137">
        <v>0</v>
      </c>
      <c r="I229" s="137">
        <v>0</v>
      </c>
      <c r="J229" s="137">
        <v>0</v>
      </c>
      <c r="K229" s="137">
        <v>0</v>
      </c>
      <c r="L229" s="137">
        <v>0</v>
      </c>
      <c r="M229" s="137">
        <v>0</v>
      </c>
      <c r="N229" s="137">
        <v>0</v>
      </c>
      <c r="O229" s="137">
        <v>0</v>
      </c>
      <c r="P229" s="137">
        <v>0</v>
      </c>
      <c r="Q229" s="137">
        <v>0</v>
      </c>
      <c r="R229" s="137">
        <v>0</v>
      </c>
      <c r="S229" s="137">
        <v>0</v>
      </c>
      <c r="T229" s="137">
        <v>0</v>
      </c>
      <c r="U229" s="137">
        <v>0</v>
      </c>
      <c r="V229" s="137">
        <v>0</v>
      </c>
      <c r="W229" s="140" t="s">
        <v>1609</v>
      </c>
      <c r="X229" s="56">
        <f t="shared" si="6"/>
        <v>7</v>
      </c>
      <c r="Y229" s="56" t="str">
        <f t="shared" si="7"/>
        <v>NO LOGUEO</v>
      </c>
    </row>
    <row r="230" spans="1:25" ht="15" x14ac:dyDescent="0.25">
      <c r="A230" s="136" t="s">
        <v>1891</v>
      </c>
      <c r="B230" s="137">
        <v>4.4400000000000004</v>
      </c>
      <c r="C230" s="137">
        <v>5.62</v>
      </c>
      <c r="D230" s="137">
        <v>5.2798999999999996</v>
      </c>
      <c r="E230" s="137">
        <v>7.61</v>
      </c>
      <c r="F230" s="137">
        <v>6.57</v>
      </c>
      <c r="G230" s="137">
        <v>5.64</v>
      </c>
      <c r="H230" s="137">
        <v>6.64</v>
      </c>
      <c r="I230" s="137">
        <v>3.76</v>
      </c>
      <c r="J230" s="137">
        <v>2.08</v>
      </c>
      <c r="K230" s="137">
        <v>2.5499999999999998</v>
      </c>
      <c r="L230" s="137">
        <v>7.29</v>
      </c>
      <c r="M230" s="137">
        <v>6.61</v>
      </c>
      <c r="N230" s="137">
        <v>3.22</v>
      </c>
      <c r="O230" s="137">
        <v>0</v>
      </c>
      <c r="P230" s="137">
        <v>0</v>
      </c>
      <c r="Q230" s="137">
        <v>2.97</v>
      </c>
      <c r="R230" s="137">
        <v>0</v>
      </c>
      <c r="S230" s="137">
        <v>0</v>
      </c>
      <c r="T230" s="137">
        <v>0</v>
      </c>
      <c r="U230" s="137">
        <v>3.2399</v>
      </c>
      <c r="V230" s="137">
        <v>4.9800000000000004</v>
      </c>
      <c r="W230" s="140" t="s">
        <v>1609</v>
      </c>
      <c r="X230" s="56">
        <f t="shared" si="6"/>
        <v>4</v>
      </c>
      <c r="Y230" s="56" t="str">
        <f t="shared" si="7"/>
        <v>NO LOGUEO</v>
      </c>
    </row>
    <row r="231" spans="1:25" ht="15" x14ac:dyDescent="0.25">
      <c r="A231" s="136" t="s">
        <v>1958</v>
      </c>
      <c r="B231" s="137">
        <v>0</v>
      </c>
      <c r="C231" s="137">
        <v>0</v>
      </c>
      <c r="D231" s="137">
        <v>0</v>
      </c>
      <c r="E231" s="137">
        <v>0</v>
      </c>
      <c r="F231" s="137">
        <v>0</v>
      </c>
      <c r="G231" s="137">
        <v>0</v>
      </c>
      <c r="H231" s="137">
        <v>0</v>
      </c>
      <c r="I231" s="137">
        <v>0</v>
      </c>
      <c r="J231" s="137">
        <v>0</v>
      </c>
      <c r="K231" s="137">
        <v>0</v>
      </c>
      <c r="L231" s="137">
        <v>0</v>
      </c>
      <c r="M231" s="137">
        <v>0</v>
      </c>
      <c r="N231" s="137">
        <v>0</v>
      </c>
      <c r="O231" s="137">
        <v>0</v>
      </c>
      <c r="P231" s="137">
        <v>0</v>
      </c>
      <c r="Q231" s="137">
        <v>0</v>
      </c>
      <c r="R231" s="137">
        <v>0</v>
      </c>
      <c r="S231" s="137">
        <v>0</v>
      </c>
      <c r="T231" s="137">
        <v>0</v>
      </c>
      <c r="U231" s="137">
        <v>0</v>
      </c>
      <c r="V231" s="137">
        <v>0</v>
      </c>
      <c r="W231" s="140" t="s">
        <v>1609</v>
      </c>
      <c r="X231" s="56">
        <f t="shared" si="6"/>
        <v>7</v>
      </c>
      <c r="Y231" s="56" t="str">
        <f t="shared" si="7"/>
        <v>NO LOGUEO</v>
      </c>
    </row>
    <row r="232" spans="1:25" ht="15" x14ac:dyDescent="0.25">
      <c r="A232" s="136" t="s">
        <v>939</v>
      </c>
      <c r="B232" s="137">
        <v>0</v>
      </c>
      <c r="C232" s="137">
        <v>0</v>
      </c>
      <c r="D232" s="137">
        <v>0</v>
      </c>
      <c r="E232" s="137">
        <v>0</v>
      </c>
      <c r="F232" s="137">
        <v>0</v>
      </c>
      <c r="G232" s="137">
        <v>0</v>
      </c>
      <c r="H232" s="137">
        <v>0</v>
      </c>
      <c r="I232" s="137">
        <v>0</v>
      </c>
      <c r="J232" s="137">
        <v>0</v>
      </c>
      <c r="K232" s="137">
        <v>0</v>
      </c>
      <c r="L232" s="137">
        <v>0</v>
      </c>
      <c r="M232" s="137">
        <v>0</v>
      </c>
      <c r="N232" s="137">
        <v>0</v>
      </c>
      <c r="O232" s="137">
        <v>0</v>
      </c>
      <c r="P232" s="137">
        <v>0</v>
      </c>
      <c r="Q232" s="137">
        <v>0</v>
      </c>
      <c r="R232" s="137">
        <v>0</v>
      </c>
      <c r="S232" s="137">
        <v>0</v>
      </c>
      <c r="T232" s="137">
        <v>0</v>
      </c>
      <c r="U232" s="137">
        <v>0</v>
      </c>
      <c r="V232" s="137">
        <v>0</v>
      </c>
      <c r="W232" s="140" t="s">
        <v>1609</v>
      </c>
      <c r="X232" s="56">
        <f t="shared" si="6"/>
        <v>7</v>
      </c>
      <c r="Y232" s="56" t="str">
        <f t="shared" si="7"/>
        <v>NO LOGUEO</v>
      </c>
    </row>
    <row r="233" spans="1:25" ht="15" x14ac:dyDescent="0.25">
      <c r="A233" s="136" t="s">
        <v>452</v>
      </c>
      <c r="B233" s="137">
        <v>9.01</v>
      </c>
      <c r="C233" s="137">
        <v>10.51</v>
      </c>
      <c r="D233" s="137">
        <v>10.91</v>
      </c>
      <c r="E233" s="137">
        <v>7.0899000000000001</v>
      </c>
      <c r="F233" s="137">
        <v>6.62</v>
      </c>
      <c r="G233" s="137">
        <v>11.61</v>
      </c>
      <c r="H233" s="137">
        <v>10.15</v>
      </c>
      <c r="I233" s="137">
        <v>7.84</v>
      </c>
      <c r="J233" s="137">
        <v>0</v>
      </c>
      <c r="K233" s="137">
        <v>9.89</v>
      </c>
      <c r="L233" s="137">
        <v>11.41</v>
      </c>
      <c r="M233" s="137">
        <v>11.95</v>
      </c>
      <c r="N233" s="137">
        <v>7.19</v>
      </c>
      <c r="O233" s="137">
        <v>10.899900000000001</v>
      </c>
      <c r="P233" s="137">
        <v>9.76</v>
      </c>
      <c r="Q233" s="137">
        <v>11.33</v>
      </c>
      <c r="R233" s="137">
        <v>11.129899999999999</v>
      </c>
      <c r="S233" s="137">
        <v>10.3299</v>
      </c>
      <c r="T233" s="137">
        <v>0</v>
      </c>
      <c r="U233" s="137">
        <v>7.65</v>
      </c>
      <c r="V233" s="137">
        <v>10.88</v>
      </c>
      <c r="W233" s="140">
        <v>14122831</v>
      </c>
      <c r="X233" s="56">
        <f t="shared" si="6"/>
        <v>1</v>
      </c>
      <c r="Y233" s="56" t="str">
        <f t="shared" si="7"/>
        <v>LOGUEO</v>
      </c>
    </row>
    <row r="234" spans="1:25" ht="15" x14ac:dyDescent="0.25">
      <c r="A234" s="136" t="s">
        <v>2528</v>
      </c>
      <c r="B234" s="137">
        <v>0</v>
      </c>
      <c r="C234" s="137">
        <v>0</v>
      </c>
      <c r="D234" s="137">
        <v>0</v>
      </c>
      <c r="E234" s="137">
        <v>0</v>
      </c>
      <c r="F234" s="137">
        <v>0</v>
      </c>
      <c r="G234" s="137">
        <v>0</v>
      </c>
      <c r="H234" s="137">
        <v>0</v>
      </c>
      <c r="I234" s="137">
        <v>0</v>
      </c>
      <c r="J234" s="137">
        <v>0</v>
      </c>
      <c r="K234" s="137">
        <v>0</v>
      </c>
      <c r="L234" s="137">
        <v>0</v>
      </c>
      <c r="M234" s="137">
        <v>0</v>
      </c>
      <c r="N234" s="137">
        <v>0</v>
      </c>
      <c r="O234" s="137">
        <v>1.78</v>
      </c>
      <c r="P234" s="137">
        <v>0</v>
      </c>
      <c r="Q234" s="137">
        <v>0</v>
      </c>
      <c r="R234" s="137">
        <v>1.6298999999999999</v>
      </c>
      <c r="S234" s="137">
        <v>0</v>
      </c>
      <c r="T234" s="137">
        <v>0</v>
      </c>
      <c r="U234" s="137">
        <v>0</v>
      </c>
      <c r="V234" s="137">
        <v>0.92</v>
      </c>
      <c r="W234" s="140" t="s">
        <v>1609</v>
      </c>
      <c r="X234" s="56">
        <f t="shared" si="6"/>
        <v>5</v>
      </c>
      <c r="Y234" s="56" t="str">
        <f t="shared" si="7"/>
        <v>NO LOGUEO</v>
      </c>
    </row>
    <row r="235" spans="1:25" ht="15" x14ac:dyDescent="0.25">
      <c r="A235" s="136" t="s">
        <v>1827</v>
      </c>
      <c r="B235" s="137">
        <v>4.91</v>
      </c>
      <c r="C235" s="137">
        <v>3.95</v>
      </c>
      <c r="D235" s="137">
        <v>2.92</v>
      </c>
      <c r="E235" s="137">
        <v>5.35</v>
      </c>
      <c r="F235" s="137">
        <v>0</v>
      </c>
      <c r="G235" s="137">
        <v>5.09</v>
      </c>
      <c r="H235" s="137">
        <v>5.76</v>
      </c>
      <c r="I235" s="137">
        <v>3.03</v>
      </c>
      <c r="J235" s="137">
        <v>4.4000000000000004</v>
      </c>
      <c r="K235" s="137">
        <v>6.25</v>
      </c>
      <c r="L235" s="137">
        <v>6.96</v>
      </c>
      <c r="M235" s="137">
        <v>5.86</v>
      </c>
      <c r="N235" s="137">
        <v>4.68</v>
      </c>
      <c r="O235" s="137">
        <v>7.06</v>
      </c>
      <c r="P235" s="137">
        <v>4.4798999999999998</v>
      </c>
      <c r="Q235" s="137">
        <v>0</v>
      </c>
      <c r="R235" s="137">
        <v>5.8699000000000003</v>
      </c>
      <c r="S235" s="137">
        <v>5.68</v>
      </c>
      <c r="T235" s="137">
        <v>6.75</v>
      </c>
      <c r="U235" s="137">
        <v>6.88</v>
      </c>
      <c r="V235" s="137">
        <v>5.48</v>
      </c>
      <c r="W235" s="140">
        <v>14122431</v>
      </c>
      <c r="X235" s="56">
        <f t="shared" si="6"/>
        <v>1</v>
      </c>
      <c r="Y235" s="56" t="str">
        <f t="shared" si="7"/>
        <v>LOGUEO</v>
      </c>
    </row>
    <row r="236" spans="1:25" ht="15" x14ac:dyDescent="0.25">
      <c r="A236" s="136" t="s">
        <v>1904</v>
      </c>
      <c r="B236" s="137">
        <v>0</v>
      </c>
      <c r="C236" s="137">
        <v>0</v>
      </c>
      <c r="D236" s="137">
        <v>0</v>
      </c>
      <c r="E236" s="137">
        <v>0</v>
      </c>
      <c r="F236" s="137">
        <v>0</v>
      </c>
      <c r="G236" s="137">
        <v>0</v>
      </c>
      <c r="H236" s="137">
        <v>0</v>
      </c>
      <c r="I236" s="137">
        <v>0</v>
      </c>
      <c r="J236" s="137">
        <v>0</v>
      </c>
      <c r="K236" s="137">
        <v>0</v>
      </c>
      <c r="L236" s="137">
        <v>0</v>
      </c>
      <c r="M236" s="137">
        <v>0</v>
      </c>
      <c r="N236" s="137">
        <v>0</v>
      </c>
      <c r="O236" s="137">
        <v>0</v>
      </c>
      <c r="P236" s="137">
        <v>0</v>
      </c>
      <c r="Q236" s="137">
        <v>0</v>
      </c>
      <c r="R236" s="137">
        <v>0</v>
      </c>
      <c r="S236" s="137">
        <v>0</v>
      </c>
      <c r="T236" s="137">
        <v>0</v>
      </c>
      <c r="U236" s="137">
        <v>0</v>
      </c>
      <c r="V236" s="137">
        <v>0</v>
      </c>
      <c r="W236" s="140" t="s">
        <v>1609</v>
      </c>
      <c r="X236" s="56">
        <f t="shared" si="6"/>
        <v>7</v>
      </c>
      <c r="Y236" s="56" t="str">
        <f t="shared" si="7"/>
        <v>NO LOGUEO</v>
      </c>
    </row>
    <row r="237" spans="1:25" ht="15" x14ac:dyDescent="0.25">
      <c r="A237" s="136" t="s">
        <v>192</v>
      </c>
      <c r="B237" s="137">
        <v>4.75</v>
      </c>
      <c r="C237" s="137">
        <v>11.5799</v>
      </c>
      <c r="D237" s="137">
        <v>8.2199000000000009</v>
      </c>
      <c r="E237" s="137">
        <v>9.2898999999999994</v>
      </c>
      <c r="F237" s="137">
        <v>7.1699000000000002</v>
      </c>
      <c r="G237" s="137">
        <v>9.27</v>
      </c>
      <c r="H237" s="137">
        <v>5.8198999999999996</v>
      </c>
      <c r="I237" s="137">
        <v>2.98</v>
      </c>
      <c r="J237" s="137">
        <v>11.069900000000001</v>
      </c>
      <c r="K237" s="137">
        <v>12.0899</v>
      </c>
      <c r="L237" s="137">
        <v>8.3698999999999995</v>
      </c>
      <c r="M237" s="137">
        <v>7.99</v>
      </c>
      <c r="N237" s="137">
        <v>10.57</v>
      </c>
      <c r="O237" s="137">
        <v>8.61</v>
      </c>
      <c r="P237" s="137">
        <v>3.3</v>
      </c>
      <c r="Q237" s="137">
        <v>8.89</v>
      </c>
      <c r="R237" s="137">
        <v>9.74</v>
      </c>
      <c r="S237" s="137">
        <v>13.53</v>
      </c>
      <c r="T237" s="137">
        <v>10.969900000000001</v>
      </c>
      <c r="U237" s="137">
        <v>5.5698999999999996</v>
      </c>
      <c r="V237" s="137">
        <v>6.58</v>
      </c>
      <c r="W237" s="140">
        <v>14118186</v>
      </c>
      <c r="X237" s="56">
        <f t="shared" si="6"/>
        <v>0</v>
      </c>
      <c r="Y237" s="56" t="str">
        <f t="shared" si="7"/>
        <v>LOGUEO</v>
      </c>
    </row>
    <row r="238" spans="1:25" ht="15" x14ac:dyDescent="0.25">
      <c r="A238" s="136" t="s">
        <v>224</v>
      </c>
      <c r="B238" s="137">
        <v>5.5</v>
      </c>
      <c r="C238" s="137">
        <v>7.45</v>
      </c>
      <c r="D238" s="137">
        <v>7.65</v>
      </c>
      <c r="E238" s="137">
        <v>7.08</v>
      </c>
      <c r="F238" s="137">
        <v>1.4</v>
      </c>
      <c r="G238" s="137">
        <v>7.71</v>
      </c>
      <c r="H238" s="137">
        <v>3.25</v>
      </c>
      <c r="I238" s="137">
        <v>0</v>
      </c>
      <c r="J238" s="137">
        <v>6.21</v>
      </c>
      <c r="K238" s="137">
        <v>9.14</v>
      </c>
      <c r="L238" s="137">
        <v>7.54</v>
      </c>
      <c r="M238" s="137">
        <v>7.76</v>
      </c>
      <c r="N238" s="137">
        <v>5.58</v>
      </c>
      <c r="O238" s="137">
        <v>7.88</v>
      </c>
      <c r="P238" s="137">
        <v>5.4599000000000002</v>
      </c>
      <c r="Q238" s="137">
        <v>6.55</v>
      </c>
      <c r="R238" s="137">
        <v>9.11</v>
      </c>
      <c r="S238" s="137">
        <v>6.31</v>
      </c>
      <c r="T238" s="137">
        <v>9.1798999999999999</v>
      </c>
      <c r="U238" s="137">
        <v>5.7099000000000002</v>
      </c>
      <c r="V238" s="137">
        <v>4.2</v>
      </c>
      <c r="W238" s="140">
        <v>14118956</v>
      </c>
      <c r="X238" s="56">
        <f t="shared" si="6"/>
        <v>0</v>
      </c>
      <c r="Y238" s="56" t="str">
        <f t="shared" si="7"/>
        <v>LOGUEO</v>
      </c>
    </row>
    <row r="239" spans="1:25" ht="15" x14ac:dyDescent="0.25">
      <c r="A239" s="136" t="s">
        <v>420</v>
      </c>
      <c r="B239" s="137">
        <v>8.6199999999999992</v>
      </c>
      <c r="C239" s="137">
        <v>0</v>
      </c>
      <c r="D239" s="137">
        <v>9.8698999999999995</v>
      </c>
      <c r="E239" s="137">
        <v>7.01</v>
      </c>
      <c r="F239" s="137">
        <v>2.02</v>
      </c>
      <c r="G239" s="137">
        <v>8.4700000000000006</v>
      </c>
      <c r="H239" s="137">
        <v>9.0299999999999994</v>
      </c>
      <c r="I239" s="137">
        <v>9.5299999999999994</v>
      </c>
      <c r="J239" s="137">
        <v>9.82</v>
      </c>
      <c r="K239" s="137">
        <v>8.9799000000000007</v>
      </c>
      <c r="L239" s="137">
        <v>8.81</v>
      </c>
      <c r="M239" s="137">
        <v>8.73</v>
      </c>
      <c r="N239" s="137">
        <v>9.91</v>
      </c>
      <c r="O239" s="137">
        <v>7.47</v>
      </c>
      <c r="P239" s="137">
        <v>9.6999999999999993</v>
      </c>
      <c r="Q239" s="137">
        <v>2.4700000000000002</v>
      </c>
      <c r="R239" s="137">
        <v>10.219900000000001</v>
      </c>
      <c r="S239" s="137">
        <v>9.5398999999999994</v>
      </c>
      <c r="T239" s="137">
        <v>8.01</v>
      </c>
      <c r="U239" s="137">
        <v>9.2998999999999992</v>
      </c>
      <c r="V239" s="137">
        <v>8.73</v>
      </c>
      <c r="W239" s="140">
        <v>14122416</v>
      </c>
      <c r="X239" s="56">
        <f t="shared" si="6"/>
        <v>0</v>
      </c>
      <c r="Y239" s="56" t="str">
        <f t="shared" si="7"/>
        <v>LOGUEO</v>
      </c>
    </row>
    <row r="240" spans="1:25" ht="15" x14ac:dyDescent="0.25">
      <c r="A240" s="136" t="s">
        <v>202</v>
      </c>
      <c r="B240" s="137">
        <v>9.06</v>
      </c>
      <c r="C240" s="137">
        <v>9.82</v>
      </c>
      <c r="D240" s="137">
        <v>0</v>
      </c>
      <c r="E240" s="137">
        <v>7.26</v>
      </c>
      <c r="F240" s="137">
        <v>7.6199000000000003</v>
      </c>
      <c r="G240" s="137">
        <v>9.19</v>
      </c>
      <c r="H240" s="137">
        <v>9.08</v>
      </c>
      <c r="I240" s="137">
        <v>8.81</v>
      </c>
      <c r="J240" s="137">
        <v>9.16</v>
      </c>
      <c r="K240" s="137">
        <v>9.98</v>
      </c>
      <c r="L240" s="137">
        <v>8.52</v>
      </c>
      <c r="M240" s="137">
        <v>9.5398999999999994</v>
      </c>
      <c r="N240" s="137">
        <v>0</v>
      </c>
      <c r="O240" s="137">
        <v>9.16</v>
      </c>
      <c r="P240" s="137">
        <v>8.1199999999999992</v>
      </c>
      <c r="Q240" s="137">
        <v>8.64</v>
      </c>
      <c r="R240" s="137">
        <v>10.53</v>
      </c>
      <c r="S240" s="137">
        <v>9.94</v>
      </c>
      <c r="T240" s="137">
        <v>13.64</v>
      </c>
      <c r="U240" s="137">
        <v>9.1999999999999993</v>
      </c>
      <c r="V240" s="137">
        <v>6.2</v>
      </c>
      <c r="W240" s="140">
        <v>14118499</v>
      </c>
      <c r="X240" s="56">
        <f t="shared" si="6"/>
        <v>0</v>
      </c>
      <c r="Y240" s="56" t="str">
        <f t="shared" si="7"/>
        <v>LOGUEO</v>
      </c>
    </row>
    <row r="241" spans="1:25" ht="15" x14ac:dyDescent="0.25">
      <c r="A241" s="136" t="s">
        <v>1892</v>
      </c>
      <c r="B241" s="137">
        <v>0</v>
      </c>
      <c r="C241" s="137">
        <v>0</v>
      </c>
      <c r="D241" s="137">
        <v>0</v>
      </c>
      <c r="E241" s="137">
        <v>0</v>
      </c>
      <c r="F241" s="137">
        <v>0</v>
      </c>
      <c r="G241" s="137">
        <v>0</v>
      </c>
      <c r="H241" s="137">
        <v>0</v>
      </c>
      <c r="I241" s="137">
        <v>0</v>
      </c>
      <c r="J241" s="137">
        <v>0</v>
      </c>
      <c r="K241" s="137">
        <v>0</v>
      </c>
      <c r="L241" s="137">
        <v>0</v>
      </c>
      <c r="M241" s="137">
        <v>0</v>
      </c>
      <c r="N241" s="137">
        <v>0</v>
      </c>
      <c r="O241" s="137">
        <v>0</v>
      </c>
      <c r="P241" s="137">
        <v>0</v>
      </c>
      <c r="Q241" s="137">
        <v>0</v>
      </c>
      <c r="R241" s="137">
        <v>0</v>
      </c>
      <c r="S241" s="137">
        <v>0</v>
      </c>
      <c r="T241" s="137">
        <v>0</v>
      </c>
      <c r="U241" s="137">
        <v>0</v>
      </c>
      <c r="V241" s="137">
        <v>0</v>
      </c>
      <c r="W241" s="140" t="s">
        <v>1609</v>
      </c>
      <c r="X241" s="56">
        <f t="shared" si="6"/>
        <v>7</v>
      </c>
      <c r="Y241" s="56" t="str">
        <f t="shared" si="7"/>
        <v>NO LOGUEO</v>
      </c>
    </row>
    <row r="242" spans="1:25" ht="15" x14ac:dyDescent="0.25">
      <c r="A242" s="136" t="s">
        <v>1959</v>
      </c>
      <c r="B242" s="137">
        <v>0</v>
      </c>
      <c r="C242" s="137">
        <v>0</v>
      </c>
      <c r="D242" s="137">
        <v>0</v>
      </c>
      <c r="E242" s="137">
        <v>0</v>
      </c>
      <c r="F242" s="137">
        <v>0</v>
      </c>
      <c r="G242" s="137">
        <v>0</v>
      </c>
      <c r="H242" s="137">
        <v>0</v>
      </c>
      <c r="I242" s="137">
        <v>0</v>
      </c>
      <c r="J242" s="137">
        <v>0</v>
      </c>
      <c r="K242" s="137">
        <v>0</v>
      </c>
      <c r="L242" s="137">
        <v>0</v>
      </c>
      <c r="M242" s="137">
        <v>0</v>
      </c>
      <c r="N242" s="137">
        <v>0</v>
      </c>
      <c r="O242" s="137">
        <v>0</v>
      </c>
      <c r="P242" s="137">
        <v>0</v>
      </c>
      <c r="Q242" s="137">
        <v>0</v>
      </c>
      <c r="R242" s="137">
        <v>0</v>
      </c>
      <c r="S242" s="137">
        <v>0</v>
      </c>
      <c r="T242" s="137">
        <v>0</v>
      </c>
      <c r="U242" s="137">
        <v>0</v>
      </c>
      <c r="V242" s="137">
        <v>0</v>
      </c>
      <c r="W242" s="140" t="s">
        <v>1609</v>
      </c>
      <c r="X242" s="56">
        <f t="shared" si="6"/>
        <v>7</v>
      </c>
      <c r="Y242" s="56" t="str">
        <f t="shared" si="7"/>
        <v>NO LOGUEO</v>
      </c>
    </row>
    <row r="243" spans="1:25" ht="15" x14ac:dyDescent="0.25">
      <c r="A243" s="136" t="s">
        <v>2542</v>
      </c>
      <c r="B243" s="137">
        <v>0</v>
      </c>
      <c r="C243" s="137">
        <v>0</v>
      </c>
      <c r="D243" s="137">
        <v>0</v>
      </c>
      <c r="E243" s="137">
        <v>0</v>
      </c>
      <c r="F243" s="137">
        <v>0</v>
      </c>
      <c r="G243" s="137">
        <v>0</v>
      </c>
      <c r="H243" s="137">
        <v>0</v>
      </c>
      <c r="I243" s="137">
        <v>0</v>
      </c>
      <c r="J243" s="137">
        <v>0</v>
      </c>
      <c r="K243" s="137">
        <v>0</v>
      </c>
      <c r="L243" s="137">
        <v>0</v>
      </c>
      <c r="M243" s="137">
        <v>0</v>
      </c>
      <c r="N243" s="137">
        <v>0</v>
      </c>
      <c r="O243" s="137">
        <v>1.07</v>
      </c>
      <c r="P243" s="137">
        <v>0</v>
      </c>
      <c r="Q243" s="137">
        <v>0.9</v>
      </c>
      <c r="R243" s="137">
        <v>0</v>
      </c>
      <c r="S243" s="137">
        <v>1.55</v>
      </c>
      <c r="T243" s="137">
        <v>0</v>
      </c>
      <c r="U243" s="137">
        <v>0</v>
      </c>
      <c r="V243" s="137">
        <v>0</v>
      </c>
      <c r="W243" s="140" t="s">
        <v>1609</v>
      </c>
      <c r="X243" s="56">
        <f t="shared" si="6"/>
        <v>5</v>
      </c>
      <c r="Y243" s="56" t="str">
        <f t="shared" si="7"/>
        <v>NO LOGUEO</v>
      </c>
    </row>
    <row r="244" spans="1:25" ht="15" x14ac:dyDescent="0.25">
      <c r="A244" s="136" t="s">
        <v>293</v>
      </c>
      <c r="B244" s="137">
        <v>3.43</v>
      </c>
      <c r="C244" s="137">
        <v>5.92</v>
      </c>
      <c r="D244" s="137">
        <v>7.64</v>
      </c>
      <c r="E244" s="137">
        <v>6.47</v>
      </c>
      <c r="F244" s="137">
        <v>1.6</v>
      </c>
      <c r="G244" s="137">
        <v>7.85</v>
      </c>
      <c r="H244" s="137">
        <v>4.09</v>
      </c>
      <c r="I244" s="137">
        <v>2.94</v>
      </c>
      <c r="J244" s="137">
        <v>7.7298999999999998</v>
      </c>
      <c r="K244" s="137">
        <v>5.46</v>
      </c>
      <c r="L244" s="137">
        <v>7.61</v>
      </c>
      <c r="M244" s="137">
        <v>8.7098999999999993</v>
      </c>
      <c r="N244" s="137">
        <v>7.68</v>
      </c>
      <c r="O244" s="137">
        <v>7.17</v>
      </c>
      <c r="P244" s="137">
        <v>3.2</v>
      </c>
      <c r="Q244" s="137">
        <v>7.8498999999999999</v>
      </c>
      <c r="R244" s="137">
        <v>8.0299999999999994</v>
      </c>
      <c r="S244" s="137">
        <v>7.43</v>
      </c>
      <c r="T244" s="137">
        <v>9.6199999999999992</v>
      </c>
      <c r="U244" s="137">
        <v>7.45</v>
      </c>
      <c r="V244" s="137">
        <v>6.59</v>
      </c>
      <c r="W244" s="140">
        <v>14120613</v>
      </c>
      <c r="X244" s="56">
        <f t="shared" si="6"/>
        <v>0</v>
      </c>
      <c r="Y244" s="56" t="str">
        <f t="shared" si="7"/>
        <v>LOGUEO</v>
      </c>
    </row>
    <row r="245" spans="1:25" ht="15" x14ac:dyDescent="0.25">
      <c r="A245" s="136" t="s">
        <v>2591</v>
      </c>
      <c r="B245" s="137">
        <v>0</v>
      </c>
      <c r="C245" s="137">
        <v>0</v>
      </c>
      <c r="D245" s="137">
        <v>11.31</v>
      </c>
      <c r="E245" s="137">
        <v>13.3</v>
      </c>
      <c r="F245" s="137">
        <v>13.02</v>
      </c>
      <c r="G245" s="137">
        <v>12.47</v>
      </c>
      <c r="H245" s="137">
        <v>12.17</v>
      </c>
      <c r="I245" s="137">
        <v>10.899900000000001</v>
      </c>
      <c r="J245" s="137">
        <v>5.42</v>
      </c>
      <c r="K245" s="137">
        <v>4.88</v>
      </c>
      <c r="L245" s="137">
        <v>1.85</v>
      </c>
      <c r="M245" s="137">
        <v>0</v>
      </c>
      <c r="N245" s="137">
        <v>0</v>
      </c>
      <c r="O245" s="137">
        <v>1.43</v>
      </c>
      <c r="P245" s="137">
        <v>0</v>
      </c>
      <c r="Q245" s="137">
        <v>1.25</v>
      </c>
      <c r="R245" s="137">
        <v>0</v>
      </c>
      <c r="S245" s="137">
        <v>0</v>
      </c>
      <c r="T245" s="137">
        <v>0</v>
      </c>
      <c r="U245" s="137">
        <v>0</v>
      </c>
      <c r="V245" s="137">
        <v>0</v>
      </c>
      <c r="W245" s="140" t="s">
        <v>1609</v>
      </c>
      <c r="X245" s="56">
        <f t="shared" si="6"/>
        <v>6</v>
      </c>
      <c r="Y245" s="56" t="str">
        <f t="shared" si="7"/>
        <v>NO LOGUEO</v>
      </c>
    </row>
    <row r="246" spans="1:25" ht="15" x14ac:dyDescent="0.25">
      <c r="A246" s="136" t="s">
        <v>2529</v>
      </c>
      <c r="B246" s="137">
        <v>0</v>
      </c>
      <c r="C246" s="137">
        <v>0</v>
      </c>
      <c r="D246" s="137">
        <v>0</v>
      </c>
      <c r="E246" s="137">
        <v>0</v>
      </c>
      <c r="F246" s="137">
        <v>0</v>
      </c>
      <c r="G246" s="137">
        <v>0</v>
      </c>
      <c r="H246" s="137">
        <v>0</v>
      </c>
      <c r="I246" s="137">
        <v>0</v>
      </c>
      <c r="J246" s="137">
        <v>0</v>
      </c>
      <c r="K246" s="137">
        <v>0</v>
      </c>
      <c r="L246" s="137">
        <v>0</v>
      </c>
      <c r="M246" s="137">
        <v>0</v>
      </c>
      <c r="N246" s="137">
        <v>0</v>
      </c>
      <c r="O246" s="137">
        <v>0</v>
      </c>
      <c r="P246" s="137">
        <v>0</v>
      </c>
      <c r="Q246" s="137">
        <v>0</v>
      </c>
      <c r="R246" s="137">
        <v>0</v>
      </c>
      <c r="S246" s="137">
        <v>0</v>
      </c>
      <c r="T246" s="137">
        <v>0</v>
      </c>
      <c r="U246" s="137">
        <v>0.53</v>
      </c>
      <c r="V246" s="137">
        <v>0</v>
      </c>
      <c r="W246" s="140" t="s">
        <v>1609</v>
      </c>
      <c r="X246" s="56">
        <f t="shared" si="6"/>
        <v>6</v>
      </c>
      <c r="Y246" s="56" t="str">
        <f t="shared" si="7"/>
        <v>NO LOGUEO</v>
      </c>
    </row>
    <row r="247" spans="1:25" ht="15" x14ac:dyDescent="0.25">
      <c r="A247" s="136" t="s">
        <v>1828</v>
      </c>
      <c r="B247" s="137">
        <v>0</v>
      </c>
      <c r="C247" s="137">
        <v>0</v>
      </c>
      <c r="D247" s="137">
        <v>2.91</v>
      </c>
      <c r="E247" s="137">
        <v>4.8</v>
      </c>
      <c r="F247" s="137">
        <v>2.92</v>
      </c>
      <c r="G247" s="137">
        <v>5.58</v>
      </c>
      <c r="H247" s="137">
        <v>5.0199999999999996</v>
      </c>
      <c r="I247" s="137">
        <v>5.65</v>
      </c>
      <c r="J247" s="137">
        <v>5.74</v>
      </c>
      <c r="K247" s="137">
        <v>5.39</v>
      </c>
      <c r="L247" s="137">
        <v>7.14</v>
      </c>
      <c r="M247" s="137">
        <v>4.82</v>
      </c>
      <c r="N247" s="137">
        <v>5.01</v>
      </c>
      <c r="O247" s="137">
        <v>3.92</v>
      </c>
      <c r="P247" s="137">
        <v>0</v>
      </c>
      <c r="Q247" s="137">
        <v>2.94</v>
      </c>
      <c r="R247" s="137">
        <v>4.8</v>
      </c>
      <c r="S247" s="137">
        <v>4.2</v>
      </c>
      <c r="T247" s="137">
        <v>3.29</v>
      </c>
      <c r="U247" s="137">
        <v>5.9398999999999997</v>
      </c>
      <c r="V247" s="137">
        <v>3.95</v>
      </c>
      <c r="W247" s="140" t="s">
        <v>1609</v>
      </c>
      <c r="X247" s="56">
        <f t="shared" si="6"/>
        <v>1</v>
      </c>
      <c r="Y247" s="56" t="str">
        <f t="shared" si="7"/>
        <v>LOGUEO</v>
      </c>
    </row>
    <row r="248" spans="1:25" ht="15" x14ac:dyDescent="0.25">
      <c r="A248" s="136" t="s">
        <v>191</v>
      </c>
      <c r="B248" s="137">
        <v>0</v>
      </c>
      <c r="C248" s="137">
        <v>0</v>
      </c>
      <c r="D248" s="137">
        <v>2.77</v>
      </c>
      <c r="E248" s="137">
        <v>2.8</v>
      </c>
      <c r="F248" s="137">
        <v>0</v>
      </c>
      <c r="G248" s="137">
        <v>0</v>
      </c>
      <c r="H248" s="137">
        <v>3.08</v>
      </c>
      <c r="I248" s="137">
        <v>0</v>
      </c>
      <c r="J248" s="137">
        <v>1.65</v>
      </c>
      <c r="K248" s="137">
        <v>3.0099</v>
      </c>
      <c r="L248" s="137">
        <v>2.88</v>
      </c>
      <c r="M248" s="137">
        <v>2.9</v>
      </c>
      <c r="N248" s="137">
        <v>3.34</v>
      </c>
      <c r="O248" s="137">
        <v>3.13</v>
      </c>
      <c r="P248" s="137">
        <v>0</v>
      </c>
      <c r="Q248" s="137">
        <v>0</v>
      </c>
      <c r="R248" s="137">
        <v>2.8498999999999999</v>
      </c>
      <c r="S248" s="137">
        <v>3.06</v>
      </c>
      <c r="T248" s="137">
        <v>3.13</v>
      </c>
      <c r="U248" s="137">
        <v>2.66</v>
      </c>
      <c r="V248" s="137">
        <v>3.14</v>
      </c>
      <c r="W248" s="140">
        <v>14118065</v>
      </c>
      <c r="X248" s="56">
        <f t="shared" si="6"/>
        <v>2</v>
      </c>
      <c r="Y248" s="56" t="str">
        <f t="shared" si="7"/>
        <v>NO LOGUEO</v>
      </c>
    </row>
    <row r="249" spans="1:25" ht="15" x14ac:dyDescent="0.25">
      <c r="A249" s="136" t="s">
        <v>1960</v>
      </c>
      <c r="B249" s="137">
        <v>0</v>
      </c>
      <c r="C249" s="137">
        <v>0</v>
      </c>
      <c r="D249" s="137">
        <v>0</v>
      </c>
      <c r="E249" s="137">
        <v>0</v>
      </c>
      <c r="F249" s="137">
        <v>0</v>
      </c>
      <c r="G249" s="137">
        <v>0</v>
      </c>
      <c r="H249" s="137">
        <v>0</v>
      </c>
      <c r="I249" s="137">
        <v>0</v>
      </c>
      <c r="J249" s="137">
        <v>0</v>
      </c>
      <c r="K249" s="137">
        <v>0</v>
      </c>
      <c r="L249" s="137">
        <v>0</v>
      </c>
      <c r="M249" s="137">
        <v>0</v>
      </c>
      <c r="N249" s="137">
        <v>0</v>
      </c>
      <c r="O249" s="137">
        <v>0</v>
      </c>
      <c r="P249" s="137">
        <v>0</v>
      </c>
      <c r="Q249" s="137">
        <v>0</v>
      </c>
      <c r="R249" s="137">
        <v>0</v>
      </c>
      <c r="S249" s="137">
        <v>0</v>
      </c>
      <c r="T249" s="137">
        <v>0</v>
      </c>
      <c r="U249" s="137">
        <v>0</v>
      </c>
      <c r="V249" s="137">
        <v>0</v>
      </c>
      <c r="W249" s="140" t="s">
        <v>1609</v>
      </c>
      <c r="X249" s="56">
        <f t="shared" si="6"/>
        <v>7</v>
      </c>
      <c r="Y249" s="56" t="str">
        <f t="shared" si="7"/>
        <v>NO LOGUEO</v>
      </c>
    </row>
    <row r="250" spans="1:25" ht="15" x14ac:dyDescent="0.25">
      <c r="A250" s="136" t="s">
        <v>207</v>
      </c>
      <c r="B250" s="137">
        <v>0.6</v>
      </c>
      <c r="C250" s="137">
        <v>3.5598999999999998</v>
      </c>
      <c r="D250" s="137">
        <v>5.34</v>
      </c>
      <c r="E250" s="137">
        <v>6.59</v>
      </c>
      <c r="F250" s="137">
        <v>1.2999000000000001</v>
      </c>
      <c r="G250" s="137">
        <v>6.2999000000000001</v>
      </c>
      <c r="H250" s="137">
        <v>9.92</v>
      </c>
      <c r="I250" s="137">
        <v>3.33</v>
      </c>
      <c r="J250" s="137">
        <v>4.18</v>
      </c>
      <c r="K250" s="137">
        <v>7.57</v>
      </c>
      <c r="L250" s="137">
        <v>6.74</v>
      </c>
      <c r="M250" s="137">
        <v>7.86</v>
      </c>
      <c r="N250" s="137">
        <v>4</v>
      </c>
      <c r="O250" s="137">
        <v>7.9</v>
      </c>
      <c r="P250" s="137">
        <v>2.57</v>
      </c>
      <c r="Q250" s="137">
        <v>6.58</v>
      </c>
      <c r="R250" s="137">
        <v>6.87</v>
      </c>
      <c r="S250" s="137">
        <v>5.6199000000000003</v>
      </c>
      <c r="T250" s="137">
        <v>7.03</v>
      </c>
      <c r="U250" s="137">
        <v>4.47</v>
      </c>
      <c r="V250" s="137">
        <v>0.25</v>
      </c>
      <c r="W250" s="140">
        <v>14118622</v>
      </c>
      <c r="X250" s="56">
        <f t="shared" si="6"/>
        <v>0</v>
      </c>
      <c r="Y250" s="56" t="str">
        <f t="shared" si="7"/>
        <v>LOGUEO</v>
      </c>
    </row>
    <row r="251" spans="1:25" ht="15" x14ac:dyDescent="0.25">
      <c r="A251" s="136" t="s">
        <v>204</v>
      </c>
      <c r="B251" s="137">
        <v>0</v>
      </c>
      <c r="C251" s="137">
        <v>0</v>
      </c>
      <c r="D251" s="137">
        <v>0</v>
      </c>
      <c r="E251" s="137">
        <v>0</v>
      </c>
      <c r="F251" s="137">
        <v>0</v>
      </c>
      <c r="G251" s="137">
        <v>0</v>
      </c>
      <c r="H251" s="137">
        <v>0</v>
      </c>
      <c r="I251" s="137">
        <v>0</v>
      </c>
      <c r="J251" s="137">
        <v>0</v>
      </c>
      <c r="K251" s="137">
        <v>0</v>
      </c>
      <c r="L251" s="137">
        <v>0</v>
      </c>
      <c r="M251" s="137">
        <v>0</v>
      </c>
      <c r="N251" s="137">
        <v>0</v>
      </c>
      <c r="O251" s="137">
        <v>0</v>
      </c>
      <c r="P251" s="137">
        <v>0</v>
      </c>
      <c r="Q251" s="137">
        <v>0</v>
      </c>
      <c r="R251" s="137">
        <v>8.16</v>
      </c>
      <c r="S251" s="137">
        <v>7.16</v>
      </c>
      <c r="T251" s="137">
        <v>7.31</v>
      </c>
      <c r="U251" s="137">
        <v>8.09</v>
      </c>
      <c r="V251" s="137">
        <v>8.73</v>
      </c>
      <c r="W251" s="140">
        <v>14118518</v>
      </c>
      <c r="X251" s="56">
        <f t="shared" si="6"/>
        <v>2</v>
      </c>
      <c r="Y251" s="56" t="str">
        <f t="shared" si="7"/>
        <v>NO LOGUEO</v>
      </c>
    </row>
    <row r="252" spans="1:25" ht="15" x14ac:dyDescent="0.25">
      <c r="A252" s="136" t="s">
        <v>2530</v>
      </c>
      <c r="B252" s="137">
        <v>8.65</v>
      </c>
      <c r="C252" s="137">
        <v>5.59</v>
      </c>
      <c r="D252" s="137">
        <v>0</v>
      </c>
      <c r="E252" s="137">
        <v>0</v>
      </c>
      <c r="F252" s="137">
        <v>0</v>
      </c>
      <c r="G252" s="137">
        <v>0</v>
      </c>
      <c r="H252" s="137">
        <v>0</v>
      </c>
      <c r="I252" s="137">
        <v>0</v>
      </c>
      <c r="J252" s="137">
        <v>0</v>
      </c>
      <c r="K252" s="137">
        <v>0</v>
      </c>
      <c r="L252" s="137">
        <v>2.4699</v>
      </c>
      <c r="M252" s="137">
        <v>0.83</v>
      </c>
      <c r="N252" s="137">
        <v>2.65</v>
      </c>
      <c r="O252" s="137">
        <v>1.42</v>
      </c>
      <c r="P252" s="137">
        <v>0</v>
      </c>
      <c r="Q252" s="137">
        <v>0</v>
      </c>
      <c r="R252" s="137">
        <v>0</v>
      </c>
      <c r="S252" s="137">
        <v>0</v>
      </c>
      <c r="T252" s="137">
        <v>1.57</v>
      </c>
      <c r="U252" s="137">
        <v>0</v>
      </c>
      <c r="V252" s="137">
        <v>0</v>
      </c>
      <c r="W252" s="140" t="s">
        <v>1609</v>
      </c>
      <c r="X252" s="56">
        <f t="shared" si="6"/>
        <v>6</v>
      </c>
      <c r="Y252" s="56" t="str">
        <f t="shared" si="7"/>
        <v>NO LOGUEO</v>
      </c>
    </row>
    <row r="253" spans="1:25" ht="15" x14ac:dyDescent="0.25">
      <c r="A253" s="136" t="s">
        <v>444</v>
      </c>
      <c r="B253" s="137">
        <v>0</v>
      </c>
      <c r="C253" s="137">
        <v>0</v>
      </c>
      <c r="D253" s="137">
        <v>2.5499999999999998</v>
      </c>
      <c r="E253" s="137">
        <v>6.47</v>
      </c>
      <c r="F253" s="137">
        <v>0</v>
      </c>
      <c r="G253" s="137">
        <v>0</v>
      </c>
      <c r="H253" s="137">
        <v>1.54</v>
      </c>
      <c r="I253" s="137">
        <v>0</v>
      </c>
      <c r="J253" s="137">
        <v>0</v>
      </c>
      <c r="K253" s="137">
        <v>7.46</v>
      </c>
      <c r="L253" s="137">
        <v>15.92</v>
      </c>
      <c r="M253" s="137">
        <v>13.0099</v>
      </c>
      <c r="N253" s="137">
        <v>2.62</v>
      </c>
      <c r="O253" s="137">
        <v>13.96</v>
      </c>
      <c r="P253" s="137">
        <v>16.13</v>
      </c>
      <c r="Q253" s="137">
        <v>0</v>
      </c>
      <c r="R253" s="137">
        <v>0</v>
      </c>
      <c r="S253" s="137">
        <v>5.92</v>
      </c>
      <c r="T253" s="137">
        <v>0</v>
      </c>
      <c r="U253" s="137">
        <v>16.14</v>
      </c>
      <c r="V253" s="137">
        <v>14.54</v>
      </c>
      <c r="W253" s="140">
        <v>14122706</v>
      </c>
      <c r="X253" s="56">
        <f t="shared" si="6"/>
        <v>3</v>
      </c>
      <c r="Y253" s="56" t="str">
        <f t="shared" si="7"/>
        <v>NO LOGUEO</v>
      </c>
    </row>
    <row r="254" spans="1:25" ht="15" x14ac:dyDescent="0.25">
      <c r="A254" s="136" t="s">
        <v>296</v>
      </c>
      <c r="B254" s="137">
        <v>0</v>
      </c>
      <c r="C254" s="137">
        <v>7.76</v>
      </c>
      <c r="D254" s="137">
        <v>5.09</v>
      </c>
      <c r="E254" s="137">
        <v>6.53</v>
      </c>
      <c r="F254" s="137">
        <v>0</v>
      </c>
      <c r="G254" s="137">
        <v>7.05</v>
      </c>
      <c r="H254" s="137">
        <v>7.3498999999999999</v>
      </c>
      <c r="I254" s="137">
        <v>4.96</v>
      </c>
      <c r="J254" s="137">
        <v>4.99</v>
      </c>
      <c r="K254" s="137">
        <v>5.27</v>
      </c>
      <c r="L254" s="137">
        <v>6.07</v>
      </c>
      <c r="M254" s="137">
        <v>6.82</v>
      </c>
      <c r="N254" s="137">
        <v>9.5799000000000003</v>
      </c>
      <c r="O254" s="137">
        <v>7.18</v>
      </c>
      <c r="P254" s="137">
        <v>6.93</v>
      </c>
      <c r="Q254" s="137">
        <v>0</v>
      </c>
      <c r="R254" s="137">
        <v>6.01</v>
      </c>
      <c r="S254" s="137">
        <v>6.64</v>
      </c>
      <c r="T254" s="137">
        <v>7.62</v>
      </c>
      <c r="U254" s="137">
        <v>6.79</v>
      </c>
      <c r="V254" s="137">
        <v>5.77</v>
      </c>
      <c r="W254" s="140">
        <v>14120655</v>
      </c>
      <c r="X254" s="56">
        <f t="shared" si="6"/>
        <v>1</v>
      </c>
      <c r="Y254" s="56" t="str">
        <f t="shared" si="7"/>
        <v>LOGUEO</v>
      </c>
    </row>
    <row r="255" spans="1:25" ht="15" x14ac:dyDescent="0.25">
      <c r="A255" s="136" t="s">
        <v>1009</v>
      </c>
      <c r="B255" s="137">
        <v>9.5500000000000007</v>
      </c>
      <c r="C255" s="137">
        <v>0</v>
      </c>
      <c r="D255" s="137">
        <v>11.77</v>
      </c>
      <c r="E255" s="137">
        <v>0.5</v>
      </c>
      <c r="F255" s="137">
        <v>7.2</v>
      </c>
      <c r="G255" s="137">
        <v>0.52</v>
      </c>
      <c r="H255" s="137">
        <v>11.36</v>
      </c>
      <c r="I255" s="137">
        <v>0</v>
      </c>
      <c r="J255" s="137">
        <v>12.75</v>
      </c>
      <c r="K255" s="137">
        <v>0</v>
      </c>
      <c r="L255" s="137">
        <v>11.14</v>
      </c>
      <c r="M255" s="137">
        <v>1.35</v>
      </c>
      <c r="N255" s="137">
        <v>12.47</v>
      </c>
      <c r="O255" s="137">
        <v>0.80989999999999995</v>
      </c>
      <c r="P255" s="137">
        <v>8.2100000000000009</v>
      </c>
      <c r="Q255" s="137">
        <v>0</v>
      </c>
      <c r="R255" s="137">
        <v>0</v>
      </c>
      <c r="S255" s="137">
        <v>0</v>
      </c>
      <c r="T255" s="137">
        <v>0</v>
      </c>
      <c r="U255" s="137">
        <v>11.74</v>
      </c>
      <c r="V255" s="137">
        <v>0</v>
      </c>
      <c r="W255" s="140" t="s">
        <v>1609</v>
      </c>
      <c r="X255" s="56">
        <f t="shared" si="6"/>
        <v>5</v>
      </c>
      <c r="Y255" s="56" t="str">
        <f t="shared" si="7"/>
        <v>NO LOGUEO</v>
      </c>
    </row>
    <row r="256" spans="1:25" ht="15" x14ac:dyDescent="0.25">
      <c r="A256" s="136" t="s">
        <v>1961</v>
      </c>
      <c r="B256" s="137">
        <v>0</v>
      </c>
      <c r="C256" s="137">
        <v>0</v>
      </c>
      <c r="D256" s="137">
        <v>0</v>
      </c>
      <c r="E256" s="137">
        <v>0</v>
      </c>
      <c r="F256" s="137">
        <v>0</v>
      </c>
      <c r="G256" s="137">
        <v>0</v>
      </c>
      <c r="H256" s="137">
        <v>0</v>
      </c>
      <c r="I256" s="137">
        <v>0</v>
      </c>
      <c r="J256" s="137">
        <v>0</v>
      </c>
      <c r="K256" s="137">
        <v>0</v>
      </c>
      <c r="L256" s="137">
        <v>0</v>
      </c>
      <c r="M256" s="137">
        <v>0</v>
      </c>
      <c r="N256" s="137">
        <v>0</v>
      </c>
      <c r="O256" s="137">
        <v>0</v>
      </c>
      <c r="P256" s="137">
        <v>0</v>
      </c>
      <c r="Q256" s="137">
        <v>0</v>
      </c>
      <c r="R256" s="137">
        <v>0</v>
      </c>
      <c r="S256" s="137">
        <v>0</v>
      </c>
      <c r="T256" s="137">
        <v>0</v>
      </c>
      <c r="U256" s="137">
        <v>0</v>
      </c>
      <c r="V256" s="137">
        <v>0</v>
      </c>
      <c r="W256" s="140" t="s">
        <v>1609</v>
      </c>
      <c r="X256" s="56">
        <f t="shared" si="6"/>
        <v>7</v>
      </c>
      <c r="Y256" s="56" t="str">
        <f t="shared" si="7"/>
        <v>NO LOGUEO</v>
      </c>
    </row>
    <row r="257" spans="1:25" ht="15" x14ac:dyDescent="0.25">
      <c r="A257" s="136" t="s">
        <v>457</v>
      </c>
      <c r="B257" s="137">
        <v>0</v>
      </c>
      <c r="C257" s="137">
        <v>12.379899999999999</v>
      </c>
      <c r="D257" s="137">
        <v>10.029999999999999</v>
      </c>
      <c r="E257" s="137">
        <v>10.83</v>
      </c>
      <c r="F257" s="137">
        <v>9.3798999999999992</v>
      </c>
      <c r="G257" s="137">
        <v>11.53</v>
      </c>
      <c r="H257" s="137">
        <v>13.0799</v>
      </c>
      <c r="I257" s="137">
        <v>0</v>
      </c>
      <c r="J257" s="137">
        <v>11.08</v>
      </c>
      <c r="K257" s="137">
        <v>12.89</v>
      </c>
      <c r="L257" s="137">
        <v>10.15</v>
      </c>
      <c r="M257" s="137">
        <v>12.22</v>
      </c>
      <c r="N257" s="137">
        <v>10.53</v>
      </c>
      <c r="O257" s="137">
        <v>11.879899999999999</v>
      </c>
      <c r="P257" s="137">
        <v>0</v>
      </c>
      <c r="Q257" s="137">
        <v>0</v>
      </c>
      <c r="R257" s="137">
        <v>2.66</v>
      </c>
      <c r="S257" s="137">
        <v>12.289899999999999</v>
      </c>
      <c r="T257" s="137">
        <v>10.219900000000001</v>
      </c>
      <c r="U257" s="137">
        <v>11.5</v>
      </c>
      <c r="V257" s="137">
        <v>9.92</v>
      </c>
      <c r="W257" s="140">
        <v>14122855</v>
      </c>
      <c r="X257" s="56">
        <f t="shared" si="6"/>
        <v>2</v>
      </c>
      <c r="Y257" s="56" t="str">
        <f t="shared" si="7"/>
        <v>NO LOGUEO</v>
      </c>
    </row>
    <row r="258" spans="1:25" ht="15" x14ac:dyDescent="0.25">
      <c r="A258" s="136" t="s">
        <v>941</v>
      </c>
      <c r="B258" s="137">
        <v>11.89</v>
      </c>
      <c r="C258" s="137">
        <v>0</v>
      </c>
      <c r="D258" s="137">
        <v>14.62</v>
      </c>
      <c r="E258" s="137">
        <v>0.45</v>
      </c>
      <c r="F258" s="137">
        <v>0</v>
      </c>
      <c r="G258" s="137">
        <v>0</v>
      </c>
      <c r="H258" s="137">
        <v>13.53</v>
      </c>
      <c r="I258" s="137">
        <v>0.4</v>
      </c>
      <c r="J258" s="137">
        <v>13</v>
      </c>
      <c r="K258" s="137">
        <v>0</v>
      </c>
      <c r="L258" s="137">
        <v>14.62</v>
      </c>
      <c r="M258" s="137">
        <v>0</v>
      </c>
      <c r="N258" s="137">
        <v>14.8499</v>
      </c>
      <c r="O258" s="137">
        <v>0.52</v>
      </c>
      <c r="P258" s="137">
        <v>12.719900000000001</v>
      </c>
      <c r="Q258" s="137">
        <v>0.47</v>
      </c>
      <c r="R258" s="137">
        <v>14.16</v>
      </c>
      <c r="S258" s="137">
        <v>0.3</v>
      </c>
      <c r="T258" s="137">
        <v>14.76</v>
      </c>
      <c r="U258" s="137">
        <v>0.25</v>
      </c>
      <c r="V258" s="137">
        <v>10.629899999999999</v>
      </c>
      <c r="W258" s="140" t="s">
        <v>1609</v>
      </c>
      <c r="X258" s="56">
        <f t="shared" si="6"/>
        <v>0</v>
      </c>
      <c r="Y258" s="56" t="str">
        <f t="shared" si="7"/>
        <v>LOGUEO</v>
      </c>
    </row>
    <row r="259" spans="1:25" ht="15" x14ac:dyDescent="0.25">
      <c r="A259" s="136" t="s">
        <v>189</v>
      </c>
      <c r="B259" s="137">
        <v>0</v>
      </c>
      <c r="C259" s="137">
        <v>5.18</v>
      </c>
      <c r="D259" s="137">
        <v>7.49</v>
      </c>
      <c r="E259" s="137">
        <v>11.01</v>
      </c>
      <c r="F259" s="137">
        <v>0</v>
      </c>
      <c r="G259" s="137">
        <v>7.16</v>
      </c>
      <c r="H259" s="137">
        <v>9.9600000000000009</v>
      </c>
      <c r="I259" s="137">
        <v>4.54</v>
      </c>
      <c r="J259" s="137">
        <v>6.23</v>
      </c>
      <c r="K259" s="137">
        <v>11.139900000000001</v>
      </c>
      <c r="L259" s="137">
        <v>7.19</v>
      </c>
      <c r="M259" s="137">
        <v>7.6599000000000004</v>
      </c>
      <c r="N259" s="137">
        <v>7.7</v>
      </c>
      <c r="O259" s="137">
        <v>6.79</v>
      </c>
      <c r="P259" s="137">
        <v>7.86</v>
      </c>
      <c r="Q259" s="137">
        <v>0</v>
      </c>
      <c r="R259" s="137">
        <v>10.1999</v>
      </c>
      <c r="S259" s="137">
        <v>6.9999000000000002</v>
      </c>
      <c r="T259" s="137">
        <v>10.27</v>
      </c>
      <c r="U259" s="137">
        <v>7.85</v>
      </c>
      <c r="V259" s="137">
        <v>7.01</v>
      </c>
      <c r="W259" s="140">
        <v>14118028</v>
      </c>
      <c r="X259" s="56">
        <f t="shared" ref="X259:X322" si="8">COUNTIF(P259:V259,0)</f>
        <v>1</v>
      </c>
      <c r="Y259" s="56" t="str">
        <f t="shared" ref="Y259:Y322" si="9">IF(X259&gt;1,"NO LOGUEO","LOGUEO")</f>
        <v>LOGUEO</v>
      </c>
    </row>
    <row r="260" spans="1:25" ht="15" x14ac:dyDescent="0.25">
      <c r="A260" s="136" t="s">
        <v>551</v>
      </c>
      <c r="B260" s="137">
        <v>4.1098999999999997</v>
      </c>
      <c r="C260" s="137">
        <v>7.34</v>
      </c>
      <c r="D260" s="137">
        <v>6.13</v>
      </c>
      <c r="E260" s="137">
        <v>6.78</v>
      </c>
      <c r="F260" s="137">
        <v>8.8698999999999995</v>
      </c>
      <c r="G260" s="137">
        <v>2.38</v>
      </c>
      <c r="H260" s="137">
        <v>5.84</v>
      </c>
      <c r="I260" s="137">
        <v>8.42</v>
      </c>
      <c r="J260" s="137">
        <v>8.69</v>
      </c>
      <c r="K260" s="137">
        <v>2.29</v>
      </c>
      <c r="L260" s="137">
        <v>0</v>
      </c>
      <c r="M260" s="137">
        <v>5.81</v>
      </c>
      <c r="N260" s="137">
        <v>6.92</v>
      </c>
      <c r="O260" s="137">
        <v>7.5</v>
      </c>
      <c r="P260" s="137">
        <v>4.3499999999999996</v>
      </c>
      <c r="Q260" s="137">
        <v>7.74</v>
      </c>
      <c r="R260" s="137">
        <v>7.31</v>
      </c>
      <c r="S260" s="137">
        <v>7</v>
      </c>
      <c r="T260" s="137">
        <v>8.6298999999999992</v>
      </c>
      <c r="U260" s="137">
        <v>6.5298999999999996</v>
      </c>
      <c r="V260" s="137">
        <v>2.12</v>
      </c>
      <c r="W260" s="140" t="s">
        <v>1609</v>
      </c>
      <c r="X260" s="56">
        <f t="shared" si="8"/>
        <v>0</v>
      </c>
      <c r="Y260" s="56" t="str">
        <f t="shared" si="9"/>
        <v>LOGUEO</v>
      </c>
    </row>
    <row r="261" spans="1:25" ht="15" x14ac:dyDescent="0.25">
      <c r="A261" s="136" t="s">
        <v>325</v>
      </c>
      <c r="B261" s="137">
        <v>6.35</v>
      </c>
      <c r="C261" s="137">
        <v>6.6199000000000003</v>
      </c>
      <c r="D261" s="137">
        <v>7.05</v>
      </c>
      <c r="E261" s="137">
        <v>6.59</v>
      </c>
      <c r="F261" s="137">
        <v>4.59</v>
      </c>
      <c r="G261" s="137">
        <v>7.55</v>
      </c>
      <c r="H261" s="137">
        <v>6.38</v>
      </c>
      <c r="I261" s="137">
        <v>5.65</v>
      </c>
      <c r="J261" s="137">
        <v>7.2099000000000002</v>
      </c>
      <c r="K261" s="137">
        <v>0</v>
      </c>
      <c r="L261" s="137">
        <v>10.02</v>
      </c>
      <c r="M261" s="137">
        <v>6.68</v>
      </c>
      <c r="N261" s="137">
        <v>7.9</v>
      </c>
      <c r="O261" s="137">
        <v>6.8</v>
      </c>
      <c r="P261" s="137">
        <v>5.37</v>
      </c>
      <c r="Q261" s="137">
        <v>10.459899999999999</v>
      </c>
      <c r="R261" s="137">
        <v>6.67</v>
      </c>
      <c r="S261" s="137">
        <v>7.17</v>
      </c>
      <c r="T261" s="137">
        <v>7.68</v>
      </c>
      <c r="U261" s="137">
        <v>6.79</v>
      </c>
      <c r="V261" s="137">
        <v>6.8699000000000003</v>
      </c>
      <c r="W261" s="140">
        <v>14100751</v>
      </c>
      <c r="X261" s="56">
        <f t="shared" si="8"/>
        <v>0</v>
      </c>
      <c r="Y261" s="56" t="str">
        <f t="shared" si="9"/>
        <v>LOGUEO</v>
      </c>
    </row>
    <row r="262" spans="1:25" ht="15" x14ac:dyDescent="0.25">
      <c r="A262" s="136" t="s">
        <v>1829</v>
      </c>
      <c r="B262" s="137">
        <v>7.67</v>
      </c>
      <c r="C262" s="137">
        <v>7.84</v>
      </c>
      <c r="D262" s="137">
        <v>7.09</v>
      </c>
      <c r="E262" s="137">
        <v>0</v>
      </c>
      <c r="F262" s="137">
        <v>7.36</v>
      </c>
      <c r="G262" s="137">
        <v>8.84</v>
      </c>
      <c r="H262" s="137">
        <v>8.09</v>
      </c>
      <c r="I262" s="137">
        <v>7.59</v>
      </c>
      <c r="J262" s="137">
        <v>8.2698999999999998</v>
      </c>
      <c r="K262" s="137">
        <v>8.18</v>
      </c>
      <c r="L262" s="137">
        <v>9.4499999999999993</v>
      </c>
      <c r="M262" s="137">
        <v>7.7099000000000002</v>
      </c>
      <c r="N262" s="137">
        <v>8.4700000000000006</v>
      </c>
      <c r="O262" s="137">
        <v>8.7899999999999991</v>
      </c>
      <c r="P262" s="137">
        <v>6.94</v>
      </c>
      <c r="Q262" s="137">
        <v>6.7</v>
      </c>
      <c r="R262" s="137">
        <v>0</v>
      </c>
      <c r="S262" s="137">
        <v>8.18</v>
      </c>
      <c r="T262" s="137">
        <v>9.1199999999999992</v>
      </c>
      <c r="U262" s="137">
        <v>9.11</v>
      </c>
      <c r="V262" s="137">
        <v>8.3999000000000006</v>
      </c>
      <c r="W262" s="140" t="s">
        <v>1609</v>
      </c>
      <c r="X262" s="56">
        <f t="shared" si="8"/>
        <v>1</v>
      </c>
      <c r="Y262" s="56" t="str">
        <f t="shared" si="9"/>
        <v>LOGUEO</v>
      </c>
    </row>
    <row r="263" spans="1:25" ht="15" x14ac:dyDescent="0.25">
      <c r="A263" s="136" t="s">
        <v>3712</v>
      </c>
      <c r="B263" s="137">
        <v>0</v>
      </c>
      <c r="C263" s="137">
        <v>0</v>
      </c>
      <c r="D263" s="137">
        <v>0</v>
      </c>
      <c r="E263" s="137">
        <v>0.7</v>
      </c>
      <c r="F263" s="137">
        <v>1.98</v>
      </c>
      <c r="G263" s="137">
        <v>0</v>
      </c>
      <c r="H263" s="137">
        <v>0.25</v>
      </c>
      <c r="I263" s="137">
        <v>0</v>
      </c>
      <c r="J263" s="137">
        <v>0</v>
      </c>
      <c r="K263" s="137">
        <v>0</v>
      </c>
      <c r="L263" s="137">
        <v>0</v>
      </c>
      <c r="M263" s="137">
        <v>0</v>
      </c>
      <c r="N263" s="137">
        <v>0</v>
      </c>
      <c r="O263" s="137">
        <v>0</v>
      </c>
      <c r="P263" s="137">
        <v>0</v>
      </c>
      <c r="Q263" s="137">
        <v>0</v>
      </c>
      <c r="R263" s="137">
        <v>0</v>
      </c>
      <c r="S263" s="137">
        <v>0</v>
      </c>
      <c r="T263" s="137">
        <v>0</v>
      </c>
      <c r="U263" s="137">
        <v>0</v>
      </c>
      <c r="V263" s="137">
        <v>0</v>
      </c>
      <c r="W263" s="140">
        <v>14120639</v>
      </c>
      <c r="X263" s="56">
        <f t="shared" si="8"/>
        <v>7</v>
      </c>
      <c r="Y263" s="56" t="str">
        <f t="shared" si="9"/>
        <v>NO LOGUEO</v>
      </c>
    </row>
    <row r="264" spans="1:25" ht="15" x14ac:dyDescent="0.25">
      <c r="A264" s="136" t="s">
        <v>496</v>
      </c>
      <c r="B264" s="137">
        <v>0</v>
      </c>
      <c r="C264" s="137">
        <v>0</v>
      </c>
      <c r="D264" s="137">
        <v>0</v>
      </c>
      <c r="E264" s="137">
        <v>0</v>
      </c>
      <c r="F264" s="137">
        <v>0</v>
      </c>
      <c r="G264" s="137">
        <v>0</v>
      </c>
      <c r="H264" s="137">
        <v>0</v>
      </c>
      <c r="I264" s="137">
        <v>0</v>
      </c>
      <c r="J264" s="137">
        <v>0</v>
      </c>
      <c r="K264" s="137">
        <v>0</v>
      </c>
      <c r="L264" s="137">
        <v>0</v>
      </c>
      <c r="M264" s="137">
        <v>0</v>
      </c>
      <c r="N264" s="137">
        <v>0</v>
      </c>
      <c r="O264" s="137">
        <v>0</v>
      </c>
      <c r="P264" s="137">
        <v>0</v>
      </c>
      <c r="Q264" s="137">
        <v>0</v>
      </c>
      <c r="R264" s="137">
        <v>0</v>
      </c>
      <c r="S264" s="137">
        <v>0</v>
      </c>
      <c r="T264" s="137">
        <v>0</v>
      </c>
      <c r="U264" s="137">
        <v>0</v>
      </c>
      <c r="V264" s="137">
        <v>0</v>
      </c>
      <c r="W264" s="140">
        <v>14123240</v>
      </c>
      <c r="X264" s="56">
        <f t="shared" si="8"/>
        <v>7</v>
      </c>
      <c r="Y264" s="56" t="str">
        <f t="shared" si="9"/>
        <v>NO LOGUEO</v>
      </c>
    </row>
    <row r="265" spans="1:25" ht="15" x14ac:dyDescent="0.25">
      <c r="A265" s="136" t="s">
        <v>177</v>
      </c>
      <c r="B265" s="137">
        <v>1.95</v>
      </c>
      <c r="C265" s="137">
        <v>4.0599999999999996</v>
      </c>
      <c r="D265" s="137">
        <v>5.68</v>
      </c>
      <c r="E265" s="137">
        <v>0</v>
      </c>
      <c r="F265" s="137">
        <v>1.88</v>
      </c>
      <c r="G265" s="137">
        <v>6.54</v>
      </c>
      <c r="H265" s="137">
        <v>4.25</v>
      </c>
      <c r="I265" s="137">
        <v>2.0299999999999998</v>
      </c>
      <c r="J265" s="137">
        <v>4.5</v>
      </c>
      <c r="K265" s="137">
        <v>4.1500000000000004</v>
      </c>
      <c r="L265" s="137">
        <v>6.86</v>
      </c>
      <c r="M265" s="137">
        <v>4.38</v>
      </c>
      <c r="N265" s="137">
        <v>3.98</v>
      </c>
      <c r="O265" s="137">
        <v>5.29</v>
      </c>
      <c r="P265" s="137">
        <v>1.78</v>
      </c>
      <c r="Q265" s="137">
        <v>8.1999999999999993</v>
      </c>
      <c r="R265" s="137">
        <v>4.1999000000000004</v>
      </c>
      <c r="S265" s="137">
        <v>5.93</v>
      </c>
      <c r="T265" s="137">
        <v>4.7</v>
      </c>
      <c r="U265" s="137">
        <v>6.39</v>
      </c>
      <c r="V265" s="137">
        <v>5.51</v>
      </c>
      <c r="W265" s="140">
        <v>14117160</v>
      </c>
      <c r="X265" s="56">
        <f t="shared" si="8"/>
        <v>0</v>
      </c>
      <c r="Y265" s="56" t="str">
        <f t="shared" si="9"/>
        <v>LOGUEO</v>
      </c>
    </row>
    <row r="266" spans="1:25" ht="15" x14ac:dyDescent="0.25">
      <c r="A266" s="136" t="s">
        <v>176</v>
      </c>
      <c r="B266" s="137">
        <v>4.6498999999999997</v>
      </c>
      <c r="C266" s="137">
        <v>5.82</v>
      </c>
      <c r="D266" s="137">
        <v>0</v>
      </c>
      <c r="E266" s="137">
        <v>4.26</v>
      </c>
      <c r="F266" s="137">
        <v>1.38</v>
      </c>
      <c r="G266" s="137">
        <v>4.22</v>
      </c>
      <c r="H266" s="137">
        <v>5.58</v>
      </c>
      <c r="I266" s="137">
        <v>3.96</v>
      </c>
      <c r="J266" s="137">
        <v>5.3098999999999998</v>
      </c>
      <c r="K266" s="137">
        <v>4.25</v>
      </c>
      <c r="L266" s="137">
        <v>7.0099</v>
      </c>
      <c r="M266" s="137">
        <v>4.34</v>
      </c>
      <c r="N266" s="137">
        <v>4.37</v>
      </c>
      <c r="O266" s="137">
        <v>4.47</v>
      </c>
      <c r="P266" s="137">
        <v>0</v>
      </c>
      <c r="Q266" s="137">
        <v>6.67</v>
      </c>
      <c r="R266" s="137">
        <v>4.3198999999999996</v>
      </c>
      <c r="S266" s="137">
        <v>5.3699000000000003</v>
      </c>
      <c r="T266" s="137">
        <v>2.61</v>
      </c>
      <c r="U266" s="137">
        <v>4.8598999999999997</v>
      </c>
      <c r="V266" s="137">
        <v>4.9800000000000004</v>
      </c>
      <c r="W266" s="140">
        <v>14117158</v>
      </c>
      <c r="X266" s="56">
        <f t="shared" si="8"/>
        <v>1</v>
      </c>
      <c r="Y266" s="56" t="str">
        <f t="shared" si="9"/>
        <v>LOGUEO</v>
      </c>
    </row>
    <row r="267" spans="1:25" ht="15" x14ac:dyDescent="0.25">
      <c r="A267" s="136" t="s">
        <v>483</v>
      </c>
      <c r="B267" s="137">
        <v>5.61</v>
      </c>
      <c r="C267" s="137">
        <v>9.9099000000000004</v>
      </c>
      <c r="D267" s="137">
        <v>9.27</v>
      </c>
      <c r="E267" s="137">
        <v>3.31</v>
      </c>
      <c r="F267" s="137">
        <v>0</v>
      </c>
      <c r="G267" s="137">
        <v>0</v>
      </c>
      <c r="H267" s="137">
        <v>6.77</v>
      </c>
      <c r="I267" s="137">
        <v>8.86</v>
      </c>
      <c r="J267" s="137">
        <v>10.76</v>
      </c>
      <c r="K267" s="137">
        <v>3.08</v>
      </c>
      <c r="L267" s="137">
        <v>0</v>
      </c>
      <c r="M267" s="137">
        <v>0</v>
      </c>
      <c r="N267" s="137">
        <v>5.89</v>
      </c>
      <c r="O267" s="137">
        <v>9.23</v>
      </c>
      <c r="P267" s="137">
        <v>8.8698999999999995</v>
      </c>
      <c r="Q267" s="137">
        <v>2.09</v>
      </c>
      <c r="R267" s="137">
        <v>0</v>
      </c>
      <c r="S267" s="137">
        <v>0</v>
      </c>
      <c r="T267" s="137">
        <v>6.2</v>
      </c>
      <c r="U267" s="137">
        <v>10.51</v>
      </c>
      <c r="V267" s="137">
        <v>9.5398999999999994</v>
      </c>
      <c r="W267" s="140">
        <v>14123081</v>
      </c>
      <c r="X267" s="56">
        <f t="shared" si="8"/>
        <v>2</v>
      </c>
      <c r="Y267" s="56" t="str">
        <f t="shared" si="9"/>
        <v>NO LOGUEO</v>
      </c>
    </row>
    <row r="268" spans="1:25" ht="15" x14ac:dyDescent="0.25">
      <c r="A268" s="136" t="s">
        <v>172</v>
      </c>
      <c r="B268" s="137">
        <v>0</v>
      </c>
      <c r="C268" s="137">
        <v>0</v>
      </c>
      <c r="D268" s="137">
        <v>5.54</v>
      </c>
      <c r="E268" s="137">
        <v>7.54</v>
      </c>
      <c r="F268" s="137">
        <v>0</v>
      </c>
      <c r="G268" s="137">
        <v>0</v>
      </c>
      <c r="H268" s="137">
        <v>4.42</v>
      </c>
      <c r="I268" s="137">
        <v>8.68</v>
      </c>
      <c r="J268" s="137">
        <v>8.14</v>
      </c>
      <c r="K268" s="137">
        <v>6.31</v>
      </c>
      <c r="L268" s="137">
        <v>4.3899999999999997</v>
      </c>
      <c r="M268" s="137">
        <v>7.83</v>
      </c>
      <c r="N268" s="137">
        <v>3.99</v>
      </c>
      <c r="O268" s="137">
        <v>8.39</v>
      </c>
      <c r="P268" s="137">
        <v>0</v>
      </c>
      <c r="Q268" s="137">
        <v>0</v>
      </c>
      <c r="R268" s="137">
        <v>4.0999999999999996</v>
      </c>
      <c r="S268" s="137">
        <v>8.6198999999999995</v>
      </c>
      <c r="T268" s="137">
        <v>5.09</v>
      </c>
      <c r="U268" s="137">
        <v>8.39</v>
      </c>
      <c r="V268" s="137">
        <v>5.51</v>
      </c>
      <c r="W268" s="140">
        <v>14116860</v>
      </c>
      <c r="X268" s="56">
        <f t="shared" si="8"/>
        <v>2</v>
      </c>
      <c r="Y268" s="56" t="str">
        <f t="shared" si="9"/>
        <v>NO LOGUEO</v>
      </c>
    </row>
    <row r="269" spans="1:25" ht="15" x14ac:dyDescent="0.25">
      <c r="A269" s="136" t="s">
        <v>994</v>
      </c>
      <c r="B269" s="137">
        <v>0</v>
      </c>
      <c r="C269" s="137">
        <v>0</v>
      </c>
      <c r="D269" s="137">
        <v>0</v>
      </c>
      <c r="E269" s="137">
        <v>0</v>
      </c>
      <c r="F269" s="137">
        <v>0</v>
      </c>
      <c r="G269" s="137">
        <v>0</v>
      </c>
      <c r="H269" s="137">
        <v>0</v>
      </c>
      <c r="I269" s="137">
        <v>0</v>
      </c>
      <c r="J269" s="137">
        <v>0</v>
      </c>
      <c r="K269" s="137">
        <v>0</v>
      </c>
      <c r="L269" s="137">
        <v>0</v>
      </c>
      <c r="M269" s="137">
        <v>0</v>
      </c>
      <c r="N269" s="137">
        <v>0</v>
      </c>
      <c r="O269" s="137">
        <v>0</v>
      </c>
      <c r="P269" s="137">
        <v>0</v>
      </c>
      <c r="Q269" s="137">
        <v>0</v>
      </c>
      <c r="R269" s="137">
        <v>0</v>
      </c>
      <c r="S269" s="137">
        <v>0</v>
      </c>
      <c r="T269" s="137">
        <v>0</v>
      </c>
      <c r="U269" s="137">
        <v>0</v>
      </c>
      <c r="V269" s="137">
        <v>0</v>
      </c>
      <c r="W269" s="140" t="s">
        <v>1609</v>
      </c>
      <c r="X269" s="56">
        <f t="shared" si="8"/>
        <v>7</v>
      </c>
      <c r="Y269" s="56" t="str">
        <f t="shared" si="9"/>
        <v>NO LOGUEO</v>
      </c>
    </row>
    <row r="270" spans="1:25" ht="15" x14ac:dyDescent="0.25">
      <c r="A270" s="136" t="s">
        <v>1126</v>
      </c>
      <c r="B270" s="137">
        <v>0</v>
      </c>
      <c r="C270" s="137">
        <v>0</v>
      </c>
      <c r="D270" s="137">
        <v>0</v>
      </c>
      <c r="E270" s="137">
        <v>0</v>
      </c>
      <c r="F270" s="137">
        <v>0</v>
      </c>
      <c r="G270" s="137">
        <v>0</v>
      </c>
      <c r="H270" s="137">
        <v>0</v>
      </c>
      <c r="I270" s="137">
        <v>0</v>
      </c>
      <c r="J270" s="137">
        <v>0</v>
      </c>
      <c r="K270" s="137">
        <v>0</v>
      </c>
      <c r="L270" s="137">
        <v>0</v>
      </c>
      <c r="M270" s="137">
        <v>0</v>
      </c>
      <c r="N270" s="137">
        <v>0</v>
      </c>
      <c r="O270" s="137">
        <v>0</v>
      </c>
      <c r="P270" s="137">
        <v>0</v>
      </c>
      <c r="Q270" s="137">
        <v>0</v>
      </c>
      <c r="R270" s="137">
        <v>0</v>
      </c>
      <c r="S270" s="137">
        <v>0</v>
      </c>
      <c r="T270" s="137">
        <v>0</v>
      </c>
      <c r="U270" s="137">
        <v>0</v>
      </c>
      <c r="V270" s="137">
        <v>0</v>
      </c>
      <c r="W270" s="140" t="s">
        <v>1609</v>
      </c>
      <c r="X270" s="56">
        <f t="shared" si="8"/>
        <v>7</v>
      </c>
      <c r="Y270" s="56" t="str">
        <f t="shared" si="9"/>
        <v>NO LOGUEO</v>
      </c>
    </row>
    <row r="271" spans="1:25" ht="15" x14ac:dyDescent="0.25">
      <c r="A271" s="136" t="s">
        <v>167</v>
      </c>
      <c r="B271" s="137">
        <v>3.13</v>
      </c>
      <c r="C271" s="137">
        <v>0</v>
      </c>
      <c r="D271" s="137">
        <v>4.9800000000000004</v>
      </c>
      <c r="E271" s="137">
        <v>6.87</v>
      </c>
      <c r="F271" s="137">
        <v>5.1199000000000003</v>
      </c>
      <c r="G271" s="137">
        <v>7.67</v>
      </c>
      <c r="H271" s="137">
        <v>11.02</v>
      </c>
      <c r="I271" s="137">
        <v>0</v>
      </c>
      <c r="J271" s="137">
        <v>4.55</v>
      </c>
      <c r="K271" s="137">
        <v>7.23</v>
      </c>
      <c r="L271" s="137">
        <v>11.14</v>
      </c>
      <c r="M271" s="137">
        <v>8.8899000000000008</v>
      </c>
      <c r="N271" s="137">
        <v>10.81</v>
      </c>
      <c r="O271" s="137">
        <v>9.27</v>
      </c>
      <c r="P271" s="137">
        <v>0</v>
      </c>
      <c r="Q271" s="137">
        <v>6.28</v>
      </c>
      <c r="R271" s="137">
        <v>10.09</v>
      </c>
      <c r="S271" s="137">
        <v>7.25</v>
      </c>
      <c r="T271" s="137">
        <v>9.9499999999999993</v>
      </c>
      <c r="U271" s="137">
        <v>7.19</v>
      </c>
      <c r="V271" s="137">
        <v>9.1300000000000008</v>
      </c>
      <c r="W271" s="140">
        <v>14116564</v>
      </c>
      <c r="X271" s="56">
        <f t="shared" si="8"/>
        <v>1</v>
      </c>
      <c r="Y271" s="56" t="str">
        <f t="shared" si="9"/>
        <v>LOGUEO</v>
      </c>
    </row>
    <row r="272" spans="1:25" ht="15" x14ac:dyDescent="0.25">
      <c r="A272" s="136" t="s">
        <v>1962</v>
      </c>
      <c r="B272" s="137">
        <v>0</v>
      </c>
      <c r="C272" s="137">
        <v>0</v>
      </c>
      <c r="D272" s="137">
        <v>0</v>
      </c>
      <c r="E272" s="137">
        <v>0</v>
      </c>
      <c r="F272" s="137">
        <v>0</v>
      </c>
      <c r="G272" s="137">
        <v>0</v>
      </c>
      <c r="H272" s="137">
        <v>0</v>
      </c>
      <c r="I272" s="137">
        <v>0</v>
      </c>
      <c r="J272" s="137">
        <v>0</v>
      </c>
      <c r="K272" s="137">
        <v>0</v>
      </c>
      <c r="L272" s="137">
        <v>0</v>
      </c>
      <c r="M272" s="137">
        <v>0</v>
      </c>
      <c r="N272" s="137">
        <v>0</v>
      </c>
      <c r="O272" s="137">
        <v>0</v>
      </c>
      <c r="P272" s="137">
        <v>0</v>
      </c>
      <c r="Q272" s="137">
        <v>0</v>
      </c>
      <c r="R272" s="137">
        <v>0</v>
      </c>
      <c r="S272" s="137">
        <v>0</v>
      </c>
      <c r="T272" s="137">
        <v>0</v>
      </c>
      <c r="U272" s="137">
        <v>0</v>
      </c>
      <c r="V272" s="137">
        <v>0</v>
      </c>
      <c r="W272" s="140" t="s">
        <v>1609</v>
      </c>
      <c r="X272" s="56">
        <f t="shared" si="8"/>
        <v>7</v>
      </c>
      <c r="Y272" s="56" t="str">
        <f t="shared" si="9"/>
        <v>NO LOGUEO</v>
      </c>
    </row>
    <row r="273" spans="1:25" ht="15" x14ac:dyDescent="0.25">
      <c r="A273" s="136" t="s">
        <v>997</v>
      </c>
      <c r="B273" s="137">
        <v>8.15</v>
      </c>
      <c r="C273" s="137">
        <v>6.91</v>
      </c>
      <c r="D273" s="137">
        <v>7.7999000000000001</v>
      </c>
      <c r="E273" s="137">
        <v>11.14</v>
      </c>
      <c r="F273" s="137">
        <v>5.91</v>
      </c>
      <c r="G273" s="137">
        <v>8.2200000000000006</v>
      </c>
      <c r="H273" s="137">
        <v>7.26</v>
      </c>
      <c r="I273" s="137">
        <v>5.9</v>
      </c>
      <c r="J273" s="137">
        <v>0</v>
      </c>
      <c r="K273" s="137">
        <v>7.34</v>
      </c>
      <c r="L273" s="137">
        <v>9.2098999999999993</v>
      </c>
      <c r="M273" s="137">
        <v>7.93</v>
      </c>
      <c r="N273" s="137">
        <v>7.82</v>
      </c>
      <c r="O273" s="137">
        <v>3.92</v>
      </c>
      <c r="P273" s="137">
        <v>6.22</v>
      </c>
      <c r="Q273" s="137">
        <v>10.74</v>
      </c>
      <c r="R273" s="137">
        <v>8.2100000000000009</v>
      </c>
      <c r="S273" s="137">
        <v>7.6</v>
      </c>
      <c r="T273" s="137">
        <v>9.09</v>
      </c>
      <c r="U273" s="137">
        <v>6.95</v>
      </c>
      <c r="V273" s="137">
        <v>0</v>
      </c>
      <c r="W273" s="140" t="s">
        <v>1609</v>
      </c>
      <c r="X273" s="56">
        <f t="shared" si="8"/>
        <v>1</v>
      </c>
      <c r="Y273" s="56" t="str">
        <f t="shared" si="9"/>
        <v>LOGUEO</v>
      </c>
    </row>
    <row r="274" spans="1:25" ht="15" x14ac:dyDescent="0.25">
      <c r="A274" s="136" t="s">
        <v>164</v>
      </c>
      <c r="B274" s="137">
        <v>2.4</v>
      </c>
      <c r="C274" s="137">
        <v>0</v>
      </c>
      <c r="D274" s="137">
        <v>0</v>
      </c>
      <c r="E274" s="137">
        <v>6.58</v>
      </c>
      <c r="F274" s="137">
        <v>7.9999000000000002</v>
      </c>
      <c r="G274" s="137">
        <v>8.11</v>
      </c>
      <c r="H274" s="137">
        <v>3.0198999999999998</v>
      </c>
      <c r="I274" s="137">
        <v>0</v>
      </c>
      <c r="J274" s="137">
        <v>0</v>
      </c>
      <c r="K274" s="137">
        <v>5.33</v>
      </c>
      <c r="L274" s="137">
        <v>7.28</v>
      </c>
      <c r="M274" s="137">
        <v>9.8899000000000008</v>
      </c>
      <c r="N274" s="137">
        <v>3.04</v>
      </c>
      <c r="O274" s="137">
        <v>0</v>
      </c>
      <c r="P274" s="137">
        <v>0</v>
      </c>
      <c r="Q274" s="137">
        <v>5.7999000000000001</v>
      </c>
      <c r="R274" s="137">
        <v>7.0399000000000003</v>
      </c>
      <c r="S274" s="137">
        <v>2.95</v>
      </c>
      <c r="T274" s="137">
        <v>0</v>
      </c>
      <c r="U274" s="137">
        <v>0</v>
      </c>
      <c r="V274" s="137">
        <v>0</v>
      </c>
      <c r="W274" s="140">
        <v>14116433</v>
      </c>
      <c r="X274" s="56">
        <f t="shared" si="8"/>
        <v>4</v>
      </c>
      <c r="Y274" s="56" t="str">
        <f t="shared" si="9"/>
        <v>NO LOGUEO</v>
      </c>
    </row>
    <row r="275" spans="1:25" ht="15" x14ac:dyDescent="0.25">
      <c r="A275" s="136" t="s">
        <v>1099</v>
      </c>
      <c r="B275" s="137">
        <v>4</v>
      </c>
      <c r="C275" s="137">
        <v>0</v>
      </c>
      <c r="D275" s="137">
        <v>10.11</v>
      </c>
      <c r="E275" s="137">
        <v>8.9499999999999993</v>
      </c>
      <c r="F275" s="137">
        <v>6.88</v>
      </c>
      <c r="G275" s="137">
        <v>13.54</v>
      </c>
      <c r="H275" s="137">
        <v>9.52</v>
      </c>
      <c r="I275" s="137">
        <v>7.8</v>
      </c>
      <c r="J275" s="137">
        <v>5.72</v>
      </c>
      <c r="K275" s="137">
        <v>9.66</v>
      </c>
      <c r="L275" s="137">
        <v>11.25</v>
      </c>
      <c r="M275" s="137">
        <v>0</v>
      </c>
      <c r="N275" s="137">
        <v>5.6999000000000004</v>
      </c>
      <c r="O275" s="137">
        <v>5.8098999999999998</v>
      </c>
      <c r="P275" s="137">
        <v>9.42</v>
      </c>
      <c r="Q275" s="137">
        <v>4.22</v>
      </c>
      <c r="R275" s="137">
        <v>10.56</v>
      </c>
      <c r="S275" s="137">
        <v>9.8899000000000008</v>
      </c>
      <c r="T275" s="137">
        <v>10.98</v>
      </c>
      <c r="U275" s="137">
        <v>8.49</v>
      </c>
      <c r="V275" s="137">
        <v>12.469900000000001</v>
      </c>
      <c r="W275" s="140">
        <v>14116431</v>
      </c>
      <c r="X275" s="56">
        <f t="shared" si="8"/>
        <v>0</v>
      </c>
      <c r="Y275" s="56" t="str">
        <f t="shared" si="9"/>
        <v>LOGUEO</v>
      </c>
    </row>
    <row r="276" spans="1:25" ht="15" x14ac:dyDescent="0.25">
      <c r="A276" s="136" t="s">
        <v>1830</v>
      </c>
      <c r="B276" s="137">
        <v>3.92</v>
      </c>
      <c r="C276" s="137">
        <v>8.4799000000000007</v>
      </c>
      <c r="D276" s="137">
        <v>9.9699000000000009</v>
      </c>
      <c r="E276" s="137">
        <v>7.31</v>
      </c>
      <c r="F276" s="137">
        <v>1.66</v>
      </c>
      <c r="G276" s="137">
        <v>9.57</v>
      </c>
      <c r="H276" s="137">
        <v>9.57</v>
      </c>
      <c r="I276" s="137">
        <v>3.23</v>
      </c>
      <c r="J276" s="137">
        <v>9.33</v>
      </c>
      <c r="K276" s="137">
        <v>9.7199000000000009</v>
      </c>
      <c r="L276" s="137">
        <v>12.18</v>
      </c>
      <c r="M276" s="137">
        <v>9.1999999999999993</v>
      </c>
      <c r="N276" s="137">
        <v>9.7100000000000009</v>
      </c>
      <c r="O276" s="137">
        <v>8.51</v>
      </c>
      <c r="P276" s="137">
        <v>5.08</v>
      </c>
      <c r="Q276" s="137">
        <v>9.08</v>
      </c>
      <c r="R276" s="137">
        <v>10.1</v>
      </c>
      <c r="S276" s="137">
        <v>9.02</v>
      </c>
      <c r="T276" s="137">
        <v>8.98</v>
      </c>
      <c r="U276" s="137">
        <v>9.8699999999999992</v>
      </c>
      <c r="V276" s="137">
        <v>2.73</v>
      </c>
      <c r="W276" s="140">
        <v>14116058</v>
      </c>
      <c r="X276" s="56">
        <f t="shared" si="8"/>
        <v>0</v>
      </c>
      <c r="Y276" s="56" t="str">
        <f t="shared" si="9"/>
        <v>LOGUEO</v>
      </c>
    </row>
    <row r="277" spans="1:25" ht="15" x14ac:dyDescent="0.25">
      <c r="A277" s="136" t="s">
        <v>432</v>
      </c>
      <c r="B277" s="137">
        <v>0</v>
      </c>
      <c r="C277" s="137">
        <v>0</v>
      </c>
      <c r="D277" s="137">
        <v>0</v>
      </c>
      <c r="E277" s="137">
        <v>0</v>
      </c>
      <c r="F277" s="137">
        <v>0</v>
      </c>
      <c r="G277" s="137">
        <v>0</v>
      </c>
      <c r="H277" s="137">
        <v>0</v>
      </c>
      <c r="I277" s="137">
        <v>0</v>
      </c>
      <c r="J277" s="137">
        <v>0</v>
      </c>
      <c r="K277" s="137">
        <v>0</v>
      </c>
      <c r="L277" s="137">
        <v>0</v>
      </c>
      <c r="M277" s="137">
        <v>0</v>
      </c>
      <c r="N277" s="137">
        <v>0</v>
      </c>
      <c r="O277" s="137">
        <v>0</v>
      </c>
      <c r="P277" s="137">
        <v>0</v>
      </c>
      <c r="Q277" s="137">
        <v>0</v>
      </c>
      <c r="R277" s="137">
        <v>1.37</v>
      </c>
      <c r="S277" s="137">
        <v>0</v>
      </c>
      <c r="T277" s="137">
        <v>0</v>
      </c>
      <c r="U277" s="137">
        <v>0</v>
      </c>
      <c r="V277" s="137">
        <v>0</v>
      </c>
      <c r="W277" s="140">
        <v>14118212</v>
      </c>
      <c r="X277" s="56">
        <f t="shared" si="8"/>
        <v>6</v>
      </c>
      <c r="Y277" s="56" t="str">
        <f t="shared" si="9"/>
        <v>NO LOGUEO</v>
      </c>
    </row>
    <row r="278" spans="1:25" ht="15" x14ac:dyDescent="0.25">
      <c r="A278" s="136" t="s">
        <v>286</v>
      </c>
      <c r="B278" s="137">
        <v>0</v>
      </c>
      <c r="C278" s="137">
        <v>8.49</v>
      </c>
      <c r="D278" s="137">
        <v>6.1599000000000004</v>
      </c>
      <c r="E278" s="137">
        <v>6.42</v>
      </c>
      <c r="F278" s="137">
        <v>3.03</v>
      </c>
      <c r="G278" s="137">
        <v>7.2</v>
      </c>
      <c r="H278" s="137">
        <v>5.96</v>
      </c>
      <c r="I278" s="137">
        <v>0</v>
      </c>
      <c r="J278" s="137">
        <v>6.42</v>
      </c>
      <c r="K278" s="137">
        <v>8.6300000000000008</v>
      </c>
      <c r="L278" s="137">
        <v>6.95</v>
      </c>
      <c r="M278" s="137">
        <v>6.34</v>
      </c>
      <c r="N278" s="137">
        <v>7.5399000000000003</v>
      </c>
      <c r="O278" s="137">
        <v>7.68</v>
      </c>
      <c r="P278" s="137">
        <v>0</v>
      </c>
      <c r="Q278" s="137">
        <v>4.51</v>
      </c>
      <c r="R278" s="137">
        <v>6.9</v>
      </c>
      <c r="S278" s="137">
        <v>7.47</v>
      </c>
      <c r="T278" s="137">
        <v>5.6098999999999997</v>
      </c>
      <c r="U278" s="137">
        <v>5.85</v>
      </c>
      <c r="V278" s="137">
        <v>6.41</v>
      </c>
      <c r="W278" s="140">
        <v>14120351</v>
      </c>
      <c r="X278" s="56">
        <f t="shared" si="8"/>
        <v>1</v>
      </c>
      <c r="Y278" s="56" t="str">
        <f t="shared" si="9"/>
        <v>LOGUEO</v>
      </c>
    </row>
    <row r="279" spans="1:25" ht="15" x14ac:dyDescent="0.25">
      <c r="A279" s="136" t="s">
        <v>477</v>
      </c>
      <c r="B279" s="137">
        <v>1.65</v>
      </c>
      <c r="C279" s="137">
        <v>3.82</v>
      </c>
      <c r="D279" s="137">
        <v>4.82</v>
      </c>
      <c r="E279" s="137">
        <v>3.41</v>
      </c>
      <c r="F279" s="137">
        <v>1.55</v>
      </c>
      <c r="G279" s="137">
        <v>14.24</v>
      </c>
      <c r="H279" s="137">
        <v>2.25</v>
      </c>
      <c r="I279" s="137">
        <v>1.55</v>
      </c>
      <c r="J279" s="137">
        <v>8.02</v>
      </c>
      <c r="K279" s="137">
        <v>10.24</v>
      </c>
      <c r="L279" s="137">
        <v>5.6498999999999997</v>
      </c>
      <c r="M279" s="137">
        <v>9.75</v>
      </c>
      <c r="N279" s="137">
        <v>4.92</v>
      </c>
      <c r="O279" s="137">
        <v>4.8</v>
      </c>
      <c r="P279" s="137">
        <v>1.97</v>
      </c>
      <c r="Q279" s="137">
        <v>10.369899999999999</v>
      </c>
      <c r="R279" s="137">
        <v>6.7</v>
      </c>
      <c r="S279" s="137">
        <v>10.549899999999999</v>
      </c>
      <c r="T279" s="137">
        <v>7</v>
      </c>
      <c r="U279" s="137">
        <v>4.7</v>
      </c>
      <c r="V279" s="137">
        <v>3.4599000000000002</v>
      </c>
      <c r="W279" s="140">
        <v>14123010</v>
      </c>
      <c r="X279" s="56">
        <f t="shared" si="8"/>
        <v>0</v>
      </c>
      <c r="Y279" s="56" t="str">
        <f t="shared" si="9"/>
        <v>LOGUEO</v>
      </c>
    </row>
    <row r="280" spans="1:25" ht="15" x14ac:dyDescent="0.25">
      <c r="A280" s="136" t="s">
        <v>298</v>
      </c>
      <c r="B280" s="137">
        <v>0</v>
      </c>
      <c r="C280" s="137">
        <v>3.09</v>
      </c>
      <c r="D280" s="137">
        <v>7.12</v>
      </c>
      <c r="E280" s="137">
        <v>7.31</v>
      </c>
      <c r="F280" s="137">
        <v>6.0399000000000003</v>
      </c>
      <c r="G280" s="137">
        <v>6.52</v>
      </c>
      <c r="H280" s="137">
        <v>6.92</v>
      </c>
      <c r="I280" s="137">
        <v>0</v>
      </c>
      <c r="J280" s="137">
        <v>6.33</v>
      </c>
      <c r="K280" s="137">
        <v>8.3000000000000007</v>
      </c>
      <c r="L280" s="137">
        <v>6.66</v>
      </c>
      <c r="M280" s="137">
        <v>8.3000000000000007</v>
      </c>
      <c r="N280" s="137">
        <v>7.85</v>
      </c>
      <c r="O280" s="137">
        <v>7.83</v>
      </c>
      <c r="P280" s="137">
        <v>0</v>
      </c>
      <c r="Q280" s="137">
        <v>5.5399000000000003</v>
      </c>
      <c r="R280" s="137">
        <v>4.5198999999999998</v>
      </c>
      <c r="S280" s="137">
        <v>7.2</v>
      </c>
      <c r="T280" s="137">
        <v>5.91</v>
      </c>
      <c r="U280" s="137">
        <v>6.69</v>
      </c>
      <c r="V280" s="137">
        <v>6.97</v>
      </c>
      <c r="W280" s="140">
        <v>14120715</v>
      </c>
      <c r="X280" s="56">
        <f t="shared" si="8"/>
        <v>1</v>
      </c>
      <c r="Y280" s="56" t="str">
        <f t="shared" si="9"/>
        <v>LOGUEO</v>
      </c>
    </row>
    <row r="281" spans="1:25" ht="15" x14ac:dyDescent="0.25">
      <c r="A281" s="136" t="s">
        <v>236</v>
      </c>
      <c r="B281" s="137">
        <v>7.54</v>
      </c>
      <c r="C281" s="137">
        <v>6.67</v>
      </c>
      <c r="D281" s="137">
        <v>7.67</v>
      </c>
      <c r="E281" s="137">
        <v>6.44</v>
      </c>
      <c r="F281" s="137">
        <v>5.24</v>
      </c>
      <c r="G281" s="137">
        <v>5.82</v>
      </c>
      <c r="H281" s="137">
        <v>6.56</v>
      </c>
      <c r="I281" s="137">
        <v>0</v>
      </c>
      <c r="J281" s="137">
        <v>5.98</v>
      </c>
      <c r="K281" s="137">
        <v>2.98</v>
      </c>
      <c r="L281" s="137">
        <v>0</v>
      </c>
      <c r="M281" s="137">
        <v>5.52</v>
      </c>
      <c r="N281" s="137">
        <v>6.92</v>
      </c>
      <c r="O281" s="137">
        <v>6.2</v>
      </c>
      <c r="P281" s="137">
        <v>7.89</v>
      </c>
      <c r="Q281" s="137">
        <v>6.3399000000000001</v>
      </c>
      <c r="R281" s="137">
        <v>4.07</v>
      </c>
      <c r="S281" s="137">
        <v>6.38</v>
      </c>
      <c r="T281" s="137">
        <v>5.87</v>
      </c>
      <c r="U281" s="137">
        <v>6.98</v>
      </c>
      <c r="V281" s="137">
        <v>5.82</v>
      </c>
      <c r="W281" s="140">
        <v>14113056</v>
      </c>
      <c r="X281" s="56">
        <f t="shared" si="8"/>
        <v>0</v>
      </c>
      <c r="Y281" s="56" t="str">
        <f t="shared" si="9"/>
        <v>LOGUEO</v>
      </c>
    </row>
    <row r="282" spans="1:25" ht="15" x14ac:dyDescent="0.25">
      <c r="A282" s="136" t="s">
        <v>2544</v>
      </c>
      <c r="B282" s="137">
        <v>0</v>
      </c>
      <c r="C282" s="137">
        <v>0</v>
      </c>
      <c r="D282" s="137">
        <v>0</v>
      </c>
      <c r="E282" s="137">
        <v>0</v>
      </c>
      <c r="F282" s="137">
        <v>0</v>
      </c>
      <c r="G282" s="137">
        <v>0</v>
      </c>
      <c r="H282" s="137">
        <v>0</v>
      </c>
      <c r="I282" s="137">
        <v>0</v>
      </c>
      <c r="J282" s="137">
        <v>0</v>
      </c>
      <c r="K282" s="137">
        <v>0</v>
      </c>
      <c r="L282" s="137">
        <v>0</v>
      </c>
      <c r="M282" s="137">
        <v>0</v>
      </c>
      <c r="N282" s="137">
        <v>0</v>
      </c>
      <c r="O282" s="137">
        <v>0</v>
      </c>
      <c r="P282" s="137">
        <v>0</v>
      </c>
      <c r="Q282" s="137">
        <v>0</v>
      </c>
      <c r="R282" s="137">
        <v>0.3</v>
      </c>
      <c r="S282" s="137">
        <v>0</v>
      </c>
      <c r="T282" s="137">
        <v>0</v>
      </c>
      <c r="U282" s="137">
        <v>0</v>
      </c>
      <c r="V282" s="137">
        <v>0</v>
      </c>
      <c r="W282" s="140" t="s">
        <v>1609</v>
      </c>
      <c r="X282" s="56">
        <f t="shared" si="8"/>
        <v>6</v>
      </c>
      <c r="Y282" s="56" t="str">
        <f t="shared" si="9"/>
        <v>NO LOGUEO</v>
      </c>
    </row>
    <row r="283" spans="1:25" ht="15" x14ac:dyDescent="0.25">
      <c r="A283" s="136" t="s">
        <v>2531</v>
      </c>
      <c r="B283" s="137">
        <v>0</v>
      </c>
      <c r="C283" s="137">
        <v>0</v>
      </c>
      <c r="D283" s="137">
        <v>0</v>
      </c>
      <c r="E283" s="137">
        <v>0</v>
      </c>
      <c r="F283" s="137">
        <v>0</v>
      </c>
      <c r="G283" s="137">
        <v>0</v>
      </c>
      <c r="H283" s="137">
        <v>0</v>
      </c>
      <c r="I283" s="137">
        <v>0</v>
      </c>
      <c r="J283" s="137">
        <v>0</v>
      </c>
      <c r="K283" s="137">
        <v>0</v>
      </c>
      <c r="L283" s="137">
        <v>0</v>
      </c>
      <c r="M283" s="137">
        <v>0</v>
      </c>
      <c r="N283" s="137">
        <v>0</v>
      </c>
      <c r="O283" s="137">
        <v>0</v>
      </c>
      <c r="P283" s="137">
        <v>0</v>
      </c>
      <c r="Q283" s="137">
        <v>0</v>
      </c>
      <c r="R283" s="137">
        <v>0</v>
      </c>
      <c r="S283" s="137">
        <v>0</v>
      </c>
      <c r="T283" s="137">
        <v>1.48</v>
      </c>
      <c r="U283" s="137">
        <v>0</v>
      </c>
      <c r="V283" s="137">
        <v>0</v>
      </c>
      <c r="W283" s="140" t="s">
        <v>1609</v>
      </c>
      <c r="X283" s="56">
        <f t="shared" si="8"/>
        <v>6</v>
      </c>
      <c r="Y283" s="56" t="str">
        <f t="shared" si="9"/>
        <v>NO LOGUEO</v>
      </c>
    </row>
    <row r="284" spans="1:25" ht="15" x14ac:dyDescent="0.25">
      <c r="A284" s="136" t="s">
        <v>201</v>
      </c>
      <c r="B284" s="137">
        <v>3.0099</v>
      </c>
      <c r="C284" s="137">
        <v>5.48</v>
      </c>
      <c r="D284" s="137">
        <v>6.2</v>
      </c>
      <c r="E284" s="137">
        <v>6.5298999999999996</v>
      </c>
      <c r="F284" s="137">
        <v>4.24</v>
      </c>
      <c r="G284" s="137">
        <v>5.9</v>
      </c>
      <c r="H284" s="137">
        <v>0</v>
      </c>
      <c r="I284" s="137">
        <v>4.91</v>
      </c>
      <c r="J284" s="137">
        <v>6.83</v>
      </c>
      <c r="K284" s="137">
        <v>5.0999999999999996</v>
      </c>
      <c r="L284" s="137">
        <v>6.21</v>
      </c>
      <c r="M284" s="137">
        <v>4.26</v>
      </c>
      <c r="N284" s="137">
        <v>5.27</v>
      </c>
      <c r="O284" s="137">
        <v>0</v>
      </c>
      <c r="P284" s="137">
        <v>0</v>
      </c>
      <c r="Q284" s="137">
        <v>5.38</v>
      </c>
      <c r="R284" s="137">
        <v>5.83</v>
      </c>
      <c r="S284" s="137">
        <v>5.5598999999999998</v>
      </c>
      <c r="T284" s="137">
        <v>4.84</v>
      </c>
      <c r="U284" s="137">
        <v>5.69</v>
      </c>
      <c r="V284" s="137">
        <v>1.3</v>
      </c>
      <c r="W284" s="140">
        <v>14118440</v>
      </c>
      <c r="X284" s="56">
        <f t="shared" si="8"/>
        <v>1</v>
      </c>
      <c r="Y284" s="56" t="str">
        <f t="shared" si="9"/>
        <v>LOGUEO</v>
      </c>
    </row>
    <row r="285" spans="1:25" ht="15" x14ac:dyDescent="0.25">
      <c r="A285" s="136" t="s">
        <v>1963</v>
      </c>
      <c r="B285" s="137">
        <v>0</v>
      </c>
      <c r="C285" s="137">
        <v>5.71</v>
      </c>
      <c r="D285" s="137">
        <v>5.41</v>
      </c>
      <c r="E285" s="137">
        <v>6.67</v>
      </c>
      <c r="F285" s="137">
        <v>3.77</v>
      </c>
      <c r="G285" s="137">
        <v>6.42</v>
      </c>
      <c r="H285" s="137">
        <v>4.0999999999999996</v>
      </c>
      <c r="I285" s="137">
        <v>5.73</v>
      </c>
      <c r="J285" s="137">
        <v>2.27</v>
      </c>
      <c r="K285" s="137">
        <v>6.48</v>
      </c>
      <c r="L285" s="137">
        <v>6.49</v>
      </c>
      <c r="M285" s="137">
        <v>5.13</v>
      </c>
      <c r="N285" s="137">
        <v>4.3998999999999997</v>
      </c>
      <c r="O285" s="137">
        <v>6.92</v>
      </c>
      <c r="P285" s="137">
        <v>0</v>
      </c>
      <c r="Q285" s="137">
        <v>3.25</v>
      </c>
      <c r="R285" s="137">
        <v>6.73</v>
      </c>
      <c r="S285" s="137">
        <v>6.42</v>
      </c>
      <c r="T285" s="137">
        <v>5.68</v>
      </c>
      <c r="U285" s="137">
        <v>6.6</v>
      </c>
      <c r="V285" s="137">
        <v>5.72</v>
      </c>
      <c r="W285" s="140" t="s">
        <v>1609</v>
      </c>
      <c r="X285" s="56">
        <f t="shared" si="8"/>
        <v>1</v>
      </c>
      <c r="Y285" s="56" t="str">
        <f t="shared" si="9"/>
        <v>LOGUEO</v>
      </c>
    </row>
    <row r="286" spans="1:25" ht="15" x14ac:dyDescent="0.25">
      <c r="A286" s="136" t="s">
        <v>1893</v>
      </c>
      <c r="B286" s="137">
        <v>0</v>
      </c>
      <c r="C286" s="137">
        <v>0</v>
      </c>
      <c r="D286" s="137">
        <v>0</v>
      </c>
      <c r="E286" s="137">
        <v>0</v>
      </c>
      <c r="F286" s="137">
        <v>0</v>
      </c>
      <c r="G286" s="137">
        <v>0</v>
      </c>
      <c r="H286" s="137">
        <v>0</v>
      </c>
      <c r="I286" s="137">
        <v>0</v>
      </c>
      <c r="J286" s="137">
        <v>0</v>
      </c>
      <c r="K286" s="137">
        <v>0</v>
      </c>
      <c r="L286" s="137">
        <v>0</v>
      </c>
      <c r="M286" s="137">
        <v>0</v>
      </c>
      <c r="N286" s="137">
        <v>0</v>
      </c>
      <c r="O286" s="137">
        <v>0</v>
      </c>
      <c r="P286" s="137">
        <v>0</v>
      </c>
      <c r="Q286" s="137">
        <v>0</v>
      </c>
      <c r="R286" s="137">
        <v>0</v>
      </c>
      <c r="S286" s="137">
        <v>0</v>
      </c>
      <c r="T286" s="137">
        <v>0</v>
      </c>
      <c r="U286" s="137">
        <v>0</v>
      </c>
      <c r="V286" s="137">
        <v>0</v>
      </c>
      <c r="W286" s="140" t="s">
        <v>1609</v>
      </c>
      <c r="X286" s="56">
        <f t="shared" si="8"/>
        <v>7</v>
      </c>
      <c r="Y286" s="56" t="str">
        <f t="shared" si="9"/>
        <v>NO LOGUEO</v>
      </c>
    </row>
    <row r="287" spans="1:25" ht="15" x14ac:dyDescent="0.25">
      <c r="A287" s="136" t="s">
        <v>1905</v>
      </c>
      <c r="B287" s="137">
        <v>0</v>
      </c>
      <c r="C287" s="137">
        <v>0</v>
      </c>
      <c r="D287" s="137">
        <v>0</v>
      </c>
      <c r="E287" s="137">
        <v>0</v>
      </c>
      <c r="F287" s="137">
        <v>0</v>
      </c>
      <c r="G287" s="137">
        <v>0</v>
      </c>
      <c r="H287" s="137">
        <v>0</v>
      </c>
      <c r="I287" s="137">
        <v>0</v>
      </c>
      <c r="J287" s="137">
        <v>0</v>
      </c>
      <c r="K287" s="137">
        <v>0</v>
      </c>
      <c r="L287" s="137">
        <v>0</v>
      </c>
      <c r="M287" s="137">
        <v>0</v>
      </c>
      <c r="N287" s="137">
        <v>0</v>
      </c>
      <c r="O287" s="137">
        <v>0</v>
      </c>
      <c r="P287" s="137">
        <v>0.95</v>
      </c>
      <c r="Q287" s="137">
        <v>0</v>
      </c>
      <c r="R287" s="137">
        <v>0</v>
      </c>
      <c r="S287" s="137">
        <v>0</v>
      </c>
      <c r="T287" s="137">
        <v>0</v>
      </c>
      <c r="U287" s="137">
        <v>0</v>
      </c>
      <c r="V287" s="137">
        <v>0</v>
      </c>
      <c r="W287" s="140" t="s">
        <v>1609</v>
      </c>
      <c r="X287" s="56">
        <f t="shared" si="8"/>
        <v>6</v>
      </c>
      <c r="Y287" s="56" t="str">
        <f t="shared" si="9"/>
        <v>NO LOGUEO</v>
      </c>
    </row>
    <row r="288" spans="1:25" ht="15" x14ac:dyDescent="0.25">
      <c r="A288" s="136" t="s">
        <v>1861</v>
      </c>
      <c r="B288" s="137">
        <v>0</v>
      </c>
      <c r="C288" s="137">
        <v>0</v>
      </c>
      <c r="D288" s="137">
        <v>0</v>
      </c>
      <c r="E288" s="137">
        <v>0</v>
      </c>
      <c r="F288" s="137">
        <v>0</v>
      </c>
      <c r="G288" s="137">
        <v>0</v>
      </c>
      <c r="H288" s="137">
        <v>0</v>
      </c>
      <c r="I288" s="137">
        <v>0</v>
      </c>
      <c r="J288" s="137">
        <v>0</v>
      </c>
      <c r="K288" s="137">
        <v>0</v>
      </c>
      <c r="L288" s="137">
        <v>0</v>
      </c>
      <c r="M288" s="137">
        <v>0</v>
      </c>
      <c r="N288" s="137">
        <v>0</v>
      </c>
      <c r="O288" s="137">
        <v>0</v>
      </c>
      <c r="P288" s="137">
        <v>0</v>
      </c>
      <c r="Q288" s="137">
        <v>0</v>
      </c>
      <c r="R288" s="137">
        <v>0</v>
      </c>
      <c r="S288" s="137">
        <v>0</v>
      </c>
      <c r="T288" s="137">
        <v>0</v>
      </c>
      <c r="U288" s="137">
        <v>0</v>
      </c>
      <c r="V288" s="137">
        <v>0</v>
      </c>
      <c r="W288" s="140" t="s">
        <v>1609</v>
      </c>
      <c r="X288" s="56">
        <f t="shared" si="8"/>
        <v>7</v>
      </c>
      <c r="Y288" s="56" t="str">
        <f t="shared" si="9"/>
        <v>NO LOGUEO</v>
      </c>
    </row>
    <row r="289" spans="1:25" ht="15" x14ac:dyDescent="0.25">
      <c r="A289" s="136" t="s">
        <v>200</v>
      </c>
      <c r="B289" s="137">
        <v>5.8598999999999997</v>
      </c>
      <c r="C289" s="137">
        <v>4.93</v>
      </c>
      <c r="D289" s="137">
        <v>8.25</v>
      </c>
      <c r="E289" s="137">
        <v>11.02</v>
      </c>
      <c r="F289" s="137">
        <v>0.6</v>
      </c>
      <c r="G289" s="137">
        <v>5.65</v>
      </c>
      <c r="H289" s="137">
        <v>7.3299000000000003</v>
      </c>
      <c r="I289" s="137">
        <v>3.84</v>
      </c>
      <c r="J289" s="137">
        <v>5.87</v>
      </c>
      <c r="K289" s="137">
        <v>11.129899999999999</v>
      </c>
      <c r="L289" s="137">
        <v>0.4</v>
      </c>
      <c r="M289" s="137">
        <v>3.67</v>
      </c>
      <c r="N289" s="137">
        <v>7.05</v>
      </c>
      <c r="O289" s="137">
        <v>10.149900000000001</v>
      </c>
      <c r="P289" s="137">
        <v>6.53</v>
      </c>
      <c r="Q289" s="137">
        <v>13.02</v>
      </c>
      <c r="R289" s="137">
        <v>8.35</v>
      </c>
      <c r="S289" s="137">
        <v>5.75</v>
      </c>
      <c r="T289" s="137">
        <v>0</v>
      </c>
      <c r="U289" s="137">
        <v>9.19</v>
      </c>
      <c r="V289" s="137">
        <v>6.59</v>
      </c>
      <c r="W289" s="140">
        <v>14118397</v>
      </c>
      <c r="X289" s="56">
        <f t="shared" si="8"/>
        <v>1</v>
      </c>
      <c r="Y289" s="56" t="str">
        <f t="shared" si="9"/>
        <v>LOGUEO</v>
      </c>
    </row>
    <row r="290" spans="1:25" ht="15" x14ac:dyDescent="0.25">
      <c r="A290" s="136" t="s">
        <v>377</v>
      </c>
      <c r="B290" s="137">
        <v>0</v>
      </c>
      <c r="C290" s="137">
        <v>0</v>
      </c>
      <c r="D290" s="137">
        <v>0</v>
      </c>
      <c r="E290" s="137">
        <v>0</v>
      </c>
      <c r="F290" s="137">
        <v>0</v>
      </c>
      <c r="G290" s="137">
        <v>0</v>
      </c>
      <c r="H290" s="137">
        <v>0</v>
      </c>
      <c r="I290" s="137">
        <v>0</v>
      </c>
      <c r="J290" s="137">
        <v>0</v>
      </c>
      <c r="K290" s="137">
        <v>0</v>
      </c>
      <c r="L290" s="137">
        <v>0</v>
      </c>
      <c r="M290" s="137">
        <v>0</v>
      </c>
      <c r="N290" s="137">
        <v>0</v>
      </c>
      <c r="O290" s="137">
        <v>0</v>
      </c>
      <c r="P290" s="137">
        <v>0</v>
      </c>
      <c r="Q290" s="137">
        <v>0</v>
      </c>
      <c r="R290" s="137">
        <v>0</v>
      </c>
      <c r="S290" s="137">
        <v>0</v>
      </c>
      <c r="T290" s="137">
        <v>0</v>
      </c>
      <c r="U290" s="137">
        <v>0</v>
      </c>
      <c r="V290" s="137">
        <v>0</v>
      </c>
      <c r="W290" s="140">
        <v>14121994</v>
      </c>
      <c r="X290" s="56">
        <f t="shared" si="8"/>
        <v>7</v>
      </c>
      <c r="Y290" s="56" t="str">
        <f t="shared" si="9"/>
        <v>NO LOGUEO</v>
      </c>
    </row>
    <row r="291" spans="1:25" ht="15" x14ac:dyDescent="0.25">
      <c r="A291" s="136" t="s">
        <v>1906</v>
      </c>
      <c r="B291" s="137">
        <v>0</v>
      </c>
      <c r="C291" s="137">
        <v>0</v>
      </c>
      <c r="D291" s="137">
        <v>0</v>
      </c>
      <c r="E291" s="137">
        <v>0</v>
      </c>
      <c r="F291" s="137">
        <v>0</v>
      </c>
      <c r="G291" s="137">
        <v>0</v>
      </c>
      <c r="H291" s="137">
        <v>0</v>
      </c>
      <c r="I291" s="137">
        <v>0</v>
      </c>
      <c r="J291" s="137">
        <v>0</v>
      </c>
      <c r="K291" s="137">
        <v>0</v>
      </c>
      <c r="L291" s="137">
        <v>0</v>
      </c>
      <c r="M291" s="137">
        <v>0</v>
      </c>
      <c r="N291" s="137">
        <v>0</v>
      </c>
      <c r="O291" s="137">
        <v>0</v>
      </c>
      <c r="P291" s="137">
        <v>0</v>
      </c>
      <c r="Q291" s="137">
        <v>0</v>
      </c>
      <c r="R291" s="137">
        <v>0</v>
      </c>
      <c r="S291" s="137">
        <v>0</v>
      </c>
      <c r="T291" s="137">
        <v>0</v>
      </c>
      <c r="U291" s="137">
        <v>0</v>
      </c>
      <c r="V291" s="137">
        <v>0</v>
      </c>
      <c r="W291" s="140" t="s">
        <v>1609</v>
      </c>
      <c r="X291" s="56">
        <f t="shared" si="8"/>
        <v>7</v>
      </c>
      <c r="Y291" s="56" t="str">
        <f t="shared" si="9"/>
        <v>NO LOGUEO</v>
      </c>
    </row>
    <row r="292" spans="1:25" ht="15" x14ac:dyDescent="0.25">
      <c r="A292" s="136" t="s">
        <v>550</v>
      </c>
      <c r="B292" s="137">
        <v>0</v>
      </c>
      <c r="C292" s="137">
        <v>0</v>
      </c>
      <c r="D292" s="137">
        <v>0</v>
      </c>
      <c r="E292" s="137">
        <v>0</v>
      </c>
      <c r="F292" s="137">
        <v>0</v>
      </c>
      <c r="G292" s="137">
        <v>0</v>
      </c>
      <c r="H292" s="137">
        <v>0</v>
      </c>
      <c r="I292" s="137">
        <v>0</v>
      </c>
      <c r="J292" s="137">
        <v>0</v>
      </c>
      <c r="K292" s="137">
        <v>0</v>
      </c>
      <c r="L292" s="137">
        <v>0</v>
      </c>
      <c r="M292" s="137">
        <v>0</v>
      </c>
      <c r="N292" s="137">
        <v>0</v>
      </c>
      <c r="O292" s="137">
        <v>0</v>
      </c>
      <c r="P292" s="137">
        <v>0</v>
      </c>
      <c r="Q292" s="137">
        <v>0</v>
      </c>
      <c r="R292" s="137">
        <v>0</v>
      </c>
      <c r="S292" s="137">
        <v>0</v>
      </c>
      <c r="T292" s="137">
        <v>0</v>
      </c>
      <c r="U292" s="137">
        <v>0</v>
      </c>
      <c r="V292" s="137">
        <v>0</v>
      </c>
      <c r="W292" s="140" t="s">
        <v>1609</v>
      </c>
      <c r="X292" s="56">
        <f t="shared" si="8"/>
        <v>7</v>
      </c>
      <c r="Y292" s="56" t="str">
        <f t="shared" si="9"/>
        <v>NO LOGUEO</v>
      </c>
    </row>
    <row r="293" spans="1:25" ht="15" x14ac:dyDescent="0.25">
      <c r="A293" s="136" t="s">
        <v>3713</v>
      </c>
      <c r="B293" s="137">
        <v>0</v>
      </c>
      <c r="C293" s="137">
        <v>0</v>
      </c>
      <c r="D293" s="137">
        <v>0</v>
      </c>
      <c r="E293" s="137">
        <v>2.2599</v>
      </c>
      <c r="F293" s="137">
        <v>0</v>
      </c>
      <c r="G293" s="137">
        <v>0</v>
      </c>
      <c r="H293" s="137">
        <v>0</v>
      </c>
      <c r="I293" s="137">
        <v>0</v>
      </c>
      <c r="J293" s="137">
        <v>0</v>
      </c>
      <c r="K293" s="137">
        <v>0</v>
      </c>
      <c r="L293" s="137">
        <v>0</v>
      </c>
      <c r="M293" s="137">
        <v>0</v>
      </c>
      <c r="N293" s="137">
        <v>0</v>
      </c>
      <c r="O293" s="137">
        <v>0</v>
      </c>
      <c r="P293" s="137">
        <v>0</v>
      </c>
      <c r="Q293" s="137">
        <v>0</v>
      </c>
      <c r="R293" s="137">
        <v>0</v>
      </c>
      <c r="S293" s="137">
        <v>0</v>
      </c>
      <c r="T293" s="137">
        <v>0</v>
      </c>
      <c r="U293" s="137">
        <v>0</v>
      </c>
      <c r="V293" s="137">
        <v>0</v>
      </c>
      <c r="W293" s="140" t="s">
        <v>1609</v>
      </c>
      <c r="X293" s="56">
        <f t="shared" si="8"/>
        <v>7</v>
      </c>
      <c r="Y293" s="56" t="str">
        <f t="shared" si="9"/>
        <v>NO LOGUEO</v>
      </c>
    </row>
    <row r="294" spans="1:25" ht="15" x14ac:dyDescent="0.25">
      <c r="A294" s="136" t="s">
        <v>1831</v>
      </c>
      <c r="B294" s="137">
        <v>7.32</v>
      </c>
      <c r="C294" s="137">
        <v>12.6099</v>
      </c>
      <c r="D294" s="137">
        <v>9.25</v>
      </c>
      <c r="E294" s="137">
        <v>6.22</v>
      </c>
      <c r="F294" s="137">
        <v>4.6500000000000004</v>
      </c>
      <c r="G294" s="137">
        <v>8.6898999999999997</v>
      </c>
      <c r="H294" s="137">
        <v>6.35</v>
      </c>
      <c r="I294" s="137">
        <v>0</v>
      </c>
      <c r="J294" s="137">
        <v>14.18</v>
      </c>
      <c r="K294" s="137">
        <v>0</v>
      </c>
      <c r="L294" s="137">
        <v>8.35</v>
      </c>
      <c r="M294" s="137">
        <v>9.98</v>
      </c>
      <c r="N294" s="137">
        <v>3.97</v>
      </c>
      <c r="O294" s="137">
        <v>15.42</v>
      </c>
      <c r="P294" s="137">
        <v>1.6298999999999999</v>
      </c>
      <c r="Q294" s="137">
        <v>7.07</v>
      </c>
      <c r="R294" s="137">
        <v>7.38</v>
      </c>
      <c r="S294" s="137">
        <v>7.98</v>
      </c>
      <c r="T294" s="137">
        <v>0</v>
      </c>
      <c r="U294" s="137">
        <v>0</v>
      </c>
      <c r="V294" s="137">
        <v>0</v>
      </c>
      <c r="W294" s="140">
        <v>14118341</v>
      </c>
      <c r="X294" s="56">
        <f t="shared" si="8"/>
        <v>3</v>
      </c>
      <c r="Y294" s="56" t="str">
        <f t="shared" si="9"/>
        <v>NO LOGUEO</v>
      </c>
    </row>
    <row r="295" spans="1:25" ht="15" x14ac:dyDescent="0.25">
      <c r="A295" s="136" t="s">
        <v>195</v>
      </c>
      <c r="B295" s="137">
        <v>3.71</v>
      </c>
      <c r="C295" s="137">
        <v>4.68</v>
      </c>
      <c r="D295" s="137">
        <v>8.18</v>
      </c>
      <c r="E295" s="137">
        <v>6.78</v>
      </c>
      <c r="F295" s="137">
        <v>1.6</v>
      </c>
      <c r="G295" s="137">
        <v>8.41</v>
      </c>
      <c r="H295" s="137">
        <v>7.4999000000000002</v>
      </c>
      <c r="I295" s="137">
        <v>3.61</v>
      </c>
      <c r="J295" s="137">
        <v>7.76</v>
      </c>
      <c r="K295" s="137">
        <v>7.95</v>
      </c>
      <c r="L295" s="137">
        <v>8.5</v>
      </c>
      <c r="M295" s="137">
        <v>8.11</v>
      </c>
      <c r="N295" s="137">
        <v>8.42</v>
      </c>
      <c r="O295" s="137">
        <v>8.51</v>
      </c>
      <c r="P295" s="137">
        <v>3.48</v>
      </c>
      <c r="Q295" s="137">
        <v>7.6</v>
      </c>
      <c r="R295" s="137">
        <v>8.7200000000000006</v>
      </c>
      <c r="S295" s="137">
        <v>8.4499999999999993</v>
      </c>
      <c r="T295" s="137">
        <v>6.1999000000000004</v>
      </c>
      <c r="U295" s="137">
        <v>2.4500000000000002</v>
      </c>
      <c r="V295" s="137">
        <v>7.62</v>
      </c>
      <c r="W295" s="140">
        <v>14112292</v>
      </c>
      <c r="X295" s="56">
        <f t="shared" si="8"/>
        <v>0</v>
      </c>
      <c r="Y295" s="56" t="str">
        <f t="shared" si="9"/>
        <v>LOGUEO</v>
      </c>
    </row>
    <row r="296" spans="1:25" ht="15" x14ac:dyDescent="0.25">
      <c r="A296" s="136" t="s">
        <v>1894</v>
      </c>
      <c r="B296" s="137">
        <v>0</v>
      </c>
      <c r="C296" s="137">
        <v>0</v>
      </c>
      <c r="D296" s="137">
        <v>0</v>
      </c>
      <c r="E296" s="137">
        <v>0</v>
      </c>
      <c r="F296" s="137">
        <v>0</v>
      </c>
      <c r="G296" s="137">
        <v>0</v>
      </c>
      <c r="H296" s="137">
        <v>0</v>
      </c>
      <c r="I296" s="137">
        <v>0</v>
      </c>
      <c r="J296" s="137">
        <v>0</v>
      </c>
      <c r="K296" s="137">
        <v>0</v>
      </c>
      <c r="L296" s="137">
        <v>0</v>
      </c>
      <c r="M296" s="137">
        <v>0</v>
      </c>
      <c r="N296" s="137">
        <v>0</v>
      </c>
      <c r="O296" s="137">
        <v>0</v>
      </c>
      <c r="P296" s="137">
        <v>0</v>
      </c>
      <c r="Q296" s="137">
        <v>0</v>
      </c>
      <c r="R296" s="137">
        <v>0</v>
      </c>
      <c r="S296" s="137">
        <v>0</v>
      </c>
      <c r="T296" s="137">
        <v>0</v>
      </c>
      <c r="U296" s="137">
        <v>0</v>
      </c>
      <c r="V296" s="137">
        <v>0</v>
      </c>
      <c r="W296" s="140" t="s">
        <v>1609</v>
      </c>
      <c r="X296" s="56">
        <f t="shared" si="8"/>
        <v>7</v>
      </c>
      <c r="Y296" s="56" t="str">
        <f t="shared" si="9"/>
        <v>NO LOGUEO</v>
      </c>
    </row>
    <row r="297" spans="1:25" ht="15" x14ac:dyDescent="0.25">
      <c r="A297" s="136" t="s">
        <v>437</v>
      </c>
      <c r="B297" s="137">
        <v>0</v>
      </c>
      <c r="C297" s="137">
        <v>0</v>
      </c>
      <c r="D297" s="137">
        <v>0</v>
      </c>
      <c r="E297" s="137">
        <v>0</v>
      </c>
      <c r="F297" s="137">
        <v>0</v>
      </c>
      <c r="G297" s="137">
        <v>0</v>
      </c>
      <c r="H297" s="137">
        <v>0</v>
      </c>
      <c r="I297" s="137">
        <v>0</v>
      </c>
      <c r="J297" s="137">
        <v>0</v>
      </c>
      <c r="K297" s="137">
        <v>0</v>
      </c>
      <c r="L297" s="137">
        <v>0</v>
      </c>
      <c r="M297" s="137">
        <v>0</v>
      </c>
      <c r="N297" s="137">
        <v>0</v>
      </c>
      <c r="O297" s="137">
        <v>0</v>
      </c>
      <c r="P297" s="137">
        <v>0</v>
      </c>
      <c r="Q297" s="137">
        <v>0</v>
      </c>
      <c r="R297" s="137">
        <v>0</v>
      </c>
      <c r="S297" s="137">
        <v>1.1499999999999999</v>
      </c>
      <c r="T297" s="137">
        <v>6.1498999999999997</v>
      </c>
      <c r="U297" s="137">
        <v>4.5999999999999996</v>
      </c>
      <c r="V297" s="137">
        <v>4.0198999999999998</v>
      </c>
      <c r="W297" s="140">
        <v>14122621</v>
      </c>
      <c r="X297" s="56">
        <f t="shared" si="8"/>
        <v>3</v>
      </c>
      <c r="Y297" s="56" t="str">
        <f t="shared" si="9"/>
        <v>NO LOGUEO</v>
      </c>
    </row>
    <row r="298" spans="1:25" ht="15" x14ac:dyDescent="0.25">
      <c r="A298" s="136" t="s">
        <v>217</v>
      </c>
      <c r="B298" s="137">
        <v>0</v>
      </c>
      <c r="C298" s="137">
        <v>0</v>
      </c>
      <c r="D298" s="137">
        <v>7.7899000000000003</v>
      </c>
      <c r="E298" s="137">
        <v>8.5</v>
      </c>
      <c r="F298" s="137">
        <v>7.15</v>
      </c>
      <c r="G298" s="137">
        <v>8.14</v>
      </c>
      <c r="H298" s="137">
        <v>8.83</v>
      </c>
      <c r="I298" s="137">
        <v>0</v>
      </c>
      <c r="J298" s="137">
        <v>7.01</v>
      </c>
      <c r="K298" s="137">
        <v>2.84</v>
      </c>
      <c r="L298" s="137">
        <v>6.69</v>
      </c>
      <c r="M298" s="137">
        <v>1.99</v>
      </c>
      <c r="N298" s="137">
        <v>8.92</v>
      </c>
      <c r="O298" s="137">
        <v>8.11</v>
      </c>
      <c r="P298" s="137">
        <v>7.59</v>
      </c>
      <c r="Q298" s="137">
        <v>5.8</v>
      </c>
      <c r="R298" s="137">
        <v>10.24</v>
      </c>
      <c r="S298" s="137">
        <v>9.06</v>
      </c>
      <c r="T298" s="137">
        <v>6.57</v>
      </c>
      <c r="U298" s="137">
        <v>0.85</v>
      </c>
      <c r="V298" s="137">
        <v>3.08</v>
      </c>
      <c r="W298" s="140">
        <v>14118811</v>
      </c>
      <c r="X298" s="56">
        <f t="shared" si="8"/>
        <v>0</v>
      </c>
      <c r="Y298" s="56" t="str">
        <f t="shared" si="9"/>
        <v>LOGUEO</v>
      </c>
    </row>
    <row r="299" spans="1:25" ht="15" x14ac:dyDescent="0.25">
      <c r="A299" s="136" t="s">
        <v>1360</v>
      </c>
      <c r="B299" s="137">
        <v>3.27</v>
      </c>
      <c r="C299" s="137">
        <v>7.41</v>
      </c>
      <c r="D299" s="137">
        <v>8.23</v>
      </c>
      <c r="E299" s="137">
        <v>7.61</v>
      </c>
      <c r="F299" s="137">
        <v>1.3599000000000001</v>
      </c>
      <c r="G299" s="137">
        <v>8.09</v>
      </c>
      <c r="H299" s="137">
        <v>7.7</v>
      </c>
      <c r="I299" s="137">
        <v>5.9798999999999998</v>
      </c>
      <c r="J299" s="137">
        <v>7.58</v>
      </c>
      <c r="K299" s="137">
        <v>7.9</v>
      </c>
      <c r="L299" s="137">
        <v>9.2898999999999994</v>
      </c>
      <c r="M299" s="137">
        <v>8.0500000000000007</v>
      </c>
      <c r="N299" s="137">
        <v>7.61</v>
      </c>
      <c r="O299" s="137">
        <v>7.3</v>
      </c>
      <c r="P299" s="137">
        <v>2.6398999999999999</v>
      </c>
      <c r="Q299" s="137">
        <v>7.15</v>
      </c>
      <c r="R299" s="137">
        <v>9.42</v>
      </c>
      <c r="S299" s="137">
        <v>7.67</v>
      </c>
      <c r="T299" s="137">
        <v>7.24</v>
      </c>
      <c r="U299" s="137">
        <v>9.09</v>
      </c>
      <c r="V299" s="137">
        <v>7.02</v>
      </c>
      <c r="W299" s="140">
        <v>14103936</v>
      </c>
      <c r="X299" s="56">
        <f t="shared" si="8"/>
        <v>0</v>
      </c>
      <c r="Y299" s="56" t="str">
        <f t="shared" si="9"/>
        <v>LOGUEO</v>
      </c>
    </row>
    <row r="300" spans="1:25" ht="15" x14ac:dyDescent="0.25">
      <c r="A300" s="136" t="s">
        <v>488</v>
      </c>
      <c r="B300" s="137">
        <v>0</v>
      </c>
      <c r="C300" s="137">
        <v>0.4</v>
      </c>
      <c r="D300" s="137">
        <v>0</v>
      </c>
      <c r="E300" s="137">
        <v>0</v>
      </c>
      <c r="F300" s="137">
        <v>0</v>
      </c>
      <c r="G300" s="137">
        <v>0</v>
      </c>
      <c r="H300" s="137">
        <v>0</v>
      </c>
      <c r="I300" s="137">
        <v>0</v>
      </c>
      <c r="J300" s="137">
        <v>0</v>
      </c>
      <c r="K300" s="137">
        <v>0</v>
      </c>
      <c r="L300" s="137">
        <v>0</v>
      </c>
      <c r="M300" s="137">
        <v>0.88</v>
      </c>
      <c r="N300" s="137">
        <v>0</v>
      </c>
      <c r="O300" s="137">
        <v>0</v>
      </c>
      <c r="P300" s="137">
        <v>0</v>
      </c>
      <c r="Q300" s="137">
        <v>0</v>
      </c>
      <c r="R300" s="137">
        <v>0</v>
      </c>
      <c r="S300" s="137">
        <v>0</v>
      </c>
      <c r="T300" s="137">
        <v>0</v>
      </c>
      <c r="U300" s="137">
        <v>0</v>
      </c>
      <c r="V300" s="137">
        <v>0</v>
      </c>
      <c r="W300" s="140">
        <v>14123128</v>
      </c>
      <c r="X300" s="56">
        <f t="shared" si="8"/>
        <v>7</v>
      </c>
      <c r="Y300" s="56" t="str">
        <f t="shared" si="9"/>
        <v>NO LOGUEO</v>
      </c>
    </row>
    <row r="301" spans="1:25" ht="15" x14ac:dyDescent="0.25">
      <c r="A301" s="136" t="s">
        <v>382</v>
      </c>
      <c r="B301" s="137">
        <v>4.92</v>
      </c>
      <c r="C301" s="137">
        <v>6.79</v>
      </c>
      <c r="D301" s="137">
        <v>7.12</v>
      </c>
      <c r="E301" s="137">
        <v>6.95</v>
      </c>
      <c r="F301" s="137">
        <v>1.5699000000000001</v>
      </c>
      <c r="G301" s="137">
        <v>6.9999000000000002</v>
      </c>
      <c r="H301" s="137">
        <v>6.9</v>
      </c>
      <c r="I301" s="137">
        <v>0</v>
      </c>
      <c r="J301" s="137">
        <v>7.43</v>
      </c>
      <c r="K301" s="137">
        <v>7.1699000000000002</v>
      </c>
      <c r="L301" s="137">
        <v>7.18</v>
      </c>
      <c r="M301" s="137">
        <v>6.65</v>
      </c>
      <c r="N301" s="137">
        <v>7.8299000000000003</v>
      </c>
      <c r="O301" s="137">
        <v>6.8</v>
      </c>
      <c r="P301" s="137">
        <v>5.25</v>
      </c>
      <c r="Q301" s="137">
        <v>7.2899000000000003</v>
      </c>
      <c r="R301" s="137">
        <v>7.38</v>
      </c>
      <c r="S301" s="137">
        <v>7.63</v>
      </c>
      <c r="T301" s="137">
        <v>7.08</v>
      </c>
      <c r="U301" s="137">
        <v>7.69</v>
      </c>
      <c r="V301" s="137">
        <v>6.84</v>
      </c>
      <c r="W301" s="140">
        <v>14122072</v>
      </c>
      <c r="X301" s="56">
        <f t="shared" si="8"/>
        <v>0</v>
      </c>
      <c r="Y301" s="56" t="str">
        <f t="shared" si="9"/>
        <v>LOGUEO</v>
      </c>
    </row>
    <row r="302" spans="1:25" ht="15" x14ac:dyDescent="0.25">
      <c r="A302" s="136" t="s">
        <v>245</v>
      </c>
      <c r="B302" s="137">
        <v>3.4</v>
      </c>
      <c r="C302" s="137">
        <v>5.73</v>
      </c>
      <c r="D302" s="137">
        <v>1.8</v>
      </c>
      <c r="E302" s="137">
        <v>6.6</v>
      </c>
      <c r="F302" s="137">
        <v>3.21</v>
      </c>
      <c r="G302" s="137">
        <v>6.25</v>
      </c>
      <c r="H302" s="137">
        <v>3.13</v>
      </c>
      <c r="I302" s="137">
        <v>6.2</v>
      </c>
      <c r="J302" s="137">
        <v>3.23</v>
      </c>
      <c r="K302" s="137">
        <v>6.2</v>
      </c>
      <c r="L302" s="137">
        <v>3.25</v>
      </c>
      <c r="M302" s="137">
        <v>6.32</v>
      </c>
      <c r="N302" s="137">
        <v>3.38</v>
      </c>
      <c r="O302" s="137">
        <v>6.67</v>
      </c>
      <c r="P302" s="137">
        <v>3.17</v>
      </c>
      <c r="Q302" s="137">
        <v>6.69</v>
      </c>
      <c r="R302" s="137">
        <v>3.42</v>
      </c>
      <c r="S302" s="137">
        <v>6.9099000000000004</v>
      </c>
      <c r="T302" s="137">
        <v>0</v>
      </c>
      <c r="U302" s="137">
        <v>6.53</v>
      </c>
      <c r="V302" s="137">
        <v>3.2</v>
      </c>
      <c r="W302" s="140">
        <v>14119357</v>
      </c>
      <c r="X302" s="56">
        <f t="shared" si="8"/>
        <v>1</v>
      </c>
      <c r="Y302" s="56" t="str">
        <f t="shared" si="9"/>
        <v>LOGUEO</v>
      </c>
    </row>
    <row r="303" spans="1:25" ht="15" x14ac:dyDescent="0.25">
      <c r="A303" s="136" t="s">
        <v>1448</v>
      </c>
      <c r="B303" s="137">
        <v>0</v>
      </c>
      <c r="C303" s="137">
        <v>0</v>
      </c>
      <c r="D303" s="137">
        <v>8.65</v>
      </c>
      <c r="E303" s="137">
        <v>12.25</v>
      </c>
      <c r="F303" s="137">
        <v>0</v>
      </c>
      <c r="G303" s="137">
        <v>9.26</v>
      </c>
      <c r="H303" s="137">
        <v>4.76</v>
      </c>
      <c r="I303" s="137">
        <v>8.06</v>
      </c>
      <c r="J303" s="137">
        <v>3.77</v>
      </c>
      <c r="K303" s="137">
        <v>6.1898999999999997</v>
      </c>
      <c r="L303" s="137">
        <v>5.9</v>
      </c>
      <c r="M303" s="137">
        <v>12.03</v>
      </c>
      <c r="N303" s="137">
        <v>10.36</v>
      </c>
      <c r="O303" s="137">
        <v>6.1</v>
      </c>
      <c r="P303" s="137">
        <v>0</v>
      </c>
      <c r="Q303" s="137">
        <v>10.53</v>
      </c>
      <c r="R303" s="137">
        <v>12.59</v>
      </c>
      <c r="S303" s="137">
        <v>11.94</v>
      </c>
      <c r="T303" s="137">
        <v>10</v>
      </c>
      <c r="U303" s="137">
        <v>13.57</v>
      </c>
      <c r="V303" s="137">
        <v>11.83</v>
      </c>
      <c r="W303" s="140">
        <v>14115917</v>
      </c>
      <c r="X303" s="56">
        <f t="shared" si="8"/>
        <v>1</v>
      </c>
      <c r="Y303" s="56" t="str">
        <f t="shared" si="9"/>
        <v>LOGUEO</v>
      </c>
    </row>
    <row r="304" spans="1:25" ht="15" x14ac:dyDescent="0.25">
      <c r="A304" s="136" t="s">
        <v>1832</v>
      </c>
      <c r="B304" s="137">
        <v>8.06</v>
      </c>
      <c r="C304" s="137">
        <v>6.15</v>
      </c>
      <c r="D304" s="137">
        <v>10.15</v>
      </c>
      <c r="E304" s="137">
        <v>8.57</v>
      </c>
      <c r="F304" s="137">
        <v>0</v>
      </c>
      <c r="G304" s="137">
        <v>2.92</v>
      </c>
      <c r="H304" s="137">
        <v>6.6</v>
      </c>
      <c r="I304" s="137">
        <v>4.53</v>
      </c>
      <c r="J304" s="137">
        <v>6.34</v>
      </c>
      <c r="K304" s="137">
        <v>6.04</v>
      </c>
      <c r="L304" s="137">
        <v>6.3198999999999996</v>
      </c>
      <c r="M304" s="137">
        <v>8.3798999999999992</v>
      </c>
      <c r="N304" s="137">
        <v>3.0998999999999999</v>
      </c>
      <c r="O304" s="137">
        <v>3.38</v>
      </c>
      <c r="P304" s="137">
        <v>8.59</v>
      </c>
      <c r="Q304" s="137">
        <v>4.3600000000000003</v>
      </c>
      <c r="R304" s="137">
        <v>6.74</v>
      </c>
      <c r="S304" s="137">
        <v>8.6198999999999995</v>
      </c>
      <c r="T304" s="137">
        <v>9.1300000000000008</v>
      </c>
      <c r="U304" s="137">
        <v>9.44</v>
      </c>
      <c r="V304" s="137">
        <v>10.4</v>
      </c>
      <c r="W304" s="140">
        <v>14110707</v>
      </c>
      <c r="X304" s="56">
        <f t="shared" si="8"/>
        <v>0</v>
      </c>
      <c r="Y304" s="56" t="str">
        <f t="shared" si="9"/>
        <v>LOGUEO</v>
      </c>
    </row>
    <row r="305" spans="1:25" ht="15" x14ac:dyDescent="0.25">
      <c r="A305" s="136" t="s">
        <v>529</v>
      </c>
      <c r="B305" s="137">
        <v>0</v>
      </c>
      <c r="C305" s="137">
        <v>0</v>
      </c>
      <c r="D305" s="137">
        <v>0</v>
      </c>
      <c r="E305" s="137">
        <v>0</v>
      </c>
      <c r="F305" s="137">
        <v>0</v>
      </c>
      <c r="G305" s="137">
        <v>0</v>
      </c>
      <c r="H305" s="137">
        <v>0</v>
      </c>
      <c r="I305" s="137">
        <v>0</v>
      </c>
      <c r="J305" s="137">
        <v>0</v>
      </c>
      <c r="K305" s="137">
        <v>0</v>
      </c>
      <c r="L305" s="137">
        <v>0</v>
      </c>
      <c r="M305" s="137">
        <v>0</v>
      </c>
      <c r="N305" s="137">
        <v>0</v>
      </c>
      <c r="O305" s="137">
        <v>0</v>
      </c>
      <c r="P305" s="137">
        <v>0</v>
      </c>
      <c r="Q305" s="137">
        <v>0</v>
      </c>
      <c r="R305" s="137">
        <v>0</v>
      </c>
      <c r="S305" s="137">
        <v>0</v>
      </c>
      <c r="T305" s="137">
        <v>0</v>
      </c>
      <c r="U305" s="137">
        <v>0</v>
      </c>
      <c r="V305" s="137">
        <v>0</v>
      </c>
      <c r="W305" s="140" t="s">
        <v>1609</v>
      </c>
      <c r="X305" s="56">
        <f t="shared" si="8"/>
        <v>7</v>
      </c>
      <c r="Y305" s="56" t="str">
        <f t="shared" si="9"/>
        <v>NO LOGUEO</v>
      </c>
    </row>
    <row r="306" spans="1:25" ht="15" x14ac:dyDescent="0.25">
      <c r="A306" s="136" t="s">
        <v>247</v>
      </c>
      <c r="B306" s="137">
        <v>2.92</v>
      </c>
      <c r="C306" s="137">
        <v>4.74</v>
      </c>
      <c r="D306" s="137">
        <v>5.0198999999999998</v>
      </c>
      <c r="E306" s="137">
        <v>3.86</v>
      </c>
      <c r="F306" s="137">
        <v>1.08</v>
      </c>
      <c r="G306" s="137">
        <v>1.42</v>
      </c>
      <c r="H306" s="137">
        <v>0</v>
      </c>
      <c r="I306" s="137">
        <v>0</v>
      </c>
      <c r="J306" s="137">
        <v>3.52</v>
      </c>
      <c r="K306" s="137">
        <v>2.48</v>
      </c>
      <c r="L306" s="137">
        <v>4.6500000000000004</v>
      </c>
      <c r="M306" s="137">
        <v>5.93</v>
      </c>
      <c r="N306" s="137">
        <v>6.5198999999999998</v>
      </c>
      <c r="O306" s="137">
        <v>3.65</v>
      </c>
      <c r="P306" s="137">
        <v>3.45</v>
      </c>
      <c r="Q306" s="137">
        <v>4.0198999999999998</v>
      </c>
      <c r="R306" s="137">
        <v>4.0698999999999996</v>
      </c>
      <c r="S306" s="137">
        <v>0</v>
      </c>
      <c r="T306" s="137">
        <v>4.07</v>
      </c>
      <c r="U306" s="137">
        <v>6.91</v>
      </c>
      <c r="V306" s="137">
        <v>2.5998999999999999</v>
      </c>
      <c r="W306" s="140">
        <v>14119437</v>
      </c>
      <c r="X306" s="56">
        <f t="shared" si="8"/>
        <v>1</v>
      </c>
      <c r="Y306" s="56" t="str">
        <f t="shared" si="9"/>
        <v>LOGUEO</v>
      </c>
    </row>
    <row r="307" spans="1:25" ht="15" x14ac:dyDescent="0.25">
      <c r="A307" s="136" t="s">
        <v>150</v>
      </c>
      <c r="B307" s="137">
        <v>8.1999999999999993</v>
      </c>
      <c r="C307" s="137">
        <v>7.46</v>
      </c>
      <c r="D307" s="137">
        <v>6.21</v>
      </c>
      <c r="E307" s="137">
        <v>9.24</v>
      </c>
      <c r="F307" s="137">
        <v>4.1500000000000004</v>
      </c>
      <c r="G307" s="137">
        <v>0</v>
      </c>
      <c r="H307" s="137">
        <v>8.8999000000000006</v>
      </c>
      <c r="I307" s="137">
        <v>8.0500000000000007</v>
      </c>
      <c r="J307" s="137">
        <v>7.8</v>
      </c>
      <c r="K307" s="137">
        <v>9.25</v>
      </c>
      <c r="L307" s="137">
        <v>9.5</v>
      </c>
      <c r="M307" s="137">
        <v>8.9700000000000006</v>
      </c>
      <c r="N307" s="137">
        <v>8.8399000000000001</v>
      </c>
      <c r="O307" s="137">
        <v>8.7998999999999992</v>
      </c>
      <c r="P307" s="137">
        <v>7.19</v>
      </c>
      <c r="Q307" s="137">
        <v>10.58</v>
      </c>
      <c r="R307" s="137">
        <v>0</v>
      </c>
      <c r="S307" s="137">
        <v>6.47</v>
      </c>
      <c r="T307" s="137">
        <v>9.41</v>
      </c>
      <c r="U307" s="137">
        <v>8.33</v>
      </c>
      <c r="V307" s="137">
        <v>8.02</v>
      </c>
      <c r="W307" s="140">
        <v>14115908</v>
      </c>
      <c r="X307" s="56">
        <f t="shared" si="8"/>
        <v>1</v>
      </c>
      <c r="Y307" s="56" t="str">
        <f t="shared" si="9"/>
        <v>LOGUEO</v>
      </c>
    </row>
    <row r="308" spans="1:25" ht="15" x14ac:dyDescent="0.25">
      <c r="A308" s="136" t="s">
        <v>1662</v>
      </c>
      <c r="B308" s="137">
        <v>0</v>
      </c>
      <c r="C308" s="137">
        <v>8.3798999999999992</v>
      </c>
      <c r="D308" s="137">
        <v>4.32</v>
      </c>
      <c r="E308" s="137">
        <v>4.8499999999999996</v>
      </c>
      <c r="F308" s="137">
        <v>5.72</v>
      </c>
      <c r="G308" s="137">
        <v>4.3098999999999998</v>
      </c>
      <c r="H308" s="137">
        <v>4.6500000000000004</v>
      </c>
      <c r="I308" s="137">
        <v>0</v>
      </c>
      <c r="J308" s="137">
        <v>6.55</v>
      </c>
      <c r="K308" s="137">
        <v>9.6198999999999995</v>
      </c>
      <c r="L308" s="137">
        <v>4.16</v>
      </c>
      <c r="M308" s="137">
        <v>4.58</v>
      </c>
      <c r="N308" s="137">
        <v>5.1098999999999997</v>
      </c>
      <c r="O308" s="137">
        <v>4.7</v>
      </c>
      <c r="P308" s="137">
        <v>3.19</v>
      </c>
      <c r="Q308" s="137">
        <v>5.75</v>
      </c>
      <c r="R308" s="137">
        <v>4.8</v>
      </c>
      <c r="S308" s="137">
        <v>4.13</v>
      </c>
      <c r="T308" s="137">
        <v>5.0999999999999996</v>
      </c>
      <c r="U308" s="137">
        <v>4.72</v>
      </c>
      <c r="V308" s="137">
        <v>5.7</v>
      </c>
      <c r="W308" s="140">
        <v>14115820</v>
      </c>
      <c r="X308" s="56">
        <f t="shared" si="8"/>
        <v>0</v>
      </c>
      <c r="Y308" s="56" t="str">
        <f t="shared" si="9"/>
        <v>LOGUEO</v>
      </c>
    </row>
    <row r="309" spans="1:25" ht="15" x14ac:dyDescent="0.25">
      <c r="A309" s="136" t="s">
        <v>2538</v>
      </c>
      <c r="B309" s="137">
        <v>0.62</v>
      </c>
      <c r="C309" s="137">
        <v>1.18</v>
      </c>
      <c r="D309" s="137">
        <v>3.12</v>
      </c>
      <c r="E309" s="137">
        <v>4.1100000000000003</v>
      </c>
      <c r="F309" s="137">
        <v>1.65</v>
      </c>
      <c r="G309" s="137">
        <v>3.53</v>
      </c>
      <c r="H309" s="137">
        <v>1.6298999999999999</v>
      </c>
      <c r="I309" s="137">
        <v>1.2</v>
      </c>
      <c r="J309" s="137">
        <v>2.5099</v>
      </c>
      <c r="K309" s="137">
        <v>4.62</v>
      </c>
      <c r="L309" s="137">
        <v>2.78</v>
      </c>
      <c r="M309" s="137">
        <v>3.31</v>
      </c>
      <c r="N309" s="137">
        <v>4.58</v>
      </c>
      <c r="O309" s="137">
        <v>2.73</v>
      </c>
      <c r="P309" s="137">
        <v>2.6798999999999999</v>
      </c>
      <c r="Q309" s="137">
        <v>10.24</v>
      </c>
      <c r="R309" s="137">
        <v>3.16</v>
      </c>
      <c r="S309" s="137">
        <v>3.68</v>
      </c>
      <c r="T309" s="137">
        <v>0</v>
      </c>
      <c r="U309" s="137">
        <v>3.07</v>
      </c>
      <c r="V309" s="137">
        <v>1.03</v>
      </c>
      <c r="W309" s="140" t="s">
        <v>1609</v>
      </c>
      <c r="X309" s="56">
        <f t="shared" si="8"/>
        <v>1</v>
      </c>
      <c r="Y309" s="56" t="str">
        <f t="shared" si="9"/>
        <v>LOGUEO</v>
      </c>
    </row>
    <row r="310" spans="1:25" ht="15" x14ac:dyDescent="0.25">
      <c r="A310" s="136" t="s">
        <v>143</v>
      </c>
      <c r="B310" s="137">
        <v>0</v>
      </c>
      <c r="C310" s="137">
        <v>0</v>
      </c>
      <c r="D310" s="137">
        <v>0</v>
      </c>
      <c r="E310" s="137">
        <v>0</v>
      </c>
      <c r="F310" s="137">
        <v>0</v>
      </c>
      <c r="G310" s="137">
        <v>2.3199999999999998</v>
      </c>
      <c r="H310" s="137">
        <v>7.89</v>
      </c>
      <c r="I310" s="137">
        <v>6.5</v>
      </c>
      <c r="J310" s="137">
        <v>7.7499000000000002</v>
      </c>
      <c r="K310" s="137">
        <v>6.76</v>
      </c>
      <c r="L310" s="137">
        <v>7.49</v>
      </c>
      <c r="M310" s="137">
        <v>6.65</v>
      </c>
      <c r="N310" s="137">
        <v>7.52</v>
      </c>
      <c r="O310" s="137">
        <v>5.86</v>
      </c>
      <c r="P310" s="137">
        <v>0</v>
      </c>
      <c r="Q310" s="137">
        <v>8.09</v>
      </c>
      <c r="R310" s="137">
        <v>7.34</v>
      </c>
      <c r="S310" s="137">
        <v>7.5399000000000003</v>
      </c>
      <c r="T310" s="137">
        <v>5.7698999999999998</v>
      </c>
      <c r="U310" s="137">
        <v>7.64</v>
      </c>
      <c r="V310" s="137">
        <v>7.89</v>
      </c>
      <c r="W310" s="140">
        <v>14115435</v>
      </c>
      <c r="X310" s="56">
        <f t="shared" si="8"/>
        <v>1</v>
      </c>
      <c r="Y310" s="56" t="str">
        <f t="shared" si="9"/>
        <v>LOGUEO</v>
      </c>
    </row>
    <row r="311" spans="1:25" ht="15" x14ac:dyDescent="0.25">
      <c r="A311" s="136" t="s">
        <v>81</v>
      </c>
      <c r="B311" s="137">
        <v>4.75</v>
      </c>
      <c r="C311" s="137">
        <v>5.1898999999999997</v>
      </c>
      <c r="D311" s="137">
        <v>5.09</v>
      </c>
      <c r="E311" s="137">
        <v>4.62</v>
      </c>
      <c r="F311" s="137">
        <v>0</v>
      </c>
      <c r="G311" s="137">
        <v>1.3798999999999999</v>
      </c>
      <c r="H311" s="137">
        <v>4.0198999999999998</v>
      </c>
      <c r="I311" s="137">
        <v>3.92</v>
      </c>
      <c r="J311" s="137">
        <v>0</v>
      </c>
      <c r="K311" s="137">
        <v>0</v>
      </c>
      <c r="L311" s="137">
        <v>5.04</v>
      </c>
      <c r="M311" s="137">
        <v>5.0599999999999996</v>
      </c>
      <c r="N311" s="137">
        <v>5.13</v>
      </c>
      <c r="O311" s="137">
        <v>4.7398999999999996</v>
      </c>
      <c r="P311" s="137">
        <v>3.78</v>
      </c>
      <c r="Q311" s="137">
        <v>5.5</v>
      </c>
      <c r="R311" s="137">
        <v>7.21</v>
      </c>
      <c r="S311" s="137">
        <v>5.83</v>
      </c>
      <c r="T311" s="137">
        <v>5.38</v>
      </c>
      <c r="U311" s="137">
        <v>0</v>
      </c>
      <c r="V311" s="137">
        <v>2.3498999999999999</v>
      </c>
      <c r="W311" s="140">
        <v>14109032</v>
      </c>
      <c r="X311" s="56">
        <f t="shared" si="8"/>
        <v>1</v>
      </c>
      <c r="Y311" s="56" t="str">
        <f t="shared" si="9"/>
        <v>LOGUEO</v>
      </c>
    </row>
    <row r="312" spans="1:25" ht="15" x14ac:dyDescent="0.25">
      <c r="A312" s="136" t="s">
        <v>2532</v>
      </c>
      <c r="B312" s="137">
        <v>0</v>
      </c>
      <c r="C312" s="137">
        <v>0</v>
      </c>
      <c r="D312" s="137">
        <v>0</v>
      </c>
      <c r="E312" s="137">
        <v>0</v>
      </c>
      <c r="F312" s="137">
        <v>0</v>
      </c>
      <c r="G312" s="137">
        <v>0</v>
      </c>
      <c r="H312" s="137">
        <v>0</v>
      </c>
      <c r="I312" s="137">
        <v>0</v>
      </c>
      <c r="J312" s="137">
        <v>0</v>
      </c>
      <c r="K312" s="137">
        <v>0</v>
      </c>
      <c r="L312" s="137">
        <v>0</v>
      </c>
      <c r="M312" s="137">
        <v>0</v>
      </c>
      <c r="N312" s="137">
        <v>0</v>
      </c>
      <c r="O312" s="137">
        <v>0</v>
      </c>
      <c r="P312" s="137">
        <v>0</v>
      </c>
      <c r="Q312" s="137">
        <v>0</v>
      </c>
      <c r="R312" s="137">
        <v>2.6</v>
      </c>
      <c r="S312" s="137">
        <v>0</v>
      </c>
      <c r="T312" s="137">
        <v>0</v>
      </c>
      <c r="U312" s="137">
        <v>0</v>
      </c>
      <c r="V312" s="137">
        <v>0</v>
      </c>
      <c r="W312" s="140" t="s">
        <v>1609</v>
      </c>
      <c r="X312" s="56">
        <f t="shared" si="8"/>
        <v>6</v>
      </c>
      <c r="Y312" s="56" t="str">
        <f t="shared" si="9"/>
        <v>NO LOGUEO</v>
      </c>
    </row>
    <row r="313" spans="1:25" ht="15" x14ac:dyDescent="0.25">
      <c r="A313" s="136" t="s">
        <v>2019</v>
      </c>
      <c r="B313" s="137">
        <v>0</v>
      </c>
      <c r="C313" s="137">
        <v>0</v>
      </c>
      <c r="D313" s="137">
        <v>0</v>
      </c>
      <c r="E313" s="137">
        <v>0</v>
      </c>
      <c r="F313" s="137">
        <v>0</v>
      </c>
      <c r="G313" s="137">
        <v>0</v>
      </c>
      <c r="H313" s="137">
        <v>0</v>
      </c>
      <c r="I313" s="137">
        <v>0</v>
      </c>
      <c r="J313" s="137">
        <v>0</v>
      </c>
      <c r="K313" s="137">
        <v>0</v>
      </c>
      <c r="L313" s="137">
        <v>0</v>
      </c>
      <c r="M313" s="137">
        <v>0</v>
      </c>
      <c r="N313" s="137">
        <v>0</v>
      </c>
      <c r="O313" s="137">
        <v>0</v>
      </c>
      <c r="P313" s="137">
        <v>0</v>
      </c>
      <c r="Q313" s="137">
        <v>0</v>
      </c>
      <c r="R313" s="137">
        <v>0</v>
      </c>
      <c r="S313" s="137">
        <v>0</v>
      </c>
      <c r="T313" s="137">
        <v>0</v>
      </c>
      <c r="U313" s="137">
        <v>0</v>
      </c>
      <c r="V313" s="137">
        <v>0</v>
      </c>
      <c r="W313" s="140" t="s">
        <v>1609</v>
      </c>
      <c r="X313" s="56">
        <f t="shared" si="8"/>
        <v>7</v>
      </c>
      <c r="Y313" s="56" t="str">
        <f t="shared" si="9"/>
        <v>NO LOGUEO</v>
      </c>
    </row>
    <row r="314" spans="1:25" ht="15" x14ac:dyDescent="0.25">
      <c r="A314" s="136" t="s">
        <v>2539</v>
      </c>
      <c r="B314" s="137">
        <v>0</v>
      </c>
      <c r="C314" s="137">
        <v>8.58</v>
      </c>
      <c r="D314" s="137">
        <v>7.57</v>
      </c>
      <c r="E314" s="137">
        <v>5.82</v>
      </c>
      <c r="F314" s="137">
        <v>7.12</v>
      </c>
      <c r="G314" s="137">
        <v>12.83</v>
      </c>
      <c r="H314" s="137">
        <v>0.83</v>
      </c>
      <c r="I314" s="137">
        <v>0</v>
      </c>
      <c r="J314" s="137">
        <v>7.61</v>
      </c>
      <c r="K314" s="137">
        <v>4.9800000000000004</v>
      </c>
      <c r="L314" s="137">
        <v>8.5599000000000007</v>
      </c>
      <c r="M314" s="137">
        <v>8.6</v>
      </c>
      <c r="N314" s="137">
        <v>9.7399000000000004</v>
      </c>
      <c r="O314" s="137">
        <v>8.6999999999999993</v>
      </c>
      <c r="P314" s="137">
        <v>0</v>
      </c>
      <c r="Q314" s="137">
        <v>5.58</v>
      </c>
      <c r="R314" s="137">
        <v>3.5</v>
      </c>
      <c r="S314" s="137">
        <v>3.37</v>
      </c>
      <c r="T314" s="137">
        <v>0</v>
      </c>
      <c r="U314" s="137">
        <v>0</v>
      </c>
      <c r="V314" s="137">
        <v>2.33</v>
      </c>
      <c r="W314" s="140" t="s">
        <v>1609</v>
      </c>
      <c r="X314" s="56">
        <f t="shared" si="8"/>
        <v>3</v>
      </c>
      <c r="Y314" s="56" t="str">
        <f t="shared" si="9"/>
        <v>NO LOGUEO</v>
      </c>
    </row>
    <row r="315" spans="1:25" ht="15" x14ac:dyDescent="0.25">
      <c r="A315" s="136" t="s">
        <v>937</v>
      </c>
      <c r="B315" s="137">
        <v>0</v>
      </c>
      <c r="C315" s="137">
        <v>0</v>
      </c>
      <c r="D315" s="137">
        <v>0</v>
      </c>
      <c r="E315" s="137">
        <v>0</v>
      </c>
      <c r="F315" s="137">
        <v>0</v>
      </c>
      <c r="G315" s="137">
        <v>0</v>
      </c>
      <c r="H315" s="137">
        <v>0</v>
      </c>
      <c r="I315" s="137">
        <v>0</v>
      </c>
      <c r="J315" s="137">
        <v>0</v>
      </c>
      <c r="K315" s="137">
        <v>0</v>
      </c>
      <c r="L315" s="137">
        <v>0</v>
      </c>
      <c r="M315" s="137">
        <v>0</v>
      </c>
      <c r="N315" s="137">
        <v>0</v>
      </c>
      <c r="O315" s="137">
        <v>0</v>
      </c>
      <c r="P315" s="137">
        <v>0</v>
      </c>
      <c r="Q315" s="137">
        <v>0</v>
      </c>
      <c r="R315" s="137">
        <v>0</v>
      </c>
      <c r="S315" s="137">
        <v>0</v>
      </c>
      <c r="T315" s="137">
        <v>0</v>
      </c>
      <c r="U315" s="137">
        <v>0</v>
      </c>
      <c r="V315" s="137">
        <v>0</v>
      </c>
      <c r="W315" s="140" t="s">
        <v>1609</v>
      </c>
      <c r="X315" s="56">
        <f t="shared" si="8"/>
        <v>7</v>
      </c>
      <c r="Y315" s="56" t="str">
        <f t="shared" si="9"/>
        <v>NO LOGUEO</v>
      </c>
    </row>
    <row r="316" spans="1:25" ht="15" x14ac:dyDescent="0.25">
      <c r="A316" s="136" t="s">
        <v>1833</v>
      </c>
      <c r="B316" s="137">
        <v>1.48</v>
      </c>
      <c r="C316" s="137">
        <v>1.55</v>
      </c>
      <c r="D316" s="137">
        <v>0</v>
      </c>
      <c r="E316" s="137">
        <v>0.32</v>
      </c>
      <c r="F316" s="137">
        <v>0</v>
      </c>
      <c r="G316" s="137">
        <v>2.8</v>
      </c>
      <c r="H316" s="137">
        <v>1.27</v>
      </c>
      <c r="I316" s="137">
        <v>1.03</v>
      </c>
      <c r="J316" s="137">
        <v>1.9</v>
      </c>
      <c r="K316" s="137">
        <v>3.51</v>
      </c>
      <c r="L316" s="137">
        <v>0</v>
      </c>
      <c r="M316" s="137">
        <v>2.5499999999999998</v>
      </c>
      <c r="N316" s="137">
        <v>1.86</v>
      </c>
      <c r="O316" s="137">
        <v>0</v>
      </c>
      <c r="P316" s="137">
        <v>0</v>
      </c>
      <c r="Q316" s="137">
        <v>0</v>
      </c>
      <c r="R316" s="137">
        <v>0</v>
      </c>
      <c r="S316" s="137">
        <v>0</v>
      </c>
      <c r="T316" s="137">
        <v>0</v>
      </c>
      <c r="U316" s="137">
        <v>0.15</v>
      </c>
      <c r="V316" s="137">
        <v>1.55</v>
      </c>
      <c r="W316" s="140">
        <v>14109002</v>
      </c>
      <c r="X316" s="56">
        <f t="shared" si="8"/>
        <v>5</v>
      </c>
      <c r="Y316" s="56" t="str">
        <f t="shared" si="9"/>
        <v>NO LOGUEO</v>
      </c>
    </row>
    <row r="317" spans="1:25" ht="15" x14ac:dyDescent="0.25">
      <c r="A317" s="136" t="s">
        <v>935</v>
      </c>
      <c r="B317" s="137">
        <v>7.01</v>
      </c>
      <c r="C317" s="137">
        <v>9.17</v>
      </c>
      <c r="D317" s="137">
        <v>11.369899999999999</v>
      </c>
      <c r="E317" s="137">
        <v>9.98</v>
      </c>
      <c r="F317" s="137">
        <v>0</v>
      </c>
      <c r="G317" s="137">
        <v>6.8699000000000003</v>
      </c>
      <c r="H317" s="137">
        <v>5.08</v>
      </c>
      <c r="I317" s="137">
        <v>3.94</v>
      </c>
      <c r="J317" s="137">
        <v>4.1399999999999997</v>
      </c>
      <c r="K317" s="137">
        <v>7.16</v>
      </c>
      <c r="L317" s="137">
        <v>5.38</v>
      </c>
      <c r="M317" s="137">
        <v>5.75</v>
      </c>
      <c r="N317" s="137">
        <v>4.7798999999999996</v>
      </c>
      <c r="O317" s="137">
        <v>5.42</v>
      </c>
      <c r="P317" s="137">
        <v>3.7799</v>
      </c>
      <c r="Q317" s="137">
        <v>0</v>
      </c>
      <c r="R317" s="137">
        <v>7.61</v>
      </c>
      <c r="S317" s="137">
        <v>5.16</v>
      </c>
      <c r="T317" s="137">
        <v>5.43</v>
      </c>
      <c r="U317" s="137">
        <v>5.29</v>
      </c>
      <c r="V317" s="137">
        <v>6.35</v>
      </c>
      <c r="W317" s="140" t="s">
        <v>1609</v>
      </c>
      <c r="X317" s="56">
        <f t="shared" si="8"/>
        <v>1</v>
      </c>
      <c r="Y317" s="56" t="str">
        <f t="shared" si="9"/>
        <v>LOGUEO</v>
      </c>
    </row>
    <row r="318" spans="1:25" ht="15" x14ac:dyDescent="0.25">
      <c r="A318" s="136" t="s">
        <v>552</v>
      </c>
      <c r="B318" s="137">
        <v>4.4000000000000004</v>
      </c>
      <c r="C318" s="137">
        <v>0.53</v>
      </c>
      <c r="D318" s="137">
        <v>1.77</v>
      </c>
      <c r="E318" s="137">
        <v>6.41</v>
      </c>
      <c r="F318" s="137">
        <v>3.12</v>
      </c>
      <c r="G318" s="137">
        <v>4.1098999999999997</v>
      </c>
      <c r="H318" s="137">
        <v>10.02</v>
      </c>
      <c r="I318" s="137">
        <v>9.35</v>
      </c>
      <c r="J318" s="137">
        <v>0.43</v>
      </c>
      <c r="K318" s="137">
        <v>6</v>
      </c>
      <c r="L318" s="137">
        <v>6.65</v>
      </c>
      <c r="M318" s="137">
        <v>9.02</v>
      </c>
      <c r="N318" s="137">
        <v>5.15</v>
      </c>
      <c r="O318" s="137">
        <v>6.88</v>
      </c>
      <c r="P318" s="137">
        <v>5.8</v>
      </c>
      <c r="Q318" s="137">
        <v>1.2</v>
      </c>
      <c r="R318" s="137">
        <v>6.0198999999999998</v>
      </c>
      <c r="S318" s="137">
        <v>6.47</v>
      </c>
      <c r="T318" s="137">
        <v>4.87</v>
      </c>
      <c r="U318" s="137">
        <v>7.94</v>
      </c>
      <c r="V318" s="137">
        <v>5.5</v>
      </c>
      <c r="W318" s="140" t="s">
        <v>1609</v>
      </c>
      <c r="X318" s="56">
        <f t="shared" si="8"/>
        <v>0</v>
      </c>
      <c r="Y318" s="56" t="str">
        <f t="shared" si="9"/>
        <v>LOGUEO</v>
      </c>
    </row>
    <row r="319" spans="1:25" ht="15" x14ac:dyDescent="0.25">
      <c r="A319" s="136" t="s">
        <v>1862</v>
      </c>
      <c r="B319" s="137">
        <v>5.62</v>
      </c>
      <c r="C319" s="137">
        <v>7.09</v>
      </c>
      <c r="D319" s="137">
        <v>7.58</v>
      </c>
      <c r="E319" s="137">
        <v>7.22</v>
      </c>
      <c r="F319" s="137">
        <v>0</v>
      </c>
      <c r="G319" s="137">
        <v>6.51</v>
      </c>
      <c r="H319" s="137">
        <v>7.4</v>
      </c>
      <c r="I319" s="137">
        <v>3.68</v>
      </c>
      <c r="J319" s="137">
        <v>7.15</v>
      </c>
      <c r="K319" s="137">
        <v>6.38</v>
      </c>
      <c r="L319" s="137">
        <v>7.7499000000000002</v>
      </c>
      <c r="M319" s="137">
        <v>0</v>
      </c>
      <c r="N319" s="137">
        <v>8.0500000000000007</v>
      </c>
      <c r="O319" s="137">
        <v>7.7</v>
      </c>
      <c r="P319" s="137">
        <v>4.18</v>
      </c>
      <c r="Q319" s="137">
        <v>6.36</v>
      </c>
      <c r="R319" s="137">
        <v>7.2499000000000002</v>
      </c>
      <c r="S319" s="137">
        <v>6.79</v>
      </c>
      <c r="T319" s="137">
        <v>0</v>
      </c>
      <c r="U319" s="137">
        <v>7.44</v>
      </c>
      <c r="V319" s="137">
        <v>6.8299000000000003</v>
      </c>
      <c r="W319" s="140" t="s">
        <v>1609</v>
      </c>
      <c r="X319" s="56">
        <f t="shared" si="8"/>
        <v>1</v>
      </c>
      <c r="Y319" s="56" t="str">
        <f t="shared" si="9"/>
        <v>LOGUEO</v>
      </c>
    </row>
    <row r="320" spans="1:25" ht="15" x14ac:dyDescent="0.25">
      <c r="A320" s="136" t="s">
        <v>276</v>
      </c>
      <c r="B320" s="137">
        <v>0.9</v>
      </c>
      <c r="C320" s="137">
        <v>10.07</v>
      </c>
      <c r="D320" s="137">
        <v>8.84</v>
      </c>
      <c r="E320" s="137">
        <v>8.65</v>
      </c>
      <c r="F320" s="137">
        <v>4.43</v>
      </c>
      <c r="G320" s="137">
        <v>9.15</v>
      </c>
      <c r="H320" s="137">
        <v>4.57</v>
      </c>
      <c r="I320" s="137">
        <v>0.33</v>
      </c>
      <c r="J320" s="137">
        <v>9.0299999999999994</v>
      </c>
      <c r="K320" s="137">
        <v>8.4899000000000004</v>
      </c>
      <c r="L320" s="137">
        <v>8.8699999999999992</v>
      </c>
      <c r="M320" s="137">
        <v>8.3699999999999992</v>
      </c>
      <c r="N320" s="137">
        <v>8.44</v>
      </c>
      <c r="O320" s="137">
        <v>6.83</v>
      </c>
      <c r="P320" s="137">
        <v>0</v>
      </c>
      <c r="Q320" s="137">
        <v>9.5399999999999991</v>
      </c>
      <c r="R320" s="137">
        <v>5.2698999999999998</v>
      </c>
      <c r="S320" s="137">
        <v>5.7999000000000001</v>
      </c>
      <c r="T320" s="137">
        <v>8.77</v>
      </c>
      <c r="U320" s="137">
        <v>8.0299999999999994</v>
      </c>
      <c r="V320" s="137">
        <v>9.27</v>
      </c>
      <c r="W320" s="140">
        <v>14120091</v>
      </c>
      <c r="X320" s="56">
        <f t="shared" si="8"/>
        <v>1</v>
      </c>
      <c r="Y320" s="56" t="str">
        <f t="shared" si="9"/>
        <v>LOGUEO</v>
      </c>
    </row>
    <row r="321" spans="1:25" ht="15" x14ac:dyDescent="0.25">
      <c r="A321" s="136" t="s">
        <v>458</v>
      </c>
      <c r="B321" s="137">
        <v>5.47</v>
      </c>
      <c r="C321" s="137">
        <v>3.88</v>
      </c>
      <c r="D321" s="137">
        <v>6.51</v>
      </c>
      <c r="E321" s="137">
        <v>5.96</v>
      </c>
      <c r="F321" s="137">
        <v>1.85</v>
      </c>
      <c r="G321" s="137">
        <v>7.05</v>
      </c>
      <c r="H321" s="137">
        <v>5.3</v>
      </c>
      <c r="I321" s="137">
        <v>0</v>
      </c>
      <c r="J321" s="137">
        <v>5.55</v>
      </c>
      <c r="K321" s="137">
        <v>5.1699000000000002</v>
      </c>
      <c r="L321" s="137">
        <v>6.45</v>
      </c>
      <c r="M321" s="137">
        <v>5.56</v>
      </c>
      <c r="N321" s="137">
        <v>5.6098999999999997</v>
      </c>
      <c r="O321" s="137">
        <v>6.01</v>
      </c>
      <c r="P321" s="137">
        <v>3.85</v>
      </c>
      <c r="Q321" s="137">
        <v>7.01</v>
      </c>
      <c r="R321" s="137">
        <v>6.18</v>
      </c>
      <c r="S321" s="137">
        <v>3.96</v>
      </c>
      <c r="T321" s="137">
        <v>7.8</v>
      </c>
      <c r="U321" s="137">
        <v>0</v>
      </c>
      <c r="V321" s="137">
        <v>6.0698999999999996</v>
      </c>
      <c r="W321" s="140">
        <v>14122856</v>
      </c>
      <c r="X321" s="56">
        <f t="shared" si="8"/>
        <v>1</v>
      </c>
      <c r="Y321" s="56" t="str">
        <f t="shared" si="9"/>
        <v>LOGUEO</v>
      </c>
    </row>
    <row r="322" spans="1:25" ht="15" x14ac:dyDescent="0.25">
      <c r="A322" s="136" t="s">
        <v>279</v>
      </c>
      <c r="B322" s="137">
        <v>4.47</v>
      </c>
      <c r="C322" s="137">
        <v>5.5499000000000001</v>
      </c>
      <c r="D322" s="137">
        <v>5.9</v>
      </c>
      <c r="E322" s="137">
        <v>5.24</v>
      </c>
      <c r="F322" s="137">
        <v>3.44</v>
      </c>
      <c r="G322" s="137">
        <v>5.49</v>
      </c>
      <c r="H322" s="137">
        <v>5.39</v>
      </c>
      <c r="I322" s="137">
        <v>2.13</v>
      </c>
      <c r="J322" s="137">
        <v>0</v>
      </c>
      <c r="K322" s="137">
        <v>3.97</v>
      </c>
      <c r="L322" s="137">
        <v>7.94</v>
      </c>
      <c r="M322" s="137">
        <v>5.44</v>
      </c>
      <c r="N322" s="137">
        <v>5.55</v>
      </c>
      <c r="O322" s="137">
        <v>7.95</v>
      </c>
      <c r="P322" s="137">
        <v>5.09</v>
      </c>
      <c r="Q322" s="137">
        <v>5.18</v>
      </c>
      <c r="R322" s="137">
        <v>5.34</v>
      </c>
      <c r="S322" s="137">
        <v>5.54</v>
      </c>
      <c r="T322" s="137">
        <v>3.76</v>
      </c>
      <c r="U322" s="137">
        <v>2.5499999999999998</v>
      </c>
      <c r="V322" s="137">
        <v>0</v>
      </c>
      <c r="W322" s="140">
        <v>14120121</v>
      </c>
      <c r="X322" s="56">
        <f t="shared" si="8"/>
        <v>1</v>
      </c>
      <c r="Y322" s="56" t="str">
        <f t="shared" si="9"/>
        <v>LOGUEO</v>
      </c>
    </row>
    <row r="323" spans="1:25" ht="15" x14ac:dyDescent="0.25">
      <c r="A323" s="136" t="s">
        <v>1673</v>
      </c>
      <c r="B323" s="137">
        <v>0</v>
      </c>
      <c r="C323" s="137">
        <v>6.79</v>
      </c>
      <c r="D323" s="137">
        <v>6.97</v>
      </c>
      <c r="E323" s="137">
        <v>0</v>
      </c>
      <c r="F323" s="137">
        <v>0</v>
      </c>
      <c r="G323" s="137">
        <v>0</v>
      </c>
      <c r="H323" s="137">
        <v>0</v>
      </c>
      <c r="I323" s="137">
        <v>2.9098999999999999</v>
      </c>
      <c r="J323" s="137">
        <v>8.06</v>
      </c>
      <c r="K323" s="137">
        <v>4.26</v>
      </c>
      <c r="L323" s="137">
        <v>1.3698999999999999</v>
      </c>
      <c r="M323" s="137">
        <v>7.51</v>
      </c>
      <c r="N323" s="137">
        <v>1.2</v>
      </c>
      <c r="O323" s="137">
        <v>0</v>
      </c>
      <c r="P323" s="137">
        <v>4.9000000000000004</v>
      </c>
      <c r="Q323" s="137">
        <v>3.53</v>
      </c>
      <c r="R323" s="137">
        <v>5.83</v>
      </c>
      <c r="S323" s="137">
        <v>8.52</v>
      </c>
      <c r="T323" s="137">
        <v>1.87</v>
      </c>
      <c r="U323" s="137">
        <v>0.52</v>
      </c>
      <c r="V323" s="137">
        <v>4.29</v>
      </c>
      <c r="W323" s="140">
        <v>14112757</v>
      </c>
      <c r="X323" s="56">
        <f t="shared" ref="X323:X386" si="10">COUNTIF(P323:V323,0)</f>
        <v>0</v>
      </c>
      <c r="Y323" s="56" t="str">
        <f t="shared" ref="Y323:Y386" si="11">IF(X323&gt;1,"NO LOGUEO","LOGUEO")</f>
        <v>LOGUEO</v>
      </c>
    </row>
    <row r="324" spans="1:25" ht="15" x14ac:dyDescent="0.25">
      <c r="A324" s="136" t="s">
        <v>2020</v>
      </c>
      <c r="B324" s="137">
        <v>0</v>
      </c>
      <c r="C324" s="137">
        <v>0</v>
      </c>
      <c r="D324" s="137">
        <v>0</v>
      </c>
      <c r="E324" s="137">
        <v>0</v>
      </c>
      <c r="F324" s="137">
        <v>0</v>
      </c>
      <c r="G324" s="137">
        <v>0</v>
      </c>
      <c r="H324" s="137">
        <v>0</v>
      </c>
      <c r="I324" s="137">
        <v>0</v>
      </c>
      <c r="J324" s="137">
        <v>0</v>
      </c>
      <c r="K324" s="137">
        <v>0</v>
      </c>
      <c r="L324" s="137">
        <v>0</v>
      </c>
      <c r="M324" s="137">
        <v>0</v>
      </c>
      <c r="N324" s="137">
        <v>0</v>
      </c>
      <c r="O324" s="137">
        <v>0</v>
      </c>
      <c r="P324" s="137">
        <v>0</v>
      </c>
      <c r="Q324" s="137">
        <v>0</v>
      </c>
      <c r="R324" s="137">
        <v>0</v>
      </c>
      <c r="S324" s="137">
        <v>0</v>
      </c>
      <c r="T324" s="137">
        <v>0</v>
      </c>
      <c r="U324" s="137">
        <v>0</v>
      </c>
      <c r="V324" s="137">
        <v>0</v>
      </c>
      <c r="W324" s="140" t="s">
        <v>1609</v>
      </c>
      <c r="X324" s="56">
        <f t="shared" si="10"/>
        <v>7</v>
      </c>
      <c r="Y324" s="56" t="str">
        <f t="shared" si="11"/>
        <v>NO LOGUEO</v>
      </c>
    </row>
    <row r="325" spans="1:25" ht="15" x14ac:dyDescent="0.25">
      <c r="A325" s="136" t="s">
        <v>399</v>
      </c>
      <c r="B325" s="137">
        <v>0</v>
      </c>
      <c r="C325" s="137">
        <v>0</v>
      </c>
      <c r="D325" s="137">
        <v>0</v>
      </c>
      <c r="E325" s="137">
        <v>0</v>
      </c>
      <c r="F325" s="137">
        <v>0</v>
      </c>
      <c r="G325" s="137">
        <v>0</v>
      </c>
      <c r="H325" s="137">
        <v>0</v>
      </c>
      <c r="I325" s="137">
        <v>0</v>
      </c>
      <c r="J325" s="137">
        <v>0</v>
      </c>
      <c r="K325" s="137">
        <v>0</v>
      </c>
      <c r="L325" s="137">
        <v>0</v>
      </c>
      <c r="M325" s="137">
        <v>0</v>
      </c>
      <c r="N325" s="137">
        <v>0</v>
      </c>
      <c r="O325" s="137">
        <v>0</v>
      </c>
      <c r="P325" s="137">
        <v>0</v>
      </c>
      <c r="Q325" s="137">
        <v>0</v>
      </c>
      <c r="R325" s="137">
        <v>0</v>
      </c>
      <c r="S325" s="137">
        <v>0</v>
      </c>
      <c r="T325" s="137">
        <v>0</v>
      </c>
      <c r="U325" s="137">
        <v>0</v>
      </c>
      <c r="V325" s="137">
        <v>0</v>
      </c>
      <c r="W325" s="140">
        <v>14113562</v>
      </c>
      <c r="X325" s="56">
        <f t="shared" si="10"/>
        <v>7</v>
      </c>
      <c r="Y325" s="56" t="str">
        <f t="shared" si="11"/>
        <v>NO LOGUEO</v>
      </c>
    </row>
    <row r="326" spans="1:25" ht="15" x14ac:dyDescent="0.25">
      <c r="A326" s="136" t="s">
        <v>427</v>
      </c>
      <c r="B326" s="137">
        <v>1.85</v>
      </c>
      <c r="C326" s="137">
        <v>2</v>
      </c>
      <c r="D326" s="137">
        <v>7.8898999999999999</v>
      </c>
      <c r="E326" s="137">
        <v>8.9099000000000004</v>
      </c>
      <c r="F326" s="137">
        <v>1.66</v>
      </c>
      <c r="G326" s="137">
        <v>7.6299000000000001</v>
      </c>
      <c r="H326" s="137">
        <v>7.81</v>
      </c>
      <c r="I326" s="137">
        <v>1.68</v>
      </c>
      <c r="J326" s="137">
        <v>1.9</v>
      </c>
      <c r="K326" s="137">
        <v>7.72</v>
      </c>
      <c r="L326" s="137">
        <v>8.7100000000000009</v>
      </c>
      <c r="M326" s="137">
        <v>8.23</v>
      </c>
      <c r="N326" s="137">
        <v>8.44</v>
      </c>
      <c r="O326" s="137">
        <v>7.89</v>
      </c>
      <c r="P326" s="137">
        <v>1.72</v>
      </c>
      <c r="Q326" s="137">
        <v>3.45</v>
      </c>
      <c r="R326" s="137">
        <v>8.64</v>
      </c>
      <c r="S326" s="137">
        <v>7.8699000000000003</v>
      </c>
      <c r="T326" s="137">
        <v>8.2200000000000006</v>
      </c>
      <c r="U326" s="137">
        <v>7.66</v>
      </c>
      <c r="V326" s="137">
        <v>7.76</v>
      </c>
      <c r="W326" s="140">
        <v>14110506</v>
      </c>
      <c r="X326" s="56">
        <f t="shared" si="10"/>
        <v>0</v>
      </c>
      <c r="Y326" s="56" t="str">
        <f t="shared" si="11"/>
        <v>LOGUEO</v>
      </c>
    </row>
    <row r="327" spans="1:25" ht="15" x14ac:dyDescent="0.25">
      <c r="A327" s="136" t="s">
        <v>1964</v>
      </c>
      <c r="B327" s="137">
        <v>0</v>
      </c>
      <c r="C327" s="137">
        <v>0</v>
      </c>
      <c r="D327" s="137">
        <v>0</v>
      </c>
      <c r="E327" s="137">
        <v>0</v>
      </c>
      <c r="F327" s="137">
        <v>0</v>
      </c>
      <c r="G327" s="137">
        <v>0</v>
      </c>
      <c r="H327" s="137">
        <v>0</v>
      </c>
      <c r="I327" s="137">
        <v>0</v>
      </c>
      <c r="J327" s="137">
        <v>0</v>
      </c>
      <c r="K327" s="137">
        <v>0</v>
      </c>
      <c r="L327" s="137">
        <v>0</v>
      </c>
      <c r="M327" s="137">
        <v>0</v>
      </c>
      <c r="N327" s="137">
        <v>0</v>
      </c>
      <c r="O327" s="137">
        <v>0</v>
      </c>
      <c r="P327" s="137">
        <v>0</v>
      </c>
      <c r="Q327" s="137">
        <v>0</v>
      </c>
      <c r="R327" s="137">
        <v>0</v>
      </c>
      <c r="S327" s="137">
        <v>0</v>
      </c>
      <c r="T327" s="137">
        <v>0</v>
      </c>
      <c r="U327" s="137">
        <v>0</v>
      </c>
      <c r="V327" s="137">
        <v>0</v>
      </c>
      <c r="W327" s="140">
        <v>14118288</v>
      </c>
      <c r="X327" s="56">
        <f t="shared" si="10"/>
        <v>7</v>
      </c>
      <c r="Y327" s="56" t="str">
        <f t="shared" si="11"/>
        <v>NO LOGUEO</v>
      </c>
    </row>
    <row r="328" spans="1:25" ht="15" x14ac:dyDescent="0.25">
      <c r="A328" s="136" t="s">
        <v>414</v>
      </c>
      <c r="B328" s="137">
        <v>2.9699</v>
      </c>
      <c r="C328" s="137">
        <v>6.23</v>
      </c>
      <c r="D328" s="137">
        <v>7.82</v>
      </c>
      <c r="E328" s="137">
        <v>6.05</v>
      </c>
      <c r="F328" s="137">
        <v>1.5</v>
      </c>
      <c r="G328" s="137">
        <v>6.86</v>
      </c>
      <c r="H328" s="137">
        <v>6.21</v>
      </c>
      <c r="I328" s="137">
        <v>0</v>
      </c>
      <c r="J328" s="137">
        <v>6.53</v>
      </c>
      <c r="K328" s="137">
        <v>2.48</v>
      </c>
      <c r="L328" s="137">
        <v>6.99</v>
      </c>
      <c r="M328" s="137">
        <v>7.91</v>
      </c>
      <c r="N328" s="137">
        <v>7.35</v>
      </c>
      <c r="O328" s="137">
        <v>6.47</v>
      </c>
      <c r="P328" s="137">
        <v>3.39</v>
      </c>
      <c r="Q328" s="137">
        <v>7.23</v>
      </c>
      <c r="R328" s="137">
        <v>7.19</v>
      </c>
      <c r="S328" s="137">
        <v>7.64</v>
      </c>
      <c r="T328" s="137">
        <v>7.12</v>
      </c>
      <c r="U328" s="137">
        <v>3.96</v>
      </c>
      <c r="V328" s="137">
        <v>6.08</v>
      </c>
      <c r="W328" s="140">
        <v>14122331</v>
      </c>
      <c r="X328" s="56">
        <f t="shared" si="10"/>
        <v>0</v>
      </c>
      <c r="Y328" s="56" t="str">
        <f t="shared" si="11"/>
        <v>LOGUEO</v>
      </c>
    </row>
    <row r="329" spans="1:25" ht="15" x14ac:dyDescent="0.25">
      <c r="A329" s="136" t="s">
        <v>320</v>
      </c>
      <c r="B329" s="137">
        <v>0</v>
      </c>
      <c r="C329" s="137">
        <v>2.65</v>
      </c>
      <c r="D329" s="137">
        <v>5.56</v>
      </c>
      <c r="E329" s="137">
        <v>5.3</v>
      </c>
      <c r="F329" s="137">
        <v>1.43</v>
      </c>
      <c r="G329" s="137">
        <v>4.09</v>
      </c>
      <c r="H329" s="137">
        <v>4.3</v>
      </c>
      <c r="I329" s="137">
        <v>5.12</v>
      </c>
      <c r="J329" s="137">
        <v>4.49</v>
      </c>
      <c r="K329" s="137">
        <v>0</v>
      </c>
      <c r="L329" s="137">
        <v>5.05</v>
      </c>
      <c r="M329" s="137">
        <v>5.2698999999999998</v>
      </c>
      <c r="N329" s="137">
        <v>5.33</v>
      </c>
      <c r="O329" s="137">
        <v>8.0599000000000007</v>
      </c>
      <c r="P329" s="137">
        <v>0</v>
      </c>
      <c r="Q329" s="137">
        <v>7.42</v>
      </c>
      <c r="R329" s="137">
        <v>9.81</v>
      </c>
      <c r="S329" s="137">
        <v>9.2098999999999993</v>
      </c>
      <c r="T329" s="137">
        <v>10.51</v>
      </c>
      <c r="U329" s="137">
        <v>9.02</v>
      </c>
      <c r="V329" s="137">
        <v>7.52</v>
      </c>
      <c r="W329" s="140">
        <v>14121152</v>
      </c>
      <c r="X329" s="56">
        <f t="shared" si="10"/>
        <v>1</v>
      </c>
      <c r="Y329" s="56" t="str">
        <f t="shared" si="11"/>
        <v>LOGUEO</v>
      </c>
    </row>
    <row r="330" spans="1:25" ht="15" x14ac:dyDescent="0.25">
      <c r="A330" s="136" t="s">
        <v>369</v>
      </c>
      <c r="B330" s="137">
        <v>8.4598999999999993</v>
      </c>
      <c r="C330" s="137">
        <v>8.52</v>
      </c>
      <c r="D330" s="137">
        <v>9.06</v>
      </c>
      <c r="E330" s="137">
        <v>8.66</v>
      </c>
      <c r="F330" s="137">
        <v>5.4398999999999997</v>
      </c>
      <c r="G330" s="137">
        <v>9.02</v>
      </c>
      <c r="H330" s="137">
        <v>7.99</v>
      </c>
      <c r="I330" s="137">
        <v>7.5</v>
      </c>
      <c r="J330" s="137">
        <v>1.55</v>
      </c>
      <c r="K330" s="137">
        <v>4.6399999999999997</v>
      </c>
      <c r="L330" s="137">
        <v>9.7200000000000006</v>
      </c>
      <c r="M330" s="137">
        <v>8.9199000000000002</v>
      </c>
      <c r="N330" s="137">
        <v>9.26</v>
      </c>
      <c r="O330" s="137">
        <v>9.06</v>
      </c>
      <c r="P330" s="137">
        <v>9</v>
      </c>
      <c r="Q330" s="137">
        <v>9.14</v>
      </c>
      <c r="R330" s="137">
        <v>8.81</v>
      </c>
      <c r="S330" s="137">
        <v>5.82</v>
      </c>
      <c r="T330" s="137">
        <v>7.52</v>
      </c>
      <c r="U330" s="137">
        <v>7.69</v>
      </c>
      <c r="V330" s="137">
        <v>8.2898999999999994</v>
      </c>
      <c r="W330" s="140">
        <v>14121896</v>
      </c>
      <c r="X330" s="56">
        <f t="shared" si="10"/>
        <v>0</v>
      </c>
      <c r="Y330" s="56" t="str">
        <f t="shared" si="11"/>
        <v>LOGUEO</v>
      </c>
    </row>
    <row r="331" spans="1:25" ht="15" x14ac:dyDescent="0.25">
      <c r="A331" s="136" t="s">
        <v>428</v>
      </c>
      <c r="B331" s="137">
        <v>8.08</v>
      </c>
      <c r="C331" s="137">
        <v>1.1000000000000001</v>
      </c>
      <c r="D331" s="137">
        <v>6.64</v>
      </c>
      <c r="E331" s="137">
        <v>7.63</v>
      </c>
      <c r="F331" s="137">
        <v>4.7</v>
      </c>
      <c r="G331" s="137">
        <v>7.45</v>
      </c>
      <c r="H331" s="137">
        <v>6.5</v>
      </c>
      <c r="I331" s="137">
        <v>7.48</v>
      </c>
      <c r="J331" s="137">
        <v>0</v>
      </c>
      <c r="K331" s="137">
        <v>6.68</v>
      </c>
      <c r="L331" s="137">
        <v>6.8699000000000003</v>
      </c>
      <c r="M331" s="137">
        <v>6.8</v>
      </c>
      <c r="N331" s="137">
        <v>7.74</v>
      </c>
      <c r="O331" s="137">
        <v>6.56</v>
      </c>
      <c r="P331" s="137">
        <v>7.1199000000000003</v>
      </c>
      <c r="Q331" s="137">
        <v>0</v>
      </c>
      <c r="R331" s="137">
        <v>7.21</v>
      </c>
      <c r="S331" s="137">
        <v>6.33</v>
      </c>
      <c r="T331" s="137">
        <v>7.7199</v>
      </c>
      <c r="U331" s="137">
        <v>7.37</v>
      </c>
      <c r="V331" s="137">
        <v>7.13</v>
      </c>
      <c r="W331" s="140">
        <v>14118625</v>
      </c>
      <c r="X331" s="56">
        <f t="shared" si="10"/>
        <v>1</v>
      </c>
      <c r="Y331" s="56" t="str">
        <f t="shared" si="11"/>
        <v>LOGUEO</v>
      </c>
    </row>
    <row r="332" spans="1:25" ht="15" x14ac:dyDescent="0.25">
      <c r="A332" s="136" t="s">
        <v>209</v>
      </c>
      <c r="B332" s="137">
        <v>2.23</v>
      </c>
      <c r="C332" s="137">
        <v>0</v>
      </c>
      <c r="D332" s="137">
        <v>4.5298999999999996</v>
      </c>
      <c r="E332" s="137">
        <v>5.13</v>
      </c>
      <c r="F332" s="137">
        <v>3.37</v>
      </c>
      <c r="G332" s="137">
        <v>3.03</v>
      </c>
      <c r="H332" s="137">
        <v>2.98</v>
      </c>
      <c r="I332" s="137">
        <v>2.1798999999999999</v>
      </c>
      <c r="J332" s="137">
        <v>2.1</v>
      </c>
      <c r="K332" s="137">
        <v>0</v>
      </c>
      <c r="L332" s="137">
        <v>0.85</v>
      </c>
      <c r="M332" s="137">
        <v>3.2</v>
      </c>
      <c r="N332" s="137">
        <v>3.35</v>
      </c>
      <c r="O332" s="137">
        <v>2.17</v>
      </c>
      <c r="P332" s="137">
        <v>1.43</v>
      </c>
      <c r="Q332" s="137">
        <v>5.92</v>
      </c>
      <c r="R332" s="137">
        <v>0</v>
      </c>
      <c r="S332" s="137">
        <v>4.51</v>
      </c>
      <c r="T332" s="137">
        <v>4.7</v>
      </c>
      <c r="U332" s="137">
        <v>4.7798999999999996</v>
      </c>
      <c r="V332" s="137">
        <v>2.83</v>
      </c>
      <c r="W332" s="140">
        <v>14118640</v>
      </c>
      <c r="X332" s="56">
        <f t="shared" si="10"/>
        <v>1</v>
      </c>
      <c r="Y332" s="56" t="str">
        <f t="shared" si="11"/>
        <v>LOGUEO</v>
      </c>
    </row>
    <row r="333" spans="1:25" ht="15" x14ac:dyDescent="0.25">
      <c r="A333" s="136" t="s">
        <v>170</v>
      </c>
      <c r="B333" s="137">
        <v>0</v>
      </c>
      <c r="C333" s="137">
        <v>4.5999999999999996</v>
      </c>
      <c r="D333" s="137">
        <v>4.3</v>
      </c>
      <c r="E333" s="137">
        <v>6.4699</v>
      </c>
      <c r="F333" s="137">
        <v>0</v>
      </c>
      <c r="G333" s="137">
        <v>8.5398999999999994</v>
      </c>
      <c r="H333" s="137">
        <v>6.3</v>
      </c>
      <c r="I333" s="137">
        <v>0</v>
      </c>
      <c r="J333" s="137">
        <v>8.17</v>
      </c>
      <c r="K333" s="137">
        <v>11.15</v>
      </c>
      <c r="L333" s="137">
        <v>4.42</v>
      </c>
      <c r="M333" s="137">
        <v>8.32</v>
      </c>
      <c r="N333" s="137">
        <v>8.4600000000000009</v>
      </c>
      <c r="O333" s="137">
        <v>8.06</v>
      </c>
      <c r="P333" s="137">
        <v>0</v>
      </c>
      <c r="Q333" s="137">
        <v>6.47</v>
      </c>
      <c r="R333" s="137">
        <v>6.5499000000000001</v>
      </c>
      <c r="S333" s="137">
        <v>7.19</v>
      </c>
      <c r="T333" s="137">
        <v>6.6</v>
      </c>
      <c r="U333" s="137">
        <v>8.9099000000000004</v>
      </c>
      <c r="V333" s="137">
        <v>8.34</v>
      </c>
      <c r="W333" s="140">
        <v>14116723</v>
      </c>
      <c r="X333" s="56">
        <f t="shared" si="10"/>
        <v>1</v>
      </c>
      <c r="Y333" s="56" t="str">
        <f t="shared" si="11"/>
        <v>LOGUEO</v>
      </c>
    </row>
    <row r="334" spans="1:25" ht="15" x14ac:dyDescent="0.25">
      <c r="A334" s="136" t="s">
        <v>1878</v>
      </c>
      <c r="B334" s="137">
        <v>0</v>
      </c>
      <c r="C334" s="137">
        <v>1.55</v>
      </c>
      <c r="D334" s="137">
        <v>0</v>
      </c>
      <c r="E334" s="137">
        <v>0</v>
      </c>
      <c r="F334" s="137">
        <v>0</v>
      </c>
      <c r="G334" s="137">
        <v>0</v>
      </c>
      <c r="H334" s="137">
        <v>2.1</v>
      </c>
      <c r="I334" s="137">
        <v>0</v>
      </c>
      <c r="J334" s="137">
        <v>0</v>
      </c>
      <c r="K334" s="137">
        <v>0</v>
      </c>
      <c r="L334" s="137">
        <v>3.98</v>
      </c>
      <c r="M334" s="137">
        <v>0</v>
      </c>
      <c r="N334" s="137">
        <v>0</v>
      </c>
      <c r="O334" s="137">
        <v>0</v>
      </c>
      <c r="P334" s="137">
        <v>0</v>
      </c>
      <c r="Q334" s="137">
        <v>0</v>
      </c>
      <c r="R334" s="137">
        <v>1.92</v>
      </c>
      <c r="S334" s="137">
        <v>0</v>
      </c>
      <c r="T334" s="137">
        <v>1.8</v>
      </c>
      <c r="U334" s="137">
        <v>0</v>
      </c>
      <c r="V334" s="137">
        <v>0</v>
      </c>
      <c r="W334" s="140">
        <v>0</v>
      </c>
      <c r="X334" s="56">
        <f t="shared" si="10"/>
        <v>5</v>
      </c>
      <c r="Y334" s="56" t="str">
        <f t="shared" si="11"/>
        <v>NO LOGUEO</v>
      </c>
    </row>
    <row r="335" spans="1:25" ht="15" x14ac:dyDescent="0.25">
      <c r="A335" s="136" t="s">
        <v>165</v>
      </c>
      <c r="B335" s="137">
        <v>0</v>
      </c>
      <c r="C335" s="137">
        <v>3.15</v>
      </c>
      <c r="D335" s="137">
        <v>6.68</v>
      </c>
      <c r="E335" s="137">
        <v>6.1498999999999997</v>
      </c>
      <c r="F335" s="137">
        <v>6.1199000000000003</v>
      </c>
      <c r="G335" s="137">
        <v>6.27</v>
      </c>
      <c r="H335" s="137">
        <v>5.8198999999999996</v>
      </c>
      <c r="I335" s="137">
        <v>6.8</v>
      </c>
      <c r="J335" s="137">
        <v>3.6</v>
      </c>
      <c r="K335" s="137">
        <v>0</v>
      </c>
      <c r="L335" s="137">
        <v>5.63</v>
      </c>
      <c r="M335" s="137">
        <v>5.63</v>
      </c>
      <c r="N335" s="137">
        <v>4.62</v>
      </c>
      <c r="O335" s="137">
        <v>5.65</v>
      </c>
      <c r="P335" s="137">
        <v>0</v>
      </c>
      <c r="Q335" s="137">
        <v>3.05</v>
      </c>
      <c r="R335" s="137">
        <v>6.2899000000000003</v>
      </c>
      <c r="S335" s="137">
        <v>6.06</v>
      </c>
      <c r="T335" s="137">
        <v>6.17</v>
      </c>
      <c r="U335" s="137">
        <v>6.1498999999999997</v>
      </c>
      <c r="V335" s="137">
        <v>5.46</v>
      </c>
      <c r="W335" s="140">
        <v>14116504</v>
      </c>
      <c r="X335" s="56">
        <f t="shared" si="10"/>
        <v>1</v>
      </c>
      <c r="Y335" s="56" t="str">
        <f t="shared" si="11"/>
        <v>LOGUEO</v>
      </c>
    </row>
    <row r="336" spans="1:25" ht="15" x14ac:dyDescent="0.25">
      <c r="A336" s="136" t="s">
        <v>162</v>
      </c>
      <c r="B336" s="137">
        <v>7.37</v>
      </c>
      <c r="C336" s="137">
        <v>4</v>
      </c>
      <c r="D336" s="137">
        <v>0</v>
      </c>
      <c r="E336" s="137">
        <v>3.0099</v>
      </c>
      <c r="F336" s="137">
        <v>2.92</v>
      </c>
      <c r="G336" s="137">
        <v>5.66</v>
      </c>
      <c r="H336" s="137">
        <v>2.8</v>
      </c>
      <c r="I336" s="137">
        <v>0</v>
      </c>
      <c r="J336" s="137">
        <v>3.27</v>
      </c>
      <c r="K336" s="137">
        <v>8.07</v>
      </c>
      <c r="L336" s="137">
        <v>2.85</v>
      </c>
      <c r="M336" s="137">
        <v>2.83</v>
      </c>
      <c r="N336" s="137">
        <v>2.9</v>
      </c>
      <c r="O336" s="137">
        <v>1.9</v>
      </c>
      <c r="P336" s="137">
        <v>5.6</v>
      </c>
      <c r="Q336" s="137">
        <v>4.1498999999999997</v>
      </c>
      <c r="R336" s="137">
        <v>0</v>
      </c>
      <c r="S336" s="137">
        <v>4.92</v>
      </c>
      <c r="T336" s="137">
        <v>2.9899</v>
      </c>
      <c r="U336" s="137">
        <v>2.75</v>
      </c>
      <c r="V336" s="137">
        <v>2.8</v>
      </c>
      <c r="W336" s="140">
        <v>14116373</v>
      </c>
      <c r="X336" s="56">
        <f t="shared" si="10"/>
        <v>1</v>
      </c>
      <c r="Y336" s="56" t="str">
        <f t="shared" si="11"/>
        <v>LOGUEO</v>
      </c>
    </row>
    <row r="337" spans="1:25" ht="15" x14ac:dyDescent="0.25">
      <c r="A337" s="136" t="s">
        <v>443</v>
      </c>
      <c r="B337" s="137">
        <v>10.41</v>
      </c>
      <c r="C337" s="137">
        <v>0</v>
      </c>
      <c r="D337" s="137">
        <v>8.16</v>
      </c>
      <c r="E337" s="137">
        <v>9.9</v>
      </c>
      <c r="F337" s="137">
        <v>0</v>
      </c>
      <c r="G337" s="137">
        <v>7.7899000000000003</v>
      </c>
      <c r="H337" s="137">
        <v>10.48</v>
      </c>
      <c r="I337" s="137">
        <v>9.1</v>
      </c>
      <c r="J337" s="137">
        <v>0</v>
      </c>
      <c r="K337" s="137">
        <v>8.1199999999999992</v>
      </c>
      <c r="L337" s="137">
        <v>10.81</v>
      </c>
      <c r="M337" s="137">
        <v>8.5</v>
      </c>
      <c r="N337" s="137">
        <v>12.43</v>
      </c>
      <c r="O337" s="137">
        <v>8.7799999999999994</v>
      </c>
      <c r="P337" s="137">
        <v>8.3798999999999992</v>
      </c>
      <c r="Q337" s="137">
        <v>0</v>
      </c>
      <c r="R337" s="137">
        <v>10.57</v>
      </c>
      <c r="S337" s="137">
        <v>7.97</v>
      </c>
      <c r="T337" s="137">
        <v>10.649900000000001</v>
      </c>
      <c r="U337" s="137">
        <v>8.7799999999999994</v>
      </c>
      <c r="V337" s="137">
        <v>10.33</v>
      </c>
      <c r="W337" s="140">
        <v>14122687</v>
      </c>
      <c r="X337" s="56">
        <f t="shared" si="10"/>
        <v>1</v>
      </c>
      <c r="Y337" s="56" t="str">
        <f t="shared" si="11"/>
        <v>LOGUEO</v>
      </c>
    </row>
    <row r="338" spans="1:25" ht="15" x14ac:dyDescent="0.25">
      <c r="A338" s="136" t="s">
        <v>2021</v>
      </c>
      <c r="B338" s="137">
        <v>2.3199999999999998</v>
      </c>
      <c r="C338" s="137">
        <v>5.51</v>
      </c>
      <c r="D338" s="137">
        <v>5.22</v>
      </c>
      <c r="E338" s="137">
        <v>8.5500000000000007</v>
      </c>
      <c r="F338" s="137">
        <v>2.39</v>
      </c>
      <c r="G338" s="137">
        <v>11.76</v>
      </c>
      <c r="H338" s="137">
        <v>8.77</v>
      </c>
      <c r="I338" s="137">
        <v>6.56</v>
      </c>
      <c r="J338" s="137">
        <v>8.36</v>
      </c>
      <c r="K338" s="137">
        <v>2.75</v>
      </c>
      <c r="L338" s="137">
        <v>9.33</v>
      </c>
      <c r="M338" s="137">
        <v>6.6199000000000003</v>
      </c>
      <c r="N338" s="137">
        <v>9.65</v>
      </c>
      <c r="O338" s="137">
        <v>2.5299</v>
      </c>
      <c r="P338" s="137">
        <v>2.7599</v>
      </c>
      <c r="Q338" s="137">
        <v>11</v>
      </c>
      <c r="R338" s="137">
        <v>8.64</v>
      </c>
      <c r="S338" s="137">
        <v>6.21</v>
      </c>
      <c r="T338" s="137">
        <v>10.07</v>
      </c>
      <c r="U338" s="137">
        <v>6.48</v>
      </c>
      <c r="V338" s="137">
        <v>2.4500000000000002</v>
      </c>
      <c r="W338" s="140" t="s">
        <v>1609</v>
      </c>
      <c r="X338" s="56">
        <f t="shared" si="10"/>
        <v>0</v>
      </c>
      <c r="Y338" s="56" t="str">
        <f t="shared" si="11"/>
        <v>LOGUEO</v>
      </c>
    </row>
    <row r="339" spans="1:25" ht="15" x14ac:dyDescent="0.25">
      <c r="A339" s="136" t="s">
        <v>1879</v>
      </c>
      <c r="B339" s="137">
        <v>0</v>
      </c>
      <c r="C339" s="137">
        <v>0</v>
      </c>
      <c r="D339" s="137">
        <v>0</v>
      </c>
      <c r="E339" s="137">
        <v>0</v>
      </c>
      <c r="F339" s="137">
        <v>0</v>
      </c>
      <c r="G339" s="137">
        <v>0</v>
      </c>
      <c r="H339" s="137">
        <v>0</v>
      </c>
      <c r="I339" s="137">
        <v>0</v>
      </c>
      <c r="J339" s="137">
        <v>0</v>
      </c>
      <c r="K339" s="137">
        <v>0</v>
      </c>
      <c r="L339" s="137">
        <v>0</v>
      </c>
      <c r="M339" s="137">
        <v>0</v>
      </c>
      <c r="N339" s="137">
        <v>0</v>
      </c>
      <c r="O339" s="137">
        <v>0</v>
      </c>
      <c r="P339" s="137">
        <v>0</v>
      </c>
      <c r="Q339" s="137">
        <v>0</v>
      </c>
      <c r="R339" s="137">
        <v>0</v>
      </c>
      <c r="S339" s="137">
        <v>0</v>
      </c>
      <c r="T339" s="137">
        <v>0</v>
      </c>
      <c r="U339" s="137">
        <v>0</v>
      </c>
      <c r="V339" s="137">
        <v>0</v>
      </c>
      <c r="W339" s="140" t="s">
        <v>1609</v>
      </c>
      <c r="X339" s="56">
        <f t="shared" si="10"/>
        <v>7</v>
      </c>
      <c r="Y339" s="56" t="str">
        <f t="shared" si="11"/>
        <v>NO LOGUEO</v>
      </c>
    </row>
    <row r="340" spans="1:25" ht="15" x14ac:dyDescent="0.25">
      <c r="A340" s="136" t="s">
        <v>1965</v>
      </c>
      <c r="B340" s="137">
        <v>0</v>
      </c>
      <c r="C340" s="137">
        <v>0</v>
      </c>
      <c r="D340" s="137">
        <v>0</v>
      </c>
      <c r="E340" s="137">
        <v>0</v>
      </c>
      <c r="F340" s="137">
        <v>0</v>
      </c>
      <c r="G340" s="137">
        <v>0</v>
      </c>
      <c r="H340" s="137">
        <v>0</v>
      </c>
      <c r="I340" s="137">
        <v>0</v>
      </c>
      <c r="J340" s="137">
        <v>0</v>
      </c>
      <c r="K340" s="137">
        <v>0</v>
      </c>
      <c r="L340" s="137">
        <v>0</v>
      </c>
      <c r="M340" s="137">
        <v>0</v>
      </c>
      <c r="N340" s="137">
        <v>0</v>
      </c>
      <c r="O340" s="137">
        <v>0</v>
      </c>
      <c r="P340" s="137">
        <v>0</v>
      </c>
      <c r="Q340" s="137">
        <v>0</v>
      </c>
      <c r="R340" s="137">
        <v>0</v>
      </c>
      <c r="S340" s="137">
        <v>0</v>
      </c>
      <c r="T340" s="137">
        <v>0</v>
      </c>
      <c r="U340" s="137">
        <v>0</v>
      </c>
      <c r="V340" s="137">
        <v>0</v>
      </c>
      <c r="W340" s="140" t="s">
        <v>1609</v>
      </c>
      <c r="X340" s="56">
        <f t="shared" si="10"/>
        <v>7</v>
      </c>
      <c r="Y340" s="56" t="str">
        <f t="shared" si="11"/>
        <v>NO LOGUEO</v>
      </c>
    </row>
    <row r="341" spans="1:25" ht="15" x14ac:dyDescent="0.25">
      <c r="A341" s="136" t="s">
        <v>1626</v>
      </c>
      <c r="B341" s="137">
        <v>4.18</v>
      </c>
      <c r="C341" s="137">
        <v>4.4398999999999997</v>
      </c>
      <c r="D341" s="137">
        <v>0</v>
      </c>
      <c r="E341" s="137">
        <v>4.24</v>
      </c>
      <c r="F341" s="137">
        <v>0</v>
      </c>
      <c r="G341" s="137">
        <v>0</v>
      </c>
      <c r="H341" s="137">
        <v>4.25</v>
      </c>
      <c r="I341" s="137">
        <v>3.79</v>
      </c>
      <c r="J341" s="137">
        <v>4.88</v>
      </c>
      <c r="K341" s="137">
        <v>5.0298999999999996</v>
      </c>
      <c r="L341" s="137">
        <v>5.17</v>
      </c>
      <c r="M341" s="137">
        <v>4.78</v>
      </c>
      <c r="N341" s="137">
        <v>1.58</v>
      </c>
      <c r="O341" s="137">
        <v>0</v>
      </c>
      <c r="P341" s="137">
        <v>4.13</v>
      </c>
      <c r="Q341" s="137">
        <v>5.22</v>
      </c>
      <c r="R341" s="137">
        <v>0</v>
      </c>
      <c r="S341" s="137">
        <v>4.28</v>
      </c>
      <c r="T341" s="137">
        <v>5.15</v>
      </c>
      <c r="U341" s="137">
        <v>4.38</v>
      </c>
      <c r="V341" s="137">
        <v>4.2</v>
      </c>
      <c r="W341" s="140" t="s">
        <v>1609</v>
      </c>
      <c r="X341" s="56">
        <f t="shared" si="10"/>
        <v>1</v>
      </c>
      <c r="Y341" s="56" t="str">
        <f t="shared" si="11"/>
        <v>LOGUEO</v>
      </c>
    </row>
    <row r="342" spans="1:25" ht="15" x14ac:dyDescent="0.25">
      <c r="A342" s="136" t="s">
        <v>963</v>
      </c>
      <c r="B342" s="137">
        <v>0</v>
      </c>
      <c r="C342" s="137">
        <v>0</v>
      </c>
      <c r="D342" s="137">
        <v>0</v>
      </c>
      <c r="E342" s="137">
        <v>0</v>
      </c>
      <c r="F342" s="137">
        <v>0</v>
      </c>
      <c r="G342" s="137">
        <v>0</v>
      </c>
      <c r="H342" s="137">
        <v>0</v>
      </c>
      <c r="I342" s="137">
        <v>0</v>
      </c>
      <c r="J342" s="137">
        <v>0</v>
      </c>
      <c r="K342" s="137">
        <v>0</v>
      </c>
      <c r="L342" s="137">
        <v>0</v>
      </c>
      <c r="M342" s="137">
        <v>0</v>
      </c>
      <c r="N342" s="137">
        <v>0</v>
      </c>
      <c r="O342" s="137">
        <v>0</v>
      </c>
      <c r="P342" s="137">
        <v>0</v>
      </c>
      <c r="Q342" s="137">
        <v>0</v>
      </c>
      <c r="R342" s="137">
        <v>0</v>
      </c>
      <c r="S342" s="137">
        <v>0</v>
      </c>
      <c r="T342" s="137">
        <v>0</v>
      </c>
      <c r="U342" s="137">
        <v>0</v>
      </c>
      <c r="V342" s="137">
        <v>0</v>
      </c>
      <c r="W342" s="140" t="s">
        <v>1609</v>
      </c>
      <c r="X342" s="56">
        <f t="shared" si="10"/>
        <v>7</v>
      </c>
      <c r="Y342" s="56" t="str">
        <f t="shared" si="11"/>
        <v>NO LOGUEO</v>
      </c>
    </row>
    <row r="343" spans="1:25" ht="15" x14ac:dyDescent="0.25">
      <c r="A343" s="136" t="s">
        <v>1966</v>
      </c>
      <c r="B343" s="137">
        <v>0</v>
      </c>
      <c r="C343" s="137">
        <v>8.59</v>
      </c>
      <c r="D343" s="137">
        <v>8.91</v>
      </c>
      <c r="E343" s="137">
        <v>6.4499000000000004</v>
      </c>
      <c r="F343" s="137">
        <v>1.52</v>
      </c>
      <c r="G343" s="137">
        <v>7.6</v>
      </c>
      <c r="H343" s="137">
        <v>7.05</v>
      </c>
      <c r="I343" s="137">
        <v>0</v>
      </c>
      <c r="J343" s="137">
        <v>8.65</v>
      </c>
      <c r="K343" s="137">
        <v>8.1</v>
      </c>
      <c r="L343" s="137">
        <v>7.85</v>
      </c>
      <c r="M343" s="137">
        <v>8.43</v>
      </c>
      <c r="N343" s="137">
        <v>7.4</v>
      </c>
      <c r="O343" s="137">
        <v>5.73</v>
      </c>
      <c r="P343" s="137">
        <v>9.9699000000000009</v>
      </c>
      <c r="Q343" s="137">
        <v>8.75</v>
      </c>
      <c r="R343" s="137">
        <v>9.0500000000000007</v>
      </c>
      <c r="S343" s="137">
        <v>7.73</v>
      </c>
      <c r="T343" s="137">
        <v>7.97</v>
      </c>
      <c r="U343" s="137">
        <v>8.15</v>
      </c>
      <c r="V343" s="137">
        <v>6.3</v>
      </c>
      <c r="W343" s="140" t="s">
        <v>1609</v>
      </c>
      <c r="X343" s="56">
        <f t="shared" si="10"/>
        <v>0</v>
      </c>
      <c r="Y343" s="56" t="str">
        <f t="shared" si="11"/>
        <v>LOGUEO</v>
      </c>
    </row>
    <row r="344" spans="1:25" ht="15" x14ac:dyDescent="0.25">
      <c r="A344" s="136" t="s">
        <v>1895</v>
      </c>
      <c r="B344" s="137">
        <v>0</v>
      </c>
      <c r="C344" s="137">
        <v>0</v>
      </c>
      <c r="D344" s="137">
        <v>0</v>
      </c>
      <c r="E344" s="137">
        <v>0</v>
      </c>
      <c r="F344" s="137">
        <v>0</v>
      </c>
      <c r="G344" s="137">
        <v>0</v>
      </c>
      <c r="H344" s="137">
        <v>0</v>
      </c>
      <c r="I344" s="137">
        <v>0</v>
      </c>
      <c r="J344" s="137">
        <v>0</v>
      </c>
      <c r="K344" s="137">
        <v>0</v>
      </c>
      <c r="L344" s="137">
        <v>0</v>
      </c>
      <c r="M344" s="137">
        <v>0</v>
      </c>
      <c r="N344" s="137">
        <v>0</v>
      </c>
      <c r="O344" s="137">
        <v>0</v>
      </c>
      <c r="P344" s="137">
        <v>0</v>
      </c>
      <c r="Q344" s="137">
        <v>0</v>
      </c>
      <c r="R344" s="137">
        <v>0</v>
      </c>
      <c r="S344" s="137">
        <v>0</v>
      </c>
      <c r="T344" s="137">
        <v>0</v>
      </c>
      <c r="U344" s="137">
        <v>0</v>
      </c>
      <c r="V344" s="137">
        <v>0</v>
      </c>
      <c r="W344" s="140" t="s">
        <v>1609</v>
      </c>
      <c r="X344" s="56">
        <f t="shared" si="10"/>
        <v>7</v>
      </c>
      <c r="Y344" s="56" t="str">
        <f t="shared" si="11"/>
        <v>NO LOGUEO</v>
      </c>
    </row>
    <row r="345" spans="1:25" ht="15" x14ac:dyDescent="0.25">
      <c r="A345" s="136" t="s">
        <v>153</v>
      </c>
      <c r="B345" s="137">
        <v>1.18</v>
      </c>
      <c r="C345" s="137">
        <v>7.9898999999999996</v>
      </c>
      <c r="D345" s="137">
        <v>8.25</v>
      </c>
      <c r="E345" s="137">
        <v>7.72</v>
      </c>
      <c r="F345" s="137">
        <v>5.14</v>
      </c>
      <c r="G345" s="137">
        <v>8.51</v>
      </c>
      <c r="H345" s="137">
        <v>8.6298999999999992</v>
      </c>
      <c r="I345" s="137">
        <v>0</v>
      </c>
      <c r="J345" s="137">
        <v>8.43</v>
      </c>
      <c r="K345" s="137">
        <v>8.64</v>
      </c>
      <c r="L345" s="137">
        <v>7.97</v>
      </c>
      <c r="M345" s="137">
        <v>8.19</v>
      </c>
      <c r="N345" s="137">
        <v>7.96</v>
      </c>
      <c r="O345" s="137">
        <v>7.76</v>
      </c>
      <c r="P345" s="137">
        <v>0</v>
      </c>
      <c r="Q345" s="137">
        <v>6.08</v>
      </c>
      <c r="R345" s="137">
        <v>10.91</v>
      </c>
      <c r="S345" s="137">
        <v>8.02</v>
      </c>
      <c r="T345" s="137">
        <v>8.08</v>
      </c>
      <c r="U345" s="137">
        <v>7.84</v>
      </c>
      <c r="V345" s="137">
        <v>7.88</v>
      </c>
      <c r="W345" s="140">
        <v>14116046</v>
      </c>
      <c r="X345" s="56">
        <f t="shared" si="10"/>
        <v>1</v>
      </c>
      <c r="Y345" s="56" t="str">
        <f t="shared" si="11"/>
        <v>LOGUEO</v>
      </c>
    </row>
    <row r="346" spans="1:25" ht="15" x14ac:dyDescent="0.25">
      <c r="A346" s="136" t="s">
        <v>152</v>
      </c>
      <c r="B346" s="137">
        <v>5.1098999999999997</v>
      </c>
      <c r="C346" s="137">
        <v>6.03</v>
      </c>
      <c r="D346" s="137">
        <v>7.44</v>
      </c>
      <c r="E346" s="137">
        <v>6.78</v>
      </c>
      <c r="F346" s="137">
        <v>1.87</v>
      </c>
      <c r="G346" s="137">
        <v>7.45</v>
      </c>
      <c r="H346" s="137">
        <v>5.59</v>
      </c>
      <c r="I346" s="137">
        <v>5.58</v>
      </c>
      <c r="J346" s="137">
        <v>6.45</v>
      </c>
      <c r="K346" s="137">
        <v>6.0598999999999998</v>
      </c>
      <c r="L346" s="137">
        <v>6.2698999999999998</v>
      </c>
      <c r="M346" s="137">
        <v>0</v>
      </c>
      <c r="N346" s="137">
        <v>5.9898999999999996</v>
      </c>
      <c r="O346" s="137">
        <v>7.0399000000000003</v>
      </c>
      <c r="P346" s="137">
        <v>4.95</v>
      </c>
      <c r="Q346" s="137">
        <v>5.9599000000000002</v>
      </c>
      <c r="R346" s="137">
        <v>7.67</v>
      </c>
      <c r="S346" s="137">
        <v>6.66</v>
      </c>
      <c r="T346" s="137">
        <v>6.61</v>
      </c>
      <c r="U346" s="137">
        <v>6.61</v>
      </c>
      <c r="V346" s="137">
        <v>5.9</v>
      </c>
      <c r="W346" s="140">
        <v>14116000</v>
      </c>
      <c r="X346" s="56">
        <f t="shared" si="10"/>
        <v>0</v>
      </c>
      <c r="Y346" s="56" t="str">
        <f t="shared" si="11"/>
        <v>LOGUEO</v>
      </c>
    </row>
    <row r="347" spans="1:25" ht="15" x14ac:dyDescent="0.25">
      <c r="A347" s="136" t="s">
        <v>1834</v>
      </c>
      <c r="B347" s="137">
        <v>0</v>
      </c>
      <c r="C347" s="137">
        <v>0</v>
      </c>
      <c r="D347" s="137">
        <v>0</v>
      </c>
      <c r="E347" s="137">
        <v>0</v>
      </c>
      <c r="F347" s="137">
        <v>0</v>
      </c>
      <c r="G347" s="137">
        <v>0</v>
      </c>
      <c r="H347" s="137">
        <v>0</v>
      </c>
      <c r="I347" s="137">
        <v>0</v>
      </c>
      <c r="J347" s="137">
        <v>0</v>
      </c>
      <c r="K347" s="137">
        <v>11.25</v>
      </c>
      <c r="L347" s="137">
        <v>10.25</v>
      </c>
      <c r="M347" s="137">
        <v>8.98</v>
      </c>
      <c r="N347" s="137">
        <v>8.9700000000000006</v>
      </c>
      <c r="O347" s="137">
        <v>9</v>
      </c>
      <c r="P347" s="137">
        <v>1.3898999999999999</v>
      </c>
      <c r="Q347" s="137">
        <v>11.68</v>
      </c>
      <c r="R347" s="137">
        <v>0</v>
      </c>
      <c r="S347" s="137">
        <v>0</v>
      </c>
      <c r="T347" s="137">
        <v>2.35</v>
      </c>
      <c r="U347" s="137">
        <v>4.3</v>
      </c>
      <c r="V347" s="137">
        <v>0</v>
      </c>
      <c r="W347" s="140" t="s">
        <v>1609</v>
      </c>
      <c r="X347" s="56">
        <f t="shared" si="10"/>
        <v>3</v>
      </c>
      <c r="Y347" s="56" t="str">
        <f t="shared" si="11"/>
        <v>NO LOGUEO</v>
      </c>
    </row>
    <row r="348" spans="1:25" ht="15" x14ac:dyDescent="0.25">
      <c r="A348" s="136" t="s">
        <v>136</v>
      </c>
      <c r="B348" s="137">
        <v>7.32</v>
      </c>
      <c r="C348" s="137">
        <v>0</v>
      </c>
      <c r="D348" s="137">
        <v>8.7998999999999992</v>
      </c>
      <c r="E348" s="137">
        <v>7.5</v>
      </c>
      <c r="F348" s="137">
        <v>6.01</v>
      </c>
      <c r="G348" s="137">
        <v>8.2799999999999994</v>
      </c>
      <c r="H348" s="137">
        <v>7.28</v>
      </c>
      <c r="I348" s="137">
        <v>4.88</v>
      </c>
      <c r="J348" s="137">
        <v>4.58</v>
      </c>
      <c r="K348" s="137">
        <v>6.5</v>
      </c>
      <c r="L348" s="137">
        <v>7.5</v>
      </c>
      <c r="M348" s="137">
        <v>11.2</v>
      </c>
      <c r="N348" s="137">
        <v>0</v>
      </c>
      <c r="O348" s="137">
        <v>11.06</v>
      </c>
      <c r="P348" s="137">
        <v>5.35</v>
      </c>
      <c r="Q348" s="137">
        <v>0</v>
      </c>
      <c r="R348" s="137">
        <v>8.2898999999999994</v>
      </c>
      <c r="S348" s="137">
        <v>7.12</v>
      </c>
      <c r="T348" s="137">
        <v>6.0799000000000003</v>
      </c>
      <c r="U348" s="137">
        <v>6.48</v>
      </c>
      <c r="V348" s="137">
        <v>6.2798999999999996</v>
      </c>
      <c r="W348" s="140">
        <v>14114431</v>
      </c>
      <c r="X348" s="56">
        <f t="shared" si="10"/>
        <v>1</v>
      </c>
      <c r="Y348" s="56" t="str">
        <f t="shared" si="11"/>
        <v>LOGUEO</v>
      </c>
    </row>
    <row r="349" spans="1:25" ht="15" x14ac:dyDescent="0.25">
      <c r="A349" s="136" t="s">
        <v>554</v>
      </c>
      <c r="B349" s="137">
        <v>0</v>
      </c>
      <c r="C349" s="137">
        <v>8.35</v>
      </c>
      <c r="D349" s="137">
        <v>11.219900000000001</v>
      </c>
      <c r="E349" s="137">
        <v>3.43</v>
      </c>
      <c r="F349" s="137">
        <v>0</v>
      </c>
      <c r="G349" s="137">
        <v>0</v>
      </c>
      <c r="H349" s="137">
        <v>0</v>
      </c>
      <c r="I349" s="137">
        <v>0</v>
      </c>
      <c r="J349" s="137">
        <v>0</v>
      </c>
      <c r="K349" s="137">
        <v>0</v>
      </c>
      <c r="L349" s="137">
        <v>0</v>
      </c>
      <c r="M349" s="137">
        <v>5.72</v>
      </c>
      <c r="N349" s="137">
        <v>10.44</v>
      </c>
      <c r="O349" s="137">
        <v>12.09</v>
      </c>
      <c r="P349" s="137">
        <v>8.26</v>
      </c>
      <c r="Q349" s="137">
        <v>0</v>
      </c>
      <c r="R349" s="137">
        <v>14.03</v>
      </c>
      <c r="S349" s="137">
        <v>8.7100000000000009</v>
      </c>
      <c r="T349" s="137">
        <v>5.4</v>
      </c>
      <c r="U349" s="137">
        <v>7.1</v>
      </c>
      <c r="V349" s="137">
        <v>8.09</v>
      </c>
      <c r="W349" s="140" t="s">
        <v>1609</v>
      </c>
      <c r="X349" s="56">
        <f t="shared" si="10"/>
        <v>1</v>
      </c>
      <c r="Y349" s="56" t="str">
        <f t="shared" si="11"/>
        <v>LOGUEO</v>
      </c>
    </row>
    <row r="350" spans="1:25" ht="15" x14ac:dyDescent="0.25">
      <c r="A350" s="136" t="s">
        <v>140</v>
      </c>
      <c r="B350" s="137">
        <v>2.42</v>
      </c>
      <c r="C350" s="137">
        <v>5.3898999999999999</v>
      </c>
      <c r="D350" s="137">
        <v>9.81</v>
      </c>
      <c r="E350" s="137">
        <v>7.57</v>
      </c>
      <c r="F350" s="137">
        <v>3</v>
      </c>
      <c r="G350" s="137">
        <v>7.81</v>
      </c>
      <c r="H350" s="137">
        <v>8.2399000000000004</v>
      </c>
      <c r="I350" s="137">
        <v>0</v>
      </c>
      <c r="J350" s="137">
        <v>5.39</v>
      </c>
      <c r="K350" s="137">
        <v>8.4</v>
      </c>
      <c r="L350" s="137">
        <v>8.49</v>
      </c>
      <c r="M350" s="137">
        <v>12.559900000000001</v>
      </c>
      <c r="N350" s="137">
        <v>10.33</v>
      </c>
      <c r="O350" s="137">
        <v>9.24</v>
      </c>
      <c r="P350" s="137">
        <v>5.73</v>
      </c>
      <c r="Q350" s="137">
        <v>4.74</v>
      </c>
      <c r="R350" s="137">
        <v>9.16</v>
      </c>
      <c r="S350" s="137">
        <v>7.62</v>
      </c>
      <c r="T350" s="137">
        <v>9.57</v>
      </c>
      <c r="U350" s="137">
        <v>6.85</v>
      </c>
      <c r="V350" s="137">
        <v>9.8798999999999992</v>
      </c>
      <c r="W350" s="140">
        <v>14115136</v>
      </c>
      <c r="X350" s="56">
        <f t="shared" si="10"/>
        <v>0</v>
      </c>
      <c r="Y350" s="56" t="str">
        <f t="shared" si="11"/>
        <v>LOGUEO</v>
      </c>
    </row>
    <row r="351" spans="1:25" ht="15" x14ac:dyDescent="0.25">
      <c r="A351" s="136" t="s">
        <v>1967</v>
      </c>
      <c r="B351" s="137">
        <v>0</v>
      </c>
      <c r="C351" s="137">
        <v>0</v>
      </c>
      <c r="D351" s="137">
        <v>0</v>
      </c>
      <c r="E351" s="137">
        <v>0</v>
      </c>
      <c r="F351" s="137">
        <v>0</v>
      </c>
      <c r="G351" s="137">
        <v>0</v>
      </c>
      <c r="H351" s="137">
        <v>0</v>
      </c>
      <c r="I351" s="137">
        <v>0</v>
      </c>
      <c r="J351" s="137">
        <v>0</v>
      </c>
      <c r="K351" s="137">
        <v>0</v>
      </c>
      <c r="L351" s="137">
        <v>0</v>
      </c>
      <c r="M351" s="137">
        <v>0</v>
      </c>
      <c r="N351" s="137">
        <v>0</v>
      </c>
      <c r="O351" s="137">
        <v>0</v>
      </c>
      <c r="P351" s="137">
        <v>0</v>
      </c>
      <c r="Q351" s="137">
        <v>0</v>
      </c>
      <c r="R351" s="137">
        <v>0</v>
      </c>
      <c r="S351" s="137">
        <v>0</v>
      </c>
      <c r="T351" s="137">
        <v>0</v>
      </c>
      <c r="U351" s="137">
        <v>0</v>
      </c>
      <c r="V351" s="137">
        <v>0</v>
      </c>
      <c r="W351" s="140" t="s">
        <v>1609</v>
      </c>
      <c r="X351" s="56">
        <f t="shared" si="10"/>
        <v>7</v>
      </c>
      <c r="Y351" s="56" t="str">
        <f t="shared" si="11"/>
        <v>NO LOGUEO</v>
      </c>
    </row>
    <row r="352" spans="1:25" ht="15" x14ac:dyDescent="0.25">
      <c r="A352" s="136" t="s">
        <v>513</v>
      </c>
      <c r="B352" s="137">
        <v>6.47</v>
      </c>
      <c r="C352" s="137">
        <v>0</v>
      </c>
      <c r="D352" s="137">
        <v>4.55</v>
      </c>
      <c r="E352" s="137">
        <v>7.06</v>
      </c>
      <c r="F352" s="137">
        <v>7.7</v>
      </c>
      <c r="G352" s="137">
        <v>6.78</v>
      </c>
      <c r="H352" s="137">
        <v>6.76</v>
      </c>
      <c r="I352" s="137">
        <v>0</v>
      </c>
      <c r="J352" s="137">
        <v>6.33</v>
      </c>
      <c r="K352" s="137">
        <v>8.42</v>
      </c>
      <c r="L352" s="137">
        <v>8.74</v>
      </c>
      <c r="M352" s="137">
        <v>8.76</v>
      </c>
      <c r="N352" s="137">
        <v>9.61</v>
      </c>
      <c r="O352" s="137">
        <v>9.42</v>
      </c>
      <c r="P352" s="137">
        <v>0</v>
      </c>
      <c r="Q352" s="137">
        <v>8.1999999999999993</v>
      </c>
      <c r="R352" s="137">
        <v>8.67</v>
      </c>
      <c r="S352" s="137">
        <v>9.1198999999999995</v>
      </c>
      <c r="T352" s="137">
        <v>7.81</v>
      </c>
      <c r="U352" s="137">
        <v>7.67</v>
      </c>
      <c r="V352" s="137">
        <v>8.34</v>
      </c>
      <c r="W352" s="140">
        <v>14123334</v>
      </c>
      <c r="X352" s="56">
        <f t="shared" si="10"/>
        <v>1</v>
      </c>
      <c r="Y352" s="56" t="str">
        <f t="shared" si="11"/>
        <v>LOGUEO</v>
      </c>
    </row>
    <row r="353" spans="1:25" ht="15" x14ac:dyDescent="0.25">
      <c r="A353" s="136" t="s">
        <v>1804</v>
      </c>
      <c r="B353" s="137">
        <v>3.88</v>
      </c>
      <c r="C353" s="137">
        <v>0</v>
      </c>
      <c r="D353" s="137">
        <v>4.78</v>
      </c>
      <c r="E353" s="137">
        <v>10.72</v>
      </c>
      <c r="F353" s="137">
        <v>5.61</v>
      </c>
      <c r="G353" s="137">
        <v>12.37</v>
      </c>
      <c r="H353" s="137">
        <v>9.69</v>
      </c>
      <c r="I353" s="137">
        <v>6.75</v>
      </c>
      <c r="J353" s="137">
        <v>9.15</v>
      </c>
      <c r="K353" s="137">
        <v>9.93</v>
      </c>
      <c r="L353" s="137">
        <v>5.96</v>
      </c>
      <c r="M353" s="137">
        <v>5.94</v>
      </c>
      <c r="N353" s="137">
        <v>11.6</v>
      </c>
      <c r="O353" s="137">
        <v>4.38</v>
      </c>
      <c r="P353" s="137">
        <v>8.43</v>
      </c>
      <c r="Q353" s="137">
        <v>62.52</v>
      </c>
      <c r="R353" s="137">
        <v>10.039899999999999</v>
      </c>
      <c r="S353" s="137">
        <v>7.89</v>
      </c>
      <c r="T353" s="137">
        <v>7.37</v>
      </c>
      <c r="U353" s="137">
        <v>8.56</v>
      </c>
      <c r="V353" s="137">
        <v>4.26</v>
      </c>
      <c r="W353" s="140" t="s">
        <v>1609</v>
      </c>
      <c r="X353" s="56">
        <f t="shared" si="10"/>
        <v>0</v>
      </c>
      <c r="Y353" s="56" t="str">
        <f t="shared" si="11"/>
        <v>LOGUEO</v>
      </c>
    </row>
    <row r="354" spans="1:25" ht="15" x14ac:dyDescent="0.25">
      <c r="A354" s="136" t="s">
        <v>404</v>
      </c>
      <c r="B354" s="137">
        <v>0</v>
      </c>
      <c r="C354" s="137">
        <v>0</v>
      </c>
      <c r="D354" s="137">
        <v>0</v>
      </c>
      <c r="E354" s="137">
        <v>0</v>
      </c>
      <c r="F354" s="137">
        <v>0</v>
      </c>
      <c r="G354" s="137">
        <v>0</v>
      </c>
      <c r="H354" s="137">
        <v>0</v>
      </c>
      <c r="I354" s="137">
        <v>0</v>
      </c>
      <c r="J354" s="137">
        <v>0</v>
      </c>
      <c r="K354" s="137">
        <v>0</v>
      </c>
      <c r="L354" s="137">
        <v>0</v>
      </c>
      <c r="M354" s="137">
        <v>0</v>
      </c>
      <c r="N354" s="137">
        <v>0</v>
      </c>
      <c r="O354" s="137">
        <v>0</v>
      </c>
      <c r="P354" s="137">
        <v>0</v>
      </c>
      <c r="Q354" s="137">
        <v>7.05</v>
      </c>
      <c r="R354" s="137">
        <v>7.3699000000000003</v>
      </c>
      <c r="S354" s="137">
        <v>7.08</v>
      </c>
      <c r="T354" s="137">
        <v>7.3</v>
      </c>
      <c r="U354" s="137">
        <v>7.17</v>
      </c>
      <c r="V354" s="137">
        <v>6.83</v>
      </c>
      <c r="W354" s="140">
        <v>14117905</v>
      </c>
      <c r="X354" s="56">
        <f t="shared" si="10"/>
        <v>1</v>
      </c>
      <c r="Y354" s="56" t="str">
        <f t="shared" si="11"/>
        <v>LOGUEO</v>
      </c>
    </row>
    <row r="355" spans="1:25" ht="15" x14ac:dyDescent="0.25">
      <c r="A355" s="136" t="s">
        <v>312</v>
      </c>
      <c r="B355" s="137">
        <v>3.29</v>
      </c>
      <c r="C355" s="137">
        <v>4.17</v>
      </c>
      <c r="D355" s="137">
        <v>4.3</v>
      </c>
      <c r="E355" s="137">
        <v>0</v>
      </c>
      <c r="F355" s="137">
        <v>2.35</v>
      </c>
      <c r="G355" s="137">
        <v>3.8399000000000001</v>
      </c>
      <c r="H355" s="137">
        <v>2.42</v>
      </c>
      <c r="I355" s="137">
        <v>4.4099000000000004</v>
      </c>
      <c r="J355" s="137">
        <v>4.55</v>
      </c>
      <c r="K355" s="137">
        <v>4.2798999999999996</v>
      </c>
      <c r="L355" s="137">
        <v>4.1500000000000004</v>
      </c>
      <c r="M355" s="137">
        <v>3.57</v>
      </c>
      <c r="N355" s="137">
        <v>0</v>
      </c>
      <c r="O355" s="137">
        <v>3</v>
      </c>
      <c r="P355" s="137">
        <v>4.57</v>
      </c>
      <c r="Q355" s="137">
        <v>4.4400000000000004</v>
      </c>
      <c r="R355" s="137">
        <v>3.8</v>
      </c>
      <c r="S355" s="137">
        <v>2.31</v>
      </c>
      <c r="T355" s="137">
        <v>5.34</v>
      </c>
      <c r="U355" s="137">
        <v>3.88</v>
      </c>
      <c r="V355" s="137">
        <v>1.72</v>
      </c>
      <c r="W355" s="140">
        <v>14121103</v>
      </c>
      <c r="X355" s="56">
        <f t="shared" si="10"/>
        <v>0</v>
      </c>
      <c r="Y355" s="56" t="str">
        <f t="shared" si="11"/>
        <v>LOGUEO</v>
      </c>
    </row>
    <row r="356" spans="1:25" ht="15" x14ac:dyDescent="0.25">
      <c r="A356" s="136" t="s">
        <v>184</v>
      </c>
      <c r="B356" s="137">
        <v>1.68</v>
      </c>
      <c r="C356" s="137">
        <v>6.42</v>
      </c>
      <c r="D356" s="137">
        <v>6.78</v>
      </c>
      <c r="E356" s="137">
        <v>1.35</v>
      </c>
      <c r="F356" s="137">
        <v>3.23</v>
      </c>
      <c r="G356" s="137">
        <v>6.75</v>
      </c>
      <c r="H356" s="137">
        <v>5.5198999999999998</v>
      </c>
      <c r="I356" s="137">
        <v>1.5699000000000001</v>
      </c>
      <c r="J356" s="137">
        <v>4.6100000000000003</v>
      </c>
      <c r="K356" s="137">
        <v>5.89</v>
      </c>
      <c r="L356" s="137">
        <v>6.1098999999999997</v>
      </c>
      <c r="M356" s="137">
        <v>7.91</v>
      </c>
      <c r="N356" s="137">
        <v>5.4</v>
      </c>
      <c r="O356" s="137">
        <v>8.6999999999999993</v>
      </c>
      <c r="P356" s="137">
        <v>2.95</v>
      </c>
      <c r="Q356" s="137">
        <v>13.86</v>
      </c>
      <c r="R356" s="137">
        <v>10.54</v>
      </c>
      <c r="S356" s="137">
        <v>5.84</v>
      </c>
      <c r="T356" s="137">
        <v>6.25</v>
      </c>
      <c r="U356" s="137">
        <v>4.03</v>
      </c>
      <c r="V356" s="137">
        <v>2.75</v>
      </c>
      <c r="W356" s="140">
        <v>14114037</v>
      </c>
      <c r="X356" s="56">
        <f t="shared" si="10"/>
        <v>0</v>
      </c>
      <c r="Y356" s="56" t="str">
        <f t="shared" si="11"/>
        <v>LOGUEO</v>
      </c>
    </row>
    <row r="357" spans="1:25" ht="15" x14ac:dyDescent="0.25">
      <c r="A357" s="136" t="s">
        <v>1617</v>
      </c>
      <c r="B357" s="137">
        <v>0</v>
      </c>
      <c r="C357" s="137">
        <v>0</v>
      </c>
      <c r="D357" s="137">
        <v>0</v>
      </c>
      <c r="E357" s="137">
        <v>0</v>
      </c>
      <c r="F357" s="137">
        <v>0</v>
      </c>
      <c r="G357" s="137">
        <v>0</v>
      </c>
      <c r="H357" s="137">
        <v>8.85</v>
      </c>
      <c r="I357" s="137">
        <v>9.5399999999999991</v>
      </c>
      <c r="J357" s="137">
        <v>0</v>
      </c>
      <c r="K357" s="137">
        <v>8.76</v>
      </c>
      <c r="L357" s="137">
        <v>9.52</v>
      </c>
      <c r="M357" s="137">
        <v>8.8798999999999992</v>
      </c>
      <c r="N357" s="137">
        <v>11.799899999999999</v>
      </c>
      <c r="O357" s="137">
        <v>8.01</v>
      </c>
      <c r="P357" s="137">
        <v>0</v>
      </c>
      <c r="Q357" s="137">
        <v>0</v>
      </c>
      <c r="R357" s="137">
        <v>10.719900000000001</v>
      </c>
      <c r="S357" s="137">
        <v>10.049899999999999</v>
      </c>
      <c r="T357" s="137">
        <v>12.28</v>
      </c>
      <c r="U357" s="137">
        <v>11.54</v>
      </c>
      <c r="V357" s="137">
        <v>5.15</v>
      </c>
      <c r="W357" s="140" t="s">
        <v>1609</v>
      </c>
      <c r="X357" s="56">
        <f t="shared" si="10"/>
        <v>2</v>
      </c>
      <c r="Y357" s="56" t="str">
        <f t="shared" si="11"/>
        <v>NO LOGUEO</v>
      </c>
    </row>
    <row r="358" spans="1:25" ht="15" x14ac:dyDescent="0.25">
      <c r="A358" s="136" t="s">
        <v>1968</v>
      </c>
      <c r="B358" s="137">
        <v>0</v>
      </c>
      <c r="C358" s="137">
        <v>0</v>
      </c>
      <c r="D358" s="137">
        <v>0</v>
      </c>
      <c r="E358" s="137">
        <v>0</v>
      </c>
      <c r="F358" s="137">
        <v>0</v>
      </c>
      <c r="G358" s="137">
        <v>0</v>
      </c>
      <c r="H358" s="137">
        <v>0</v>
      </c>
      <c r="I358" s="137">
        <v>0</v>
      </c>
      <c r="J358" s="137">
        <v>0</v>
      </c>
      <c r="K358" s="137">
        <v>0</v>
      </c>
      <c r="L358" s="137">
        <v>0</v>
      </c>
      <c r="M358" s="137">
        <v>0</v>
      </c>
      <c r="N358" s="137">
        <v>0</v>
      </c>
      <c r="O358" s="137">
        <v>0</v>
      </c>
      <c r="P358" s="137">
        <v>0</v>
      </c>
      <c r="Q358" s="137">
        <v>0</v>
      </c>
      <c r="R358" s="137">
        <v>0</v>
      </c>
      <c r="S358" s="137">
        <v>0</v>
      </c>
      <c r="T358" s="137">
        <v>0</v>
      </c>
      <c r="U358" s="137">
        <v>0</v>
      </c>
      <c r="V358" s="137">
        <v>0</v>
      </c>
      <c r="W358" s="140" t="s">
        <v>1609</v>
      </c>
      <c r="X358" s="56">
        <f t="shared" si="10"/>
        <v>7</v>
      </c>
      <c r="Y358" s="56" t="str">
        <f t="shared" si="11"/>
        <v>NO LOGUEO</v>
      </c>
    </row>
    <row r="359" spans="1:25" ht="15" x14ac:dyDescent="0.25">
      <c r="A359" s="136" t="s">
        <v>1969</v>
      </c>
      <c r="B359" s="137">
        <v>0</v>
      </c>
      <c r="C359" s="137">
        <v>0</v>
      </c>
      <c r="D359" s="137">
        <v>0</v>
      </c>
      <c r="E359" s="137">
        <v>0</v>
      </c>
      <c r="F359" s="137">
        <v>0</v>
      </c>
      <c r="G359" s="137">
        <v>0</v>
      </c>
      <c r="H359" s="137">
        <v>0</v>
      </c>
      <c r="I359" s="137">
        <v>0</v>
      </c>
      <c r="J359" s="137">
        <v>0</v>
      </c>
      <c r="K359" s="137">
        <v>0</v>
      </c>
      <c r="L359" s="137">
        <v>0</v>
      </c>
      <c r="M359" s="137">
        <v>0</v>
      </c>
      <c r="N359" s="137">
        <v>0</v>
      </c>
      <c r="O359" s="137">
        <v>0</v>
      </c>
      <c r="P359" s="137">
        <v>0</v>
      </c>
      <c r="Q359" s="137">
        <v>0</v>
      </c>
      <c r="R359" s="137">
        <v>0</v>
      </c>
      <c r="S359" s="137">
        <v>0</v>
      </c>
      <c r="T359" s="137">
        <v>0</v>
      </c>
      <c r="U359" s="137">
        <v>0</v>
      </c>
      <c r="V359" s="137">
        <v>0</v>
      </c>
      <c r="W359" s="140" t="s">
        <v>1609</v>
      </c>
      <c r="X359" s="56">
        <f t="shared" si="10"/>
        <v>7</v>
      </c>
      <c r="Y359" s="56" t="str">
        <f t="shared" si="11"/>
        <v>NO LOGUEO</v>
      </c>
    </row>
    <row r="360" spans="1:25" ht="15" x14ac:dyDescent="0.25">
      <c r="A360" s="136" t="s">
        <v>1002</v>
      </c>
      <c r="B360" s="137">
        <v>3.52</v>
      </c>
      <c r="C360" s="137">
        <v>7.6</v>
      </c>
      <c r="D360" s="137">
        <v>7.09</v>
      </c>
      <c r="E360" s="137">
        <v>7.4</v>
      </c>
      <c r="F360" s="137">
        <v>1.33</v>
      </c>
      <c r="G360" s="137">
        <v>8.8999000000000006</v>
      </c>
      <c r="H360" s="137">
        <v>8.59</v>
      </c>
      <c r="I360" s="137">
        <v>4.51</v>
      </c>
      <c r="J360" s="137">
        <v>10.4</v>
      </c>
      <c r="K360" s="137">
        <v>8.59</v>
      </c>
      <c r="L360" s="137">
        <v>8.9199000000000002</v>
      </c>
      <c r="M360" s="137">
        <v>10.7799</v>
      </c>
      <c r="N360" s="137">
        <v>9.23</v>
      </c>
      <c r="O360" s="137">
        <v>6.67</v>
      </c>
      <c r="P360" s="137">
        <v>0</v>
      </c>
      <c r="Q360" s="137">
        <v>11.76</v>
      </c>
      <c r="R360" s="137">
        <v>3.28</v>
      </c>
      <c r="S360" s="137">
        <v>8.44</v>
      </c>
      <c r="T360" s="137">
        <v>9.61</v>
      </c>
      <c r="U360" s="137">
        <v>9.24</v>
      </c>
      <c r="V360" s="137">
        <v>8.61</v>
      </c>
      <c r="W360" s="140" t="s">
        <v>1609</v>
      </c>
      <c r="X360" s="56">
        <f t="shared" si="10"/>
        <v>1</v>
      </c>
      <c r="Y360" s="56" t="str">
        <f t="shared" si="11"/>
        <v>LOGUEO</v>
      </c>
    </row>
    <row r="361" spans="1:25" ht="15" x14ac:dyDescent="0.25">
      <c r="A361" s="136" t="s">
        <v>142</v>
      </c>
      <c r="B361" s="137">
        <v>0</v>
      </c>
      <c r="C361" s="137">
        <v>10.82</v>
      </c>
      <c r="D361" s="137">
        <v>9.68</v>
      </c>
      <c r="E361" s="137">
        <v>6.85</v>
      </c>
      <c r="F361" s="137">
        <v>0</v>
      </c>
      <c r="G361" s="137">
        <v>10.14</v>
      </c>
      <c r="H361" s="137">
        <v>11.869899999999999</v>
      </c>
      <c r="I361" s="137">
        <v>4.7398999999999996</v>
      </c>
      <c r="J361" s="137">
        <v>9.75</v>
      </c>
      <c r="K361" s="137">
        <v>11.27</v>
      </c>
      <c r="L361" s="137">
        <v>12.03</v>
      </c>
      <c r="M361" s="137">
        <v>9.67</v>
      </c>
      <c r="N361" s="137">
        <v>0</v>
      </c>
      <c r="O361" s="137">
        <v>0</v>
      </c>
      <c r="P361" s="137">
        <v>0</v>
      </c>
      <c r="Q361" s="137">
        <v>0</v>
      </c>
      <c r="R361" s="137">
        <v>0</v>
      </c>
      <c r="S361" s="137">
        <v>0</v>
      </c>
      <c r="T361" s="137">
        <v>0</v>
      </c>
      <c r="U361" s="137">
        <v>0</v>
      </c>
      <c r="V361" s="137">
        <v>0</v>
      </c>
      <c r="W361" s="140">
        <v>14115304</v>
      </c>
      <c r="X361" s="56">
        <f t="shared" si="10"/>
        <v>7</v>
      </c>
      <c r="Y361" s="56" t="str">
        <f t="shared" si="11"/>
        <v>NO LOGUEO</v>
      </c>
    </row>
    <row r="362" spans="1:25" ht="15" x14ac:dyDescent="0.25">
      <c r="A362" s="136" t="s">
        <v>2022</v>
      </c>
      <c r="B362" s="137">
        <v>0</v>
      </c>
      <c r="C362" s="137">
        <v>0</v>
      </c>
      <c r="D362" s="137">
        <v>0</v>
      </c>
      <c r="E362" s="137">
        <v>0</v>
      </c>
      <c r="F362" s="137">
        <v>0</v>
      </c>
      <c r="G362" s="137">
        <v>0</v>
      </c>
      <c r="H362" s="137">
        <v>0</v>
      </c>
      <c r="I362" s="137">
        <v>0</v>
      </c>
      <c r="J362" s="137">
        <v>0</v>
      </c>
      <c r="K362" s="137">
        <v>0</v>
      </c>
      <c r="L362" s="137">
        <v>0</v>
      </c>
      <c r="M362" s="137">
        <v>1.52</v>
      </c>
      <c r="N362" s="137">
        <v>1.87</v>
      </c>
      <c r="O362" s="137">
        <v>6.27</v>
      </c>
      <c r="P362" s="137">
        <v>0</v>
      </c>
      <c r="Q362" s="137">
        <v>8.8699999999999992</v>
      </c>
      <c r="R362" s="137">
        <v>5.45</v>
      </c>
      <c r="S362" s="137">
        <v>11.809900000000001</v>
      </c>
      <c r="T362" s="137">
        <v>10.77</v>
      </c>
      <c r="U362" s="137">
        <v>11.34</v>
      </c>
      <c r="V362" s="137">
        <v>9.59</v>
      </c>
      <c r="W362" s="140" t="s">
        <v>1609</v>
      </c>
      <c r="X362" s="56">
        <f t="shared" si="10"/>
        <v>1</v>
      </c>
      <c r="Y362" s="56" t="str">
        <f t="shared" si="11"/>
        <v>LOGUEO</v>
      </c>
    </row>
    <row r="363" spans="1:25" ht="15" x14ac:dyDescent="0.25">
      <c r="A363" s="136" t="s">
        <v>1970</v>
      </c>
      <c r="B363" s="137">
        <v>0</v>
      </c>
      <c r="C363" s="137">
        <v>0</v>
      </c>
      <c r="D363" s="137">
        <v>0</v>
      </c>
      <c r="E363" s="137">
        <v>0</v>
      </c>
      <c r="F363" s="137">
        <v>0</v>
      </c>
      <c r="G363" s="137">
        <v>0</v>
      </c>
      <c r="H363" s="137">
        <v>0</v>
      </c>
      <c r="I363" s="137">
        <v>0</v>
      </c>
      <c r="J363" s="137">
        <v>0</v>
      </c>
      <c r="K363" s="137">
        <v>0</v>
      </c>
      <c r="L363" s="137">
        <v>0</v>
      </c>
      <c r="M363" s="137">
        <v>0</v>
      </c>
      <c r="N363" s="137">
        <v>0</v>
      </c>
      <c r="O363" s="137">
        <v>0</v>
      </c>
      <c r="P363" s="137">
        <v>0</v>
      </c>
      <c r="Q363" s="137">
        <v>0</v>
      </c>
      <c r="R363" s="137">
        <v>0</v>
      </c>
      <c r="S363" s="137">
        <v>0</v>
      </c>
      <c r="T363" s="137">
        <v>0</v>
      </c>
      <c r="U363" s="137">
        <v>0</v>
      </c>
      <c r="V363" s="137">
        <v>0</v>
      </c>
      <c r="W363" s="140" t="s">
        <v>1609</v>
      </c>
      <c r="X363" s="56">
        <f t="shared" si="10"/>
        <v>7</v>
      </c>
      <c r="Y363" s="56" t="str">
        <f t="shared" si="11"/>
        <v>NO LOGUEO</v>
      </c>
    </row>
    <row r="364" spans="1:25" ht="15" x14ac:dyDescent="0.25">
      <c r="A364" s="136" t="s">
        <v>345</v>
      </c>
      <c r="B364" s="137">
        <v>5.32</v>
      </c>
      <c r="C364" s="137">
        <v>7.17</v>
      </c>
      <c r="D364" s="137">
        <v>8.3698999999999995</v>
      </c>
      <c r="E364" s="137">
        <v>5.72</v>
      </c>
      <c r="F364" s="137">
        <v>1.5</v>
      </c>
      <c r="G364" s="137">
        <v>10.15</v>
      </c>
      <c r="H364" s="137">
        <v>7.16</v>
      </c>
      <c r="I364" s="137">
        <v>5.83</v>
      </c>
      <c r="J364" s="137">
        <v>7.56</v>
      </c>
      <c r="K364" s="137">
        <v>9.3899000000000008</v>
      </c>
      <c r="L364" s="137">
        <v>8.65</v>
      </c>
      <c r="M364" s="137">
        <v>9.1300000000000008</v>
      </c>
      <c r="N364" s="137">
        <v>8.94</v>
      </c>
      <c r="O364" s="137">
        <v>7.8</v>
      </c>
      <c r="P364" s="137">
        <v>0</v>
      </c>
      <c r="Q364" s="137">
        <v>9.2098999999999993</v>
      </c>
      <c r="R364" s="137">
        <v>11.4999</v>
      </c>
      <c r="S364" s="137">
        <v>8.94</v>
      </c>
      <c r="T364" s="137">
        <v>11.49</v>
      </c>
      <c r="U364" s="137">
        <v>9.0299999999999994</v>
      </c>
      <c r="V364" s="137">
        <v>7.04</v>
      </c>
      <c r="W364" s="140">
        <v>14121598</v>
      </c>
      <c r="X364" s="56">
        <f t="shared" si="10"/>
        <v>1</v>
      </c>
      <c r="Y364" s="56" t="str">
        <f t="shared" si="11"/>
        <v>LOGUEO</v>
      </c>
    </row>
    <row r="365" spans="1:25" ht="15" x14ac:dyDescent="0.25">
      <c r="A365" s="136" t="s">
        <v>180</v>
      </c>
      <c r="B365" s="137">
        <v>0</v>
      </c>
      <c r="C365" s="137">
        <v>0</v>
      </c>
      <c r="D365" s="137">
        <v>0</v>
      </c>
      <c r="E365" s="137">
        <v>0</v>
      </c>
      <c r="F365" s="137">
        <v>6.75</v>
      </c>
      <c r="G365" s="137">
        <v>7.13</v>
      </c>
      <c r="H365" s="137">
        <v>6.3699000000000003</v>
      </c>
      <c r="I365" s="137">
        <v>5.9499000000000004</v>
      </c>
      <c r="J365" s="137">
        <v>7.22</v>
      </c>
      <c r="K365" s="137">
        <v>0</v>
      </c>
      <c r="L365" s="137">
        <v>12.139900000000001</v>
      </c>
      <c r="M365" s="137">
        <v>8.48</v>
      </c>
      <c r="N365" s="137">
        <v>9.48</v>
      </c>
      <c r="O365" s="137">
        <v>7.02</v>
      </c>
      <c r="P365" s="137">
        <v>6.59</v>
      </c>
      <c r="Q365" s="137">
        <v>7.5099</v>
      </c>
      <c r="R365" s="137">
        <v>6.95</v>
      </c>
      <c r="S365" s="137">
        <v>7.71</v>
      </c>
      <c r="T365" s="137">
        <v>6.9</v>
      </c>
      <c r="U365" s="137">
        <v>6.78</v>
      </c>
      <c r="V365" s="137">
        <v>7.04</v>
      </c>
      <c r="W365" s="140">
        <v>14117542</v>
      </c>
      <c r="X365" s="56">
        <f t="shared" si="10"/>
        <v>0</v>
      </c>
      <c r="Y365" s="56" t="str">
        <f t="shared" si="11"/>
        <v>LOGUEO</v>
      </c>
    </row>
    <row r="366" spans="1:25" ht="15" x14ac:dyDescent="0.25">
      <c r="A366" s="136" t="s">
        <v>1971</v>
      </c>
      <c r="B366" s="137">
        <v>0</v>
      </c>
      <c r="C366" s="137">
        <v>0</v>
      </c>
      <c r="D366" s="137">
        <v>0</v>
      </c>
      <c r="E366" s="137">
        <v>0</v>
      </c>
      <c r="F366" s="137">
        <v>0</v>
      </c>
      <c r="G366" s="137">
        <v>0</v>
      </c>
      <c r="H366" s="137">
        <v>0</v>
      </c>
      <c r="I366" s="137">
        <v>0</v>
      </c>
      <c r="J366" s="137">
        <v>0</v>
      </c>
      <c r="K366" s="137">
        <v>0</v>
      </c>
      <c r="L366" s="137">
        <v>0</v>
      </c>
      <c r="M366" s="137">
        <v>0</v>
      </c>
      <c r="N366" s="137">
        <v>0</v>
      </c>
      <c r="O366" s="137">
        <v>0</v>
      </c>
      <c r="P366" s="137">
        <v>0</v>
      </c>
      <c r="Q366" s="137">
        <v>0</v>
      </c>
      <c r="R366" s="137">
        <v>0</v>
      </c>
      <c r="S366" s="137">
        <v>0</v>
      </c>
      <c r="T366" s="137">
        <v>0</v>
      </c>
      <c r="U366" s="137">
        <v>0</v>
      </c>
      <c r="V366" s="137">
        <v>0</v>
      </c>
      <c r="W366" s="140" t="s">
        <v>1609</v>
      </c>
      <c r="X366" s="56">
        <f t="shared" si="10"/>
        <v>7</v>
      </c>
      <c r="Y366" s="56" t="str">
        <f t="shared" si="11"/>
        <v>NO LOGUEO</v>
      </c>
    </row>
    <row r="367" spans="1:25" ht="15" x14ac:dyDescent="0.25">
      <c r="A367" s="136" t="s">
        <v>440</v>
      </c>
      <c r="B367" s="137">
        <v>0</v>
      </c>
      <c r="C367" s="137">
        <v>0</v>
      </c>
      <c r="D367" s="137">
        <v>0</v>
      </c>
      <c r="E367" s="137">
        <v>0</v>
      </c>
      <c r="F367" s="137">
        <v>0</v>
      </c>
      <c r="G367" s="137">
        <v>0</v>
      </c>
      <c r="H367" s="137">
        <v>0</v>
      </c>
      <c r="I367" s="137">
        <v>0</v>
      </c>
      <c r="J367" s="137">
        <v>0</v>
      </c>
      <c r="K367" s="137">
        <v>0</v>
      </c>
      <c r="L367" s="137">
        <v>0</v>
      </c>
      <c r="M367" s="137">
        <v>0</v>
      </c>
      <c r="N367" s="137">
        <v>0</v>
      </c>
      <c r="O367" s="137">
        <v>0</v>
      </c>
      <c r="P367" s="137">
        <v>0</v>
      </c>
      <c r="Q367" s="137">
        <v>0</v>
      </c>
      <c r="R367" s="137">
        <v>0</v>
      </c>
      <c r="S367" s="137">
        <v>0</v>
      </c>
      <c r="T367" s="137">
        <v>0</v>
      </c>
      <c r="U367" s="137">
        <v>0</v>
      </c>
      <c r="V367" s="137">
        <v>0</v>
      </c>
      <c r="W367" s="140">
        <v>14122682</v>
      </c>
      <c r="X367" s="56">
        <f t="shared" si="10"/>
        <v>7</v>
      </c>
      <c r="Y367" s="56" t="str">
        <f t="shared" si="11"/>
        <v>NO LOGUEO</v>
      </c>
    </row>
    <row r="368" spans="1:25" ht="15" x14ac:dyDescent="0.25">
      <c r="A368" s="136" t="s">
        <v>157</v>
      </c>
      <c r="B368" s="137">
        <v>2.39</v>
      </c>
      <c r="C368" s="137">
        <v>8.74</v>
      </c>
      <c r="D368" s="137">
        <v>8.5299999999999994</v>
      </c>
      <c r="E368" s="137">
        <v>10</v>
      </c>
      <c r="F368" s="137">
        <v>4.99</v>
      </c>
      <c r="G368" s="137">
        <v>6.62</v>
      </c>
      <c r="H368" s="137">
        <v>10.08</v>
      </c>
      <c r="I368" s="137">
        <v>0.83</v>
      </c>
      <c r="J368" s="137">
        <v>9.43</v>
      </c>
      <c r="K368" s="137">
        <v>14.15</v>
      </c>
      <c r="L368" s="137">
        <v>9.84</v>
      </c>
      <c r="M368" s="137">
        <v>7.66</v>
      </c>
      <c r="N368" s="137">
        <v>10.039999999999999</v>
      </c>
      <c r="O368" s="137">
        <v>10.37</v>
      </c>
      <c r="P368" s="137">
        <v>1.24</v>
      </c>
      <c r="Q368" s="137">
        <v>8.42</v>
      </c>
      <c r="R368" s="137">
        <v>9.7899999999999991</v>
      </c>
      <c r="S368" s="137">
        <v>7.72</v>
      </c>
      <c r="T368" s="137">
        <v>7.45</v>
      </c>
      <c r="U368" s="137">
        <v>7.74</v>
      </c>
      <c r="V368" s="137">
        <v>1.08</v>
      </c>
      <c r="W368" s="140">
        <v>14116134</v>
      </c>
      <c r="X368" s="56">
        <f t="shared" si="10"/>
        <v>0</v>
      </c>
      <c r="Y368" s="56" t="str">
        <f t="shared" si="11"/>
        <v>LOGUEO</v>
      </c>
    </row>
    <row r="369" spans="1:25" ht="15" x14ac:dyDescent="0.25">
      <c r="A369" s="136" t="s">
        <v>1972</v>
      </c>
      <c r="B369" s="137">
        <v>0.33</v>
      </c>
      <c r="C369" s="137">
        <v>11.74</v>
      </c>
      <c r="D369" s="137">
        <v>12.84</v>
      </c>
      <c r="E369" s="137">
        <v>10.71</v>
      </c>
      <c r="F369" s="137">
        <v>10.629899999999999</v>
      </c>
      <c r="G369" s="137">
        <v>11.38</v>
      </c>
      <c r="H369" s="137">
        <v>0.62</v>
      </c>
      <c r="I369" s="137">
        <v>1.58</v>
      </c>
      <c r="J369" s="137">
        <v>9.4499999999999993</v>
      </c>
      <c r="K369" s="137">
        <v>9.82</v>
      </c>
      <c r="L369" s="137">
        <v>7.93</v>
      </c>
      <c r="M369" s="137">
        <v>12.16</v>
      </c>
      <c r="N369" s="137">
        <v>11.02</v>
      </c>
      <c r="O369" s="137">
        <v>7.18</v>
      </c>
      <c r="P369" s="137">
        <v>0</v>
      </c>
      <c r="Q369" s="137">
        <v>4.99</v>
      </c>
      <c r="R369" s="137">
        <v>9.8199000000000005</v>
      </c>
      <c r="S369" s="137">
        <v>9.74</v>
      </c>
      <c r="T369" s="137">
        <v>6.26</v>
      </c>
      <c r="U369" s="137">
        <v>3.93</v>
      </c>
      <c r="V369" s="137">
        <v>0</v>
      </c>
      <c r="W369" s="140" t="s">
        <v>1609</v>
      </c>
      <c r="X369" s="56">
        <f t="shared" si="10"/>
        <v>2</v>
      </c>
      <c r="Y369" s="56" t="str">
        <f t="shared" si="11"/>
        <v>NO LOGUEO</v>
      </c>
    </row>
    <row r="370" spans="1:25" ht="15" x14ac:dyDescent="0.25">
      <c r="A370" s="136" t="s">
        <v>1880</v>
      </c>
      <c r="B370" s="137">
        <v>0</v>
      </c>
      <c r="C370" s="137">
        <v>0</v>
      </c>
      <c r="D370" s="137">
        <v>0</v>
      </c>
      <c r="E370" s="137">
        <v>0</v>
      </c>
      <c r="F370" s="137">
        <v>0</v>
      </c>
      <c r="G370" s="137">
        <v>0</v>
      </c>
      <c r="H370" s="137">
        <v>0</v>
      </c>
      <c r="I370" s="137">
        <v>0</v>
      </c>
      <c r="J370" s="137">
        <v>0</v>
      </c>
      <c r="K370" s="137">
        <v>0</v>
      </c>
      <c r="L370" s="137">
        <v>0</v>
      </c>
      <c r="M370" s="137">
        <v>0</v>
      </c>
      <c r="N370" s="137">
        <v>0</v>
      </c>
      <c r="O370" s="137">
        <v>0</v>
      </c>
      <c r="P370" s="137">
        <v>0</v>
      </c>
      <c r="Q370" s="137">
        <v>0</v>
      </c>
      <c r="R370" s="137">
        <v>0</v>
      </c>
      <c r="S370" s="137">
        <v>0</v>
      </c>
      <c r="T370" s="137">
        <v>0</v>
      </c>
      <c r="U370" s="137">
        <v>0</v>
      </c>
      <c r="V370" s="137">
        <v>0</v>
      </c>
      <c r="W370" s="140" t="s">
        <v>1609</v>
      </c>
      <c r="X370" s="56">
        <f t="shared" si="10"/>
        <v>7</v>
      </c>
      <c r="Y370" s="56" t="str">
        <f t="shared" si="11"/>
        <v>NO LOGUEO</v>
      </c>
    </row>
    <row r="371" spans="1:25" ht="15" x14ac:dyDescent="0.25">
      <c r="A371" s="136" t="s">
        <v>149</v>
      </c>
      <c r="B371" s="137">
        <v>6.71</v>
      </c>
      <c r="C371" s="137">
        <v>1.23</v>
      </c>
      <c r="D371" s="137">
        <v>6.5099</v>
      </c>
      <c r="E371" s="137">
        <v>5.9</v>
      </c>
      <c r="F371" s="137">
        <v>6.02</v>
      </c>
      <c r="G371" s="137">
        <v>6.67</v>
      </c>
      <c r="H371" s="137">
        <v>6.69</v>
      </c>
      <c r="I371" s="137">
        <v>4.8899999999999997</v>
      </c>
      <c r="J371" s="137">
        <v>2.2199</v>
      </c>
      <c r="K371" s="137">
        <v>12.81</v>
      </c>
      <c r="L371" s="137">
        <v>6.1898999999999997</v>
      </c>
      <c r="M371" s="137">
        <v>7.92</v>
      </c>
      <c r="N371" s="137">
        <v>6.68</v>
      </c>
      <c r="O371" s="137">
        <v>5.75</v>
      </c>
      <c r="P371" s="137">
        <v>6.49</v>
      </c>
      <c r="Q371" s="137">
        <v>7.47</v>
      </c>
      <c r="R371" s="137">
        <v>6.72</v>
      </c>
      <c r="S371" s="137">
        <v>8.08</v>
      </c>
      <c r="T371" s="137">
        <v>5.84</v>
      </c>
      <c r="U371" s="137">
        <v>6</v>
      </c>
      <c r="V371" s="137">
        <v>7.02</v>
      </c>
      <c r="W371" s="140">
        <v>14115830</v>
      </c>
      <c r="X371" s="56">
        <f t="shared" si="10"/>
        <v>0</v>
      </c>
      <c r="Y371" s="56" t="str">
        <f t="shared" si="11"/>
        <v>LOGUEO</v>
      </c>
    </row>
    <row r="372" spans="1:25" ht="15" x14ac:dyDescent="0.25">
      <c r="A372" s="136" t="s">
        <v>295</v>
      </c>
      <c r="B372" s="137">
        <v>1.59</v>
      </c>
      <c r="C372" s="137">
        <v>4.47</v>
      </c>
      <c r="D372" s="137">
        <v>2.93</v>
      </c>
      <c r="E372" s="137">
        <v>4.75</v>
      </c>
      <c r="F372" s="137">
        <v>1.03</v>
      </c>
      <c r="G372" s="137">
        <v>5.2</v>
      </c>
      <c r="H372" s="137">
        <v>3.41</v>
      </c>
      <c r="I372" s="137">
        <v>2.4</v>
      </c>
      <c r="J372" s="137">
        <v>4.63</v>
      </c>
      <c r="K372" s="137">
        <v>3.5</v>
      </c>
      <c r="L372" s="137">
        <v>5.53</v>
      </c>
      <c r="M372" s="137">
        <v>5.14</v>
      </c>
      <c r="N372" s="137">
        <v>4.9000000000000004</v>
      </c>
      <c r="O372" s="137">
        <v>4.5</v>
      </c>
      <c r="P372" s="137">
        <v>1.65</v>
      </c>
      <c r="Q372" s="137">
        <v>3.84</v>
      </c>
      <c r="R372" s="137">
        <v>5.16</v>
      </c>
      <c r="S372" s="137">
        <v>5.5</v>
      </c>
      <c r="T372" s="137">
        <v>5.51</v>
      </c>
      <c r="U372" s="137">
        <v>5.34</v>
      </c>
      <c r="V372" s="137">
        <v>5.1199000000000003</v>
      </c>
      <c r="W372" s="140">
        <v>14116643</v>
      </c>
      <c r="X372" s="56">
        <f t="shared" si="10"/>
        <v>0</v>
      </c>
      <c r="Y372" s="56" t="str">
        <f t="shared" si="11"/>
        <v>LOGUEO</v>
      </c>
    </row>
    <row r="373" spans="1:25" ht="15" x14ac:dyDescent="0.25">
      <c r="A373" s="136" t="s">
        <v>368</v>
      </c>
      <c r="B373" s="137">
        <v>0</v>
      </c>
      <c r="C373" s="137">
        <v>0</v>
      </c>
      <c r="D373" s="137">
        <v>0</v>
      </c>
      <c r="E373" s="137">
        <v>0</v>
      </c>
      <c r="F373" s="137">
        <v>0</v>
      </c>
      <c r="G373" s="137">
        <v>0</v>
      </c>
      <c r="H373" s="137">
        <v>0</v>
      </c>
      <c r="I373" s="137">
        <v>0</v>
      </c>
      <c r="J373" s="137">
        <v>0</v>
      </c>
      <c r="K373" s="137">
        <v>0</v>
      </c>
      <c r="L373" s="137">
        <v>0</v>
      </c>
      <c r="M373" s="137">
        <v>0</v>
      </c>
      <c r="N373" s="137">
        <v>0</v>
      </c>
      <c r="O373" s="137">
        <v>0</v>
      </c>
      <c r="P373" s="137">
        <v>0</v>
      </c>
      <c r="Q373" s="137">
        <v>0</v>
      </c>
      <c r="R373" s="137">
        <v>0</v>
      </c>
      <c r="S373" s="137">
        <v>0</v>
      </c>
      <c r="T373" s="137">
        <v>0</v>
      </c>
      <c r="U373" s="137">
        <v>0</v>
      </c>
      <c r="V373" s="137">
        <v>0</v>
      </c>
      <c r="W373" s="140">
        <v>14121869</v>
      </c>
      <c r="X373" s="56">
        <f t="shared" si="10"/>
        <v>7</v>
      </c>
      <c r="Y373" s="56" t="str">
        <f t="shared" si="11"/>
        <v>NO LOGUEO</v>
      </c>
    </row>
    <row r="374" spans="1:25" ht="15" x14ac:dyDescent="0.25">
      <c r="A374" s="136" t="s">
        <v>397</v>
      </c>
      <c r="B374" s="137">
        <v>0</v>
      </c>
      <c r="C374" s="137">
        <v>0</v>
      </c>
      <c r="D374" s="137">
        <v>0</v>
      </c>
      <c r="E374" s="137">
        <v>0</v>
      </c>
      <c r="F374" s="137">
        <v>0</v>
      </c>
      <c r="G374" s="137">
        <v>0</v>
      </c>
      <c r="H374" s="137">
        <v>0</v>
      </c>
      <c r="I374" s="137">
        <v>0</v>
      </c>
      <c r="J374" s="137">
        <v>0</v>
      </c>
      <c r="K374" s="137">
        <v>0</v>
      </c>
      <c r="L374" s="137">
        <v>0</v>
      </c>
      <c r="M374" s="137">
        <v>0</v>
      </c>
      <c r="N374" s="137">
        <v>0</v>
      </c>
      <c r="O374" s="137">
        <v>0.8</v>
      </c>
      <c r="P374" s="137">
        <v>1.3</v>
      </c>
      <c r="Q374" s="137">
        <v>7.25</v>
      </c>
      <c r="R374" s="137">
        <v>4.42</v>
      </c>
      <c r="S374" s="137">
        <v>2.48</v>
      </c>
      <c r="T374" s="137">
        <v>5.21</v>
      </c>
      <c r="U374" s="137">
        <v>4.0399000000000003</v>
      </c>
      <c r="V374" s="137">
        <v>4.2698999999999998</v>
      </c>
      <c r="W374" s="140">
        <v>14122160</v>
      </c>
      <c r="X374" s="56">
        <f t="shared" si="10"/>
        <v>0</v>
      </c>
      <c r="Y374" s="56" t="str">
        <f t="shared" si="11"/>
        <v>LOGUEO</v>
      </c>
    </row>
    <row r="375" spans="1:25" ht="15" x14ac:dyDescent="0.25">
      <c r="A375" s="136" t="s">
        <v>1973</v>
      </c>
      <c r="B375" s="137">
        <v>0</v>
      </c>
      <c r="C375" s="137">
        <v>0</v>
      </c>
      <c r="D375" s="137">
        <v>0</v>
      </c>
      <c r="E375" s="137">
        <v>0</v>
      </c>
      <c r="F375" s="137">
        <v>0</v>
      </c>
      <c r="G375" s="137">
        <v>0</v>
      </c>
      <c r="H375" s="137">
        <v>0</v>
      </c>
      <c r="I375" s="137">
        <v>0</v>
      </c>
      <c r="J375" s="137">
        <v>0</v>
      </c>
      <c r="K375" s="137">
        <v>0</v>
      </c>
      <c r="L375" s="137">
        <v>0</v>
      </c>
      <c r="M375" s="137">
        <v>0</v>
      </c>
      <c r="N375" s="137">
        <v>0</v>
      </c>
      <c r="O375" s="137">
        <v>0</v>
      </c>
      <c r="P375" s="137">
        <v>0</v>
      </c>
      <c r="Q375" s="137">
        <v>0</v>
      </c>
      <c r="R375" s="137">
        <v>0</v>
      </c>
      <c r="S375" s="137">
        <v>0</v>
      </c>
      <c r="T375" s="137">
        <v>0</v>
      </c>
      <c r="U375" s="137">
        <v>0</v>
      </c>
      <c r="V375" s="137">
        <v>0</v>
      </c>
      <c r="W375" s="140">
        <v>14120454</v>
      </c>
      <c r="X375" s="56">
        <f t="shared" si="10"/>
        <v>7</v>
      </c>
      <c r="Y375" s="56" t="str">
        <f t="shared" si="11"/>
        <v>NO LOGUEO</v>
      </c>
    </row>
    <row r="376" spans="1:25" ht="15" x14ac:dyDescent="0.25">
      <c r="A376" s="136" t="s">
        <v>379</v>
      </c>
      <c r="B376" s="137">
        <v>3.15</v>
      </c>
      <c r="C376" s="137">
        <v>1.85</v>
      </c>
      <c r="D376" s="137">
        <v>4.47</v>
      </c>
      <c r="E376" s="137">
        <v>1.1298999999999999</v>
      </c>
      <c r="F376" s="137">
        <v>4.07</v>
      </c>
      <c r="G376" s="137">
        <v>1.95</v>
      </c>
      <c r="H376" s="137">
        <v>4.38</v>
      </c>
      <c r="I376" s="137">
        <v>2.0299</v>
      </c>
      <c r="J376" s="137">
        <v>4.3499999999999996</v>
      </c>
      <c r="K376" s="137">
        <v>2.9298999999999999</v>
      </c>
      <c r="L376" s="137">
        <v>4.5</v>
      </c>
      <c r="M376" s="137">
        <v>2.0699999999999998</v>
      </c>
      <c r="N376" s="137">
        <v>4.3899999999999997</v>
      </c>
      <c r="O376" s="137">
        <v>2.25</v>
      </c>
      <c r="P376" s="137">
        <v>4.1500000000000004</v>
      </c>
      <c r="Q376" s="137">
        <v>2.0998999999999999</v>
      </c>
      <c r="R376" s="137">
        <v>4.38</v>
      </c>
      <c r="S376" s="137">
        <v>0</v>
      </c>
      <c r="T376" s="137">
        <v>3.87</v>
      </c>
      <c r="U376" s="137">
        <v>3.24</v>
      </c>
      <c r="V376" s="137">
        <v>2.94</v>
      </c>
      <c r="W376" s="140">
        <v>14122034</v>
      </c>
      <c r="X376" s="56">
        <f t="shared" si="10"/>
        <v>1</v>
      </c>
      <c r="Y376" s="56" t="str">
        <f t="shared" si="11"/>
        <v>LOGUEO</v>
      </c>
    </row>
    <row r="377" spans="1:25" ht="15" x14ac:dyDescent="0.25">
      <c r="A377" s="136" t="s">
        <v>226</v>
      </c>
      <c r="B377" s="137">
        <v>2.98</v>
      </c>
      <c r="C377" s="137">
        <v>6.64</v>
      </c>
      <c r="D377" s="137">
        <v>5.41</v>
      </c>
      <c r="E377" s="137">
        <v>5.17</v>
      </c>
      <c r="F377" s="137">
        <v>4.88</v>
      </c>
      <c r="G377" s="137">
        <v>4.5</v>
      </c>
      <c r="H377" s="137">
        <v>4.5298999999999996</v>
      </c>
      <c r="I377" s="137">
        <v>2.3199999999999998</v>
      </c>
      <c r="J377" s="137">
        <v>5.04</v>
      </c>
      <c r="K377" s="137">
        <v>5.95</v>
      </c>
      <c r="L377" s="137">
        <v>4.58</v>
      </c>
      <c r="M377" s="137">
        <v>1.6</v>
      </c>
      <c r="N377" s="137">
        <v>0</v>
      </c>
      <c r="O377" s="137">
        <v>3.08</v>
      </c>
      <c r="P377" s="137">
        <v>4.8099999999999996</v>
      </c>
      <c r="Q377" s="137">
        <v>5.35</v>
      </c>
      <c r="R377" s="137">
        <v>0</v>
      </c>
      <c r="S377" s="137">
        <v>5.73</v>
      </c>
      <c r="T377" s="137">
        <v>5.31</v>
      </c>
      <c r="U377" s="137">
        <v>5.88</v>
      </c>
      <c r="V377" s="137">
        <v>5.22</v>
      </c>
      <c r="W377" s="140">
        <v>14104839</v>
      </c>
      <c r="X377" s="56">
        <f t="shared" si="10"/>
        <v>1</v>
      </c>
      <c r="Y377" s="56" t="str">
        <f t="shared" si="11"/>
        <v>LOGUEO</v>
      </c>
    </row>
    <row r="378" spans="1:25" ht="15" x14ac:dyDescent="0.25">
      <c r="A378" s="136" t="s">
        <v>193</v>
      </c>
      <c r="B378" s="137">
        <v>0</v>
      </c>
      <c r="C378" s="137">
        <v>0</v>
      </c>
      <c r="D378" s="137">
        <v>7.57</v>
      </c>
      <c r="E378" s="137">
        <v>8.68</v>
      </c>
      <c r="F378" s="137">
        <v>3.88</v>
      </c>
      <c r="G378" s="137">
        <v>8.6999999999999993</v>
      </c>
      <c r="H378" s="137">
        <v>7.36</v>
      </c>
      <c r="I378" s="137">
        <v>7.62</v>
      </c>
      <c r="J378" s="137">
        <v>9.01</v>
      </c>
      <c r="K378" s="137">
        <v>8.5299999999999994</v>
      </c>
      <c r="L378" s="137">
        <v>7.34</v>
      </c>
      <c r="M378" s="137">
        <v>0</v>
      </c>
      <c r="N378" s="137">
        <v>7.35</v>
      </c>
      <c r="O378" s="137">
        <v>7.78</v>
      </c>
      <c r="P378" s="137">
        <v>7.47</v>
      </c>
      <c r="Q378" s="137">
        <v>8.5299999999999994</v>
      </c>
      <c r="R378" s="137">
        <v>7.7</v>
      </c>
      <c r="S378" s="137">
        <v>8.35</v>
      </c>
      <c r="T378" s="137">
        <v>9.27</v>
      </c>
      <c r="U378" s="137">
        <v>9.0398999999999994</v>
      </c>
      <c r="V378" s="137">
        <v>8.35</v>
      </c>
      <c r="W378" s="140">
        <v>14118196</v>
      </c>
      <c r="X378" s="56">
        <f t="shared" si="10"/>
        <v>0</v>
      </c>
      <c r="Y378" s="56" t="str">
        <f t="shared" si="11"/>
        <v>LOGUEO</v>
      </c>
    </row>
    <row r="379" spans="1:25" ht="15" x14ac:dyDescent="0.25">
      <c r="A379" s="136" t="s">
        <v>2394</v>
      </c>
      <c r="B379" s="137">
        <v>0</v>
      </c>
      <c r="C379" s="137">
        <v>0</v>
      </c>
      <c r="D379" s="137">
        <v>0</v>
      </c>
      <c r="E379" s="137">
        <v>0</v>
      </c>
      <c r="F379" s="137">
        <v>0</v>
      </c>
      <c r="G379" s="137">
        <v>0</v>
      </c>
      <c r="H379" s="137">
        <v>0</v>
      </c>
      <c r="I379" s="137">
        <v>0</v>
      </c>
      <c r="J379" s="137">
        <v>0</v>
      </c>
      <c r="K379" s="137">
        <v>0</v>
      </c>
      <c r="L379" s="137">
        <v>0</v>
      </c>
      <c r="M379" s="137">
        <v>0</v>
      </c>
      <c r="N379" s="137">
        <v>0</v>
      </c>
      <c r="O379" s="137">
        <v>0</v>
      </c>
      <c r="P379" s="137">
        <v>0</v>
      </c>
      <c r="Q379" s="137">
        <v>0</v>
      </c>
      <c r="R379" s="137">
        <v>3.45</v>
      </c>
      <c r="S379" s="137">
        <v>7.44</v>
      </c>
      <c r="T379" s="137">
        <v>1.07</v>
      </c>
      <c r="U379" s="137">
        <v>9.9499999999999993</v>
      </c>
      <c r="V379" s="137">
        <v>0</v>
      </c>
      <c r="W379" s="140" t="s">
        <v>1609</v>
      </c>
      <c r="X379" s="56">
        <f t="shared" si="10"/>
        <v>3</v>
      </c>
      <c r="Y379" s="56" t="str">
        <f t="shared" si="11"/>
        <v>NO LOGUEO</v>
      </c>
    </row>
    <row r="380" spans="1:25" ht="15" x14ac:dyDescent="0.25">
      <c r="A380" s="136" t="s">
        <v>1881</v>
      </c>
      <c r="B380" s="137">
        <v>0</v>
      </c>
      <c r="C380" s="137">
        <v>0</v>
      </c>
      <c r="D380" s="137">
        <v>0</v>
      </c>
      <c r="E380" s="137">
        <v>0</v>
      </c>
      <c r="F380" s="137">
        <v>0</v>
      </c>
      <c r="G380" s="137">
        <v>0</v>
      </c>
      <c r="H380" s="137">
        <v>0</v>
      </c>
      <c r="I380" s="137">
        <v>0</v>
      </c>
      <c r="J380" s="137">
        <v>0</v>
      </c>
      <c r="K380" s="137">
        <v>0</v>
      </c>
      <c r="L380" s="137">
        <v>0</v>
      </c>
      <c r="M380" s="137">
        <v>0</v>
      </c>
      <c r="N380" s="137">
        <v>0</v>
      </c>
      <c r="O380" s="137">
        <v>0</v>
      </c>
      <c r="P380" s="137">
        <v>0</v>
      </c>
      <c r="Q380" s="137">
        <v>0</v>
      </c>
      <c r="R380" s="137">
        <v>0</v>
      </c>
      <c r="S380" s="137">
        <v>0</v>
      </c>
      <c r="T380" s="137">
        <v>0</v>
      </c>
      <c r="U380" s="137">
        <v>0</v>
      </c>
      <c r="V380" s="137">
        <v>0</v>
      </c>
      <c r="W380" s="140" t="s">
        <v>1609</v>
      </c>
      <c r="X380" s="56">
        <f t="shared" si="10"/>
        <v>7</v>
      </c>
      <c r="Y380" s="56" t="str">
        <f t="shared" si="11"/>
        <v>NO LOGUEO</v>
      </c>
    </row>
    <row r="381" spans="1:25" ht="15" x14ac:dyDescent="0.25">
      <c r="A381" s="136" t="s">
        <v>128</v>
      </c>
      <c r="B381" s="137">
        <v>8.23</v>
      </c>
      <c r="C381" s="137">
        <v>9.5599000000000007</v>
      </c>
      <c r="D381" s="137">
        <v>8.98</v>
      </c>
      <c r="E381" s="137">
        <v>8.94</v>
      </c>
      <c r="F381" s="137">
        <v>8.5500000000000007</v>
      </c>
      <c r="G381" s="137">
        <v>8.94</v>
      </c>
      <c r="H381" s="137">
        <v>8.4699000000000009</v>
      </c>
      <c r="I381" s="137">
        <v>8.48</v>
      </c>
      <c r="J381" s="137">
        <v>8.75</v>
      </c>
      <c r="K381" s="137">
        <v>3.16</v>
      </c>
      <c r="L381" s="137">
        <v>1.7</v>
      </c>
      <c r="M381" s="137">
        <v>8.89</v>
      </c>
      <c r="N381" s="137">
        <v>9.3099000000000007</v>
      </c>
      <c r="O381" s="137">
        <v>9.34</v>
      </c>
      <c r="P381" s="137">
        <v>8.2898999999999994</v>
      </c>
      <c r="Q381" s="137">
        <v>8.77</v>
      </c>
      <c r="R381" s="137">
        <v>9.09</v>
      </c>
      <c r="S381" s="137">
        <v>9.06</v>
      </c>
      <c r="T381" s="137">
        <v>9.1999999999999993</v>
      </c>
      <c r="U381" s="137">
        <v>9.09</v>
      </c>
      <c r="V381" s="137">
        <v>8.5500000000000007</v>
      </c>
      <c r="W381" s="140">
        <v>14113320</v>
      </c>
      <c r="X381" s="56">
        <f t="shared" si="10"/>
        <v>0</v>
      </c>
      <c r="Y381" s="56" t="str">
        <f t="shared" si="11"/>
        <v>LOGUEO</v>
      </c>
    </row>
    <row r="382" spans="1:25" ht="15" x14ac:dyDescent="0.25">
      <c r="A382" s="136" t="s">
        <v>456</v>
      </c>
      <c r="B382" s="137">
        <v>1.57</v>
      </c>
      <c r="C382" s="137">
        <v>7.26</v>
      </c>
      <c r="D382" s="137">
        <v>8.19</v>
      </c>
      <c r="E382" s="137">
        <v>5.68</v>
      </c>
      <c r="F382" s="137">
        <v>0</v>
      </c>
      <c r="G382" s="137">
        <v>5.18</v>
      </c>
      <c r="H382" s="137">
        <v>5.5</v>
      </c>
      <c r="I382" s="137">
        <v>3.21</v>
      </c>
      <c r="J382" s="137">
        <v>4.8598999999999997</v>
      </c>
      <c r="K382" s="137">
        <v>9.61</v>
      </c>
      <c r="L382" s="137">
        <v>8.0398999999999994</v>
      </c>
      <c r="M382" s="137">
        <v>5.4</v>
      </c>
      <c r="N382" s="137">
        <v>6.4</v>
      </c>
      <c r="O382" s="137">
        <v>5.66</v>
      </c>
      <c r="P382" s="137">
        <v>1.47</v>
      </c>
      <c r="Q382" s="137">
        <v>5.21</v>
      </c>
      <c r="R382" s="137">
        <v>6.2698999999999998</v>
      </c>
      <c r="S382" s="137">
        <v>6.09</v>
      </c>
      <c r="T382" s="137">
        <v>4.68</v>
      </c>
      <c r="U382" s="137">
        <v>6.83</v>
      </c>
      <c r="V382" s="137">
        <v>4.7300000000000004</v>
      </c>
      <c r="W382" s="140">
        <v>14122854</v>
      </c>
      <c r="X382" s="56">
        <f t="shared" si="10"/>
        <v>0</v>
      </c>
      <c r="Y382" s="56" t="str">
        <f t="shared" si="11"/>
        <v>LOGUEO</v>
      </c>
    </row>
    <row r="383" spans="1:25" ht="15" x14ac:dyDescent="0.25">
      <c r="A383" s="136" t="s">
        <v>2556</v>
      </c>
      <c r="B383" s="137">
        <v>0</v>
      </c>
      <c r="C383" s="137">
        <v>0</v>
      </c>
      <c r="D383" s="137">
        <v>0.73</v>
      </c>
      <c r="E383" s="137">
        <v>0</v>
      </c>
      <c r="F383" s="137">
        <v>2.63</v>
      </c>
      <c r="G383" s="137">
        <v>9.59</v>
      </c>
      <c r="H383" s="137">
        <v>8.27</v>
      </c>
      <c r="I383" s="137">
        <v>7.45</v>
      </c>
      <c r="J383" s="137">
        <v>8.5</v>
      </c>
      <c r="K383" s="137">
        <v>8.35</v>
      </c>
      <c r="L383" s="137">
        <v>11.03</v>
      </c>
      <c r="M383" s="137">
        <v>12.26</v>
      </c>
      <c r="N383" s="137">
        <v>7.8</v>
      </c>
      <c r="O383" s="137">
        <v>1.9</v>
      </c>
      <c r="P383" s="137">
        <v>0</v>
      </c>
      <c r="Q383" s="137">
        <v>0</v>
      </c>
      <c r="R383" s="137">
        <v>0</v>
      </c>
      <c r="S383" s="137">
        <v>0</v>
      </c>
      <c r="T383" s="137">
        <v>0</v>
      </c>
      <c r="U383" s="137">
        <v>0</v>
      </c>
      <c r="V383" s="137">
        <v>0</v>
      </c>
      <c r="W383" s="140" t="s">
        <v>1609</v>
      </c>
      <c r="X383" s="56">
        <f t="shared" si="10"/>
        <v>7</v>
      </c>
      <c r="Y383" s="56" t="str">
        <f t="shared" si="11"/>
        <v>NO LOGUEO</v>
      </c>
    </row>
    <row r="384" spans="1:25" ht="15" x14ac:dyDescent="0.25">
      <c r="A384" s="136" t="s">
        <v>2023</v>
      </c>
      <c r="B384" s="137">
        <v>0</v>
      </c>
      <c r="C384" s="137">
        <v>0</v>
      </c>
      <c r="D384" s="137">
        <v>0</v>
      </c>
      <c r="E384" s="137">
        <v>0</v>
      </c>
      <c r="F384" s="137">
        <v>0</v>
      </c>
      <c r="G384" s="137">
        <v>0</v>
      </c>
      <c r="H384" s="137">
        <v>0</v>
      </c>
      <c r="I384" s="137">
        <v>0</v>
      </c>
      <c r="J384" s="137">
        <v>0</v>
      </c>
      <c r="K384" s="137">
        <v>0</v>
      </c>
      <c r="L384" s="137">
        <v>0</v>
      </c>
      <c r="M384" s="137">
        <v>0</v>
      </c>
      <c r="N384" s="137">
        <v>0</v>
      </c>
      <c r="O384" s="137">
        <v>0</v>
      </c>
      <c r="P384" s="137">
        <v>0</v>
      </c>
      <c r="Q384" s="137">
        <v>0</v>
      </c>
      <c r="R384" s="137">
        <v>0.67</v>
      </c>
      <c r="S384" s="137">
        <v>2</v>
      </c>
      <c r="T384" s="137">
        <v>2.9</v>
      </c>
      <c r="U384" s="137">
        <v>1.42</v>
      </c>
      <c r="V384" s="137">
        <v>0</v>
      </c>
      <c r="W384" s="140" t="s">
        <v>1609</v>
      </c>
      <c r="X384" s="56">
        <f t="shared" si="10"/>
        <v>3</v>
      </c>
      <c r="Y384" s="56" t="str">
        <f t="shared" si="11"/>
        <v>NO LOGUEO</v>
      </c>
    </row>
    <row r="385" spans="1:25" ht="15" x14ac:dyDescent="0.25">
      <c r="A385" s="136" t="s">
        <v>3714</v>
      </c>
      <c r="B385" s="137">
        <v>0</v>
      </c>
      <c r="C385" s="137">
        <v>0</v>
      </c>
      <c r="D385" s="137">
        <v>0</v>
      </c>
      <c r="E385" s="137">
        <v>1.02</v>
      </c>
      <c r="F385" s="137">
        <v>0</v>
      </c>
      <c r="G385" s="137">
        <v>0</v>
      </c>
      <c r="H385" s="137">
        <v>0</v>
      </c>
      <c r="I385" s="137">
        <v>0</v>
      </c>
      <c r="J385" s="137">
        <v>0</v>
      </c>
      <c r="K385" s="137">
        <v>0</v>
      </c>
      <c r="L385" s="137">
        <v>0</v>
      </c>
      <c r="M385" s="137">
        <v>0</v>
      </c>
      <c r="N385" s="137">
        <v>0</v>
      </c>
      <c r="O385" s="137">
        <v>0</v>
      </c>
      <c r="P385" s="137">
        <v>0</v>
      </c>
      <c r="Q385" s="137">
        <v>0</v>
      </c>
      <c r="R385" s="137">
        <v>0</v>
      </c>
      <c r="S385" s="137">
        <v>0</v>
      </c>
      <c r="T385" s="137">
        <v>0</v>
      </c>
      <c r="U385" s="137">
        <v>0</v>
      </c>
      <c r="V385" s="137">
        <v>0</v>
      </c>
      <c r="W385" s="140" t="s">
        <v>1609</v>
      </c>
      <c r="X385" s="56">
        <f t="shared" si="10"/>
        <v>7</v>
      </c>
      <c r="Y385" s="56" t="str">
        <f t="shared" si="11"/>
        <v>NO LOGUEO</v>
      </c>
    </row>
    <row r="386" spans="1:25" ht="15" x14ac:dyDescent="0.25">
      <c r="A386" s="136" t="s">
        <v>370</v>
      </c>
      <c r="B386" s="137">
        <v>2.02</v>
      </c>
      <c r="C386" s="137">
        <v>1.23</v>
      </c>
      <c r="D386" s="137">
        <v>3.15</v>
      </c>
      <c r="E386" s="137">
        <v>2.4500000000000002</v>
      </c>
      <c r="F386" s="137">
        <v>3.09</v>
      </c>
      <c r="G386" s="137">
        <v>3.48</v>
      </c>
      <c r="H386" s="137">
        <v>2.95</v>
      </c>
      <c r="I386" s="137">
        <v>3.04</v>
      </c>
      <c r="J386" s="137">
        <v>3.0198999999999998</v>
      </c>
      <c r="K386" s="137">
        <v>3.6099000000000001</v>
      </c>
      <c r="L386" s="137">
        <v>3.47</v>
      </c>
      <c r="M386" s="137">
        <v>1.35</v>
      </c>
      <c r="N386" s="137">
        <v>3.3</v>
      </c>
      <c r="O386" s="137">
        <v>3.45</v>
      </c>
      <c r="P386" s="137">
        <v>4.1498999999999997</v>
      </c>
      <c r="Q386" s="137">
        <v>7.35</v>
      </c>
      <c r="R386" s="137">
        <v>2.7599</v>
      </c>
      <c r="S386" s="137">
        <v>0</v>
      </c>
      <c r="T386" s="137">
        <v>4.3098999999999998</v>
      </c>
      <c r="U386" s="137">
        <v>3.2199</v>
      </c>
      <c r="V386" s="137">
        <v>3.6899000000000002</v>
      </c>
      <c r="W386" s="140">
        <v>14121917</v>
      </c>
      <c r="X386" s="56">
        <f t="shared" si="10"/>
        <v>1</v>
      </c>
      <c r="Y386" s="56" t="str">
        <f t="shared" si="11"/>
        <v>LOGUEO</v>
      </c>
    </row>
    <row r="387" spans="1:25" ht="15" x14ac:dyDescent="0.25">
      <c r="A387" s="136" t="s">
        <v>508</v>
      </c>
      <c r="B387" s="137">
        <v>0</v>
      </c>
      <c r="C387" s="137">
        <v>0</v>
      </c>
      <c r="D387" s="137">
        <v>0</v>
      </c>
      <c r="E387" s="137">
        <v>0</v>
      </c>
      <c r="F387" s="137">
        <v>0</v>
      </c>
      <c r="G387" s="137">
        <v>0</v>
      </c>
      <c r="H387" s="137">
        <v>0</v>
      </c>
      <c r="I387" s="137">
        <v>0</v>
      </c>
      <c r="J387" s="137">
        <v>0</v>
      </c>
      <c r="K387" s="137">
        <v>0</v>
      </c>
      <c r="L387" s="137">
        <v>0</v>
      </c>
      <c r="M387" s="137">
        <v>0</v>
      </c>
      <c r="N387" s="137">
        <v>0</v>
      </c>
      <c r="O387" s="137">
        <v>0</v>
      </c>
      <c r="P387" s="137">
        <v>0</v>
      </c>
      <c r="Q387" s="137">
        <v>0</v>
      </c>
      <c r="R387" s="137">
        <v>0</v>
      </c>
      <c r="S387" s="137">
        <v>0</v>
      </c>
      <c r="T387" s="137">
        <v>0</v>
      </c>
      <c r="U387" s="137">
        <v>0</v>
      </c>
      <c r="V387" s="137">
        <v>0</v>
      </c>
      <c r="W387" s="140">
        <v>14123313</v>
      </c>
      <c r="X387" s="56">
        <f t="shared" ref="X387:X450" si="12">COUNTIF(P387:V387,0)</f>
        <v>7</v>
      </c>
      <c r="Y387" s="56" t="str">
        <f t="shared" ref="Y387:Y450" si="13">IF(X387&gt;1,"NO LOGUEO","LOGUEO")</f>
        <v>NO LOGUEO</v>
      </c>
    </row>
    <row r="388" spans="1:25" ht="15" x14ac:dyDescent="0.25">
      <c r="A388" s="136" t="s">
        <v>19</v>
      </c>
      <c r="B388" s="137">
        <v>5.08</v>
      </c>
      <c r="C388" s="137">
        <v>0</v>
      </c>
      <c r="D388" s="137">
        <v>11.9</v>
      </c>
      <c r="E388" s="137">
        <v>10.47</v>
      </c>
      <c r="F388" s="137">
        <v>6.24</v>
      </c>
      <c r="G388" s="137">
        <v>8.9</v>
      </c>
      <c r="H388" s="137">
        <v>11.95</v>
      </c>
      <c r="I388" s="137">
        <v>6.5</v>
      </c>
      <c r="J388" s="137">
        <v>7.32</v>
      </c>
      <c r="K388" s="137">
        <v>0</v>
      </c>
      <c r="L388" s="137">
        <v>12.82</v>
      </c>
      <c r="M388" s="137">
        <v>10.36</v>
      </c>
      <c r="N388" s="137">
        <v>12.1</v>
      </c>
      <c r="O388" s="137">
        <v>7.06</v>
      </c>
      <c r="P388" s="137">
        <v>7.84</v>
      </c>
      <c r="Q388" s="137">
        <v>7.1599000000000004</v>
      </c>
      <c r="R388" s="137">
        <v>0</v>
      </c>
      <c r="S388" s="137">
        <v>10.209899999999999</v>
      </c>
      <c r="T388" s="137">
        <v>10.71</v>
      </c>
      <c r="U388" s="137">
        <v>9.1699000000000002</v>
      </c>
      <c r="V388" s="137">
        <v>10.219900000000001</v>
      </c>
      <c r="W388" s="140">
        <v>14100740</v>
      </c>
      <c r="X388" s="56">
        <f t="shared" si="12"/>
        <v>1</v>
      </c>
      <c r="Y388" s="56" t="str">
        <f t="shared" si="13"/>
        <v>LOGUEO</v>
      </c>
    </row>
    <row r="389" spans="1:25" ht="15" x14ac:dyDescent="0.25">
      <c r="A389" s="136" t="s">
        <v>1805</v>
      </c>
      <c r="B389" s="137">
        <v>4.9798999999999998</v>
      </c>
      <c r="C389" s="137">
        <v>7.74</v>
      </c>
      <c r="D389" s="137">
        <v>10.459899999999999</v>
      </c>
      <c r="E389" s="137">
        <v>9.9</v>
      </c>
      <c r="F389" s="137">
        <v>6.7</v>
      </c>
      <c r="G389" s="137">
        <v>2.42</v>
      </c>
      <c r="H389" s="137">
        <v>8.6298999999999992</v>
      </c>
      <c r="I389" s="137">
        <v>8.2998999999999992</v>
      </c>
      <c r="J389" s="137">
        <v>9.19</v>
      </c>
      <c r="K389" s="137">
        <v>12.629899999999999</v>
      </c>
      <c r="L389" s="137">
        <v>9.4700000000000006</v>
      </c>
      <c r="M389" s="137">
        <v>0</v>
      </c>
      <c r="N389" s="137">
        <v>9.8000000000000007</v>
      </c>
      <c r="O389" s="137">
        <v>8.31</v>
      </c>
      <c r="P389" s="137">
        <v>6.78</v>
      </c>
      <c r="Q389" s="137">
        <v>9.52</v>
      </c>
      <c r="R389" s="137">
        <v>0</v>
      </c>
      <c r="S389" s="137">
        <v>7.98</v>
      </c>
      <c r="T389" s="137">
        <v>9.89</v>
      </c>
      <c r="U389" s="137">
        <v>12.15</v>
      </c>
      <c r="V389" s="137">
        <v>14.52</v>
      </c>
      <c r="W389" s="140">
        <v>14122067</v>
      </c>
      <c r="X389" s="56">
        <f t="shared" si="12"/>
        <v>1</v>
      </c>
      <c r="Y389" s="56" t="str">
        <f t="shared" si="13"/>
        <v>LOGUEO</v>
      </c>
    </row>
    <row r="390" spans="1:25" ht="15" x14ac:dyDescent="0.25">
      <c r="A390" s="136" t="s">
        <v>1835</v>
      </c>
      <c r="B390" s="137">
        <v>5.2698999999999998</v>
      </c>
      <c r="C390" s="137">
        <v>7.85</v>
      </c>
      <c r="D390" s="137">
        <v>0.92</v>
      </c>
      <c r="E390" s="137">
        <v>10.64</v>
      </c>
      <c r="F390" s="137">
        <v>8.07</v>
      </c>
      <c r="G390" s="137">
        <v>11.47</v>
      </c>
      <c r="H390" s="137">
        <v>9.09</v>
      </c>
      <c r="I390" s="137">
        <v>3.0198999999999998</v>
      </c>
      <c r="J390" s="137">
        <v>8.86</v>
      </c>
      <c r="K390" s="137">
        <v>9.3798999999999992</v>
      </c>
      <c r="L390" s="137">
        <v>8.11</v>
      </c>
      <c r="M390" s="137">
        <v>9.4598999999999993</v>
      </c>
      <c r="N390" s="137">
        <v>0.97</v>
      </c>
      <c r="O390" s="137">
        <v>8.5500000000000007</v>
      </c>
      <c r="P390" s="137">
        <v>5.57</v>
      </c>
      <c r="Q390" s="137">
        <v>8.6298999999999992</v>
      </c>
      <c r="R390" s="137">
        <v>8.16</v>
      </c>
      <c r="S390" s="137">
        <v>12.549899999999999</v>
      </c>
      <c r="T390" s="137">
        <v>8.1499000000000006</v>
      </c>
      <c r="U390" s="137">
        <v>11.84</v>
      </c>
      <c r="V390" s="137">
        <v>8.2100000000000009</v>
      </c>
      <c r="W390" s="140" t="s">
        <v>1609</v>
      </c>
      <c r="X390" s="56">
        <f t="shared" si="12"/>
        <v>0</v>
      </c>
      <c r="Y390" s="56" t="str">
        <f t="shared" si="13"/>
        <v>LOGUEO</v>
      </c>
    </row>
    <row r="391" spans="1:25" ht="15" x14ac:dyDescent="0.25">
      <c r="A391" s="136" t="s">
        <v>278</v>
      </c>
      <c r="B391" s="137">
        <v>0</v>
      </c>
      <c r="C391" s="137">
        <v>0</v>
      </c>
      <c r="D391" s="137">
        <v>0</v>
      </c>
      <c r="E391" s="137">
        <v>0</v>
      </c>
      <c r="F391" s="137">
        <v>0</v>
      </c>
      <c r="G391" s="137">
        <v>0</v>
      </c>
      <c r="H391" s="137">
        <v>0</v>
      </c>
      <c r="I391" s="137">
        <v>0</v>
      </c>
      <c r="J391" s="137">
        <v>0</v>
      </c>
      <c r="K391" s="137">
        <v>0</v>
      </c>
      <c r="L391" s="137">
        <v>0</v>
      </c>
      <c r="M391" s="137">
        <v>0</v>
      </c>
      <c r="N391" s="137">
        <v>0</v>
      </c>
      <c r="O391" s="137">
        <v>0</v>
      </c>
      <c r="P391" s="137">
        <v>0</v>
      </c>
      <c r="Q391" s="137">
        <v>0</v>
      </c>
      <c r="R391" s="137">
        <v>0</v>
      </c>
      <c r="S391" s="137">
        <v>0</v>
      </c>
      <c r="T391" s="137">
        <v>0</v>
      </c>
      <c r="U391" s="137">
        <v>3.07</v>
      </c>
      <c r="V391" s="137">
        <v>9.1300000000000008</v>
      </c>
      <c r="W391" s="140">
        <v>14120106</v>
      </c>
      <c r="X391" s="56">
        <f t="shared" si="12"/>
        <v>5</v>
      </c>
      <c r="Y391" s="56" t="str">
        <f t="shared" si="13"/>
        <v>NO LOGUEO</v>
      </c>
    </row>
    <row r="392" spans="1:25" ht="15" x14ac:dyDescent="0.25">
      <c r="A392" s="136" t="s">
        <v>1806</v>
      </c>
      <c r="B392" s="137">
        <v>1.9</v>
      </c>
      <c r="C392" s="137">
        <v>4.09</v>
      </c>
      <c r="D392" s="137">
        <v>4.8499999999999996</v>
      </c>
      <c r="E392" s="137">
        <v>4.93</v>
      </c>
      <c r="F392" s="137">
        <v>2.4</v>
      </c>
      <c r="G392" s="137">
        <v>4.54</v>
      </c>
      <c r="H392" s="137">
        <v>6.23</v>
      </c>
      <c r="I392" s="137">
        <v>1.77</v>
      </c>
      <c r="J392" s="137">
        <v>4.5698999999999996</v>
      </c>
      <c r="K392" s="137">
        <v>4.4398999999999997</v>
      </c>
      <c r="L392" s="137">
        <v>4.68</v>
      </c>
      <c r="M392" s="137">
        <v>6.46</v>
      </c>
      <c r="N392" s="137">
        <v>4.6898999999999997</v>
      </c>
      <c r="O392" s="137">
        <v>6.68</v>
      </c>
      <c r="P392" s="137">
        <v>0</v>
      </c>
      <c r="Q392" s="137">
        <v>12.28</v>
      </c>
      <c r="R392" s="137">
        <v>4.49</v>
      </c>
      <c r="S392" s="137">
        <v>7.29</v>
      </c>
      <c r="T392" s="137">
        <v>4.2</v>
      </c>
      <c r="U392" s="137">
        <v>4.88</v>
      </c>
      <c r="V392" s="137">
        <v>2.1800000000000002</v>
      </c>
      <c r="W392" s="140" t="s">
        <v>1609</v>
      </c>
      <c r="X392" s="56">
        <f t="shared" si="12"/>
        <v>1</v>
      </c>
      <c r="Y392" s="56" t="str">
        <f t="shared" si="13"/>
        <v>LOGUEO</v>
      </c>
    </row>
    <row r="393" spans="1:25" ht="15" x14ac:dyDescent="0.25">
      <c r="A393" s="136" t="s">
        <v>358</v>
      </c>
      <c r="B393" s="137">
        <v>4.6399999999999997</v>
      </c>
      <c r="C393" s="137">
        <v>3.28</v>
      </c>
      <c r="D393" s="137">
        <v>5.61</v>
      </c>
      <c r="E393" s="137">
        <v>5.5698999999999996</v>
      </c>
      <c r="F393" s="137">
        <v>1.2799</v>
      </c>
      <c r="G393" s="137">
        <v>4.54</v>
      </c>
      <c r="H393" s="137">
        <v>2.31</v>
      </c>
      <c r="I393" s="137">
        <v>3.32</v>
      </c>
      <c r="J393" s="137">
        <v>3.9</v>
      </c>
      <c r="K393" s="137">
        <v>6.72</v>
      </c>
      <c r="L393" s="137">
        <v>6.83</v>
      </c>
      <c r="M393" s="137">
        <v>6.38</v>
      </c>
      <c r="N393" s="137">
        <v>6.8098999999999998</v>
      </c>
      <c r="O393" s="137">
        <v>5.43</v>
      </c>
      <c r="P393" s="137">
        <v>2.2000000000000002</v>
      </c>
      <c r="Q393" s="137">
        <v>5.8598999999999997</v>
      </c>
      <c r="R393" s="137">
        <v>8.1198999999999995</v>
      </c>
      <c r="S393" s="137">
        <v>6.03</v>
      </c>
      <c r="T393" s="137">
        <v>7.5</v>
      </c>
      <c r="U393" s="137">
        <v>6.2899000000000003</v>
      </c>
      <c r="V393" s="137">
        <v>4.33</v>
      </c>
      <c r="W393" s="140">
        <v>14121766</v>
      </c>
      <c r="X393" s="56">
        <f t="shared" si="12"/>
        <v>0</v>
      </c>
      <c r="Y393" s="56" t="str">
        <f t="shared" si="13"/>
        <v>LOGUEO</v>
      </c>
    </row>
    <row r="394" spans="1:25" ht="15" x14ac:dyDescent="0.25">
      <c r="A394" s="136" t="s">
        <v>361</v>
      </c>
      <c r="B394" s="137">
        <v>7.2999000000000001</v>
      </c>
      <c r="C394" s="137">
        <v>9.36</v>
      </c>
      <c r="D394" s="137">
        <v>10.979900000000001</v>
      </c>
      <c r="E394" s="137">
        <v>9.52</v>
      </c>
      <c r="F394" s="137">
        <v>2.23</v>
      </c>
      <c r="G394" s="137">
        <v>9.99</v>
      </c>
      <c r="H394" s="137">
        <v>9.92</v>
      </c>
      <c r="I394" s="137">
        <v>7.47</v>
      </c>
      <c r="J394" s="137">
        <v>9.01</v>
      </c>
      <c r="K394" s="137">
        <v>10.32</v>
      </c>
      <c r="L394" s="137">
        <v>10.17</v>
      </c>
      <c r="M394" s="137">
        <v>9.6999999999999993</v>
      </c>
      <c r="N394" s="137">
        <v>8.07</v>
      </c>
      <c r="O394" s="137">
        <v>10.66</v>
      </c>
      <c r="P394" s="137">
        <v>7.45</v>
      </c>
      <c r="Q394" s="137">
        <v>9.7200000000000006</v>
      </c>
      <c r="R394" s="137">
        <v>8.66</v>
      </c>
      <c r="S394" s="137">
        <v>10.74</v>
      </c>
      <c r="T394" s="137">
        <v>11.299899999999999</v>
      </c>
      <c r="U394" s="137">
        <v>7.4699</v>
      </c>
      <c r="V394" s="137">
        <v>0</v>
      </c>
      <c r="W394" s="140">
        <v>14121791</v>
      </c>
      <c r="X394" s="56">
        <f t="shared" si="12"/>
        <v>1</v>
      </c>
      <c r="Y394" s="56" t="str">
        <f t="shared" si="13"/>
        <v>LOGUEO</v>
      </c>
    </row>
    <row r="395" spans="1:25" ht="15" x14ac:dyDescent="0.25">
      <c r="A395" s="136" t="s">
        <v>171</v>
      </c>
      <c r="B395" s="137">
        <v>7.82</v>
      </c>
      <c r="C395" s="137">
        <v>9.57</v>
      </c>
      <c r="D395" s="137">
        <v>10.9299</v>
      </c>
      <c r="E395" s="137">
        <v>0</v>
      </c>
      <c r="F395" s="137">
        <v>7.31</v>
      </c>
      <c r="G395" s="137">
        <v>8.5498999999999992</v>
      </c>
      <c r="H395" s="137">
        <v>11.469900000000001</v>
      </c>
      <c r="I395" s="137">
        <v>7.21</v>
      </c>
      <c r="J395" s="137">
        <v>8.3699999999999992</v>
      </c>
      <c r="K395" s="137">
        <v>9.4499999999999993</v>
      </c>
      <c r="L395" s="137">
        <v>13.69</v>
      </c>
      <c r="M395" s="137">
        <v>0</v>
      </c>
      <c r="N395" s="137">
        <v>8.5299999999999994</v>
      </c>
      <c r="O395" s="137">
        <v>8.01</v>
      </c>
      <c r="P395" s="137">
        <v>7.14</v>
      </c>
      <c r="Q395" s="137">
        <v>9.8999000000000006</v>
      </c>
      <c r="R395" s="137">
        <v>10.58</v>
      </c>
      <c r="S395" s="137">
        <v>0</v>
      </c>
      <c r="T395" s="137">
        <v>11.129899999999999</v>
      </c>
      <c r="U395" s="137">
        <v>9.33</v>
      </c>
      <c r="V395" s="137">
        <v>9.0498999999999992</v>
      </c>
      <c r="W395" s="140">
        <v>14116855</v>
      </c>
      <c r="X395" s="56">
        <f t="shared" si="12"/>
        <v>1</v>
      </c>
      <c r="Y395" s="56" t="str">
        <f t="shared" si="13"/>
        <v>LOGUEO</v>
      </c>
    </row>
    <row r="396" spans="1:25" ht="15" x14ac:dyDescent="0.25">
      <c r="A396" s="136" t="s">
        <v>3715</v>
      </c>
      <c r="B396" s="137">
        <v>0</v>
      </c>
      <c r="C396" s="137">
        <v>0</v>
      </c>
      <c r="D396" s="137">
        <v>0</v>
      </c>
      <c r="E396" s="137">
        <v>1.05</v>
      </c>
      <c r="F396" s="137">
        <v>0</v>
      </c>
      <c r="G396" s="137">
        <v>0.53</v>
      </c>
      <c r="H396" s="137">
        <v>0</v>
      </c>
      <c r="I396" s="137">
        <v>0</v>
      </c>
      <c r="J396" s="137">
        <v>0</v>
      </c>
      <c r="K396" s="137">
        <v>0</v>
      </c>
      <c r="L396" s="137">
        <v>0</v>
      </c>
      <c r="M396" s="137">
        <v>0</v>
      </c>
      <c r="N396" s="137">
        <v>0</v>
      </c>
      <c r="O396" s="137">
        <v>0</v>
      </c>
      <c r="P396" s="137">
        <v>0</v>
      </c>
      <c r="Q396" s="137">
        <v>0</v>
      </c>
      <c r="R396" s="137">
        <v>0</v>
      </c>
      <c r="S396" s="137">
        <v>0</v>
      </c>
      <c r="T396" s="137">
        <v>0</v>
      </c>
      <c r="U396" s="137">
        <v>0</v>
      </c>
      <c r="V396" s="137">
        <v>0</v>
      </c>
      <c r="W396" s="140" t="s">
        <v>1609</v>
      </c>
      <c r="X396" s="56">
        <f t="shared" si="12"/>
        <v>7</v>
      </c>
      <c r="Y396" s="56" t="str">
        <f t="shared" si="13"/>
        <v>NO LOGUEO</v>
      </c>
    </row>
    <row r="397" spans="1:25" ht="15" x14ac:dyDescent="0.25">
      <c r="A397" s="136" t="s">
        <v>2557</v>
      </c>
      <c r="B397" s="137">
        <v>4.92</v>
      </c>
      <c r="C397" s="137">
        <v>0</v>
      </c>
      <c r="D397" s="137">
        <v>0</v>
      </c>
      <c r="E397" s="137">
        <v>0.48</v>
      </c>
      <c r="F397" s="137">
        <v>0</v>
      </c>
      <c r="G397" s="137">
        <v>2.4</v>
      </c>
      <c r="H397" s="137">
        <v>0</v>
      </c>
      <c r="I397" s="137">
        <v>0</v>
      </c>
      <c r="J397" s="137">
        <v>1.25</v>
      </c>
      <c r="K397" s="137">
        <v>3.4</v>
      </c>
      <c r="L397" s="137">
        <v>0</v>
      </c>
      <c r="M397" s="137">
        <v>0</v>
      </c>
      <c r="N397" s="137">
        <v>2.77</v>
      </c>
      <c r="O397" s="137">
        <v>1.72</v>
      </c>
      <c r="P397" s="137">
        <v>0</v>
      </c>
      <c r="Q397" s="137">
        <v>0</v>
      </c>
      <c r="R397" s="137">
        <v>0</v>
      </c>
      <c r="S397" s="137">
        <v>0</v>
      </c>
      <c r="T397" s="137">
        <v>0</v>
      </c>
      <c r="U397" s="137">
        <v>0</v>
      </c>
      <c r="V397" s="137">
        <v>0</v>
      </c>
      <c r="W397" s="140" t="s">
        <v>1609</v>
      </c>
      <c r="X397" s="56">
        <f t="shared" si="12"/>
        <v>7</v>
      </c>
      <c r="Y397" s="56" t="str">
        <f t="shared" si="13"/>
        <v>NO LOGUEO</v>
      </c>
    </row>
    <row r="398" spans="1:25" ht="15" x14ac:dyDescent="0.25">
      <c r="A398" s="136" t="s">
        <v>1807</v>
      </c>
      <c r="B398" s="137">
        <v>0.75</v>
      </c>
      <c r="C398" s="137">
        <v>5.7698999999999998</v>
      </c>
      <c r="D398" s="137">
        <v>3.87</v>
      </c>
      <c r="E398" s="137">
        <v>1.1398999999999999</v>
      </c>
      <c r="F398" s="137">
        <v>3.0998999999999999</v>
      </c>
      <c r="G398" s="137">
        <v>7.86</v>
      </c>
      <c r="H398" s="137">
        <v>5.9499000000000004</v>
      </c>
      <c r="I398" s="137">
        <v>1.83</v>
      </c>
      <c r="J398" s="137">
        <v>3.74</v>
      </c>
      <c r="K398" s="137">
        <v>5.9798999999999998</v>
      </c>
      <c r="L398" s="137">
        <v>2.2999999999999998</v>
      </c>
      <c r="M398" s="137">
        <v>1.25</v>
      </c>
      <c r="N398" s="137">
        <v>2.7199</v>
      </c>
      <c r="O398" s="137">
        <v>2.2999999999999998</v>
      </c>
      <c r="P398" s="137">
        <v>1.57</v>
      </c>
      <c r="Q398" s="137">
        <v>4.8998999999999997</v>
      </c>
      <c r="R398" s="137">
        <v>2.96</v>
      </c>
      <c r="S398" s="137">
        <v>2.58</v>
      </c>
      <c r="T398" s="137">
        <v>0.95</v>
      </c>
      <c r="U398" s="137">
        <v>2.04</v>
      </c>
      <c r="V398" s="137">
        <v>0.93</v>
      </c>
      <c r="W398" s="140" t="s">
        <v>1609</v>
      </c>
      <c r="X398" s="56">
        <f t="shared" si="12"/>
        <v>0</v>
      </c>
      <c r="Y398" s="56" t="str">
        <f t="shared" si="13"/>
        <v>LOGUEO</v>
      </c>
    </row>
    <row r="399" spans="1:25" ht="15" x14ac:dyDescent="0.25">
      <c r="A399" s="136" t="s">
        <v>321</v>
      </c>
      <c r="B399" s="137">
        <v>0.28000000000000003</v>
      </c>
      <c r="C399" s="137">
        <v>8.35</v>
      </c>
      <c r="D399" s="137">
        <v>2.54</v>
      </c>
      <c r="E399" s="137">
        <v>3.52</v>
      </c>
      <c r="F399" s="137">
        <v>9.4499999999999993</v>
      </c>
      <c r="G399" s="137">
        <v>3.29</v>
      </c>
      <c r="H399" s="137">
        <v>1.48</v>
      </c>
      <c r="I399" s="137">
        <v>3.77</v>
      </c>
      <c r="J399" s="137">
        <v>0.9</v>
      </c>
      <c r="K399" s="137">
        <v>0</v>
      </c>
      <c r="L399" s="137">
        <v>0.75</v>
      </c>
      <c r="M399" s="137">
        <v>7.23</v>
      </c>
      <c r="N399" s="137">
        <v>0.48</v>
      </c>
      <c r="O399" s="137">
        <v>8.76</v>
      </c>
      <c r="P399" s="137">
        <v>3.21</v>
      </c>
      <c r="Q399" s="137">
        <v>4.46</v>
      </c>
      <c r="R399" s="137">
        <v>5.01</v>
      </c>
      <c r="S399" s="137">
        <v>6.07</v>
      </c>
      <c r="T399" s="137">
        <v>0</v>
      </c>
      <c r="U399" s="137">
        <v>0</v>
      </c>
      <c r="V399" s="137">
        <v>0</v>
      </c>
      <c r="W399" s="140">
        <v>14121153</v>
      </c>
      <c r="X399" s="56">
        <f t="shared" si="12"/>
        <v>3</v>
      </c>
      <c r="Y399" s="56" t="str">
        <f t="shared" si="13"/>
        <v>NO LOGUEO</v>
      </c>
    </row>
    <row r="400" spans="1:25" ht="15" x14ac:dyDescent="0.25">
      <c r="A400" s="136" t="s">
        <v>364</v>
      </c>
      <c r="B400" s="137">
        <v>0</v>
      </c>
      <c r="C400" s="137">
        <v>0</v>
      </c>
      <c r="D400" s="137">
        <v>0</v>
      </c>
      <c r="E400" s="137">
        <v>0</v>
      </c>
      <c r="F400" s="137">
        <v>0</v>
      </c>
      <c r="G400" s="137">
        <v>0</v>
      </c>
      <c r="H400" s="137">
        <v>0</v>
      </c>
      <c r="I400" s="137">
        <v>0.7</v>
      </c>
      <c r="J400" s="137">
        <v>3.33</v>
      </c>
      <c r="K400" s="137">
        <v>0</v>
      </c>
      <c r="L400" s="137">
        <v>4.2798999999999996</v>
      </c>
      <c r="M400" s="137">
        <v>4.76</v>
      </c>
      <c r="N400" s="137">
        <v>3.61</v>
      </c>
      <c r="O400" s="137">
        <v>4.76</v>
      </c>
      <c r="P400" s="137">
        <v>5.18</v>
      </c>
      <c r="Q400" s="137">
        <v>7.24</v>
      </c>
      <c r="R400" s="137">
        <v>3.82</v>
      </c>
      <c r="S400" s="137">
        <v>5.51</v>
      </c>
      <c r="T400" s="137">
        <v>0</v>
      </c>
      <c r="U400" s="137">
        <v>1.77</v>
      </c>
      <c r="V400" s="137">
        <v>4.1098999999999997</v>
      </c>
      <c r="W400" s="140">
        <v>14121821</v>
      </c>
      <c r="X400" s="56">
        <f t="shared" si="12"/>
        <v>1</v>
      </c>
      <c r="Y400" s="56" t="str">
        <f t="shared" si="13"/>
        <v>LOGUEO</v>
      </c>
    </row>
    <row r="401" spans="1:25" ht="15" x14ac:dyDescent="0.25">
      <c r="A401" s="136" t="s">
        <v>343</v>
      </c>
      <c r="B401" s="137">
        <v>4.13</v>
      </c>
      <c r="C401" s="137">
        <v>3.52</v>
      </c>
      <c r="D401" s="137">
        <v>4.1399999999999997</v>
      </c>
      <c r="E401" s="137">
        <v>3.5</v>
      </c>
      <c r="F401" s="137">
        <v>0</v>
      </c>
      <c r="G401" s="137">
        <v>3.29</v>
      </c>
      <c r="H401" s="137">
        <v>5.2298999999999998</v>
      </c>
      <c r="I401" s="137">
        <v>3.13</v>
      </c>
      <c r="J401" s="137">
        <v>3.37</v>
      </c>
      <c r="K401" s="137">
        <v>3.77</v>
      </c>
      <c r="L401" s="137">
        <v>3.12</v>
      </c>
      <c r="M401" s="137">
        <v>5.3198999999999996</v>
      </c>
      <c r="N401" s="137">
        <v>3.34</v>
      </c>
      <c r="O401" s="137">
        <v>3.63</v>
      </c>
      <c r="P401" s="137">
        <v>3.35</v>
      </c>
      <c r="Q401" s="137">
        <v>2.04</v>
      </c>
      <c r="R401" s="137">
        <v>0</v>
      </c>
      <c r="S401" s="137">
        <v>3.75</v>
      </c>
      <c r="T401" s="137">
        <v>3.7</v>
      </c>
      <c r="U401" s="137">
        <v>3.31</v>
      </c>
      <c r="V401" s="137">
        <v>3.48</v>
      </c>
      <c r="W401" s="140">
        <v>14121582</v>
      </c>
      <c r="X401" s="56">
        <f t="shared" si="12"/>
        <v>1</v>
      </c>
      <c r="Y401" s="56" t="str">
        <f t="shared" si="13"/>
        <v>LOGUEO</v>
      </c>
    </row>
    <row r="402" spans="1:25" ht="15" x14ac:dyDescent="0.25">
      <c r="A402" s="136" t="s">
        <v>348</v>
      </c>
      <c r="B402" s="137">
        <v>3.96</v>
      </c>
      <c r="C402" s="137">
        <v>4.8499999999999996</v>
      </c>
      <c r="D402" s="137">
        <v>6.2798999999999996</v>
      </c>
      <c r="E402" s="137">
        <v>6.42</v>
      </c>
      <c r="F402" s="137">
        <v>0</v>
      </c>
      <c r="G402" s="137">
        <v>5.71</v>
      </c>
      <c r="H402" s="137">
        <v>6.89</v>
      </c>
      <c r="I402" s="137">
        <v>0</v>
      </c>
      <c r="J402" s="137">
        <v>0</v>
      </c>
      <c r="K402" s="137">
        <v>0.37</v>
      </c>
      <c r="L402" s="137">
        <v>0</v>
      </c>
      <c r="M402" s="137">
        <v>0</v>
      </c>
      <c r="N402" s="137">
        <v>0</v>
      </c>
      <c r="O402" s="137">
        <v>0</v>
      </c>
      <c r="P402" s="137">
        <v>0</v>
      </c>
      <c r="Q402" s="137">
        <v>0</v>
      </c>
      <c r="R402" s="137">
        <v>3.43</v>
      </c>
      <c r="S402" s="137">
        <v>6.25</v>
      </c>
      <c r="T402" s="137">
        <v>1.93</v>
      </c>
      <c r="U402" s="137">
        <v>0</v>
      </c>
      <c r="V402" s="137">
        <v>2.65</v>
      </c>
      <c r="W402" s="140">
        <v>14114324</v>
      </c>
      <c r="X402" s="56">
        <f t="shared" si="12"/>
        <v>3</v>
      </c>
      <c r="Y402" s="56" t="str">
        <f t="shared" si="13"/>
        <v>NO LOGUEO</v>
      </c>
    </row>
    <row r="403" spans="1:25" ht="15" x14ac:dyDescent="0.25">
      <c r="A403" s="136" t="s">
        <v>469</v>
      </c>
      <c r="B403" s="137">
        <v>8.32</v>
      </c>
      <c r="C403" s="137">
        <v>9.61</v>
      </c>
      <c r="D403" s="137">
        <v>10.7</v>
      </c>
      <c r="E403" s="137">
        <v>0</v>
      </c>
      <c r="F403" s="137">
        <v>9.26</v>
      </c>
      <c r="G403" s="137">
        <v>8.93</v>
      </c>
      <c r="H403" s="137">
        <v>8.93</v>
      </c>
      <c r="I403" s="137">
        <v>8.68</v>
      </c>
      <c r="J403" s="137">
        <v>8.32</v>
      </c>
      <c r="K403" s="137">
        <v>10.6699</v>
      </c>
      <c r="L403" s="137">
        <v>10.82</v>
      </c>
      <c r="M403" s="137">
        <v>10.91</v>
      </c>
      <c r="N403" s="137">
        <v>7.27</v>
      </c>
      <c r="O403" s="137">
        <v>9.42</v>
      </c>
      <c r="P403" s="137">
        <v>0</v>
      </c>
      <c r="Q403" s="137">
        <v>10.9899</v>
      </c>
      <c r="R403" s="137">
        <v>10.26</v>
      </c>
      <c r="S403" s="137">
        <v>10.43</v>
      </c>
      <c r="T403" s="137">
        <v>10.31</v>
      </c>
      <c r="U403" s="137">
        <v>7.91</v>
      </c>
      <c r="V403" s="137">
        <v>8.1198999999999995</v>
      </c>
      <c r="W403" s="140">
        <v>14122928</v>
      </c>
      <c r="X403" s="56">
        <f t="shared" si="12"/>
        <v>1</v>
      </c>
      <c r="Y403" s="56" t="str">
        <f t="shared" si="13"/>
        <v>LOGUEO</v>
      </c>
    </row>
    <row r="404" spans="1:25" ht="15" x14ac:dyDescent="0.25">
      <c r="A404" s="136" t="s">
        <v>467</v>
      </c>
      <c r="B404" s="137">
        <v>0</v>
      </c>
      <c r="C404" s="137">
        <v>5.6098999999999997</v>
      </c>
      <c r="D404" s="137">
        <v>4.46</v>
      </c>
      <c r="E404" s="137">
        <v>3.94</v>
      </c>
      <c r="F404" s="137">
        <v>0.87</v>
      </c>
      <c r="G404" s="137">
        <v>5.0198999999999998</v>
      </c>
      <c r="H404" s="137">
        <v>5.25</v>
      </c>
      <c r="I404" s="137">
        <v>5.79</v>
      </c>
      <c r="J404" s="137">
        <v>7.28</v>
      </c>
      <c r="K404" s="137">
        <v>5.18</v>
      </c>
      <c r="L404" s="137">
        <v>4.75</v>
      </c>
      <c r="M404" s="137">
        <v>4.87</v>
      </c>
      <c r="N404" s="137">
        <v>4.46</v>
      </c>
      <c r="O404" s="137">
        <v>4.2298999999999998</v>
      </c>
      <c r="P404" s="137">
        <v>8.5299999999999994</v>
      </c>
      <c r="Q404" s="137">
        <v>5.0198999999999998</v>
      </c>
      <c r="R404" s="137">
        <v>0</v>
      </c>
      <c r="S404" s="137">
        <v>5.08</v>
      </c>
      <c r="T404" s="137">
        <v>4.88</v>
      </c>
      <c r="U404" s="137">
        <v>4.68</v>
      </c>
      <c r="V404" s="137">
        <v>4.7798999999999996</v>
      </c>
      <c r="W404" s="140">
        <v>14122925</v>
      </c>
      <c r="X404" s="56">
        <f t="shared" si="12"/>
        <v>1</v>
      </c>
      <c r="Y404" s="56" t="str">
        <f t="shared" si="13"/>
        <v>LOGUEO</v>
      </c>
    </row>
    <row r="405" spans="1:25" ht="15" x14ac:dyDescent="0.25">
      <c r="A405" s="136" t="s">
        <v>468</v>
      </c>
      <c r="B405" s="137">
        <v>2.2599999999999998</v>
      </c>
      <c r="C405" s="137">
        <v>5.47</v>
      </c>
      <c r="D405" s="137">
        <v>4.9398999999999997</v>
      </c>
      <c r="E405" s="137">
        <v>3.97</v>
      </c>
      <c r="F405" s="137">
        <v>2.4300000000000002</v>
      </c>
      <c r="G405" s="137">
        <v>6.77</v>
      </c>
      <c r="H405" s="137">
        <v>3.45</v>
      </c>
      <c r="I405" s="137">
        <v>3.85</v>
      </c>
      <c r="J405" s="137">
        <v>4.72</v>
      </c>
      <c r="K405" s="137">
        <v>6.77</v>
      </c>
      <c r="L405" s="137">
        <v>4.92</v>
      </c>
      <c r="M405" s="137">
        <v>6.57</v>
      </c>
      <c r="N405" s="137">
        <v>4.47</v>
      </c>
      <c r="O405" s="137">
        <v>3.61</v>
      </c>
      <c r="P405" s="137">
        <v>1.72</v>
      </c>
      <c r="Q405" s="137">
        <v>5.96</v>
      </c>
      <c r="R405" s="137">
        <v>5.34</v>
      </c>
      <c r="S405" s="137">
        <v>3.94</v>
      </c>
      <c r="T405" s="137">
        <v>5.8</v>
      </c>
      <c r="U405" s="137">
        <v>5.15</v>
      </c>
      <c r="V405" s="137">
        <v>5.13</v>
      </c>
      <c r="W405" s="140">
        <v>14122927</v>
      </c>
      <c r="X405" s="56">
        <f t="shared" si="12"/>
        <v>0</v>
      </c>
      <c r="Y405" s="56" t="str">
        <f t="shared" si="13"/>
        <v>LOGUEO</v>
      </c>
    </row>
    <row r="406" spans="1:25" ht="15" x14ac:dyDescent="0.25">
      <c r="A406" s="136" t="s">
        <v>486</v>
      </c>
      <c r="B406" s="137">
        <v>0</v>
      </c>
      <c r="C406" s="137">
        <v>0</v>
      </c>
      <c r="D406" s="137">
        <v>0</v>
      </c>
      <c r="E406" s="137">
        <v>0</v>
      </c>
      <c r="F406" s="137">
        <v>0</v>
      </c>
      <c r="G406" s="137">
        <v>0</v>
      </c>
      <c r="H406" s="137">
        <v>0</v>
      </c>
      <c r="I406" s="137">
        <v>0</v>
      </c>
      <c r="J406" s="137">
        <v>0</v>
      </c>
      <c r="K406" s="137">
        <v>0</v>
      </c>
      <c r="L406" s="137">
        <v>0</v>
      </c>
      <c r="M406" s="137">
        <v>0</v>
      </c>
      <c r="N406" s="137">
        <v>0</v>
      </c>
      <c r="O406" s="137">
        <v>0</v>
      </c>
      <c r="P406" s="137">
        <v>0</v>
      </c>
      <c r="Q406" s="137">
        <v>0</v>
      </c>
      <c r="R406" s="137">
        <v>0</v>
      </c>
      <c r="S406" s="137">
        <v>0</v>
      </c>
      <c r="T406" s="137">
        <v>0</v>
      </c>
      <c r="U406" s="137">
        <v>0</v>
      </c>
      <c r="V406" s="137">
        <v>0</v>
      </c>
      <c r="W406" s="140">
        <v>14123084</v>
      </c>
      <c r="X406" s="56">
        <f t="shared" si="12"/>
        <v>7</v>
      </c>
      <c r="Y406" s="56" t="str">
        <f t="shared" si="13"/>
        <v>NO LOGUEO</v>
      </c>
    </row>
    <row r="407" spans="1:25" ht="15" x14ac:dyDescent="0.25">
      <c r="A407" s="136" t="s">
        <v>2024</v>
      </c>
      <c r="B407" s="137">
        <v>0</v>
      </c>
      <c r="C407" s="137">
        <v>0</v>
      </c>
      <c r="D407" s="137">
        <v>0</v>
      </c>
      <c r="E407" s="137">
        <v>0</v>
      </c>
      <c r="F407" s="137">
        <v>0</v>
      </c>
      <c r="G407" s="137">
        <v>0</v>
      </c>
      <c r="H407" s="137">
        <v>0</v>
      </c>
      <c r="I407" s="137">
        <v>0</v>
      </c>
      <c r="J407" s="137">
        <v>0</v>
      </c>
      <c r="K407" s="137">
        <v>0</v>
      </c>
      <c r="L407" s="137">
        <v>0</v>
      </c>
      <c r="M407" s="137">
        <v>0</v>
      </c>
      <c r="N407" s="137">
        <v>0</v>
      </c>
      <c r="O407" s="137">
        <v>0</v>
      </c>
      <c r="P407" s="137">
        <v>0</v>
      </c>
      <c r="Q407" s="137">
        <v>0</v>
      </c>
      <c r="R407" s="137">
        <v>0</v>
      </c>
      <c r="S407" s="137">
        <v>0</v>
      </c>
      <c r="T407" s="137">
        <v>0</v>
      </c>
      <c r="U407" s="137">
        <v>0</v>
      </c>
      <c r="V407" s="137">
        <v>0</v>
      </c>
      <c r="W407" s="140" t="s">
        <v>1609</v>
      </c>
      <c r="X407" s="56">
        <f t="shared" si="12"/>
        <v>7</v>
      </c>
      <c r="Y407" s="56" t="str">
        <f t="shared" si="13"/>
        <v>NO LOGUEO</v>
      </c>
    </row>
    <row r="408" spans="1:25" ht="15" x14ac:dyDescent="0.25">
      <c r="A408" s="136" t="s">
        <v>976</v>
      </c>
      <c r="B408" s="137">
        <v>4.76</v>
      </c>
      <c r="C408" s="137">
        <v>2.4500000000000002</v>
      </c>
      <c r="D408" s="137">
        <v>0</v>
      </c>
      <c r="E408" s="137">
        <v>3.74</v>
      </c>
      <c r="F408" s="137">
        <v>5.7798999999999996</v>
      </c>
      <c r="G408" s="137">
        <v>5.0999999999999996</v>
      </c>
      <c r="H408" s="137">
        <v>6.16</v>
      </c>
      <c r="I408" s="137">
        <v>5.69</v>
      </c>
      <c r="J408" s="137">
        <v>4.9398999999999997</v>
      </c>
      <c r="K408" s="137">
        <v>5</v>
      </c>
      <c r="L408" s="137">
        <v>3.2698999999999998</v>
      </c>
      <c r="M408" s="137">
        <v>0</v>
      </c>
      <c r="N408" s="137">
        <v>6.84</v>
      </c>
      <c r="O408" s="137">
        <v>5.5</v>
      </c>
      <c r="P408" s="137">
        <v>4.8598999999999997</v>
      </c>
      <c r="Q408" s="137">
        <v>6.1</v>
      </c>
      <c r="R408" s="137">
        <v>5.0599999999999996</v>
      </c>
      <c r="S408" s="137">
        <v>7.38</v>
      </c>
      <c r="T408" s="137">
        <v>5.5298999999999996</v>
      </c>
      <c r="U408" s="137">
        <v>5.2</v>
      </c>
      <c r="V408" s="137">
        <v>5.18</v>
      </c>
      <c r="W408" s="140" t="s">
        <v>1609</v>
      </c>
      <c r="X408" s="56">
        <f t="shared" si="12"/>
        <v>0</v>
      </c>
      <c r="Y408" s="56" t="str">
        <f t="shared" si="13"/>
        <v>LOGUEO</v>
      </c>
    </row>
    <row r="409" spans="1:25" ht="15" x14ac:dyDescent="0.25">
      <c r="A409" s="136" t="s">
        <v>1974</v>
      </c>
      <c r="B409" s="137">
        <v>0</v>
      </c>
      <c r="C409" s="137">
        <v>0</v>
      </c>
      <c r="D409" s="137">
        <v>0</v>
      </c>
      <c r="E409" s="137">
        <v>0</v>
      </c>
      <c r="F409" s="137">
        <v>0</v>
      </c>
      <c r="G409" s="137">
        <v>0</v>
      </c>
      <c r="H409" s="137">
        <v>0</v>
      </c>
      <c r="I409" s="137">
        <v>0</v>
      </c>
      <c r="J409" s="137">
        <v>0</v>
      </c>
      <c r="K409" s="137">
        <v>0</v>
      </c>
      <c r="L409" s="137">
        <v>0</v>
      </c>
      <c r="M409" s="137">
        <v>0</v>
      </c>
      <c r="N409" s="137">
        <v>0</v>
      </c>
      <c r="O409" s="137">
        <v>0</v>
      </c>
      <c r="P409" s="137">
        <v>0</v>
      </c>
      <c r="Q409" s="137">
        <v>1.87</v>
      </c>
      <c r="R409" s="137">
        <v>1.68</v>
      </c>
      <c r="S409" s="137">
        <v>0</v>
      </c>
      <c r="T409" s="137">
        <v>0</v>
      </c>
      <c r="U409" s="137">
        <v>0</v>
      </c>
      <c r="V409" s="137">
        <v>0</v>
      </c>
      <c r="W409" s="140">
        <v>14113139</v>
      </c>
      <c r="X409" s="56">
        <f t="shared" si="12"/>
        <v>5</v>
      </c>
      <c r="Y409" s="56" t="str">
        <f t="shared" si="13"/>
        <v>NO LOGUEO</v>
      </c>
    </row>
    <row r="410" spans="1:25" ht="15" x14ac:dyDescent="0.25">
      <c r="A410" s="136" t="s">
        <v>1587</v>
      </c>
      <c r="B410" s="137">
        <v>4.82</v>
      </c>
      <c r="C410" s="137">
        <v>7.62</v>
      </c>
      <c r="D410" s="137">
        <v>9.64</v>
      </c>
      <c r="E410" s="137">
        <v>9.2098999999999993</v>
      </c>
      <c r="F410" s="137">
        <v>2.0699999999999998</v>
      </c>
      <c r="G410" s="137">
        <v>10.2499</v>
      </c>
      <c r="H410" s="137">
        <v>8.8000000000000007</v>
      </c>
      <c r="I410" s="137">
        <v>4.6500000000000004</v>
      </c>
      <c r="J410" s="137">
        <v>7.18</v>
      </c>
      <c r="K410" s="137">
        <v>10.369899999999999</v>
      </c>
      <c r="L410" s="137">
        <v>8.26</v>
      </c>
      <c r="M410" s="137">
        <v>9.83</v>
      </c>
      <c r="N410" s="137">
        <v>8.39</v>
      </c>
      <c r="O410" s="137">
        <v>9.5</v>
      </c>
      <c r="P410" s="137">
        <v>7.1</v>
      </c>
      <c r="Q410" s="137">
        <v>8.85</v>
      </c>
      <c r="R410" s="137">
        <v>0</v>
      </c>
      <c r="S410" s="137">
        <v>6.29</v>
      </c>
      <c r="T410" s="137">
        <v>8.6</v>
      </c>
      <c r="U410" s="137">
        <v>6.5</v>
      </c>
      <c r="V410" s="137">
        <v>8.24</v>
      </c>
      <c r="W410" s="140">
        <v>14121600</v>
      </c>
      <c r="X410" s="56">
        <f t="shared" si="12"/>
        <v>1</v>
      </c>
      <c r="Y410" s="56" t="str">
        <f t="shared" si="13"/>
        <v>LOGUEO</v>
      </c>
    </row>
    <row r="411" spans="1:25" ht="15" x14ac:dyDescent="0.25">
      <c r="A411" s="136" t="s">
        <v>959</v>
      </c>
      <c r="B411" s="137">
        <v>0</v>
      </c>
      <c r="C411" s="137">
        <v>0</v>
      </c>
      <c r="D411" s="137">
        <v>0</v>
      </c>
      <c r="E411" s="137">
        <v>0</v>
      </c>
      <c r="F411" s="137">
        <v>0</v>
      </c>
      <c r="G411" s="137">
        <v>0</v>
      </c>
      <c r="H411" s="137">
        <v>0</v>
      </c>
      <c r="I411" s="137">
        <v>0</v>
      </c>
      <c r="J411" s="137">
        <v>0</v>
      </c>
      <c r="K411" s="137">
        <v>0</v>
      </c>
      <c r="L411" s="137">
        <v>0</v>
      </c>
      <c r="M411" s="137">
        <v>0</v>
      </c>
      <c r="N411" s="137">
        <v>0</v>
      </c>
      <c r="O411" s="137">
        <v>0</v>
      </c>
      <c r="P411" s="137">
        <v>0</v>
      </c>
      <c r="Q411" s="137">
        <v>0</v>
      </c>
      <c r="R411" s="137">
        <v>2.52</v>
      </c>
      <c r="S411" s="137">
        <v>2.78</v>
      </c>
      <c r="T411" s="137">
        <v>6.69</v>
      </c>
      <c r="U411" s="137">
        <v>1.95</v>
      </c>
      <c r="V411" s="137">
        <v>5.51</v>
      </c>
      <c r="W411" s="140" t="s">
        <v>1609</v>
      </c>
      <c r="X411" s="56">
        <f t="shared" si="12"/>
        <v>2</v>
      </c>
      <c r="Y411" s="56" t="str">
        <f t="shared" si="13"/>
        <v>NO LOGUEO</v>
      </c>
    </row>
    <row r="412" spans="1:25" ht="15" x14ac:dyDescent="0.25">
      <c r="A412" s="136" t="s">
        <v>310</v>
      </c>
      <c r="B412" s="137">
        <v>13.36</v>
      </c>
      <c r="C412" s="137">
        <v>14.8</v>
      </c>
      <c r="D412" s="137">
        <v>14.9099</v>
      </c>
      <c r="E412" s="137">
        <v>0</v>
      </c>
      <c r="F412" s="137">
        <v>10.49</v>
      </c>
      <c r="G412" s="137">
        <v>19.819900000000001</v>
      </c>
      <c r="H412" s="137">
        <v>10.92</v>
      </c>
      <c r="I412" s="137">
        <v>9.51</v>
      </c>
      <c r="J412" s="137">
        <v>9.1198999999999995</v>
      </c>
      <c r="K412" s="137">
        <v>15</v>
      </c>
      <c r="L412" s="137">
        <v>11.01</v>
      </c>
      <c r="M412" s="137">
        <v>9.25</v>
      </c>
      <c r="N412" s="137">
        <v>11.19</v>
      </c>
      <c r="O412" s="137">
        <v>15.37</v>
      </c>
      <c r="P412" s="137">
        <v>0</v>
      </c>
      <c r="Q412" s="137">
        <v>10.33</v>
      </c>
      <c r="R412" s="137">
        <v>10.479900000000001</v>
      </c>
      <c r="S412" s="137">
        <v>12.85</v>
      </c>
      <c r="T412" s="137">
        <v>18.18</v>
      </c>
      <c r="U412" s="137">
        <v>16.41</v>
      </c>
      <c r="V412" s="137">
        <v>17.45</v>
      </c>
      <c r="W412" s="140">
        <v>14121013</v>
      </c>
      <c r="X412" s="56">
        <f t="shared" si="12"/>
        <v>1</v>
      </c>
      <c r="Y412" s="56" t="str">
        <f t="shared" si="13"/>
        <v>LOGUEO</v>
      </c>
    </row>
    <row r="413" spans="1:25" ht="15" x14ac:dyDescent="0.25">
      <c r="A413" s="136" t="s">
        <v>449</v>
      </c>
      <c r="B413" s="137">
        <v>0</v>
      </c>
      <c r="C413" s="137">
        <v>6.77</v>
      </c>
      <c r="D413" s="137">
        <v>7.48</v>
      </c>
      <c r="E413" s="137">
        <v>5.05</v>
      </c>
      <c r="F413" s="137">
        <v>3.21</v>
      </c>
      <c r="G413" s="137">
        <v>6.1999000000000004</v>
      </c>
      <c r="H413" s="137">
        <v>6.99</v>
      </c>
      <c r="I413" s="137">
        <v>0</v>
      </c>
      <c r="J413" s="137">
        <v>3.96</v>
      </c>
      <c r="K413" s="137">
        <v>0</v>
      </c>
      <c r="L413" s="137">
        <v>2.63</v>
      </c>
      <c r="M413" s="137">
        <v>6.82</v>
      </c>
      <c r="N413" s="137">
        <v>7.32</v>
      </c>
      <c r="O413" s="137">
        <v>6.7</v>
      </c>
      <c r="P413" s="137">
        <v>0</v>
      </c>
      <c r="Q413" s="137">
        <v>8</v>
      </c>
      <c r="R413" s="137">
        <v>7.62</v>
      </c>
      <c r="S413" s="137">
        <v>7.61</v>
      </c>
      <c r="T413" s="137">
        <v>7.1199000000000003</v>
      </c>
      <c r="U413" s="137">
        <v>7.12</v>
      </c>
      <c r="V413" s="137">
        <v>6.33</v>
      </c>
      <c r="W413" s="140">
        <v>14122773</v>
      </c>
      <c r="X413" s="56">
        <f t="shared" si="12"/>
        <v>1</v>
      </c>
      <c r="Y413" s="56" t="str">
        <f t="shared" si="13"/>
        <v>LOGUEO</v>
      </c>
    </row>
    <row r="414" spans="1:25" ht="15" x14ac:dyDescent="0.25">
      <c r="A414" s="136" t="s">
        <v>125</v>
      </c>
      <c r="B414" s="137">
        <v>0</v>
      </c>
      <c r="C414" s="137">
        <v>2.5099</v>
      </c>
      <c r="D414" s="137">
        <v>7.07</v>
      </c>
      <c r="E414" s="137">
        <v>5.0198999999999998</v>
      </c>
      <c r="F414" s="137">
        <v>0</v>
      </c>
      <c r="G414" s="137">
        <v>4.71</v>
      </c>
      <c r="H414" s="137">
        <v>0</v>
      </c>
      <c r="I414" s="137">
        <v>0</v>
      </c>
      <c r="J414" s="137">
        <v>0</v>
      </c>
      <c r="K414" s="137">
        <v>0</v>
      </c>
      <c r="L414" s="137">
        <v>4.47</v>
      </c>
      <c r="M414" s="137">
        <v>5.15</v>
      </c>
      <c r="N414" s="137">
        <v>4.9398999999999997</v>
      </c>
      <c r="O414" s="137">
        <v>5.0598999999999998</v>
      </c>
      <c r="P414" s="137">
        <v>0</v>
      </c>
      <c r="Q414" s="137">
        <v>4.58</v>
      </c>
      <c r="R414" s="137">
        <v>4.78</v>
      </c>
      <c r="S414" s="137">
        <v>5.45</v>
      </c>
      <c r="T414" s="137">
        <v>5.0198999999999998</v>
      </c>
      <c r="U414" s="137">
        <v>4.3098999999999998</v>
      </c>
      <c r="V414" s="137">
        <v>5.04</v>
      </c>
      <c r="W414" s="140">
        <v>14113146</v>
      </c>
      <c r="X414" s="56">
        <f t="shared" si="12"/>
        <v>1</v>
      </c>
      <c r="Y414" s="56" t="str">
        <f t="shared" si="13"/>
        <v>LOGUEO</v>
      </c>
    </row>
    <row r="415" spans="1:25" ht="15" x14ac:dyDescent="0.25">
      <c r="A415" s="136" t="s">
        <v>144</v>
      </c>
      <c r="B415" s="137">
        <v>8.4600000000000009</v>
      </c>
      <c r="C415" s="137">
        <v>0</v>
      </c>
      <c r="D415" s="137">
        <v>8.6999999999999993</v>
      </c>
      <c r="E415" s="137">
        <v>11.36</v>
      </c>
      <c r="F415" s="137">
        <v>3.75</v>
      </c>
      <c r="G415" s="137">
        <v>11.34</v>
      </c>
      <c r="H415" s="137">
        <v>13.31</v>
      </c>
      <c r="I415" s="137">
        <v>5.63</v>
      </c>
      <c r="J415" s="137">
        <v>0</v>
      </c>
      <c r="K415" s="137">
        <v>0</v>
      </c>
      <c r="L415" s="137">
        <v>8</v>
      </c>
      <c r="M415" s="137">
        <v>7.93</v>
      </c>
      <c r="N415" s="137">
        <v>7.64</v>
      </c>
      <c r="O415" s="137">
        <v>8.25</v>
      </c>
      <c r="P415" s="137">
        <v>10.789899999999999</v>
      </c>
      <c r="Q415" s="137">
        <v>0.55000000000000004</v>
      </c>
      <c r="R415" s="137">
        <v>6.82</v>
      </c>
      <c r="S415" s="137">
        <v>4.7300000000000004</v>
      </c>
      <c r="T415" s="137">
        <v>5.4798999999999998</v>
      </c>
      <c r="U415" s="137">
        <v>8.01</v>
      </c>
      <c r="V415" s="137">
        <v>11</v>
      </c>
      <c r="W415" s="140">
        <v>14115536</v>
      </c>
      <c r="X415" s="56">
        <f t="shared" si="12"/>
        <v>0</v>
      </c>
      <c r="Y415" s="56" t="str">
        <f t="shared" si="13"/>
        <v>LOGUEO</v>
      </c>
    </row>
    <row r="416" spans="1:25" ht="15" x14ac:dyDescent="0.25">
      <c r="A416" s="136" t="s">
        <v>2399</v>
      </c>
      <c r="B416" s="137">
        <v>0</v>
      </c>
      <c r="C416" s="137">
        <v>0</v>
      </c>
      <c r="D416" s="137">
        <v>0</v>
      </c>
      <c r="E416" s="137">
        <v>0</v>
      </c>
      <c r="F416" s="137">
        <v>0</v>
      </c>
      <c r="G416" s="137">
        <v>0</v>
      </c>
      <c r="H416" s="137">
        <v>0</v>
      </c>
      <c r="I416" s="137">
        <v>0</v>
      </c>
      <c r="J416" s="137">
        <v>0</v>
      </c>
      <c r="K416" s="137">
        <v>0</v>
      </c>
      <c r="L416" s="137">
        <v>0</v>
      </c>
      <c r="M416" s="137">
        <v>0</v>
      </c>
      <c r="N416" s="137">
        <v>0</v>
      </c>
      <c r="O416" s="137">
        <v>0</v>
      </c>
      <c r="P416" s="137">
        <v>0</v>
      </c>
      <c r="Q416" s="137">
        <v>0</v>
      </c>
      <c r="R416" s="137">
        <v>0</v>
      </c>
      <c r="S416" s="137">
        <v>1.6298999999999999</v>
      </c>
      <c r="T416" s="137">
        <v>11.809900000000001</v>
      </c>
      <c r="U416" s="137">
        <v>2.6</v>
      </c>
      <c r="V416" s="137">
        <v>8.9600000000000009</v>
      </c>
      <c r="W416" s="140" t="s">
        <v>1609</v>
      </c>
      <c r="X416" s="56">
        <f t="shared" si="12"/>
        <v>3</v>
      </c>
      <c r="Y416" s="56" t="str">
        <f t="shared" si="13"/>
        <v>NO LOGUEO</v>
      </c>
    </row>
    <row r="417" spans="1:25" ht="15" x14ac:dyDescent="0.25">
      <c r="A417" s="136" t="s">
        <v>1907</v>
      </c>
      <c r="B417" s="137">
        <v>0</v>
      </c>
      <c r="C417" s="137">
        <v>0</v>
      </c>
      <c r="D417" s="137">
        <v>0</v>
      </c>
      <c r="E417" s="137">
        <v>0</v>
      </c>
      <c r="F417" s="137">
        <v>0</v>
      </c>
      <c r="G417" s="137">
        <v>0</v>
      </c>
      <c r="H417" s="137">
        <v>0</v>
      </c>
      <c r="I417" s="137">
        <v>0</v>
      </c>
      <c r="J417" s="137">
        <v>0</v>
      </c>
      <c r="K417" s="137">
        <v>0</v>
      </c>
      <c r="L417" s="137">
        <v>0</v>
      </c>
      <c r="M417" s="137">
        <v>0</v>
      </c>
      <c r="N417" s="137">
        <v>0</v>
      </c>
      <c r="O417" s="137">
        <v>0</v>
      </c>
      <c r="P417" s="137">
        <v>0</v>
      </c>
      <c r="Q417" s="137">
        <v>0</v>
      </c>
      <c r="R417" s="137">
        <v>0</v>
      </c>
      <c r="S417" s="137">
        <v>0</v>
      </c>
      <c r="T417" s="137">
        <v>0</v>
      </c>
      <c r="U417" s="137">
        <v>0</v>
      </c>
      <c r="V417" s="137">
        <v>0</v>
      </c>
      <c r="W417" s="140" t="s">
        <v>1609</v>
      </c>
      <c r="X417" s="56">
        <f t="shared" si="12"/>
        <v>7</v>
      </c>
      <c r="Y417" s="56" t="str">
        <f t="shared" si="13"/>
        <v>NO LOGUEO</v>
      </c>
    </row>
    <row r="418" spans="1:25" ht="15" x14ac:dyDescent="0.25">
      <c r="A418" s="136" t="s">
        <v>965</v>
      </c>
      <c r="B418" s="137">
        <v>7.71</v>
      </c>
      <c r="C418" s="137">
        <v>5.3998999999999997</v>
      </c>
      <c r="D418" s="137">
        <v>5.01</v>
      </c>
      <c r="E418" s="137">
        <v>7.18</v>
      </c>
      <c r="F418" s="137">
        <v>7.23</v>
      </c>
      <c r="G418" s="137">
        <v>6.1398999999999999</v>
      </c>
      <c r="H418" s="137">
        <v>5.5698999999999996</v>
      </c>
      <c r="I418" s="137">
        <v>6.75</v>
      </c>
      <c r="J418" s="137">
        <v>0</v>
      </c>
      <c r="K418" s="137">
        <v>5.83</v>
      </c>
      <c r="L418" s="137">
        <v>6.12</v>
      </c>
      <c r="M418" s="137">
        <v>9.1</v>
      </c>
      <c r="N418" s="137">
        <v>5.9798999999999998</v>
      </c>
      <c r="O418" s="137">
        <v>5.85</v>
      </c>
      <c r="P418" s="137">
        <v>6.54</v>
      </c>
      <c r="Q418" s="137">
        <v>5.89</v>
      </c>
      <c r="R418" s="137">
        <v>5.97</v>
      </c>
      <c r="S418" s="137">
        <v>5.7899000000000003</v>
      </c>
      <c r="T418" s="137">
        <v>9.36</v>
      </c>
      <c r="U418" s="137">
        <v>5.4798999999999998</v>
      </c>
      <c r="V418" s="137">
        <v>0</v>
      </c>
      <c r="W418" s="140" t="s">
        <v>1609</v>
      </c>
      <c r="X418" s="56">
        <f t="shared" si="12"/>
        <v>1</v>
      </c>
      <c r="Y418" s="56" t="str">
        <f t="shared" si="13"/>
        <v>LOGUEO</v>
      </c>
    </row>
    <row r="419" spans="1:25" ht="15" x14ac:dyDescent="0.25">
      <c r="A419" s="136" t="s">
        <v>1975</v>
      </c>
      <c r="B419" s="137">
        <v>0</v>
      </c>
      <c r="C419" s="137">
        <v>0</v>
      </c>
      <c r="D419" s="137">
        <v>0</v>
      </c>
      <c r="E419" s="137">
        <v>0</v>
      </c>
      <c r="F419" s="137">
        <v>0</v>
      </c>
      <c r="G419" s="137">
        <v>0</v>
      </c>
      <c r="H419" s="137">
        <v>0</v>
      </c>
      <c r="I419" s="137">
        <v>0</v>
      </c>
      <c r="J419" s="137">
        <v>0</v>
      </c>
      <c r="K419" s="137">
        <v>0</v>
      </c>
      <c r="L419" s="137">
        <v>0</v>
      </c>
      <c r="M419" s="137">
        <v>0</v>
      </c>
      <c r="N419" s="137">
        <v>0</v>
      </c>
      <c r="O419" s="137">
        <v>0</v>
      </c>
      <c r="P419" s="137">
        <v>0</v>
      </c>
      <c r="Q419" s="137">
        <v>0</v>
      </c>
      <c r="R419" s="137">
        <v>0</v>
      </c>
      <c r="S419" s="137">
        <v>0</v>
      </c>
      <c r="T419" s="137">
        <v>0</v>
      </c>
      <c r="U419" s="137">
        <v>0</v>
      </c>
      <c r="V419" s="137">
        <v>0</v>
      </c>
      <c r="W419" s="140" t="s">
        <v>1609</v>
      </c>
      <c r="X419" s="56">
        <f t="shared" si="12"/>
        <v>7</v>
      </c>
      <c r="Y419" s="56" t="str">
        <f t="shared" si="13"/>
        <v>NO LOGUEO</v>
      </c>
    </row>
    <row r="420" spans="1:25" ht="15" x14ac:dyDescent="0.25">
      <c r="A420" s="136" t="s">
        <v>1610</v>
      </c>
      <c r="B420" s="137">
        <v>0</v>
      </c>
      <c r="C420" s="137">
        <v>5.39</v>
      </c>
      <c r="D420" s="137">
        <v>2.0499999999999998</v>
      </c>
      <c r="E420" s="137">
        <v>1.87</v>
      </c>
      <c r="F420" s="137">
        <v>1.82</v>
      </c>
      <c r="G420" s="137">
        <v>4.13</v>
      </c>
      <c r="H420" s="137">
        <v>5.6</v>
      </c>
      <c r="I420" s="137">
        <v>4.6999000000000004</v>
      </c>
      <c r="J420" s="137">
        <v>3.65</v>
      </c>
      <c r="K420" s="137">
        <v>4.3499999999999996</v>
      </c>
      <c r="L420" s="137">
        <v>5.59</v>
      </c>
      <c r="M420" s="137">
        <v>2.75</v>
      </c>
      <c r="N420" s="137">
        <v>6.06</v>
      </c>
      <c r="O420" s="137">
        <v>0.8</v>
      </c>
      <c r="P420" s="137">
        <v>0</v>
      </c>
      <c r="Q420" s="137">
        <v>1.1499999999999999</v>
      </c>
      <c r="R420" s="137">
        <v>4.7398999999999996</v>
      </c>
      <c r="S420" s="137">
        <v>2.08</v>
      </c>
      <c r="T420" s="137">
        <v>5.34</v>
      </c>
      <c r="U420" s="137">
        <v>2.02</v>
      </c>
      <c r="V420" s="137">
        <v>5.0298999999999996</v>
      </c>
      <c r="W420" s="140" t="s">
        <v>1609</v>
      </c>
      <c r="X420" s="56">
        <f t="shared" si="12"/>
        <v>1</v>
      </c>
      <c r="Y420" s="56" t="str">
        <f t="shared" si="13"/>
        <v>LOGUEO</v>
      </c>
    </row>
    <row r="421" spans="1:25" ht="15" x14ac:dyDescent="0.25">
      <c r="A421" s="136" t="s">
        <v>556</v>
      </c>
      <c r="B421" s="137">
        <v>1.57</v>
      </c>
      <c r="C421" s="137">
        <v>0</v>
      </c>
      <c r="D421" s="137">
        <v>0</v>
      </c>
      <c r="E421" s="137">
        <v>0</v>
      </c>
      <c r="F421" s="137">
        <v>0</v>
      </c>
      <c r="G421" s="137">
        <v>0</v>
      </c>
      <c r="H421" s="137">
        <v>0</v>
      </c>
      <c r="I421" s="137">
        <v>0.63</v>
      </c>
      <c r="J421" s="137">
        <v>0</v>
      </c>
      <c r="K421" s="137">
        <v>0</v>
      </c>
      <c r="L421" s="137">
        <v>0</v>
      </c>
      <c r="M421" s="137">
        <v>0</v>
      </c>
      <c r="N421" s="137">
        <v>0</v>
      </c>
      <c r="O421" s="137">
        <v>0</v>
      </c>
      <c r="P421" s="137">
        <v>0</v>
      </c>
      <c r="Q421" s="137">
        <v>0</v>
      </c>
      <c r="R421" s="137">
        <v>0</v>
      </c>
      <c r="S421" s="137">
        <v>5.6898999999999997</v>
      </c>
      <c r="T421" s="137">
        <v>7.32</v>
      </c>
      <c r="U421" s="137">
        <v>9.25</v>
      </c>
      <c r="V421" s="137">
        <v>8.5</v>
      </c>
      <c r="W421" s="140" t="s">
        <v>1609</v>
      </c>
      <c r="X421" s="56">
        <f t="shared" si="12"/>
        <v>3</v>
      </c>
      <c r="Y421" s="56" t="str">
        <f t="shared" si="13"/>
        <v>NO LOGUEO</v>
      </c>
    </row>
    <row r="422" spans="1:25" ht="15" x14ac:dyDescent="0.25">
      <c r="A422" s="136" t="s">
        <v>946</v>
      </c>
      <c r="B422" s="137">
        <v>4.54</v>
      </c>
      <c r="C422" s="137">
        <v>6.52</v>
      </c>
      <c r="D422" s="137">
        <v>10.14</v>
      </c>
      <c r="E422" s="137">
        <v>2.62</v>
      </c>
      <c r="F422" s="137">
        <v>1.18</v>
      </c>
      <c r="G422" s="137">
        <v>6.5899000000000001</v>
      </c>
      <c r="H422" s="137">
        <v>6.96</v>
      </c>
      <c r="I422" s="137">
        <v>3.89</v>
      </c>
      <c r="J422" s="137">
        <v>2.25</v>
      </c>
      <c r="K422" s="137">
        <v>0</v>
      </c>
      <c r="L422" s="137">
        <v>3.38</v>
      </c>
      <c r="M422" s="137">
        <v>1.04</v>
      </c>
      <c r="N422" s="137">
        <v>6.96</v>
      </c>
      <c r="O422" s="137">
        <v>2.02</v>
      </c>
      <c r="P422" s="137">
        <v>0</v>
      </c>
      <c r="Q422" s="137">
        <v>4.63</v>
      </c>
      <c r="R422" s="137">
        <v>5.79</v>
      </c>
      <c r="S422" s="137">
        <v>6.98</v>
      </c>
      <c r="T422" s="137">
        <v>3.43</v>
      </c>
      <c r="U422" s="137">
        <v>5.85</v>
      </c>
      <c r="V422" s="137">
        <v>5.12</v>
      </c>
      <c r="W422" s="140" t="s">
        <v>1609</v>
      </c>
      <c r="X422" s="56">
        <f t="shared" si="12"/>
        <v>1</v>
      </c>
      <c r="Y422" s="56" t="str">
        <f t="shared" si="13"/>
        <v>LOGUEO</v>
      </c>
    </row>
    <row r="423" spans="1:25" ht="15" x14ac:dyDescent="0.25">
      <c r="A423" s="136" t="s">
        <v>980</v>
      </c>
      <c r="B423" s="137">
        <v>6.94</v>
      </c>
      <c r="C423" s="137">
        <v>9.5599000000000007</v>
      </c>
      <c r="D423" s="137">
        <v>6.77</v>
      </c>
      <c r="E423" s="137">
        <v>8.4600000000000009</v>
      </c>
      <c r="F423" s="137">
        <v>6.3198999999999996</v>
      </c>
      <c r="G423" s="137">
        <v>7.54</v>
      </c>
      <c r="H423" s="137">
        <v>6.67</v>
      </c>
      <c r="I423" s="137">
        <v>7.36</v>
      </c>
      <c r="J423" s="137">
        <v>8.6</v>
      </c>
      <c r="K423" s="137">
        <v>6.19</v>
      </c>
      <c r="L423" s="137">
        <v>0</v>
      </c>
      <c r="M423" s="137">
        <v>7.43</v>
      </c>
      <c r="N423" s="137">
        <v>13.52</v>
      </c>
      <c r="O423" s="137">
        <v>8.91</v>
      </c>
      <c r="P423" s="137">
        <v>9.06</v>
      </c>
      <c r="Q423" s="137">
        <v>10.479900000000001</v>
      </c>
      <c r="R423" s="137">
        <v>4.21</v>
      </c>
      <c r="S423" s="137">
        <v>4.0198999999999998</v>
      </c>
      <c r="T423" s="137">
        <v>9.0498999999999992</v>
      </c>
      <c r="U423" s="137">
        <v>9.01</v>
      </c>
      <c r="V423" s="137">
        <v>8.5599000000000007</v>
      </c>
      <c r="W423" s="140" t="s">
        <v>1609</v>
      </c>
      <c r="X423" s="56">
        <f t="shared" si="12"/>
        <v>0</v>
      </c>
      <c r="Y423" s="56" t="str">
        <f t="shared" si="13"/>
        <v>LOGUEO</v>
      </c>
    </row>
    <row r="424" spans="1:25" ht="15" x14ac:dyDescent="0.25">
      <c r="A424" s="136" t="s">
        <v>535</v>
      </c>
      <c r="B424" s="137">
        <v>8.8999000000000006</v>
      </c>
      <c r="C424" s="137">
        <v>10.78</v>
      </c>
      <c r="D424" s="137">
        <v>8.49</v>
      </c>
      <c r="E424" s="137">
        <v>3.91</v>
      </c>
      <c r="F424" s="137">
        <v>1.3798999999999999</v>
      </c>
      <c r="G424" s="137">
        <v>8.8000000000000007</v>
      </c>
      <c r="H424" s="137">
        <v>10.210000000000001</v>
      </c>
      <c r="I424" s="137">
        <v>9.27</v>
      </c>
      <c r="J424" s="137">
        <v>10.36</v>
      </c>
      <c r="K424" s="137">
        <v>8.52</v>
      </c>
      <c r="L424" s="137">
        <v>9.92</v>
      </c>
      <c r="M424" s="137">
        <v>11.13</v>
      </c>
      <c r="N424" s="137">
        <v>10.039999999999999</v>
      </c>
      <c r="O424" s="137">
        <v>8.1</v>
      </c>
      <c r="P424" s="137">
        <v>10.64</v>
      </c>
      <c r="Q424" s="137">
        <v>9.1999999999999993</v>
      </c>
      <c r="R424" s="137">
        <v>3.89</v>
      </c>
      <c r="S424" s="137">
        <v>1.73</v>
      </c>
      <c r="T424" s="137">
        <v>9.92</v>
      </c>
      <c r="U424" s="137">
        <v>8.4700000000000006</v>
      </c>
      <c r="V424" s="137">
        <v>9.4499999999999993</v>
      </c>
      <c r="W424" s="140" t="s">
        <v>1609</v>
      </c>
      <c r="X424" s="56">
        <f t="shared" si="12"/>
        <v>0</v>
      </c>
      <c r="Y424" s="56" t="str">
        <f t="shared" si="13"/>
        <v>LOGUEO</v>
      </c>
    </row>
    <row r="425" spans="1:25" ht="15" x14ac:dyDescent="0.25">
      <c r="A425" s="136" t="s">
        <v>186</v>
      </c>
      <c r="B425" s="137">
        <v>0</v>
      </c>
      <c r="C425" s="137">
        <v>5.43</v>
      </c>
      <c r="D425" s="137">
        <v>8.49</v>
      </c>
      <c r="E425" s="137">
        <v>14.04</v>
      </c>
      <c r="F425" s="137">
        <v>8.26</v>
      </c>
      <c r="G425" s="137">
        <v>12.149900000000001</v>
      </c>
      <c r="H425" s="137">
        <v>11.59</v>
      </c>
      <c r="I425" s="137">
        <v>9.7100000000000009</v>
      </c>
      <c r="J425" s="137">
        <v>8.65</v>
      </c>
      <c r="K425" s="137">
        <v>12.61</v>
      </c>
      <c r="L425" s="137">
        <v>10.49</v>
      </c>
      <c r="M425" s="137">
        <v>12.53</v>
      </c>
      <c r="N425" s="137">
        <v>10.069900000000001</v>
      </c>
      <c r="O425" s="137">
        <v>12.44</v>
      </c>
      <c r="P425" s="137">
        <v>0.3</v>
      </c>
      <c r="Q425" s="137">
        <v>8.43</v>
      </c>
      <c r="R425" s="137">
        <v>11.45</v>
      </c>
      <c r="S425" s="137">
        <v>12.73</v>
      </c>
      <c r="T425" s="137">
        <v>11.01</v>
      </c>
      <c r="U425" s="137">
        <v>11.1599</v>
      </c>
      <c r="V425" s="137">
        <v>10.629899999999999</v>
      </c>
      <c r="W425" s="140">
        <v>14117967</v>
      </c>
      <c r="X425" s="56">
        <f t="shared" si="12"/>
        <v>0</v>
      </c>
      <c r="Y425" s="56" t="str">
        <f t="shared" si="13"/>
        <v>LOGUEO</v>
      </c>
    </row>
    <row r="426" spans="1:25" ht="15" x14ac:dyDescent="0.25">
      <c r="A426" s="136" t="s">
        <v>1429</v>
      </c>
      <c r="B426" s="137">
        <v>0</v>
      </c>
      <c r="C426" s="137">
        <v>8.3099000000000007</v>
      </c>
      <c r="D426" s="137">
        <v>8.1999999999999993</v>
      </c>
      <c r="E426" s="137">
        <v>6.98</v>
      </c>
      <c r="F426" s="137">
        <v>8.35</v>
      </c>
      <c r="G426" s="137">
        <v>8.82</v>
      </c>
      <c r="H426" s="137">
        <v>8.35</v>
      </c>
      <c r="I426" s="137">
        <v>0</v>
      </c>
      <c r="J426" s="137">
        <v>8.1499000000000006</v>
      </c>
      <c r="K426" s="137">
        <v>7.94</v>
      </c>
      <c r="L426" s="137">
        <v>8.7998999999999992</v>
      </c>
      <c r="M426" s="137">
        <v>8.35</v>
      </c>
      <c r="N426" s="137">
        <v>8.8000000000000007</v>
      </c>
      <c r="O426" s="137">
        <v>8.2799999999999994</v>
      </c>
      <c r="P426" s="137">
        <v>0</v>
      </c>
      <c r="Q426" s="137">
        <v>8.1</v>
      </c>
      <c r="R426" s="137">
        <v>9.14</v>
      </c>
      <c r="S426" s="137">
        <v>9.0398999999999994</v>
      </c>
      <c r="T426" s="137">
        <v>9.2799999999999994</v>
      </c>
      <c r="U426" s="137">
        <v>4.72</v>
      </c>
      <c r="V426" s="137">
        <v>8.5500000000000007</v>
      </c>
      <c r="W426" s="140">
        <v>14108571</v>
      </c>
      <c r="X426" s="56">
        <f t="shared" si="12"/>
        <v>1</v>
      </c>
      <c r="Y426" s="56" t="str">
        <f t="shared" si="13"/>
        <v>LOGUEO</v>
      </c>
    </row>
    <row r="427" spans="1:25" ht="15" x14ac:dyDescent="0.25">
      <c r="A427" s="136" t="s">
        <v>375</v>
      </c>
      <c r="B427" s="137">
        <v>0</v>
      </c>
      <c r="C427" s="137">
        <v>5.01</v>
      </c>
      <c r="D427" s="137">
        <v>4.84</v>
      </c>
      <c r="E427" s="137">
        <v>3.28</v>
      </c>
      <c r="F427" s="137">
        <v>0</v>
      </c>
      <c r="G427" s="137">
        <v>3.8</v>
      </c>
      <c r="H427" s="137">
        <v>4.72</v>
      </c>
      <c r="I427" s="137">
        <v>2.2799999999999998</v>
      </c>
      <c r="J427" s="137">
        <v>4.6399999999999997</v>
      </c>
      <c r="K427" s="137">
        <v>4.83</v>
      </c>
      <c r="L427" s="137">
        <v>5.0999999999999996</v>
      </c>
      <c r="M427" s="137">
        <v>4.8899999999999997</v>
      </c>
      <c r="N427" s="137">
        <v>5.0999999999999996</v>
      </c>
      <c r="O427" s="137">
        <v>4.92</v>
      </c>
      <c r="P427" s="137">
        <v>0</v>
      </c>
      <c r="Q427" s="137">
        <v>5</v>
      </c>
      <c r="R427" s="137">
        <v>4.68</v>
      </c>
      <c r="S427" s="137">
        <v>4.8099999999999996</v>
      </c>
      <c r="T427" s="137">
        <v>5.1098999999999997</v>
      </c>
      <c r="U427" s="137">
        <v>4.42</v>
      </c>
      <c r="V427" s="137">
        <v>4.55</v>
      </c>
      <c r="W427" s="140">
        <v>14121964</v>
      </c>
      <c r="X427" s="56">
        <f t="shared" si="12"/>
        <v>1</v>
      </c>
      <c r="Y427" s="56" t="str">
        <f t="shared" si="13"/>
        <v>LOGUEO</v>
      </c>
    </row>
    <row r="428" spans="1:25" ht="15" x14ac:dyDescent="0.25">
      <c r="A428" s="136" t="s">
        <v>366</v>
      </c>
      <c r="B428" s="137">
        <v>5.8</v>
      </c>
      <c r="C428" s="137">
        <v>6.01</v>
      </c>
      <c r="D428" s="137">
        <v>7.16</v>
      </c>
      <c r="E428" s="137">
        <v>5.99</v>
      </c>
      <c r="F428" s="137">
        <v>6.7</v>
      </c>
      <c r="G428" s="137">
        <v>3.25</v>
      </c>
      <c r="H428" s="137">
        <v>6.55</v>
      </c>
      <c r="I428" s="137">
        <v>0</v>
      </c>
      <c r="J428" s="137">
        <v>6.69</v>
      </c>
      <c r="K428" s="137">
        <v>7.48</v>
      </c>
      <c r="L428" s="137">
        <v>8.7898999999999994</v>
      </c>
      <c r="M428" s="137">
        <v>6.67</v>
      </c>
      <c r="N428" s="137">
        <v>7.75</v>
      </c>
      <c r="O428" s="137">
        <v>8.6298999999999992</v>
      </c>
      <c r="P428" s="137">
        <v>6.3799000000000001</v>
      </c>
      <c r="Q428" s="137">
        <v>7.2099000000000002</v>
      </c>
      <c r="R428" s="137">
        <v>6.21</v>
      </c>
      <c r="S428" s="137">
        <v>6.2798999999999996</v>
      </c>
      <c r="T428" s="137">
        <v>0</v>
      </c>
      <c r="U428" s="137">
        <v>7.32</v>
      </c>
      <c r="V428" s="137">
        <v>4.87</v>
      </c>
      <c r="W428" s="140">
        <v>14121859</v>
      </c>
      <c r="X428" s="56">
        <f t="shared" si="12"/>
        <v>1</v>
      </c>
      <c r="Y428" s="56" t="str">
        <f t="shared" si="13"/>
        <v>LOGUEO</v>
      </c>
    </row>
    <row r="429" spans="1:25" ht="15" x14ac:dyDescent="0.25">
      <c r="A429" s="136" t="s">
        <v>495</v>
      </c>
      <c r="B429" s="137">
        <v>7.26</v>
      </c>
      <c r="C429" s="137">
        <v>8.57</v>
      </c>
      <c r="D429" s="137">
        <v>6.3</v>
      </c>
      <c r="E429" s="137">
        <v>0</v>
      </c>
      <c r="F429" s="137">
        <v>8.77</v>
      </c>
      <c r="G429" s="137">
        <v>7.9099000000000004</v>
      </c>
      <c r="H429" s="137">
        <v>9.0599000000000007</v>
      </c>
      <c r="I429" s="137">
        <v>8.98</v>
      </c>
      <c r="J429" s="137">
        <v>9.0299999999999994</v>
      </c>
      <c r="K429" s="137">
        <v>0</v>
      </c>
      <c r="L429" s="137">
        <v>10.66</v>
      </c>
      <c r="M429" s="137">
        <v>7.52</v>
      </c>
      <c r="N429" s="137">
        <v>7.63</v>
      </c>
      <c r="O429" s="137">
        <v>9.8699999999999992</v>
      </c>
      <c r="P429" s="137">
        <v>5.7899000000000003</v>
      </c>
      <c r="Q429" s="137">
        <v>7.37</v>
      </c>
      <c r="R429" s="137">
        <v>9.19</v>
      </c>
      <c r="S429" s="137">
        <v>0</v>
      </c>
      <c r="T429" s="137">
        <v>10.02</v>
      </c>
      <c r="U429" s="137">
        <v>11.45</v>
      </c>
      <c r="V429" s="137">
        <v>9.6</v>
      </c>
      <c r="W429" s="140">
        <v>14123238</v>
      </c>
      <c r="X429" s="56">
        <f t="shared" si="12"/>
        <v>1</v>
      </c>
      <c r="Y429" s="56" t="str">
        <f t="shared" si="13"/>
        <v>LOGUEO</v>
      </c>
    </row>
    <row r="430" spans="1:25" ht="15" x14ac:dyDescent="0.25">
      <c r="A430" s="136" t="s">
        <v>1598</v>
      </c>
      <c r="B430" s="137">
        <v>0</v>
      </c>
      <c r="C430" s="137">
        <v>10.17</v>
      </c>
      <c r="D430" s="137">
        <v>8.7898999999999994</v>
      </c>
      <c r="E430" s="137">
        <v>7.16</v>
      </c>
      <c r="F430" s="137">
        <v>7.83</v>
      </c>
      <c r="G430" s="137">
        <v>8.9899000000000004</v>
      </c>
      <c r="H430" s="137">
        <v>9.2799999999999994</v>
      </c>
      <c r="I430" s="137">
        <v>0</v>
      </c>
      <c r="J430" s="137">
        <v>8.77</v>
      </c>
      <c r="K430" s="137">
        <v>8.89</v>
      </c>
      <c r="L430" s="137">
        <v>8.6300000000000008</v>
      </c>
      <c r="M430" s="137">
        <v>12.04</v>
      </c>
      <c r="N430" s="137">
        <v>8.75</v>
      </c>
      <c r="O430" s="137">
        <v>8.92</v>
      </c>
      <c r="P430" s="137">
        <v>0</v>
      </c>
      <c r="Q430" s="137">
        <v>11.19</v>
      </c>
      <c r="R430" s="137">
        <v>13.9</v>
      </c>
      <c r="S430" s="137">
        <v>8.67</v>
      </c>
      <c r="T430" s="137">
        <v>7.75</v>
      </c>
      <c r="U430" s="137">
        <v>8.42</v>
      </c>
      <c r="V430" s="137">
        <v>7.71</v>
      </c>
      <c r="W430" s="140">
        <v>14104932</v>
      </c>
      <c r="X430" s="56">
        <f t="shared" si="12"/>
        <v>1</v>
      </c>
      <c r="Y430" s="56" t="str">
        <f t="shared" si="13"/>
        <v>LOGUEO</v>
      </c>
    </row>
    <row r="431" spans="1:25" ht="15" x14ac:dyDescent="0.25">
      <c r="A431" s="136" t="s">
        <v>214</v>
      </c>
      <c r="B431" s="137">
        <v>0</v>
      </c>
      <c r="C431" s="137">
        <v>5.33</v>
      </c>
      <c r="D431" s="137">
        <v>5.99</v>
      </c>
      <c r="E431" s="137">
        <v>3.95</v>
      </c>
      <c r="F431" s="137">
        <v>5.26</v>
      </c>
      <c r="G431" s="137">
        <v>4.9000000000000004</v>
      </c>
      <c r="H431" s="137">
        <v>4.1500000000000004</v>
      </c>
      <c r="I431" s="137">
        <v>4.05</v>
      </c>
      <c r="J431" s="137">
        <v>6.04</v>
      </c>
      <c r="K431" s="137">
        <v>6.89</v>
      </c>
      <c r="L431" s="137">
        <v>5.68</v>
      </c>
      <c r="M431" s="137">
        <v>8.32</v>
      </c>
      <c r="N431" s="137">
        <v>7.05</v>
      </c>
      <c r="O431" s="137">
        <v>7.74</v>
      </c>
      <c r="P431" s="137">
        <v>0</v>
      </c>
      <c r="Q431" s="137">
        <v>5.01</v>
      </c>
      <c r="R431" s="137">
        <v>0.55000000000000004</v>
      </c>
      <c r="S431" s="137">
        <v>5.6999000000000004</v>
      </c>
      <c r="T431" s="137">
        <v>5.97</v>
      </c>
      <c r="U431" s="137">
        <v>5.63</v>
      </c>
      <c r="V431" s="137">
        <v>4.29</v>
      </c>
      <c r="W431" s="140">
        <v>14109648</v>
      </c>
      <c r="X431" s="56">
        <f t="shared" si="12"/>
        <v>1</v>
      </c>
      <c r="Y431" s="56" t="str">
        <f t="shared" si="13"/>
        <v>LOGUEO</v>
      </c>
    </row>
    <row r="432" spans="1:25" ht="15" x14ac:dyDescent="0.25">
      <c r="A432" s="136" t="s">
        <v>421</v>
      </c>
      <c r="B432" s="137">
        <v>1.96</v>
      </c>
      <c r="C432" s="137">
        <v>4.55</v>
      </c>
      <c r="D432" s="137">
        <v>8.1999999999999993</v>
      </c>
      <c r="E432" s="137">
        <v>6.39</v>
      </c>
      <c r="F432" s="137">
        <v>1.88</v>
      </c>
      <c r="G432" s="137">
        <v>8.1999999999999993</v>
      </c>
      <c r="H432" s="137">
        <v>5.29</v>
      </c>
      <c r="I432" s="137">
        <v>0</v>
      </c>
      <c r="J432" s="137">
        <v>0</v>
      </c>
      <c r="K432" s="137">
        <v>0</v>
      </c>
      <c r="L432" s="137">
        <v>0</v>
      </c>
      <c r="M432" s="137">
        <v>7.86</v>
      </c>
      <c r="N432" s="137">
        <v>8.8698999999999995</v>
      </c>
      <c r="O432" s="137">
        <v>6.65</v>
      </c>
      <c r="P432" s="137">
        <v>1.35</v>
      </c>
      <c r="Q432" s="137">
        <v>10.99</v>
      </c>
      <c r="R432" s="137">
        <v>8.7399000000000004</v>
      </c>
      <c r="S432" s="137">
        <v>7.7</v>
      </c>
      <c r="T432" s="137">
        <v>6.95</v>
      </c>
      <c r="U432" s="137">
        <v>8.59</v>
      </c>
      <c r="V432" s="137">
        <v>7</v>
      </c>
      <c r="W432" s="140">
        <v>14122417</v>
      </c>
      <c r="X432" s="56">
        <f t="shared" si="12"/>
        <v>0</v>
      </c>
      <c r="Y432" s="56" t="str">
        <f t="shared" si="13"/>
        <v>LOGUEO</v>
      </c>
    </row>
    <row r="433" spans="1:25" ht="15" x14ac:dyDescent="0.25">
      <c r="A433" s="136" t="s">
        <v>68</v>
      </c>
      <c r="B433" s="137">
        <v>9.08</v>
      </c>
      <c r="C433" s="137">
        <v>11.399900000000001</v>
      </c>
      <c r="D433" s="137">
        <v>11.68</v>
      </c>
      <c r="E433" s="137">
        <v>12.45</v>
      </c>
      <c r="F433" s="137">
        <v>9.7100000000000009</v>
      </c>
      <c r="G433" s="137">
        <v>7.04</v>
      </c>
      <c r="H433" s="137">
        <v>3.43</v>
      </c>
      <c r="I433" s="137">
        <v>9.7098999999999993</v>
      </c>
      <c r="J433" s="137">
        <v>11.74</v>
      </c>
      <c r="K433" s="137">
        <v>12.81</v>
      </c>
      <c r="L433" s="137">
        <v>11.19</v>
      </c>
      <c r="M433" s="137">
        <v>0</v>
      </c>
      <c r="N433" s="137">
        <v>0</v>
      </c>
      <c r="O433" s="137">
        <v>0</v>
      </c>
      <c r="P433" s="137">
        <v>0</v>
      </c>
      <c r="Q433" s="137">
        <v>0</v>
      </c>
      <c r="R433" s="137">
        <v>0</v>
      </c>
      <c r="S433" s="137">
        <v>0</v>
      </c>
      <c r="T433" s="137">
        <v>5.13</v>
      </c>
      <c r="U433" s="137">
        <v>9.6999999999999993</v>
      </c>
      <c r="V433" s="137">
        <v>6.41</v>
      </c>
      <c r="W433" s="140">
        <v>14107967</v>
      </c>
      <c r="X433" s="56">
        <f t="shared" si="12"/>
        <v>4</v>
      </c>
      <c r="Y433" s="56" t="str">
        <f t="shared" si="13"/>
        <v>NO LOGUEO</v>
      </c>
    </row>
    <row r="434" spans="1:25" ht="15" x14ac:dyDescent="0.25">
      <c r="A434" s="136" t="s">
        <v>1808</v>
      </c>
      <c r="B434" s="137">
        <v>0</v>
      </c>
      <c r="C434" s="137">
        <v>0</v>
      </c>
      <c r="D434" s="137">
        <v>0</v>
      </c>
      <c r="E434" s="137">
        <v>0</v>
      </c>
      <c r="F434" s="137">
        <v>0</v>
      </c>
      <c r="G434" s="137">
        <v>0</v>
      </c>
      <c r="H434" s="137">
        <v>0</v>
      </c>
      <c r="I434" s="137">
        <v>0</v>
      </c>
      <c r="J434" s="137">
        <v>0</v>
      </c>
      <c r="K434" s="137">
        <v>0</v>
      </c>
      <c r="L434" s="137">
        <v>0</v>
      </c>
      <c r="M434" s="137">
        <v>0</v>
      </c>
      <c r="N434" s="137">
        <v>0</v>
      </c>
      <c r="O434" s="137">
        <v>0</v>
      </c>
      <c r="P434" s="137">
        <v>0</v>
      </c>
      <c r="Q434" s="137">
        <v>0</v>
      </c>
      <c r="R434" s="137">
        <v>4.8899999999999997</v>
      </c>
      <c r="S434" s="137">
        <v>6.1</v>
      </c>
      <c r="T434" s="137">
        <v>4.2698999999999998</v>
      </c>
      <c r="U434" s="137">
        <v>5.97</v>
      </c>
      <c r="V434" s="137">
        <v>4.9499000000000004</v>
      </c>
      <c r="W434" s="140">
        <v>14110042</v>
      </c>
      <c r="X434" s="56">
        <f t="shared" si="12"/>
        <v>2</v>
      </c>
      <c r="Y434" s="56" t="str">
        <f t="shared" si="13"/>
        <v>NO LOGUEO</v>
      </c>
    </row>
    <row r="435" spans="1:25" ht="15" x14ac:dyDescent="0.25">
      <c r="A435" s="136" t="s">
        <v>335</v>
      </c>
      <c r="B435" s="137">
        <v>0</v>
      </c>
      <c r="C435" s="137">
        <v>0</v>
      </c>
      <c r="D435" s="137">
        <v>0</v>
      </c>
      <c r="E435" s="137">
        <v>0</v>
      </c>
      <c r="F435" s="137">
        <v>0</v>
      </c>
      <c r="G435" s="137">
        <v>0</v>
      </c>
      <c r="H435" s="137">
        <v>0</v>
      </c>
      <c r="I435" s="137">
        <v>0</v>
      </c>
      <c r="J435" s="137">
        <v>0</v>
      </c>
      <c r="K435" s="137">
        <v>0</v>
      </c>
      <c r="L435" s="137">
        <v>0</v>
      </c>
      <c r="M435" s="137">
        <v>0</v>
      </c>
      <c r="N435" s="137">
        <v>0</v>
      </c>
      <c r="O435" s="137">
        <v>0</v>
      </c>
      <c r="P435" s="137">
        <v>1.18</v>
      </c>
      <c r="Q435" s="137">
        <v>7.9</v>
      </c>
      <c r="R435" s="137">
        <v>0</v>
      </c>
      <c r="S435" s="137">
        <v>0</v>
      </c>
      <c r="T435" s="137">
        <v>0</v>
      </c>
      <c r="U435" s="137">
        <v>0</v>
      </c>
      <c r="V435" s="137">
        <v>0</v>
      </c>
      <c r="W435" s="140" t="s">
        <v>1609</v>
      </c>
      <c r="X435" s="56">
        <f t="shared" si="12"/>
        <v>5</v>
      </c>
      <c r="Y435" s="56" t="str">
        <f t="shared" si="13"/>
        <v>NO LOGUEO</v>
      </c>
    </row>
    <row r="436" spans="1:25" ht="15" x14ac:dyDescent="0.25">
      <c r="A436" s="136" t="s">
        <v>166</v>
      </c>
      <c r="B436" s="137">
        <v>0</v>
      </c>
      <c r="C436" s="137">
        <v>3.68</v>
      </c>
      <c r="D436" s="137">
        <v>0</v>
      </c>
      <c r="E436" s="137">
        <v>0</v>
      </c>
      <c r="F436" s="137">
        <v>1.92</v>
      </c>
      <c r="G436" s="137">
        <v>1.5699000000000001</v>
      </c>
      <c r="H436" s="137">
        <v>3.41</v>
      </c>
      <c r="I436" s="137">
        <v>0</v>
      </c>
      <c r="J436" s="137">
        <v>1.87</v>
      </c>
      <c r="K436" s="137">
        <v>2.56</v>
      </c>
      <c r="L436" s="137">
        <v>2.36</v>
      </c>
      <c r="M436" s="137">
        <v>0</v>
      </c>
      <c r="N436" s="137">
        <v>1.74</v>
      </c>
      <c r="O436" s="137">
        <v>1.78</v>
      </c>
      <c r="P436" s="137">
        <v>0.9</v>
      </c>
      <c r="Q436" s="137">
        <v>0.88</v>
      </c>
      <c r="R436" s="137">
        <v>2.41</v>
      </c>
      <c r="S436" s="137">
        <v>0.78</v>
      </c>
      <c r="T436" s="137">
        <v>1.51</v>
      </c>
      <c r="U436" s="137">
        <v>0.85</v>
      </c>
      <c r="V436" s="137">
        <v>0.83</v>
      </c>
      <c r="W436" s="140">
        <v>14109948</v>
      </c>
      <c r="X436" s="56">
        <f t="shared" si="12"/>
        <v>0</v>
      </c>
      <c r="Y436" s="56" t="str">
        <f t="shared" si="13"/>
        <v>LOGUEO</v>
      </c>
    </row>
    <row r="437" spans="1:25" ht="15" x14ac:dyDescent="0.25">
      <c r="A437" s="136" t="s">
        <v>1006</v>
      </c>
      <c r="B437" s="137">
        <v>0</v>
      </c>
      <c r="C437" s="137">
        <v>0</v>
      </c>
      <c r="D437" s="137">
        <v>0</v>
      </c>
      <c r="E437" s="137">
        <v>0</v>
      </c>
      <c r="F437" s="137">
        <v>0</v>
      </c>
      <c r="G437" s="137">
        <v>0</v>
      </c>
      <c r="H437" s="137">
        <v>0</v>
      </c>
      <c r="I437" s="137">
        <v>0</v>
      </c>
      <c r="J437" s="137">
        <v>0</v>
      </c>
      <c r="K437" s="137">
        <v>10.91</v>
      </c>
      <c r="L437" s="137">
        <v>14.05</v>
      </c>
      <c r="M437" s="137">
        <v>9.7898999999999994</v>
      </c>
      <c r="N437" s="137">
        <v>0</v>
      </c>
      <c r="O437" s="137">
        <v>0</v>
      </c>
      <c r="P437" s="137">
        <v>0</v>
      </c>
      <c r="Q437" s="137">
        <v>13.24</v>
      </c>
      <c r="R437" s="137">
        <v>0</v>
      </c>
      <c r="S437" s="137">
        <v>11.16</v>
      </c>
      <c r="T437" s="137">
        <v>11.18</v>
      </c>
      <c r="U437" s="137">
        <v>0</v>
      </c>
      <c r="V437" s="137">
        <v>0</v>
      </c>
      <c r="W437" s="140" t="s">
        <v>1609</v>
      </c>
      <c r="X437" s="56">
        <f t="shared" si="12"/>
        <v>4</v>
      </c>
      <c r="Y437" s="56" t="str">
        <f t="shared" si="13"/>
        <v>NO LOGUEO</v>
      </c>
    </row>
    <row r="438" spans="1:25" ht="15" x14ac:dyDescent="0.25">
      <c r="A438" s="136" t="s">
        <v>1976</v>
      </c>
      <c r="B438" s="137">
        <v>0</v>
      </c>
      <c r="C438" s="137">
        <v>0</v>
      </c>
      <c r="D438" s="137">
        <v>0</v>
      </c>
      <c r="E438" s="137">
        <v>0</v>
      </c>
      <c r="F438" s="137">
        <v>0</v>
      </c>
      <c r="G438" s="137">
        <v>0</v>
      </c>
      <c r="H438" s="137">
        <v>0</v>
      </c>
      <c r="I438" s="137">
        <v>0</v>
      </c>
      <c r="J438" s="137">
        <v>0</v>
      </c>
      <c r="K438" s="137">
        <v>0</v>
      </c>
      <c r="L438" s="137">
        <v>0</v>
      </c>
      <c r="M438" s="137">
        <v>0</v>
      </c>
      <c r="N438" s="137">
        <v>0</v>
      </c>
      <c r="O438" s="137">
        <v>0</v>
      </c>
      <c r="P438" s="137">
        <v>0</v>
      </c>
      <c r="Q438" s="137">
        <v>0</v>
      </c>
      <c r="R438" s="137">
        <v>0</v>
      </c>
      <c r="S438" s="137">
        <v>0</v>
      </c>
      <c r="T438" s="137">
        <v>0</v>
      </c>
      <c r="U438" s="137">
        <v>0</v>
      </c>
      <c r="V438" s="137">
        <v>0</v>
      </c>
      <c r="W438" s="140" t="s">
        <v>1609</v>
      </c>
      <c r="X438" s="56">
        <f t="shared" si="12"/>
        <v>7</v>
      </c>
      <c r="Y438" s="56" t="str">
        <f t="shared" si="13"/>
        <v>NO LOGUEO</v>
      </c>
    </row>
    <row r="439" spans="1:25" ht="15" x14ac:dyDescent="0.25">
      <c r="A439" s="136" t="s">
        <v>1836</v>
      </c>
      <c r="B439" s="137">
        <v>0</v>
      </c>
      <c r="C439" s="137">
        <v>0</v>
      </c>
      <c r="D439" s="137">
        <v>0</v>
      </c>
      <c r="E439" s="137">
        <v>0</v>
      </c>
      <c r="F439" s="137">
        <v>0</v>
      </c>
      <c r="G439" s="137">
        <v>0</v>
      </c>
      <c r="H439" s="137">
        <v>0</v>
      </c>
      <c r="I439" s="137">
        <v>0</v>
      </c>
      <c r="J439" s="137">
        <v>0</v>
      </c>
      <c r="K439" s="137">
        <v>0</v>
      </c>
      <c r="L439" s="137">
        <v>0</v>
      </c>
      <c r="M439" s="137">
        <v>0</v>
      </c>
      <c r="N439" s="137">
        <v>0</v>
      </c>
      <c r="O439" s="137">
        <v>0.67</v>
      </c>
      <c r="P439" s="137">
        <v>6.41</v>
      </c>
      <c r="Q439" s="137">
        <v>12.33</v>
      </c>
      <c r="R439" s="137">
        <v>10.93</v>
      </c>
      <c r="S439" s="137">
        <v>5.74</v>
      </c>
      <c r="T439" s="137">
        <v>7.69</v>
      </c>
      <c r="U439" s="137">
        <v>3.71</v>
      </c>
      <c r="V439" s="137">
        <v>6.15</v>
      </c>
      <c r="W439" s="140">
        <v>14121856</v>
      </c>
      <c r="X439" s="56">
        <f t="shared" si="12"/>
        <v>0</v>
      </c>
      <c r="Y439" s="56" t="str">
        <f t="shared" si="13"/>
        <v>LOGUEO</v>
      </c>
    </row>
    <row r="440" spans="1:25" ht="15" x14ac:dyDescent="0.25">
      <c r="A440" s="136" t="s">
        <v>216</v>
      </c>
      <c r="B440" s="137">
        <v>7.1299000000000001</v>
      </c>
      <c r="C440" s="137">
        <v>9.1298999999999992</v>
      </c>
      <c r="D440" s="137">
        <v>10.71</v>
      </c>
      <c r="E440" s="137">
        <v>9.44</v>
      </c>
      <c r="F440" s="137">
        <v>2.06</v>
      </c>
      <c r="G440" s="137">
        <v>9.1199999999999992</v>
      </c>
      <c r="H440" s="137">
        <v>9.6</v>
      </c>
      <c r="I440" s="137">
        <v>5.17</v>
      </c>
      <c r="J440" s="137">
        <v>8.9</v>
      </c>
      <c r="K440" s="137">
        <v>9.7098999999999993</v>
      </c>
      <c r="L440" s="137">
        <v>11.059900000000001</v>
      </c>
      <c r="M440" s="137">
        <v>10.11</v>
      </c>
      <c r="N440" s="137">
        <v>11.39</v>
      </c>
      <c r="O440" s="137">
        <v>10.4</v>
      </c>
      <c r="P440" s="137">
        <v>4.6100000000000003</v>
      </c>
      <c r="Q440" s="137">
        <v>9.61</v>
      </c>
      <c r="R440" s="137">
        <v>10.209899999999999</v>
      </c>
      <c r="S440" s="137">
        <v>10.809900000000001</v>
      </c>
      <c r="T440" s="137">
        <v>11.52</v>
      </c>
      <c r="U440" s="137">
        <v>10.88</v>
      </c>
      <c r="V440" s="137">
        <v>9.69</v>
      </c>
      <c r="W440" s="140">
        <v>14118809</v>
      </c>
      <c r="X440" s="56">
        <f t="shared" si="12"/>
        <v>0</v>
      </c>
      <c r="Y440" s="56" t="str">
        <f t="shared" si="13"/>
        <v>LOGUEO</v>
      </c>
    </row>
    <row r="441" spans="1:25" ht="15" x14ac:dyDescent="0.25">
      <c r="A441" s="136" t="s">
        <v>28</v>
      </c>
      <c r="B441" s="137">
        <v>0.95</v>
      </c>
      <c r="C441" s="137">
        <v>0.87</v>
      </c>
      <c r="D441" s="137">
        <v>3.51</v>
      </c>
      <c r="E441" s="137">
        <v>10.35</v>
      </c>
      <c r="F441" s="137">
        <v>5.71</v>
      </c>
      <c r="G441" s="137">
        <v>1.07</v>
      </c>
      <c r="H441" s="137">
        <v>2.23</v>
      </c>
      <c r="I441" s="137">
        <v>4.9599000000000002</v>
      </c>
      <c r="J441" s="137">
        <v>1.82</v>
      </c>
      <c r="K441" s="137">
        <v>1.58</v>
      </c>
      <c r="L441" s="137">
        <v>10.57</v>
      </c>
      <c r="M441" s="137">
        <v>1.9</v>
      </c>
      <c r="N441" s="137">
        <v>11.84</v>
      </c>
      <c r="O441" s="137">
        <v>1.07</v>
      </c>
      <c r="P441" s="137">
        <v>6.08</v>
      </c>
      <c r="Q441" s="137">
        <v>2.82</v>
      </c>
      <c r="R441" s="137">
        <v>10.53</v>
      </c>
      <c r="S441" s="137">
        <v>0.67</v>
      </c>
      <c r="T441" s="137">
        <v>5.43</v>
      </c>
      <c r="U441" s="137">
        <v>7.39</v>
      </c>
      <c r="V441" s="137">
        <v>1.08</v>
      </c>
      <c r="W441" s="140">
        <v>14101984</v>
      </c>
      <c r="X441" s="56">
        <f t="shared" si="12"/>
        <v>0</v>
      </c>
      <c r="Y441" s="56" t="str">
        <f t="shared" si="13"/>
        <v>LOGUEO</v>
      </c>
    </row>
    <row r="442" spans="1:25" ht="15" x14ac:dyDescent="0.25">
      <c r="A442" s="136" t="s">
        <v>439</v>
      </c>
      <c r="B442" s="137">
        <v>0</v>
      </c>
      <c r="C442" s="137">
        <v>3.35</v>
      </c>
      <c r="D442" s="137">
        <v>9.02</v>
      </c>
      <c r="E442" s="137">
        <v>10.18</v>
      </c>
      <c r="F442" s="137">
        <v>2.35</v>
      </c>
      <c r="G442" s="137">
        <v>11.319900000000001</v>
      </c>
      <c r="H442" s="137">
        <v>8.32</v>
      </c>
      <c r="I442" s="137">
        <v>0.28000000000000003</v>
      </c>
      <c r="J442" s="137">
        <v>8.36</v>
      </c>
      <c r="K442" s="137">
        <v>9.6298999999999992</v>
      </c>
      <c r="L442" s="137">
        <v>9.7299000000000007</v>
      </c>
      <c r="M442" s="137">
        <v>8.93</v>
      </c>
      <c r="N442" s="137">
        <v>8.7799999999999994</v>
      </c>
      <c r="O442" s="137">
        <v>8.82</v>
      </c>
      <c r="P442" s="137">
        <v>11.09</v>
      </c>
      <c r="Q442" s="137">
        <v>9.4499999999999993</v>
      </c>
      <c r="R442" s="137">
        <v>9.07</v>
      </c>
      <c r="S442" s="137">
        <v>8.85</v>
      </c>
      <c r="T442" s="137">
        <v>11.99</v>
      </c>
      <c r="U442" s="137">
        <v>8.69</v>
      </c>
      <c r="V442" s="137">
        <v>8.7199000000000009</v>
      </c>
      <c r="W442" s="140">
        <v>14122681</v>
      </c>
      <c r="X442" s="56">
        <f t="shared" si="12"/>
        <v>0</v>
      </c>
      <c r="Y442" s="56" t="str">
        <f t="shared" si="13"/>
        <v>LOGUEO</v>
      </c>
    </row>
    <row r="443" spans="1:25" ht="15" x14ac:dyDescent="0.25">
      <c r="A443" s="136" t="s">
        <v>2025</v>
      </c>
      <c r="B443" s="137">
        <v>0</v>
      </c>
      <c r="C443" s="137">
        <v>0</v>
      </c>
      <c r="D443" s="137">
        <v>0</v>
      </c>
      <c r="E443" s="137">
        <v>0</v>
      </c>
      <c r="F443" s="137">
        <v>0</v>
      </c>
      <c r="G443" s="137">
        <v>0</v>
      </c>
      <c r="H443" s="137">
        <v>0</v>
      </c>
      <c r="I443" s="137">
        <v>0</v>
      </c>
      <c r="J443" s="137">
        <v>0</v>
      </c>
      <c r="K443" s="137">
        <v>0</v>
      </c>
      <c r="L443" s="137">
        <v>0</v>
      </c>
      <c r="M443" s="137">
        <v>0</v>
      </c>
      <c r="N443" s="137">
        <v>0</v>
      </c>
      <c r="O443" s="137">
        <v>0</v>
      </c>
      <c r="P443" s="137">
        <v>0</v>
      </c>
      <c r="Q443" s="137">
        <v>0</v>
      </c>
      <c r="R443" s="137">
        <v>0</v>
      </c>
      <c r="S443" s="137">
        <v>0</v>
      </c>
      <c r="T443" s="137">
        <v>0</v>
      </c>
      <c r="U443" s="137">
        <v>0</v>
      </c>
      <c r="V443" s="137">
        <v>0</v>
      </c>
      <c r="W443" s="140" t="s">
        <v>1609</v>
      </c>
      <c r="X443" s="56">
        <f t="shared" si="12"/>
        <v>7</v>
      </c>
      <c r="Y443" s="56" t="str">
        <f t="shared" si="13"/>
        <v>NO LOGUEO</v>
      </c>
    </row>
    <row r="444" spans="1:25" ht="15" x14ac:dyDescent="0.25">
      <c r="A444" s="136" t="s">
        <v>160</v>
      </c>
      <c r="B444" s="137">
        <v>0</v>
      </c>
      <c r="C444" s="137">
        <v>4.9398999999999997</v>
      </c>
      <c r="D444" s="137">
        <v>4.54</v>
      </c>
      <c r="E444" s="137">
        <v>5.01</v>
      </c>
      <c r="F444" s="137">
        <v>4.93</v>
      </c>
      <c r="G444" s="137">
        <v>5.4599000000000002</v>
      </c>
      <c r="H444" s="137">
        <v>5.97</v>
      </c>
      <c r="I444" s="137">
        <v>0</v>
      </c>
      <c r="J444" s="137">
        <v>4.8</v>
      </c>
      <c r="K444" s="137">
        <v>5.13</v>
      </c>
      <c r="L444" s="137">
        <v>5.66</v>
      </c>
      <c r="M444" s="137">
        <v>5.2698999999999998</v>
      </c>
      <c r="N444" s="137">
        <v>3.25</v>
      </c>
      <c r="O444" s="137">
        <v>3.07</v>
      </c>
      <c r="P444" s="137">
        <v>0</v>
      </c>
      <c r="Q444" s="137">
        <v>3.28</v>
      </c>
      <c r="R444" s="137">
        <v>6</v>
      </c>
      <c r="S444" s="137">
        <v>3.17</v>
      </c>
      <c r="T444" s="137">
        <v>3.0299</v>
      </c>
      <c r="U444" s="137">
        <v>3.22</v>
      </c>
      <c r="V444" s="137">
        <v>4.17</v>
      </c>
      <c r="W444" s="140">
        <v>14116352</v>
      </c>
      <c r="X444" s="56">
        <f t="shared" si="12"/>
        <v>1</v>
      </c>
      <c r="Y444" s="56" t="str">
        <f t="shared" si="13"/>
        <v>LOGUEO</v>
      </c>
    </row>
    <row r="445" spans="1:25" ht="15" x14ac:dyDescent="0.25">
      <c r="A445" s="136" t="s">
        <v>416</v>
      </c>
      <c r="B445" s="137">
        <v>0</v>
      </c>
      <c r="C445" s="137">
        <v>0</v>
      </c>
      <c r="D445" s="137">
        <v>0</v>
      </c>
      <c r="E445" s="137">
        <v>0</v>
      </c>
      <c r="F445" s="137">
        <v>0</v>
      </c>
      <c r="G445" s="137">
        <v>0</v>
      </c>
      <c r="H445" s="137">
        <v>0</v>
      </c>
      <c r="I445" s="137">
        <v>0</v>
      </c>
      <c r="J445" s="137">
        <v>0</v>
      </c>
      <c r="K445" s="137">
        <v>0</v>
      </c>
      <c r="L445" s="137">
        <v>0</v>
      </c>
      <c r="M445" s="137">
        <v>0</v>
      </c>
      <c r="N445" s="137">
        <v>0</v>
      </c>
      <c r="O445" s="137">
        <v>0</v>
      </c>
      <c r="P445" s="137">
        <v>0</v>
      </c>
      <c r="Q445" s="137">
        <v>0</v>
      </c>
      <c r="R445" s="137">
        <v>0</v>
      </c>
      <c r="S445" s="137">
        <v>0</v>
      </c>
      <c r="T445" s="137">
        <v>0</v>
      </c>
      <c r="U445" s="137">
        <v>0</v>
      </c>
      <c r="V445" s="137">
        <v>0</v>
      </c>
      <c r="W445" s="140">
        <v>14122354</v>
      </c>
      <c r="X445" s="56">
        <f t="shared" si="12"/>
        <v>7</v>
      </c>
      <c r="Y445" s="56" t="str">
        <f t="shared" si="13"/>
        <v>NO LOGUEO</v>
      </c>
    </row>
    <row r="446" spans="1:25" ht="15" x14ac:dyDescent="0.25">
      <c r="A446" s="136" t="s">
        <v>103</v>
      </c>
      <c r="B446" s="137">
        <v>7.2</v>
      </c>
      <c r="C446" s="137">
        <v>7.98</v>
      </c>
      <c r="D446" s="137">
        <v>9.32</v>
      </c>
      <c r="E446" s="137">
        <v>7.77</v>
      </c>
      <c r="F446" s="137">
        <v>4.7</v>
      </c>
      <c r="G446" s="137">
        <v>9.2200000000000006</v>
      </c>
      <c r="H446" s="137">
        <v>8.4600000000000009</v>
      </c>
      <c r="I446" s="137">
        <v>0</v>
      </c>
      <c r="J446" s="137">
        <v>6.8</v>
      </c>
      <c r="K446" s="137">
        <v>8.91</v>
      </c>
      <c r="L446" s="137">
        <v>7.99</v>
      </c>
      <c r="M446" s="137">
        <v>6.85</v>
      </c>
      <c r="N446" s="137">
        <v>6.97</v>
      </c>
      <c r="O446" s="137">
        <v>6.33</v>
      </c>
      <c r="P446" s="137">
        <v>7.17</v>
      </c>
      <c r="Q446" s="137">
        <v>8.01</v>
      </c>
      <c r="R446" s="137">
        <v>9.81</v>
      </c>
      <c r="S446" s="137">
        <v>9.8999000000000006</v>
      </c>
      <c r="T446" s="137">
        <v>9.4600000000000009</v>
      </c>
      <c r="U446" s="137">
        <v>8.9699000000000009</v>
      </c>
      <c r="V446" s="137">
        <v>9.2799999999999994</v>
      </c>
      <c r="W446" s="140">
        <v>14110465</v>
      </c>
      <c r="X446" s="56">
        <f t="shared" si="12"/>
        <v>0</v>
      </c>
      <c r="Y446" s="56" t="str">
        <f t="shared" si="13"/>
        <v>LOGUEO</v>
      </c>
    </row>
    <row r="447" spans="1:25" ht="15" x14ac:dyDescent="0.25">
      <c r="A447" s="136" t="s">
        <v>42</v>
      </c>
      <c r="B447" s="137">
        <v>0</v>
      </c>
      <c r="C447" s="137">
        <v>6.09</v>
      </c>
      <c r="D447" s="137">
        <v>3.29</v>
      </c>
      <c r="E447" s="137">
        <v>2.66</v>
      </c>
      <c r="F447" s="137">
        <v>4.37</v>
      </c>
      <c r="G447" s="137">
        <v>5.93</v>
      </c>
      <c r="H447" s="137">
        <v>5.37</v>
      </c>
      <c r="I447" s="137">
        <v>5.5198999999999998</v>
      </c>
      <c r="J447" s="137">
        <v>5.4</v>
      </c>
      <c r="K447" s="137">
        <v>6.65</v>
      </c>
      <c r="L447" s="137">
        <v>6.75</v>
      </c>
      <c r="M447" s="137">
        <v>6.2798999999999996</v>
      </c>
      <c r="N447" s="137">
        <v>6.0399000000000003</v>
      </c>
      <c r="O447" s="137">
        <v>7.15</v>
      </c>
      <c r="P447" s="137">
        <v>0</v>
      </c>
      <c r="Q447" s="137">
        <v>10.45</v>
      </c>
      <c r="R447" s="137">
        <v>6.32</v>
      </c>
      <c r="S447" s="137">
        <v>5.25</v>
      </c>
      <c r="T447" s="137">
        <v>8.9799000000000007</v>
      </c>
      <c r="U447" s="137">
        <v>9.2100000000000009</v>
      </c>
      <c r="V447" s="137">
        <v>7.1</v>
      </c>
      <c r="W447" s="140">
        <v>14104822</v>
      </c>
      <c r="X447" s="56">
        <f t="shared" si="12"/>
        <v>1</v>
      </c>
      <c r="Y447" s="56" t="str">
        <f t="shared" si="13"/>
        <v>LOGUEO</v>
      </c>
    </row>
    <row r="448" spans="1:25" ht="15" x14ac:dyDescent="0.25">
      <c r="A448" s="136" t="s">
        <v>221</v>
      </c>
      <c r="B448" s="137">
        <v>7.17</v>
      </c>
      <c r="C448" s="137">
        <v>7.6199000000000003</v>
      </c>
      <c r="D448" s="137">
        <v>6.6</v>
      </c>
      <c r="E448" s="137">
        <v>8.23</v>
      </c>
      <c r="F448" s="137">
        <v>0.32</v>
      </c>
      <c r="G448" s="137">
        <v>7.6299000000000001</v>
      </c>
      <c r="H448" s="137">
        <v>5.9798999999999998</v>
      </c>
      <c r="I448" s="137">
        <v>1.55</v>
      </c>
      <c r="J448" s="137">
        <v>7.06</v>
      </c>
      <c r="K448" s="137">
        <v>8.0498999999999992</v>
      </c>
      <c r="L448" s="137">
        <v>8.92</v>
      </c>
      <c r="M448" s="137">
        <v>5.6</v>
      </c>
      <c r="N448" s="137">
        <v>9.18</v>
      </c>
      <c r="O448" s="137">
        <v>7.39</v>
      </c>
      <c r="P448" s="137">
        <v>6.73</v>
      </c>
      <c r="Q448" s="137">
        <v>6.98</v>
      </c>
      <c r="R448" s="137">
        <v>9.11</v>
      </c>
      <c r="S448" s="137">
        <v>8.8199000000000005</v>
      </c>
      <c r="T448" s="137">
        <v>8.09</v>
      </c>
      <c r="U448" s="137">
        <v>8.19</v>
      </c>
      <c r="V448" s="137">
        <v>8</v>
      </c>
      <c r="W448" s="140">
        <v>14118889</v>
      </c>
      <c r="X448" s="56">
        <f t="shared" si="12"/>
        <v>0</v>
      </c>
      <c r="Y448" s="56" t="str">
        <f t="shared" si="13"/>
        <v>LOGUEO</v>
      </c>
    </row>
    <row r="449" spans="1:25" ht="15" x14ac:dyDescent="0.25">
      <c r="A449" s="136" t="s">
        <v>1759</v>
      </c>
      <c r="B449" s="137">
        <v>0</v>
      </c>
      <c r="C449" s="137">
        <v>2.77</v>
      </c>
      <c r="D449" s="137">
        <v>12.73</v>
      </c>
      <c r="E449" s="137">
        <v>10.789899999999999</v>
      </c>
      <c r="F449" s="137">
        <v>10.569900000000001</v>
      </c>
      <c r="G449" s="137">
        <v>13.21</v>
      </c>
      <c r="H449" s="137">
        <v>13.2399</v>
      </c>
      <c r="I449" s="137">
        <v>0</v>
      </c>
      <c r="J449" s="137">
        <v>10.27</v>
      </c>
      <c r="K449" s="137">
        <v>13.4999</v>
      </c>
      <c r="L449" s="137">
        <v>15.1</v>
      </c>
      <c r="M449" s="137">
        <v>8.61</v>
      </c>
      <c r="N449" s="137">
        <v>9.41</v>
      </c>
      <c r="O449" s="137">
        <v>10.89</v>
      </c>
      <c r="P449" s="137">
        <v>0</v>
      </c>
      <c r="Q449" s="137">
        <v>13.29</v>
      </c>
      <c r="R449" s="137">
        <v>10.68</v>
      </c>
      <c r="S449" s="137">
        <v>13.71</v>
      </c>
      <c r="T449" s="137">
        <v>15.85</v>
      </c>
      <c r="U449" s="137">
        <v>4.8499999999999996</v>
      </c>
      <c r="V449" s="137">
        <v>12.74</v>
      </c>
      <c r="W449" s="140">
        <v>14121677</v>
      </c>
      <c r="X449" s="56">
        <f t="shared" si="12"/>
        <v>1</v>
      </c>
      <c r="Y449" s="56" t="str">
        <f t="shared" si="13"/>
        <v>LOGUEO</v>
      </c>
    </row>
    <row r="450" spans="1:25" ht="15" x14ac:dyDescent="0.25">
      <c r="A450" s="136" t="s">
        <v>1809</v>
      </c>
      <c r="B450" s="137">
        <v>8.31</v>
      </c>
      <c r="C450" s="137">
        <v>9.02</v>
      </c>
      <c r="D450" s="137">
        <v>10.42</v>
      </c>
      <c r="E450" s="137">
        <v>7.01</v>
      </c>
      <c r="F450" s="137">
        <v>0</v>
      </c>
      <c r="G450" s="137">
        <v>3.04</v>
      </c>
      <c r="H450" s="137">
        <v>12.219900000000001</v>
      </c>
      <c r="I450" s="137">
        <v>8.4600000000000009</v>
      </c>
      <c r="J450" s="137">
        <v>10.08</v>
      </c>
      <c r="K450" s="137">
        <v>10.72</v>
      </c>
      <c r="L450" s="137">
        <v>9.0599000000000007</v>
      </c>
      <c r="M450" s="137">
        <v>10.969900000000001</v>
      </c>
      <c r="N450" s="137">
        <v>0</v>
      </c>
      <c r="O450" s="137">
        <v>14.04</v>
      </c>
      <c r="P450" s="137">
        <v>8.6198999999999995</v>
      </c>
      <c r="Q450" s="137">
        <v>9.3800000000000008</v>
      </c>
      <c r="R450" s="137">
        <v>10.809900000000001</v>
      </c>
      <c r="S450" s="137">
        <v>8.61</v>
      </c>
      <c r="T450" s="137">
        <v>8.4699000000000009</v>
      </c>
      <c r="U450" s="137">
        <v>10.11</v>
      </c>
      <c r="V450" s="137">
        <v>11.6</v>
      </c>
      <c r="W450" s="140">
        <v>14109097</v>
      </c>
      <c r="X450" s="56">
        <f t="shared" si="12"/>
        <v>0</v>
      </c>
      <c r="Y450" s="56" t="str">
        <f t="shared" si="13"/>
        <v>LOGUEO</v>
      </c>
    </row>
    <row r="451" spans="1:25" ht="15" x14ac:dyDescent="0.25">
      <c r="A451" s="136" t="s">
        <v>1837</v>
      </c>
      <c r="B451" s="137">
        <v>3.93</v>
      </c>
      <c r="C451" s="137">
        <v>6.1199000000000003</v>
      </c>
      <c r="D451" s="137">
        <v>4.41</v>
      </c>
      <c r="E451" s="137">
        <v>4.2798999999999996</v>
      </c>
      <c r="F451" s="137">
        <v>1.23</v>
      </c>
      <c r="G451" s="137">
        <v>4.3</v>
      </c>
      <c r="H451" s="137">
        <v>5.2199</v>
      </c>
      <c r="I451" s="137">
        <v>2.73</v>
      </c>
      <c r="J451" s="137">
        <v>5.5</v>
      </c>
      <c r="K451" s="137">
        <v>4.32</v>
      </c>
      <c r="L451" s="137">
        <v>3.81</v>
      </c>
      <c r="M451" s="137">
        <v>0</v>
      </c>
      <c r="N451" s="137">
        <v>4.4000000000000004</v>
      </c>
      <c r="O451" s="137">
        <v>6.38</v>
      </c>
      <c r="P451" s="137">
        <v>3.96</v>
      </c>
      <c r="Q451" s="137">
        <v>5.5</v>
      </c>
      <c r="R451" s="137">
        <v>5.16</v>
      </c>
      <c r="S451" s="137">
        <v>4.34</v>
      </c>
      <c r="T451" s="137">
        <v>4.3899999999999997</v>
      </c>
      <c r="U451" s="137">
        <v>4.42</v>
      </c>
      <c r="V451" s="137">
        <v>4.3998999999999997</v>
      </c>
      <c r="W451" s="140">
        <v>14114062</v>
      </c>
      <c r="X451" s="56">
        <f t="shared" ref="X451:X514" si="14">COUNTIF(P451:V451,0)</f>
        <v>0</v>
      </c>
      <c r="Y451" s="56" t="str">
        <f t="shared" ref="Y451:Y514" si="15">IF(X451&gt;1,"NO LOGUEO","LOGUEO")</f>
        <v>LOGUEO</v>
      </c>
    </row>
    <row r="452" spans="1:25" ht="15" x14ac:dyDescent="0.25">
      <c r="A452" s="136" t="s">
        <v>1141</v>
      </c>
      <c r="B452" s="137">
        <v>8.2199000000000009</v>
      </c>
      <c r="C452" s="137">
        <v>5.21</v>
      </c>
      <c r="D452" s="137">
        <v>9.23</v>
      </c>
      <c r="E452" s="137">
        <v>9.82</v>
      </c>
      <c r="F452" s="137">
        <v>5.6898999999999997</v>
      </c>
      <c r="G452" s="137">
        <v>9.99</v>
      </c>
      <c r="H452" s="137">
        <v>5.05</v>
      </c>
      <c r="I452" s="137">
        <v>0</v>
      </c>
      <c r="J452" s="137">
        <v>7.52</v>
      </c>
      <c r="K452" s="137">
        <v>6.47</v>
      </c>
      <c r="L452" s="137">
        <v>0</v>
      </c>
      <c r="M452" s="137">
        <v>0</v>
      </c>
      <c r="N452" s="137">
        <v>0</v>
      </c>
      <c r="O452" s="137">
        <v>0.88</v>
      </c>
      <c r="P452" s="137">
        <v>0</v>
      </c>
      <c r="Q452" s="137">
        <v>0</v>
      </c>
      <c r="R452" s="137">
        <v>0</v>
      </c>
      <c r="S452" s="137">
        <v>0</v>
      </c>
      <c r="T452" s="137">
        <v>0</v>
      </c>
      <c r="U452" s="137">
        <v>0</v>
      </c>
      <c r="V452" s="137">
        <v>3.87</v>
      </c>
      <c r="W452" s="140">
        <v>14100731</v>
      </c>
      <c r="X452" s="56">
        <f t="shared" si="14"/>
        <v>6</v>
      </c>
      <c r="Y452" s="56" t="str">
        <f t="shared" si="15"/>
        <v>NO LOGUEO</v>
      </c>
    </row>
    <row r="453" spans="1:25" ht="15" x14ac:dyDescent="0.25">
      <c r="A453" s="136" t="s">
        <v>1810</v>
      </c>
      <c r="B453" s="137">
        <v>0</v>
      </c>
      <c r="C453" s="137">
        <v>0</v>
      </c>
      <c r="D453" s="137">
        <v>0</v>
      </c>
      <c r="E453" s="137">
        <v>0</v>
      </c>
      <c r="F453" s="137">
        <v>0</v>
      </c>
      <c r="G453" s="137">
        <v>0</v>
      </c>
      <c r="H453" s="137">
        <v>0</v>
      </c>
      <c r="I453" s="137">
        <v>0</v>
      </c>
      <c r="J453" s="137">
        <v>0</v>
      </c>
      <c r="K453" s="137">
        <v>0</v>
      </c>
      <c r="L453" s="137">
        <v>0</v>
      </c>
      <c r="M453" s="137">
        <v>0</v>
      </c>
      <c r="N453" s="137">
        <v>0</v>
      </c>
      <c r="O453" s="137">
        <v>0</v>
      </c>
      <c r="P453" s="137">
        <v>0</v>
      </c>
      <c r="Q453" s="137">
        <v>0</v>
      </c>
      <c r="R453" s="137">
        <v>0</v>
      </c>
      <c r="S453" s="137">
        <v>0</v>
      </c>
      <c r="T453" s="137">
        <v>0</v>
      </c>
      <c r="U453" s="137">
        <v>0</v>
      </c>
      <c r="V453" s="137">
        <v>0</v>
      </c>
      <c r="W453" s="140" t="s">
        <v>1609</v>
      </c>
      <c r="X453" s="56">
        <f t="shared" si="14"/>
        <v>7</v>
      </c>
      <c r="Y453" s="56" t="str">
        <f t="shared" si="15"/>
        <v>NO LOGUEO</v>
      </c>
    </row>
    <row r="454" spans="1:25" ht="15" x14ac:dyDescent="0.25">
      <c r="A454" s="136" t="s">
        <v>2026</v>
      </c>
      <c r="B454" s="137">
        <v>0</v>
      </c>
      <c r="C454" s="137">
        <v>0</v>
      </c>
      <c r="D454" s="137">
        <v>0</v>
      </c>
      <c r="E454" s="137">
        <v>0</v>
      </c>
      <c r="F454" s="137">
        <v>0</v>
      </c>
      <c r="G454" s="137">
        <v>0</v>
      </c>
      <c r="H454" s="137">
        <v>0</v>
      </c>
      <c r="I454" s="137">
        <v>0</v>
      </c>
      <c r="J454" s="137">
        <v>0</v>
      </c>
      <c r="K454" s="137">
        <v>0</v>
      </c>
      <c r="L454" s="137">
        <v>0</v>
      </c>
      <c r="M454" s="137">
        <v>0</v>
      </c>
      <c r="N454" s="137">
        <v>0</v>
      </c>
      <c r="O454" s="137">
        <v>0</v>
      </c>
      <c r="P454" s="137">
        <v>0</v>
      </c>
      <c r="Q454" s="137">
        <v>0</v>
      </c>
      <c r="R454" s="137">
        <v>0</v>
      </c>
      <c r="S454" s="137">
        <v>0</v>
      </c>
      <c r="T454" s="137">
        <v>0</v>
      </c>
      <c r="U454" s="137">
        <v>0</v>
      </c>
      <c r="V454" s="137">
        <v>0</v>
      </c>
      <c r="W454" s="140" t="s">
        <v>1609</v>
      </c>
      <c r="X454" s="56">
        <f t="shared" si="14"/>
        <v>7</v>
      </c>
      <c r="Y454" s="56" t="str">
        <f t="shared" si="15"/>
        <v>NO LOGUEO</v>
      </c>
    </row>
    <row r="455" spans="1:25" ht="15" x14ac:dyDescent="0.25">
      <c r="A455" s="136" t="s">
        <v>1552</v>
      </c>
      <c r="B455" s="137">
        <v>0</v>
      </c>
      <c r="C455" s="137">
        <v>0</v>
      </c>
      <c r="D455" s="137">
        <v>0</v>
      </c>
      <c r="E455" s="137">
        <v>0</v>
      </c>
      <c r="F455" s="137">
        <v>0</v>
      </c>
      <c r="G455" s="137">
        <v>0</v>
      </c>
      <c r="H455" s="137">
        <v>0</v>
      </c>
      <c r="I455" s="137">
        <v>0</v>
      </c>
      <c r="J455" s="137">
        <v>0</v>
      </c>
      <c r="K455" s="137">
        <v>0</v>
      </c>
      <c r="L455" s="137">
        <v>0</v>
      </c>
      <c r="M455" s="137">
        <v>0</v>
      </c>
      <c r="N455" s="137">
        <v>0</v>
      </c>
      <c r="O455" s="137">
        <v>0</v>
      </c>
      <c r="P455" s="137">
        <v>0</v>
      </c>
      <c r="Q455" s="137">
        <v>0</v>
      </c>
      <c r="R455" s="137">
        <v>0</v>
      </c>
      <c r="S455" s="137">
        <v>0</v>
      </c>
      <c r="T455" s="137">
        <v>0</v>
      </c>
      <c r="U455" s="137">
        <v>0</v>
      </c>
      <c r="V455" s="137">
        <v>0</v>
      </c>
      <c r="W455" s="140">
        <v>14114737</v>
      </c>
      <c r="X455" s="56">
        <f t="shared" si="14"/>
        <v>7</v>
      </c>
      <c r="Y455" s="56" t="str">
        <f t="shared" si="15"/>
        <v>NO LOGUEO</v>
      </c>
    </row>
    <row r="456" spans="1:25" ht="15" x14ac:dyDescent="0.25">
      <c r="A456" s="136" t="s">
        <v>1977</v>
      </c>
      <c r="B456" s="137">
        <v>0</v>
      </c>
      <c r="C456" s="137">
        <v>0</v>
      </c>
      <c r="D456" s="137">
        <v>0</v>
      </c>
      <c r="E456" s="137">
        <v>0</v>
      </c>
      <c r="F456" s="137">
        <v>0</v>
      </c>
      <c r="G456" s="137">
        <v>0</v>
      </c>
      <c r="H456" s="137">
        <v>0</v>
      </c>
      <c r="I456" s="137">
        <v>0</v>
      </c>
      <c r="J456" s="137">
        <v>0</v>
      </c>
      <c r="K456" s="137">
        <v>0</v>
      </c>
      <c r="L456" s="137">
        <v>0</v>
      </c>
      <c r="M456" s="137">
        <v>0</v>
      </c>
      <c r="N456" s="137">
        <v>0</v>
      </c>
      <c r="O456" s="137">
        <v>0</v>
      </c>
      <c r="P456" s="137">
        <v>0</v>
      </c>
      <c r="Q456" s="137">
        <v>0</v>
      </c>
      <c r="R456" s="137">
        <v>0</v>
      </c>
      <c r="S456" s="137">
        <v>0</v>
      </c>
      <c r="T456" s="137">
        <v>0</v>
      </c>
      <c r="U456" s="137">
        <v>2.2999999999999998</v>
      </c>
      <c r="V456" s="137">
        <v>3.98</v>
      </c>
      <c r="W456" s="140" t="s">
        <v>1609</v>
      </c>
      <c r="X456" s="56">
        <f t="shared" si="14"/>
        <v>5</v>
      </c>
      <c r="Y456" s="56" t="str">
        <f t="shared" si="15"/>
        <v>NO LOGUEO</v>
      </c>
    </row>
    <row r="457" spans="1:25" ht="15" x14ac:dyDescent="0.25">
      <c r="A457" s="136" t="s">
        <v>2558</v>
      </c>
      <c r="B457" s="137">
        <v>3.2599</v>
      </c>
      <c r="C457" s="137">
        <v>9.24</v>
      </c>
      <c r="D457" s="137">
        <v>2.7799</v>
      </c>
      <c r="E457" s="137">
        <v>7.46</v>
      </c>
      <c r="F457" s="137">
        <v>1.8</v>
      </c>
      <c r="G457" s="137">
        <v>8.48</v>
      </c>
      <c r="H457" s="137">
        <v>8.1198999999999995</v>
      </c>
      <c r="I457" s="137">
        <v>6.18</v>
      </c>
      <c r="J457" s="137">
        <v>8.14</v>
      </c>
      <c r="K457" s="137">
        <v>9.1999999999999993</v>
      </c>
      <c r="L457" s="137">
        <v>5.8699000000000003</v>
      </c>
      <c r="M457" s="137">
        <v>0</v>
      </c>
      <c r="N457" s="137">
        <v>0</v>
      </c>
      <c r="O457" s="137">
        <v>0</v>
      </c>
      <c r="P457" s="137">
        <v>0</v>
      </c>
      <c r="Q457" s="137">
        <v>0</v>
      </c>
      <c r="R457" s="137">
        <v>0</v>
      </c>
      <c r="S457" s="137">
        <v>0</v>
      </c>
      <c r="T457" s="137">
        <v>0</v>
      </c>
      <c r="U457" s="137">
        <v>0</v>
      </c>
      <c r="V457" s="137">
        <v>0</v>
      </c>
      <c r="W457" s="140" t="s">
        <v>1609</v>
      </c>
      <c r="X457" s="56">
        <f t="shared" si="14"/>
        <v>7</v>
      </c>
      <c r="Y457" s="56" t="str">
        <f t="shared" si="15"/>
        <v>NO LOGUEO</v>
      </c>
    </row>
    <row r="458" spans="1:25" ht="15" x14ac:dyDescent="0.25">
      <c r="A458" s="136" t="s">
        <v>46</v>
      </c>
      <c r="B458" s="137">
        <v>9.26</v>
      </c>
      <c r="C458" s="137">
        <v>10.94</v>
      </c>
      <c r="D458" s="137">
        <v>3.87</v>
      </c>
      <c r="E458" s="137">
        <v>7.7899000000000003</v>
      </c>
      <c r="F458" s="137">
        <v>0</v>
      </c>
      <c r="G458" s="137">
        <v>7.47</v>
      </c>
      <c r="H458" s="137">
        <v>6.78</v>
      </c>
      <c r="I458" s="137">
        <v>8.69</v>
      </c>
      <c r="J458" s="137">
        <v>0</v>
      </c>
      <c r="K458" s="137">
        <v>7.68</v>
      </c>
      <c r="L458" s="137">
        <v>8.2200000000000006</v>
      </c>
      <c r="M458" s="137">
        <v>7.85</v>
      </c>
      <c r="N458" s="137">
        <v>8.2100000000000009</v>
      </c>
      <c r="O458" s="137">
        <v>7.7099000000000002</v>
      </c>
      <c r="P458" s="137">
        <v>9.06</v>
      </c>
      <c r="Q458" s="137">
        <v>0</v>
      </c>
      <c r="R458" s="137">
        <v>8.5</v>
      </c>
      <c r="S458" s="137">
        <v>8.08</v>
      </c>
      <c r="T458" s="137">
        <v>8.1999999999999993</v>
      </c>
      <c r="U458" s="137">
        <v>7.7</v>
      </c>
      <c r="V458" s="137">
        <v>8.01</v>
      </c>
      <c r="W458" s="140">
        <v>14105531</v>
      </c>
      <c r="X458" s="56">
        <f t="shared" si="14"/>
        <v>1</v>
      </c>
      <c r="Y458" s="56" t="str">
        <f t="shared" si="15"/>
        <v>LOGUEO</v>
      </c>
    </row>
    <row r="459" spans="1:25" ht="15" x14ac:dyDescent="0.25">
      <c r="A459" s="136" t="s">
        <v>347</v>
      </c>
      <c r="B459" s="137">
        <v>0</v>
      </c>
      <c r="C459" s="137">
        <v>0</v>
      </c>
      <c r="D459" s="137">
        <v>0</v>
      </c>
      <c r="E459" s="137">
        <v>0</v>
      </c>
      <c r="F459" s="137">
        <v>0</v>
      </c>
      <c r="G459" s="137">
        <v>0</v>
      </c>
      <c r="H459" s="137">
        <v>0</v>
      </c>
      <c r="I459" s="137">
        <v>0</v>
      </c>
      <c r="J459" s="137">
        <v>0</v>
      </c>
      <c r="K459" s="137">
        <v>0</v>
      </c>
      <c r="L459" s="137">
        <v>8.23</v>
      </c>
      <c r="M459" s="137">
        <v>7.43</v>
      </c>
      <c r="N459" s="137">
        <v>7.94</v>
      </c>
      <c r="O459" s="137">
        <v>4.5198999999999998</v>
      </c>
      <c r="P459" s="137">
        <v>0</v>
      </c>
      <c r="Q459" s="137">
        <v>5</v>
      </c>
      <c r="R459" s="137">
        <v>2.6</v>
      </c>
      <c r="S459" s="137">
        <v>2.77</v>
      </c>
      <c r="T459" s="137">
        <v>0</v>
      </c>
      <c r="U459" s="137">
        <v>0</v>
      </c>
      <c r="V459" s="137">
        <v>0</v>
      </c>
      <c r="W459" s="140">
        <v>14106233</v>
      </c>
      <c r="X459" s="56">
        <f t="shared" si="14"/>
        <v>4</v>
      </c>
      <c r="Y459" s="56" t="str">
        <f t="shared" si="15"/>
        <v>NO LOGUEO</v>
      </c>
    </row>
    <row r="460" spans="1:25" ht="15" x14ac:dyDescent="0.25">
      <c r="A460" s="136" t="s">
        <v>2559</v>
      </c>
      <c r="B460" s="137">
        <v>5.13</v>
      </c>
      <c r="C460" s="137">
        <v>7.62</v>
      </c>
      <c r="D460" s="137">
        <v>6.88</v>
      </c>
      <c r="E460" s="137">
        <v>6.58</v>
      </c>
      <c r="F460" s="137">
        <v>1.51</v>
      </c>
      <c r="G460" s="137">
        <v>8.61</v>
      </c>
      <c r="H460" s="137">
        <v>7.8098999999999998</v>
      </c>
      <c r="I460" s="137">
        <v>6.91</v>
      </c>
      <c r="J460" s="137">
        <v>7.99</v>
      </c>
      <c r="K460" s="137">
        <v>6.1898999999999997</v>
      </c>
      <c r="L460" s="137">
        <v>10.63</v>
      </c>
      <c r="M460" s="137">
        <v>4.5198999999999998</v>
      </c>
      <c r="N460" s="137">
        <v>0</v>
      </c>
      <c r="O460" s="137">
        <v>0</v>
      </c>
      <c r="P460" s="137">
        <v>0</v>
      </c>
      <c r="Q460" s="137">
        <v>0</v>
      </c>
      <c r="R460" s="137">
        <v>0</v>
      </c>
      <c r="S460" s="137">
        <v>0</v>
      </c>
      <c r="T460" s="137">
        <v>0</v>
      </c>
      <c r="U460" s="137">
        <v>0</v>
      </c>
      <c r="V460" s="137">
        <v>0</v>
      </c>
      <c r="W460" s="140" t="s">
        <v>1609</v>
      </c>
      <c r="X460" s="56">
        <f t="shared" si="14"/>
        <v>7</v>
      </c>
      <c r="Y460" s="56" t="str">
        <f t="shared" si="15"/>
        <v>NO LOGUEO</v>
      </c>
    </row>
    <row r="461" spans="1:25" ht="15" x14ac:dyDescent="0.25">
      <c r="A461" s="136" t="s">
        <v>1978</v>
      </c>
      <c r="B461" s="137">
        <v>0</v>
      </c>
      <c r="C461" s="137">
        <v>0</v>
      </c>
      <c r="D461" s="137">
        <v>0</v>
      </c>
      <c r="E461" s="137">
        <v>0</v>
      </c>
      <c r="F461" s="137">
        <v>0</v>
      </c>
      <c r="G461" s="137">
        <v>0</v>
      </c>
      <c r="H461" s="137">
        <v>0</v>
      </c>
      <c r="I461" s="137">
        <v>0</v>
      </c>
      <c r="J461" s="137">
        <v>0</v>
      </c>
      <c r="K461" s="137">
        <v>0</v>
      </c>
      <c r="L461" s="137">
        <v>0</v>
      </c>
      <c r="M461" s="137">
        <v>0</v>
      </c>
      <c r="N461" s="137">
        <v>0</v>
      </c>
      <c r="O461" s="137">
        <v>0</v>
      </c>
      <c r="P461" s="137">
        <v>0</v>
      </c>
      <c r="Q461" s="137">
        <v>0</v>
      </c>
      <c r="R461" s="137">
        <v>0.87</v>
      </c>
      <c r="S461" s="137">
        <v>1.73</v>
      </c>
      <c r="T461" s="137">
        <v>0</v>
      </c>
      <c r="U461" s="137">
        <v>1.77</v>
      </c>
      <c r="V461" s="137">
        <v>2.4</v>
      </c>
      <c r="W461" s="140" t="s">
        <v>1609</v>
      </c>
      <c r="X461" s="56">
        <f t="shared" si="14"/>
        <v>3</v>
      </c>
      <c r="Y461" s="56" t="str">
        <f t="shared" si="15"/>
        <v>NO LOGUEO</v>
      </c>
    </row>
    <row r="462" spans="1:25" ht="15" x14ac:dyDescent="0.25">
      <c r="A462" s="136" t="s">
        <v>1473</v>
      </c>
      <c r="B462" s="137">
        <v>3.28</v>
      </c>
      <c r="C462" s="137">
        <v>7.9</v>
      </c>
      <c r="D462" s="137">
        <v>8.08</v>
      </c>
      <c r="E462" s="137">
        <v>10.39</v>
      </c>
      <c r="F462" s="137">
        <v>1.68</v>
      </c>
      <c r="G462" s="137">
        <v>7.57</v>
      </c>
      <c r="H462" s="137">
        <v>6.57</v>
      </c>
      <c r="I462" s="137">
        <v>1.7</v>
      </c>
      <c r="J462" s="137">
        <v>8.36</v>
      </c>
      <c r="K462" s="137">
        <v>6.19</v>
      </c>
      <c r="L462" s="137">
        <v>6.2698999999999998</v>
      </c>
      <c r="M462" s="137">
        <v>6.54</v>
      </c>
      <c r="N462" s="137">
        <v>7.26</v>
      </c>
      <c r="O462" s="137">
        <v>4.3</v>
      </c>
      <c r="P462" s="137">
        <v>2.19</v>
      </c>
      <c r="Q462" s="137">
        <v>6.0198999999999998</v>
      </c>
      <c r="R462" s="137">
        <v>6.35</v>
      </c>
      <c r="S462" s="137">
        <v>8.93</v>
      </c>
      <c r="T462" s="137">
        <v>5.22</v>
      </c>
      <c r="U462" s="137">
        <v>5.3998999999999997</v>
      </c>
      <c r="V462" s="137">
        <v>4.8</v>
      </c>
      <c r="W462" s="140">
        <v>14118505</v>
      </c>
      <c r="X462" s="56">
        <f t="shared" si="14"/>
        <v>0</v>
      </c>
      <c r="Y462" s="56" t="str">
        <f t="shared" si="15"/>
        <v>LOGUEO</v>
      </c>
    </row>
    <row r="463" spans="1:25" ht="15" x14ac:dyDescent="0.25">
      <c r="A463" s="136" t="s">
        <v>3716</v>
      </c>
      <c r="B463" s="137">
        <v>2.5499999999999998</v>
      </c>
      <c r="C463" s="137">
        <v>9.9499999999999993</v>
      </c>
      <c r="D463" s="137">
        <v>11.5099</v>
      </c>
      <c r="E463" s="137">
        <v>3.9</v>
      </c>
      <c r="F463" s="137">
        <v>0</v>
      </c>
      <c r="G463" s="137">
        <v>9.32</v>
      </c>
      <c r="H463" s="137">
        <v>6.78</v>
      </c>
      <c r="I463" s="137">
        <v>0</v>
      </c>
      <c r="J463" s="137">
        <v>0</v>
      </c>
      <c r="K463" s="137">
        <v>0</v>
      </c>
      <c r="L463" s="137">
        <v>0</v>
      </c>
      <c r="M463" s="137">
        <v>0</v>
      </c>
      <c r="N463" s="137">
        <v>0</v>
      </c>
      <c r="O463" s="137">
        <v>0</v>
      </c>
      <c r="P463" s="137">
        <v>0</v>
      </c>
      <c r="Q463" s="137">
        <v>0</v>
      </c>
      <c r="R463" s="137">
        <v>0</v>
      </c>
      <c r="S463" s="137">
        <v>0</v>
      </c>
      <c r="T463" s="137">
        <v>0</v>
      </c>
      <c r="U463" s="137">
        <v>0</v>
      </c>
      <c r="V463" s="137">
        <v>0</v>
      </c>
      <c r="W463" s="140" t="s">
        <v>1609</v>
      </c>
      <c r="X463" s="56">
        <f t="shared" si="14"/>
        <v>7</v>
      </c>
      <c r="Y463" s="56" t="str">
        <f t="shared" si="15"/>
        <v>NO LOGUEO</v>
      </c>
    </row>
    <row r="464" spans="1:25" ht="15" x14ac:dyDescent="0.25">
      <c r="A464" s="136" t="s">
        <v>434</v>
      </c>
      <c r="B464" s="137">
        <v>0</v>
      </c>
      <c r="C464" s="137">
        <v>0</v>
      </c>
      <c r="D464" s="137">
        <v>0</v>
      </c>
      <c r="E464" s="137">
        <v>0</v>
      </c>
      <c r="F464" s="137">
        <v>0</v>
      </c>
      <c r="G464" s="137">
        <v>0</v>
      </c>
      <c r="H464" s="137">
        <v>0</v>
      </c>
      <c r="I464" s="137">
        <v>0</v>
      </c>
      <c r="J464" s="137">
        <v>0</v>
      </c>
      <c r="K464" s="137">
        <v>4.0999999999999996</v>
      </c>
      <c r="L464" s="137">
        <v>12.2599</v>
      </c>
      <c r="M464" s="137">
        <v>10.8</v>
      </c>
      <c r="N464" s="137">
        <v>12.05</v>
      </c>
      <c r="O464" s="137">
        <v>10.2599</v>
      </c>
      <c r="P464" s="137">
        <v>0</v>
      </c>
      <c r="Q464" s="137">
        <v>9.4</v>
      </c>
      <c r="R464" s="137">
        <v>12.7699</v>
      </c>
      <c r="S464" s="137">
        <v>8.4</v>
      </c>
      <c r="T464" s="137">
        <v>12.2</v>
      </c>
      <c r="U464" s="137">
        <v>10.68</v>
      </c>
      <c r="V464" s="137">
        <v>8.39</v>
      </c>
      <c r="W464" s="140">
        <v>14122546</v>
      </c>
      <c r="X464" s="56">
        <f t="shared" si="14"/>
        <v>1</v>
      </c>
      <c r="Y464" s="56" t="str">
        <f t="shared" si="15"/>
        <v>LOGUEO</v>
      </c>
    </row>
    <row r="465" spans="1:25" ht="15" x14ac:dyDescent="0.25">
      <c r="A465" s="136" t="s">
        <v>949</v>
      </c>
      <c r="B465" s="137">
        <v>5.17</v>
      </c>
      <c r="C465" s="137">
        <v>5.7698999999999998</v>
      </c>
      <c r="D465" s="137">
        <v>6.1199000000000003</v>
      </c>
      <c r="E465" s="137">
        <v>6.14</v>
      </c>
      <c r="F465" s="137">
        <v>2</v>
      </c>
      <c r="G465" s="137">
        <v>5.5</v>
      </c>
      <c r="H465" s="137">
        <v>5.9499000000000004</v>
      </c>
      <c r="I465" s="137">
        <v>4.95</v>
      </c>
      <c r="J465" s="137">
        <v>3.68</v>
      </c>
      <c r="K465" s="137">
        <v>0</v>
      </c>
      <c r="L465" s="137">
        <v>6.42</v>
      </c>
      <c r="M465" s="137">
        <v>5.72</v>
      </c>
      <c r="N465" s="137">
        <v>6.58</v>
      </c>
      <c r="O465" s="137">
        <v>5.86</v>
      </c>
      <c r="P465" s="137">
        <v>4.49</v>
      </c>
      <c r="Q465" s="137">
        <v>4.8998999999999997</v>
      </c>
      <c r="R465" s="137">
        <v>8.02</v>
      </c>
      <c r="S465" s="137">
        <v>5.75</v>
      </c>
      <c r="T465" s="137">
        <v>5.62</v>
      </c>
      <c r="U465" s="137">
        <v>6.57</v>
      </c>
      <c r="V465" s="137">
        <v>5.46</v>
      </c>
      <c r="W465" s="140" t="s">
        <v>1609</v>
      </c>
      <c r="X465" s="56">
        <f t="shared" si="14"/>
        <v>0</v>
      </c>
      <c r="Y465" s="56" t="str">
        <f t="shared" si="15"/>
        <v>LOGUEO</v>
      </c>
    </row>
    <row r="466" spans="1:25" ht="15" x14ac:dyDescent="0.25">
      <c r="A466" s="136" t="s">
        <v>548</v>
      </c>
      <c r="B466" s="137">
        <v>0</v>
      </c>
      <c r="C466" s="137">
        <v>12.539899999999999</v>
      </c>
      <c r="D466" s="137">
        <v>8.3099000000000007</v>
      </c>
      <c r="E466" s="137">
        <v>4.1500000000000004</v>
      </c>
      <c r="F466" s="137">
        <v>2.27</v>
      </c>
      <c r="G466" s="137">
        <v>9.51</v>
      </c>
      <c r="H466" s="137">
        <v>9.8899000000000008</v>
      </c>
      <c r="I466" s="137">
        <v>0.4</v>
      </c>
      <c r="J466" s="137">
        <v>10.199999999999999</v>
      </c>
      <c r="K466" s="137">
        <v>11.08</v>
      </c>
      <c r="L466" s="137">
        <v>12.23</v>
      </c>
      <c r="M466" s="137">
        <v>9.69</v>
      </c>
      <c r="N466" s="137">
        <v>3.63</v>
      </c>
      <c r="O466" s="137">
        <v>1.6298999999999999</v>
      </c>
      <c r="P466" s="137">
        <v>0.83</v>
      </c>
      <c r="Q466" s="137">
        <v>5.8098999999999998</v>
      </c>
      <c r="R466" s="137">
        <v>0</v>
      </c>
      <c r="S466" s="137">
        <v>0</v>
      </c>
      <c r="T466" s="137">
        <v>0.52</v>
      </c>
      <c r="U466" s="137">
        <v>2.35</v>
      </c>
      <c r="V466" s="137">
        <v>7.12</v>
      </c>
      <c r="W466" s="140" t="s">
        <v>1609</v>
      </c>
      <c r="X466" s="56">
        <f t="shared" si="14"/>
        <v>2</v>
      </c>
      <c r="Y466" s="56" t="str">
        <f t="shared" si="15"/>
        <v>NO LOGUEO</v>
      </c>
    </row>
    <row r="467" spans="1:25" ht="15" x14ac:dyDescent="0.25">
      <c r="A467" s="136" t="s">
        <v>384</v>
      </c>
      <c r="B467" s="137">
        <v>0</v>
      </c>
      <c r="C467" s="137">
        <v>0</v>
      </c>
      <c r="D467" s="137">
        <v>0</v>
      </c>
      <c r="E467" s="137">
        <v>0</v>
      </c>
      <c r="F467" s="137">
        <v>0</v>
      </c>
      <c r="G467" s="137">
        <v>0</v>
      </c>
      <c r="H467" s="137">
        <v>0</v>
      </c>
      <c r="I467" s="137">
        <v>0</v>
      </c>
      <c r="J467" s="137">
        <v>0</v>
      </c>
      <c r="K467" s="137">
        <v>0</v>
      </c>
      <c r="L467" s="137">
        <v>0</v>
      </c>
      <c r="M467" s="137">
        <v>0</v>
      </c>
      <c r="N467" s="137">
        <v>0</v>
      </c>
      <c r="O467" s="137">
        <v>0</v>
      </c>
      <c r="P467" s="137">
        <v>0</v>
      </c>
      <c r="Q467" s="137">
        <v>0</v>
      </c>
      <c r="R467" s="137">
        <v>0</v>
      </c>
      <c r="S467" s="137">
        <v>0</v>
      </c>
      <c r="T467" s="137">
        <v>0</v>
      </c>
      <c r="U467" s="137">
        <v>0</v>
      </c>
      <c r="V467" s="137">
        <v>0</v>
      </c>
      <c r="W467" s="140">
        <v>14122080</v>
      </c>
      <c r="X467" s="56">
        <f t="shared" si="14"/>
        <v>7</v>
      </c>
      <c r="Y467" s="56" t="str">
        <f t="shared" si="15"/>
        <v>NO LOGUEO</v>
      </c>
    </row>
    <row r="468" spans="1:25" ht="15" x14ac:dyDescent="0.25">
      <c r="A468" s="136" t="s">
        <v>287</v>
      </c>
      <c r="B468" s="137">
        <v>5.7199</v>
      </c>
      <c r="C468" s="137">
        <v>6.22</v>
      </c>
      <c r="D468" s="137">
        <v>1.02</v>
      </c>
      <c r="E468" s="137">
        <v>6.1</v>
      </c>
      <c r="F468" s="137">
        <v>8.11</v>
      </c>
      <c r="G468" s="137">
        <v>6.78</v>
      </c>
      <c r="H468" s="137">
        <v>6.3998999999999997</v>
      </c>
      <c r="I468" s="137">
        <v>8.6</v>
      </c>
      <c r="J468" s="137">
        <v>6.71</v>
      </c>
      <c r="K468" s="137">
        <v>6.38</v>
      </c>
      <c r="L468" s="137">
        <v>6.95</v>
      </c>
      <c r="M468" s="137">
        <v>6.25</v>
      </c>
      <c r="N468" s="137">
        <v>3.32</v>
      </c>
      <c r="O468" s="137">
        <v>0.95</v>
      </c>
      <c r="P468" s="137">
        <v>0</v>
      </c>
      <c r="Q468" s="137">
        <v>5.75</v>
      </c>
      <c r="R468" s="137">
        <v>7.95</v>
      </c>
      <c r="S468" s="137">
        <v>6.79</v>
      </c>
      <c r="T468" s="137">
        <v>6.6</v>
      </c>
      <c r="U468" s="137">
        <v>7.94</v>
      </c>
      <c r="V468" s="137">
        <v>6.34</v>
      </c>
      <c r="W468" s="140">
        <v>14120415</v>
      </c>
      <c r="X468" s="56">
        <f t="shared" si="14"/>
        <v>1</v>
      </c>
      <c r="Y468" s="56" t="str">
        <f t="shared" si="15"/>
        <v>LOGUEO</v>
      </c>
    </row>
    <row r="469" spans="1:25" ht="15" x14ac:dyDescent="0.25">
      <c r="A469" s="136" t="s">
        <v>1348</v>
      </c>
      <c r="B469" s="137">
        <v>0</v>
      </c>
      <c r="C469" s="137">
        <v>9.6</v>
      </c>
      <c r="D469" s="137">
        <v>9.93</v>
      </c>
      <c r="E469" s="137">
        <v>10.130000000000001</v>
      </c>
      <c r="F469" s="137">
        <v>7.82</v>
      </c>
      <c r="G469" s="137">
        <v>8.15</v>
      </c>
      <c r="H469" s="137">
        <v>9.35</v>
      </c>
      <c r="I469" s="137">
        <v>0</v>
      </c>
      <c r="J469" s="137">
        <v>9</v>
      </c>
      <c r="K469" s="137">
        <v>10.25</v>
      </c>
      <c r="L469" s="137">
        <v>7.94</v>
      </c>
      <c r="M469" s="137">
        <v>8.6999999999999993</v>
      </c>
      <c r="N469" s="137">
        <v>8.08</v>
      </c>
      <c r="O469" s="137">
        <v>6.92</v>
      </c>
      <c r="P469" s="137">
        <v>0</v>
      </c>
      <c r="Q469" s="137">
        <v>9.2799999999999994</v>
      </c>
      <c r="R469" s="137">
        <v>8.01</v>
      </c>
      <c r="S469" s="137">
        <v>8.8698999999999995</v>
      </c>
      <c r="T469" s="137">
        <v>9.6</v>
      </c>
      <c r="U469" s="137">
        <v>10.039999999999999</v>
      </c>
      <c r="V469" s="137">
        <v>9.5299999999999994</v>
      </c>
      <c r="W469" s="140">
        <v>14123228</v>
      </c>
      <c r="X469" s="56">
        <f t="shared" si="14"/>
        <v>1</v>
      </c>
      <c r="Y469" s="56" t="str">
        <f t="shared" si="15"/>
        <v>LOGUEO</v>
      </c>
    </row>
    <row r="470" spans="1:25" ht="15" x14ac:dyDescent="0.25">
      <c r="A470" s="136" t="s">
        <v>1811</v>
      </c>
      <c r="B470" s="137">
        <v>5.7398999999999996</v>
      </c>
      <c r="C470" s="137">
        <v>7.63</v>
      </c>
      <c r="D470" s="137">
        <v>8.08</v>
      </c>
      <c r="E470" s="137">
        <v>7.36</v>
      </c>
      <c r="F470" s="137">
        <v>1.71</v>
      </c>
      <c r="G470" s="137">
        <v>9.19</v>
      </c>
      <c r="H470" s="137">
        <v>7.52</v>
      </c>
      <c r="I470" s="137">
        <v>0</v>
      </c>
      <c r="J470" s="137">
        <v>9.5299999999999994</v>
      </c>
      <c r="K470" s="137">
        <v>8.15</v>
      </c>
      <c r="L470" s="137">
        <v>6.61</v>
      </c>
      <c r="M470" s="137">
        <v>8.6699000000000002</v>
      </c>
      <c r="N470" s="137">
        <v>8.3099000000000007</v>
      </c>
      <c r="O470" s="137">
        <v>7.35</v>
      </c>
      <c r="P470" s="137">
        <v>5.3598999999999997</v>
      </c>
      <c r="Q470" s="137">
        <v>8.44</v>
      </c>
      <c r="R470" s="137">
        <v>8.92</v>
      </c>
      <c r="S470" s="137">
        <v>2.7</v>
      </c>
      <c r="T470" s="137">
        <v>9.4298999999999999</v>
      </c>
      <c r="U470" s="137">
        <v>8.01</v>
      </c>
      <c r="V470" s="137">
        <v>7.12</v>
      </c>
      <c r="W470" s="140" t="s">
        <v>1609</v>
      </c>
      <c r="X470" s="56">
        <f t="shared" si="14"/>
        <v>0</v>
      </c>
      <c r="Y470" s="56" t="str">
        <f t="shared" si="15"/>
        <v>LOGUEO</v>
      </c>
    </row>
    <row r="471" spans="1:25" ht="15" x14ac:dyDescent="0.25">
      <c r="A471" s="136" t="s">
        <v>1979</v>
      </c>
      <c r="B471" s="137">
        <v>0</v>
      </c>
      <c r="C471" s="137">
        <v>0</v>
      </c>
      <c r="D471" s="137">
        <v>0</v>
      </c>
      <c r="E471" s="137">
        <v>0</v>
      </c>
      <c r="F471" s="137">
        <v>0</v>
      </c>
      <c r="G471" s="137">
        <v>0</v>
      </c>
      <c r="H471" s="137">
        <v>0</v>
      </c>
      <c r="I471" s="137">
        <v>0</v>
      </c>
      <c r="J471" s="137">
        <v>0</v>
      </c>
      <c r="K471" s="137">
        <v>0</v>
      </c>
      <c r="L471" s="137">
        <v>0</v>
      </c>
      <c r="M471" s="137">
        <v>0</v>
      </c>
      <c r="N471" s="137">
        <v>0</v>
      </c>
      <c r="O471" s="137">
        <v>0</v>
      </c>
      <c r="P471" s="137">
        <v>0</v>
      </c>
      <c r="Q471" s="137">
        <v>0</v>
      </c>
      <c r="R471" s="137">
        <v>0</v>
      </c>
      <c r="S471" s="137">
        <v>0</v>
      </c>
      <c r="T471" s="137">
        <v>0</v>
      </c>
      <c r="U471" s="137">
        <v>0</v>
      </c>
      <c r="V471" s="137">
        <v>0</v>
      </c>
      <c r="W471" s="140">
        <v>14100887</v>
      </c>
      <c r="X471" s="56">
        <f t="shared" si="14"/>
        <v>7</v>
      </c>
      <c r="Y471" s="56" t="str">
        <f t="shared" si="15"/>
        <v>NO LOGUEO</v>
      </c>
    </row>
    <row r="472" spans="1:25" ht="15" x14ac:dyDescent="0.25">
      <c r="A472" s="136" t="s">
        <v>275</v>
      </c>
      <c r="B472" s="137">
        <v>0.62</v>
      </c>
      <c r="C472" s="137">
        <v>6.3098999999999998</v>
      </c>
      <c r="D472" s="137">
        <v>5.55</v>
      </c>
      <c r="E472" s="137">
        <v>3.98</v>
      </c>
      <c r="F472" s="137">
        <v>3</v>
      </c>
      <c r="G472" s="137">
        <v>4.3499999999999996</v>
      </c>
      <c r="H472" s="137">
        <v>2.77</v>
      </c>
      <c r="I472" s="137">
        <v>2.7</v>
      </c>
      <c r="J472" s="137">
        <v>4.78</v>
      </c>
      <c r="K472" s="137">
        <v>6.1</v>
      </c>
      <c r="L472" s="137">
        <v>4.93</v>
      </c>
      <c r="M472" s="137">
        <v>6.56</v>
      </c>
      <c r="N472" s="137">
        <v>5.7</v>
      </c>
      <c r="O472" s="137">
        <v>3.87</v>
      </c>
      <c r="P472" s="137">
        <v>4.8</v>
      </c>
      <c r="Q472" s="137">
        <v>5.9099000000000004</v>
      </c>
      <c r="R472" s="137">
        <v>5.8098999999999998</v>
      </c>
      <c r="S472" s="137">
        <v>6.44</v>
      </c>
      <c r="T472" s="137">
        <v>2.78</v>
      </c>
      <c r="U472" s="137">
        <v>6.11</v>
      </c>
      <c r="V472" s="137">
        <v>4.63</v>
      </c>
      <c r="W472" s="140">
        <v>14100823</v>
      </c>
      <c r="X472" s="56">
        <f t="shared" si="14"/>
        <v>0</v>
      </c>
      <c r="Y472" s="56" t="str">
        <f t="shared" si="15"/>
        <v>LOGUEO</v>
      </c>
    </row>
    <row r="473" spans="1:25" ht="15" x14ac:dyDescent="0.25">
      <c r="A473" s="136" t="s">
        <v>1568</v>
      </c>
      <c r="B473" s="137">
        <v>0</v>
      </c>
      <c r="C473" s="137">
        <v>0</v>
      </c>
      <c r="D473" s="137">
        <v>4.03</v>
      </c>
      <c r="E473" s="137">
        <v>0.38</v>
      </c>
      <c r="F473" s="137">
        <v>0</v>
      </c>
      <c r="G473" s="137">
        <v>3.15</v>
      </c>
      <c r="H473" s="137">
        <v>2.3199999999999998</v>
      </c>
      <c r="I473" s="137">
        <v>0</v>
      </c>
      <c r="J473" s="137">
        <v>0</v>
      </c>
      <c r="K473" s="137">
        <v>1.33</v>
      </c>
      <c r="L473" s="137">
        <v>3.13</v>
      </c>
      <c r="M473" s="137">
        <v>2.16</v>
      </c>
      <c r="N473" s="137">
        <v>2.95</v>
      </c>
      <c r="O473" s="137">
        <v>2.16</v>
      </c>
      <c r="P473" s="137">
        <v>0</v>
      </c>
      <c r="Q473" s="137">
        <v>0</v>
      </c>
      <c r="R473" s="137">
        <v>3.03</v>
      </c>
      <c r="S473" s="137">
        <v>3.02</v>
      </c>
      <c r="T473" s="137">
        <v>3.33</v>
      </c>
      <c r="U473" s="137">
        <v>2.38</v>
      </c>
      <c r="V473" s="137">
        <v>2.2599</v>
      </c>
      <c r="W473" s="140">
        <v>14107818</v>
      </c>
      <c r="X473" s="56">
        <f t="shared" si="14"/>
        <v>2</v>
      </c>
      <c r="Y473" s="56" t="str">
        <f t="shared" si="15"/>
        <v>NO LOGUEO</v>
      </c>
    </row>
    <row r="474" spans="1:25" ht="15" x14ac:dyDescent="0.25">
      <c r="A474" s="136" t="s">
        <v>534</v>
      </c>
      <c r="B474" s="137">
        <v>7.22</v>
      </c>
      <c r="C474" s="137">
        <v>4.7698999999999998</v>
      </c>
      <c r="D474" s="137">
        <v>8.34</v>
      </c>
      <c r="E474" s="137">
        <v>9.34</v>
      </c>
      <c r="F474" s="137">
        <v>2.29</v>
      </c>
      <c r="G474" s="137">
        <v>7.17</v>
      </c>
      <c r="H474" s="137">
        <v>7.25</v>
      </c>
      <c r="I474" s="137">
        <v>0</v>
      </c>
      <c r="J474" s="137">
        <v>6.24</v>
      </c>
      <c r="K474" s="137">
        <v>5.49</v>
      </c>
      <c r="L474" s="137">
        <v>8.1399000000000008</v>
      </c>
      <c r="M474" s="137">
        <v>7.82</v>
      </c>
      <c r="N474" s="137">
        <v>7.55</v>
      </c>
      <c r="O474" s="137">
        <v>8.49</v>
      </c>
      <c r="P474" s="137">
        <v>7.63</v>
      </c>
      <c r="Q474" s="137">
        <v>6.95</v>
      </c>
      <c r="R474" s="137">
        <v>7.01</v>
      </c>
      <c r="S474" s="137">
        <v>6.0799000000000003</v>
      </c>
      <c r="T474" s="137">
        <v>6.4398999999999997</v>
      </c>
      <c r="U474" s="137">
        <v>5.97</v>
      </c>
      <c r="V474" s="137">
        <v>6.57</v>
      </c>
      <c r="W474" s="140" t="s">
        <v>1609</v>
      </c>
      <c r="X474" s="56">
        <f t="shared" si="14"/>
        <v>0</v>
      </c>
      <c r="Y474" s="56" t="str">
        <f t="shared" si="15"/>
        <v>LOGUEO</v>
      </c>
    </row>
    <row r="475" spans="1:25" ht="15" x14ac:dyDescent="0.25">
      <c r="A475" s="136" t="s">
        <v>1615</v>
      </c>
      <c r="B475" s="137">
        <v>0</v>
      </c>
      <c r="C475" s="137">
        <v>0</v>
      </c>
      <c r="D475" s="137">
        <v>3.37</v>
      </c>
      <c r="E475" s="137">
        <v>7.3898999999999999</v>
      </c>
      <c r="F475" s="137">
        <v>4.32</v>
      </c>
      <c r="G475" s="137">
        <v>8.61</v>
      </c>
      <c r="H475" s="137">
        <v>2.9699</v>
      </c>
      <c r="I475" s="137">
        <v>0</v>
      </c>
      <c r="J475" s="137">
        <v>0</v>
      </c>
      <c r="K475" s="137">
        <v>0</v>
      </c>
      <c r="L475" s="137">
        <v>0</v>
      </c>
      <c r="M475" s="137">
        <v>0</v>
      </c>
      <c r="N475" s="137">
        <v>0</v>
      </c>
      <c r="O475" s="137">
        <v>0</v>
      </c>
      <c r="P475" s="137">
        <v>0</v>
      </c>
      <c r="Q475" s="137">
        <v>7.61</v>
      </c>
      <c r="R475" s="137">
        <v>9.8800000000000008</v>
      </c>
      <c r="S475" s="137">
        <v>0.37</v>
      </c>
      <c r="T475" s="137">
        <v>9.9600000000000009</v>
      </c>
      <c r="U475" s="137">
        <v>0</v>
      </c>
      <c r="V475" s="137">
        <v>0</v>
      </c>
      <c r="W475" s="140" t="s">
        <v>1609</v>
      </c>
      <c r="X475" s="56">
        <f t="shared" si="14"/>
        <v>3</v>
      </c>
      <c r="Y475" s="56" t="str">
        <f t="shared" si="15"/>
        <v>NO LOGUEO</v>
      </c>
    </row>
    <row r="476" spans="1:25" ht="15" x14ac:dyDescent="0.25">
      <c r="A476" s="136" t="s">
        <v>1980</v>
      </c>
      <c r="B476" s="137">
        <v>0</v>
      </c>
      <c r="C476" s="137">
        <v>0</v>
      </c>
      <c r="D476" s="137">
        <v>0</v>
      </c>
      <c r="E476" s="137">
        <v>0</v>
      </c>
      <c r="F476" s="137">
        <v>0</v>
      </c>
      <c r="G476" s="137">
        <v>0</v>
      </c>
      <c r="H476" s="137">
        <v>0</v>
      </c>
      <c r="I476" s="137">
        <v>0</v>
      </c>
      <c r="J476" s="137">
        <v>0</v>
      </c>
      <c r="K476" s="137">
        <v>0</v>
      </c>
      <c r="L476" s="137">
        <v>0</v>
      </c>
      <c r="M476" s="137">
        <v>0</v>
      </c>
      <c r="N476" s="137">
        <v>0</v>
      </c>
      <c r="O476" s="137">
        <v>0</v>
      </c>
      <c r="P476" s="137">
        <v>0</v>
      </c>
      <c r="Q476" s="137">
        <v>0</v>
      </c>
      <c r="R476" s="137">
        <v>0</v>
      </c>
      <c r="S476" s="137">
        <v>0</v>
      </c>
      <c r="T476" s="137">
        <v>0</v>
      </c>
      <c r="U476" s="137">
        <v>0</v>
      </c>
      <c r="V476" s="137">
        <v>0</v>
      </c>
      <c r="W476" s="140" t="s">
        <v>1609</v>
      </c>
      <c r="X476" s="56">
        <f t="shared" si="14"/>
        <v>7</v>
      </c>
      <c r="Y476" s="56" t="str">
        <f t="shared" si="15"/>
        <v>NO LOGUEO</v>
      </c>
    </row>
    <row r="477" spans="1:25" ht="15" x14ac:dyDescent="0.25">
      <c r="A477" s="136" t="s">
        <v>84</v>
      </c>
      <c r="B477" s="137">
        <v>6.39</v>
      </c>
      <c r="C477" s="137">
        <v>7.42</v>
      </c>
      <c r="D477" s="137">
        <v>7.32</v>
      </c>
      <c r="E477" s="137">
        <v>6.0298999999999996</v>
      </c>
      <c r="F477" s="137">
        <v>6.6</v>
      </c>
      <c r="G477" s="137">
        <v>10.49</v>
      </c>
      <c r="H477" s="137">
        <v>4.9800000000000004</v>
      </c>
      <c r="I477" s="137">
        <v>0</v>
      </c>
      <c r="J477" s="137">
        <v>6.59</v>
      </c>
      <c r="K477" s="137">
        <v>7.27</v>
      </c>
      <c r="L477" s="137">
        <v>8.9099000000000004</v>
      </c>
      <c r="M477" s="137">
        <v>6.7</v>
      </c>
      <c r="N477" s="137">
        <v>8.26</v>
      </c>
      <c r="O477" s="137">
        <v>11.1699</v>
      </c>
      <c r="P477" s="137">
        <v>6.28</v>
      </c>
      <c r="Q477" s="137">
        <v>7.2999000000000001</v>
      </c>
      <c r="R477" s="137">
        <v>8.09</v>
      </c>
      <c r="S477" s="137">
        <v>7.87</v>
      </c>
      <c r="T477" s="137">
        <v>12.42</v>
      </c>
      <c r="U477" s="137">
        <v>7.18</v>
      </c>
      <c r="V477" s="137">
        <v>0</v>
      </c>
      <c r="W477" s="140">
        <v>14109133</v>
      </c>
      <c r="X477" s="56">
        <f t="shared" si="14"/>
        <v>1</v>
      </c>
      <c r="Y477" s="56" t="str">
        <f t="shared" si="15"/>
        <v>LOGUEO</v>
      </c>
    </row>
    <row r="478" spans="1:25" ht="15" x14ac:dyDescent="0.25">
      <c r="A478" s="136" t="s">
        <v>904</v>
      </c>
      <c r="B478" s="137">
        <v>8.91</v>
      </c>
      <c r="C478" s="137">
        <v>0</v>
      </c>
      <c r="D478" s="137">
        <v>8.43</v>
      </c>
      <c r="E478" s="137">
        <v>4.24</v>
      </c>
      <c r="F478" s="137">
        <v>6.16</v>
      </c>
      <c r="G478" s="137">
        <v>3.63</v>
      </c>
      <c r="H478" s="137">
        <v>8.49</v>
      </c>
      <c r="I478" s="137">
        <v>0</v>
      </c>
      <c r="J478" s="137">
        <v>11.28</v>
      </c>
      <c r="K478" s="137">
        <v>3.68</v>
      </c>
      <c r="L478" s="137">
        <v>8.2799999999999994</v>
      </c>
      <c r="M478" s="137">
        <v>5.66</v>
      </c>
      <c r="N478" s="137">
        <v>8.61</v>
      </c>
      <c r="O478" s="137">
        <v>3.7898999999999998</v>
      </c>
      <c r="P478" s="137">
        <v>8.82</v>
      </c>
      <c r="Q478" s="137">
        <v>0</v>
      </c>
      <c r="R478" s="137">
        <v>6.3</v>
      </c>
      <c r="S478" s="137">
        <v>8.5</v>
      </c>
      <c r="T478" s="137">
        <v>5.0598999999999998</v>
      </c>
      <c r="U478" s="137">
        <v>8.48</v>
      </c>
      <c r="V478" s="137">
        <v>2.36</v>
      </c>
      <c r="W478" s="140" t="s">
        <v>1609</v>
      </c>
      <c r="X478" s="56">
        <f t="shared" si="14"/>
        <v>1</v>
      </c>
      <c r="Y478" s="56" t="str">
        <f t="shared" si="15"/>
        <v>LOGUEO</v>
      </c>
    </row>
    <row r="479" spans="1:25" ht="15" x14ac:dyDescent="0.25">
      <c r="A479" s="136" t="s">
        <v>1838</v>
      </c>
      <c r="B479" s="137">
        <v>0</v>
      </c>
      <c r="C479" s="137">
        <v>0</v>
      </c>
      <c r="D479" s="137">
        <v>0</v>
      </c>
      <c r="E479" s="137">
        <v>0</v>
      </c>
      <c r="F479" s="137">
        <v>0</v>
      </c>
      <c r="G479" s="137">
        <v>0</v>
      </c>
      <c r="H479" s="137">
        <v>0</v>
      </c>
      <c r="I479" s="137">
        <v>0</v>
      </c>
      <c r="J479" s="137">
        <v>0</v>
      </c>
      <c r="K479" s="137">
        <v>0</v>
      </c>
      <c r="L479" s="137">
        <v>0</v>
      </c>
      <c r="M479" s="137">
        <v>0</v>
      </c>
      <c r="N479" s="137">
        <v>0</v>
      </c>
      <c r="O479" s="137">
        <v>0</v>
      </c>
      <c r="P479" s="137">
        <v>0</v>
      </c>
      <c r="Q479" s="137">
        <v>0</v>
      </c>
      <c r="R479" s="137">
        <v>0</v>
      </c>
      <c r="S479" s="137">
        <v>0</v>
      </c>
      <c r="T479" s="137">
        <v>0</v>
      </c>
      <c r="U479" s="137">
        <v>0</v>
      </c>
      <c r="V479" s="137">
        <v>0</v>
      </c>
      <c r="W479" s="140" t="s">
        <v>1609</v>
      </c>
      <c r="X479" s="56">
        <f t="shared" si="14"/>
        <v>7</v>
      </c>
      <c r="Y479" s="56" t="str">
        <f t="shared" si="15"/>
        <v>NO LOGUEO</v>
      </c>
    </row>
    <row r="480" spans="1:25" ht="15" x14ac:dyDescent="0.25">
      <c r="A480" s="136" t="s">
        <v>2027</v>
      </c>
      <c r="B480" s="137">
        <v>8.44</v>
      </c>
      <c r="C480" s="137">
        <v>9.5398999999999994</v>
      </c>
      <c r="D480" s="137">
        <v>9.2998999999999992</v>
      </c>
      <c r="E480" s="137">
        <v>9.27</v>
      </c>
      <c r="F480" s="137">
        <v>8.08</v>
      </c>
      <c r="G480" s="137">
        <v>8.74</v>
      </c>
      <c r="H480" s="137">
        <v>8.8000000000000007</v>
      </c>
      <c r="I480" s="137">
        <v>0</v>
      </c>
      <c r="J480" s="137">
        <v>8.9600000000000009</v>
      </c>
      <c r="K480" s="137">
        <v>8.2799999999999994</v>
      </c>
      <c r="L480" s="137">
        <v>10.23</v>
      </c>
      <c r="M480" s="137">
        <v>11.45</v>
      </c>
      <c r="N480" s="137">
        <v>3.5</v>
      </c>
      <c r="O480" s="137">
        <v>0</v>
      </c>
      <c r="P480" s="137">
        <v>0</v>
      </c>
      <c r="Q480" s="137">
        <v>7.49</v>
      </c>
      <c r="R480" s="137">
        <v>11.26</v>
      </c>
      <c r="S480" s="137">
        <v>6.79</v>
      </c>
      <c r="T480" s="137">
        <v>8.17</v>
      </c>
      <c r="U480" s="137">
        <v>7.74</v>
      </c>
      <c r="V480" s="137">
        <v>8.9</v>
      </c>
      <c r="W480" s="140" t="s">
        <v>1609</v>
      </c>
      <c r="X480" s="56">
        <f t="shared" si="14"/>
        <v>1</v>
      </c>
      <c r="Y480" s="56" t="str">
        <f t="shared" si="15"/>
        <v>LOGUEO</v>
      </c>
    </row>
    <row r="481" spans="1:25" ht="15" x14ac:dyDescent="0.25">
      <c r="A481" s="136" t="s">
        <v>2560</v>
      </c>
      <c r="B481" s="137">
        <v>0</v>
      </c>
      <c r="C481" s="137">
        <v>0</v>
      </c>
      <c r="D481" s="137">
        <v>0</v>
      </c>
      <c r="E481" s="137">
        <v>0</v>
      </c>
      <c r="F481" s="137">
        <v>0</v>
      </c>
      <c r="G481" s="137">
        <v>0</v>
      </c>
      <c r="H481" s="137">
        <v>0</v>
      </c>
      <c r="I481" s="137">
        <v>0</v>
      </c>
      <c r="J481" s="137">
        <v>0</v>
      </c>
      <c r="K481" s="137">
        <v>0</v>
      </c>
      <c r="L481" s="137">
        <v>0</v>
      </c>
      <c r="M481" s="137">
        <v>1.07</v>
      </c>
      <c r="N481" s="137">
        <v>0</v>
      </c>
      <c r="O481" s="137">
        <v>0</v>
      </c>
      <c r="P481" s="137">
        <v>0</v>
      </c>
      <c r="Q481" s="137">
        <v>0</v>
      </c>
      <c r="R481" s="137">
        <v>0</v>
      </c>
      <c r="S481" s="137">
        <v>0</v>
      </c>
      <c r="T481" s="137">
        <v>0</v>
      </c>
      <c r="U481" s="137">
        <v>0</v>
      </c>
      <c r="V481" s="137">
        <v>0</v>
      </c>
      <c r="W481" s="140" t="s">
        <v>1609</v>
      </c>
      <c r="X481" s="56">
        <f t="shared" si="14"/>
        <v>7</v>
      </c>
      <c r="Y481" s="56" t="str">
        <f t="shared" si="15"/>
        <v>NO LOGUEO</v>
      </c>
    </row>
    <row r="482" spans="1:25" ht="15" x14ac:dyDescent="0.25">
      <c r="A482" s="136" t="s">
        <v>2398</v>
      </c>
      <c r="B482" s="137">
        <v>6.99</v>
      </c>
      <c r="C482" s="137">
        <v>3.2</v>
      </c>
      <c r="D482" s="137">
        <v>8.49</v>
      </c>
      <c r="E482" s="137">
        <v>3.55</v>
      </c>
      <c r="F482" s="137">
        <v>2.64</v>
      </c>
      <c r="G482" s="137">
        <v>0</v>
      </c>
      <c r="H482" s="137">
        <v>0</v>
      </c>
      <c r="I482" s="137">
        <v>0</v>
      </c>
      <c r="J482" s="137">
        <v>0</v>
      </c>
      <c r="K482" s="137">
        <v>0</v>
      </c>
      <c r="L482" s="137">
        <v>0</v>
      </c>
      <c r="M482" s="137">
        <v>0</v>
      </c>
      <c r="N482" s="137">
        <v>0</v>
      </c>
      <c r="O482" s="137">
        <v>2.5499999999999998</v>
      </c>
      <c r="P482" s="137">
        <v>0</v>
      </c>
      <c r="Q482" s="137">
        <v>10.26</v>
      </c>
      <c r="R482" s="137">
        <v>12.01</v>
      </c>
      <c r="S482" s="137">
        <v>11.82</v>
      </c>
      <c r="T482" s="137">
        <v>11.31</v>
      </c>
      <c r="U482" s="137">
        <v>11.99</v>
      </c>
      <c r="V482" s="137">
        <v>9.8698999999999995</v>
      </c>
      <c r="W482" s="140" t="s">
        <v>1609</v>
      </c>
      <c r="X482" s="56">
        <f t="shared" si="14"/>
        <v>1</v>
      </c>
      <c r="Y482" s="56" t="str">
        <f t="shared" si="15"/>
        <v>LOGUEO</v>
      </c>
    </row>
    <row r="483" spans="1:25" ht="15" x14ac:dyDescent="0.25">
      <c r="A483" s="136" t="s">
        <v>1981</v>
      </c>
      <c r="B483" s="137">
        <v>0</v>
      </c>
      <c r="C483" s="137">
        <v>0</v>
      </c>
      <c r="D483" s="137">
        <v>0</v>
      </c>
      <c r="E483" s="137">
        <v>0</v>
      </c>
      <c r="F483" s="137">
        <v>0</v>
      </c>
      <c r="G483" s="137">
        <v>0</v>
      </c>
      <c r="H483" s="137">
        <v>0</v>
      </c>
      <c r="I483" s="137">
        <v>0</v>
      </c>
      <c r="J483" s="137">
        <v>0</v>
      </c>
      <c r="K483" s="137">
        <v>0</v>
      </c>
      <c r="L483" s="137">
        <v>0</v>
      </c>
      <c r="M483" s="137">
        <v>0</v>
      </c>
      <c r="N483" s="137">
        <v>0</v>
      </c>
      <c r="O483" s="137">
        <v>0</v>
      </c>
      <c r="P483" s="137">
        <v>0</v>
      </c>
      <c r="Q483" s="137">
        <v>0</v>
      </c>
      <c r="R483" s="137">
        <v>0</v>
      </c>
      <c r="S483" s="137">
        <v>0</v>
      </c>
      <c r="T483" s="137">
        <v>0</v>
      </c>
      <c r="U483" s="137">
        <v>0</v>
      </c>
      <c r="V483" s="137">
        <v>0</v>
      </c>
      <c r="W483" s="140" t="s">
        <v>1609</v>
      </c>
      <c r="X483" s="56">
        <f t="shared" si="14"/>
        <v>7</v>
      </c>
      <c r="Y483" s="56" t="str">
        <f t="shared" si="15"/>
        <v>NO LOGUEO</v>
      </c>
    </row>
    <row r="484" spans="1:25" ht="15" x14ac:dyDescent="0.25">
      <c r="A484" s="136" t="s">
        <v>3702</v>
      </c>
      <c r="B484" s="137">
        <v>3.87</v>
      </c>
      <c r="C484" s="137">
        <v>5.45</v>
      </c>
      <c r="D484" s="137">
        <v>0</v>
      </c>
      <c r="E484" s="137">
        <v>0</v>
      </c>
      <c r="F484" s="137">
        <v>2.64</v>
      </c>
      <c r="G484" s="137">
        <v>1.26</v>
      </c>
      <c r="H484" s="137">
        <v>0</v>
      </c>
      <c r="I484" s="137">
        <v>0</v>
      </c>
      <c r="J484" s="137">
        <v>0</v>
      </c>
      <c r="K484" s="137">
        <v>0</v>
      </c>
      <c r="L484" s="137">
        <v>0</v>
      </c>
      <c r="M484" s="137">
        <v>3.28</v>
      </c>
      <c r="N484" s="137">
        <v>0</v>
      </c>
      <c r="O484" s="137">
        <v>0</v>
      </c>
      <c r="P484" s="137">
        <v>0</v>
      </c>
      <c r="Q484" s="137">
        <v>0</v>
      </c>
      <c r="R484" s="137">
        <v>0</v>
      </c>
      <c r="S484" s="137">
        <v>0</v>
      </c>
      <c r="T484" s="137">
        <v>0</v>
      </c>
      <c r="U484" s="137">
        <v>0</v>
      </c>
      <c r="V484" s="137">
        <v>0</v>
      </c>
      <c r="W484" s="140" t="s">
        <v>1609</v>
      </c>
      <c r="X484" s="56">
        <f t="shared" si="14"/>
        <v>7</v>
      </c>
      <c r="Y484" s="56" t="str">
        <f t="shared" si="15"/>
        <v>NO LOGUEO</v>
      </c>
    </row>
    <row r="485" spans="1:25" ht="15" x14ac:dyDescent="0.25">
      <c r="A485" s="136" t="s">
        <v>1982</v>
      </c>
      <c r="B485" s="137">
        <v>0</v>
      </c>
      <c r="C485" s="137">
        <v>0</v>
      </c>
      <c r="D485" s="137">
        <v>0</v>
      </c>
      <c r="E485" s="137">
        <v>0</v>
      </c>
      <c r="F485" s="137">
        <v>0</v>
      </c>
      <c r="G485" s="137">
        <v>0</v>
      </c>
      <c r="H485" s="137">
        <v>0</v>
      </c>
      <c r="I485" s="137">
        <v>0</v>
      </c>
      <c r="J485" s="137">
        <v>0</v>
      </c>
      <c r="K485" s="137">
        <v>0</v>
      </c>
      <c r="L485" s="137">
        <v>0</v>
      </c>
      <c r="M485" s="137">
        <v>0</v>
      </c>
      <c r="N485" s="137">
        <v>0</v>
      </c>
      <c r="O485" s="137">
        <v>0</v>
      </c>
      <c r="P485" s="137">
        <v>0</v>
      </c>
      <c r="Q485" s="137">
        <v>0</v>
      </c>
      <c r="R485" s="137">
        <v>0</v>
      </c>
      <c r="S485" s="137">
        <v>0</v>
      </c>
      <c r="T485" s="137">
        <v>0</v>
      </c>
      <c r="U485" s="137">
        <v>0</v>
      </c>
      <c r="V485" s="137">
        <v>0</v>
      </c>
      <c r="W485" s="140" t="s">
        <v>1609</v>
      </c>
      <c r="X485" s="56">
        <f t="shared" si="14"/>
        <v>7</v>
      </c>
      <c r="Y485" s="56" t="str">
        <f t="shared" si="15"/>
        <v>NO LOGUEO</v>
      </c>
    </row>
    <row r="486" spans="1:25" ht="15" x14ac:dyDescent="0.25">
      <c r="A486" s="136" t="s">
        <v>1908</v>
      </c>
      <c r="B486" s="137">
        <v>0</v>
      </c>
      <c r="C486" s="137">
        <v>0</v>
      </c>
      <c r="D486" s="137">
        <v>0</v>
      </c>
      <c r="E486" s="137">
        <v>0</v>
      </c>
      <c r="F486" s="137">
        <v>0</v>
      </c>
      <c r="G486" s="137">
        <v>0</v>
      </c>
      <c r="H486" s="137">
        <v>0</v>
      </c>
      <c r="I486" s="137">
        <v>0</v>
      </c>
      <c r="J486" s="137">
        <v>0</v>
      </c>
      <c r="K486" s="137">
        <v>0</v>
      </c>
      <c r="L486" s="137">
        <v>0</v>
      </c>
      <c r="M486" s="137">
        <v>0</v>
      </c>
      <c r="N486" s="137">
        <v>0</v>
      </c>
      <c r="O486" s="137">
        <v>0</v>
      </c>
      <c r="P486" s="137">
        <v>0</v>
      </c>
      <c r="Q486" s="137">
        <v>0</v>
      </c>
      <c r="R486" s="137">
        <v>0</v>
      </c>
      <c r="S486" s="137">
        <v>0</v>
      </c>
      <c r="T486" s="137">
        <v>0</v>
      </c>
      <c r="U486" s="137">
        <v>0</v>
      </c>
      <c r="V486" s="137">
        <v>0</v>
      </c>
      <c r="W486" s="140" t="s">
        <v>1609</v>
      </c>
      <c r="X486" s="56">
        <f t="shared" si="14"/>
        <v>7</v>
      </c>
      <c r="Y486" s="56" t="str">
        <f t="shared" si="15"/>
        <v>NO LOGUEO</v>
      </c>
    </row>
    <row r="487" spans="1:25" ht="15" x14ac:dyDescent="0.25">
      <c r="A487" s="136" t="s">
        <v>1983</v>
      </c>
      <c r="B487" s="137">
        <v>0</v>
      </c>
      <c r="C487" s="137">
        <v>0</v>
      </c>
      <c r="D487" s="137">
        <v>0</v>
      </c>
      <c r="E487" s="137">
        <v>0</v>
      </c>
      <c r="F487" s="137">
        <v>0</v>
      </c>
      <c r="G487" s="137">
        <v>0</v>
      </c>
      <c r="H487" s="137">
        <v>0</v>
      </c>
      <c r="I487" s="137">
        <v>0</v>
      </c>
      <c r="J487" s="137">
        <v>2.6398999999999999</v>
      </c>
      <c r="K487" s="137">
        <v>11.45</v>
      </c>
      <c r="L487" s="137">
        <v>7.42</v>
      </c>
      <c r="M487" s="137">
        <v>5.92</v>
      </c>
      <c r="N487" s="137">
        <v>9.43</v>
      </c>
      <c r="O487" s="137">
        <v>11.68</v>
      </c>
      <c r="P487" s="137">
        <v>1.5</v>
      </c>
      <c r="Q487" s="137">
        <v>0</v>
      </c>
      <c r="R487" s="137">
        <v>0</v>
      </c>
      <c r="S487" s="137">
        <v>2.37</v>
      </c>
      <c r="T487" s="137">
        <v>2.25</v>
      </c>
      <c r="U487" s="137">
        <v>0</v>
      </c>
      <c r="V487" s="137">
        <v>0</v>
      </c>
      <c r="W487" s="140" t="s">
        <v>1609</v>
      </c>
      <c r="X487" s="56">
        <f t="shared" si="14"/>
        <v>4</v>
      </c>
      <c r="Y487" s="56" t="str">
        <f t="shared" si="15"/>
        <v>NO LOGUEO</v>
      </c>
    </row>
    <row r="488" spans="1:25" ht="15" x14ac:dyDescent="0.25">
      <c r="A488" s="136" t="s">
        <v>7</v>
      </c>
      <c r="B488" s="137">
        <v>0</v>
      </c>
      <c r="C488" s="137">
        <v>0</v>
      </c>
      <c r="D488" s="137">
        <v>0</v>
      </c>
      <c r="E488" s="137">
        <v>0</v>
      </c>
      <c r="F488" s="137">
        <v>0</v>
      </c>
      <c r="G488" s="137">
        <v>0</v>
      </c>
      <c r="H488" s="137">
        <v>0</v>
      </c>
      <c r="I488" s="137">
        <v>0</v>
      </c>
      <c r="J488" s="137">
        <v>0</v>
      </c>
      <c r="K488" s="137">
        <v>0</v>
      </c>
      <c r="L488" s="137">
        <v>0</v>
      </c>
      <c r="M488" s="137">
        <v>0</v>
      </c>
      <c r="N488" s="137">
        <v>0</v>
      </c>
      <c r="O488" s="137">
        <v>0</v>
      </c>
      <c r="P488" s="137">
        <v>0</v>
      </c>
      <c r="Q488" s="137">
        <v>0</v>
      </c>
      <c r="R488" s="137">
        <v>0</v>
      </c>
      <c r="S488" s="137">
        <v>0</v>
      </c>
      <c r="T488" s="137">
        <v>0</v>
      </c>
      <c r="U488" s="137">
        <v>0</v>
      </c>
      <c r="V488" s="137">
        <v>0</v>
      </c>
      <c r="W488" s="140">
        <v>14100714</v>
      </c>
      <c r="X488" s="56">
        <f t="shared" si="14"/>
        <v>7</v>
      </c>
      <c r="Y488" s="56" t="str">
        <f t="shared" si="15"/>
        <v>NO LOGUEO</v>
      </c>
    </row>
    <row r="489" spans="1:25" ht="15" x14ac:dyDescent="0.25">
      <c r="A489" s="136" t="s">
        <v>423</v>
      </c>
      <c r="B489" s="137">
        <v>0</v>
      </c>
      <c r="C489" s="137">
        <v>0</v>
      </c>
      <c r="D489" s="137">
        <v>0</v>
      </c>
      <c r="E489" s="137">
        <v>0</v>
      </c>
      <c r="F489" s="137">
        <v>0</v>
      </c>
      <c r="G489" s="137">
        <v>0</v>
      </c>
      <c r="H489" s="137">
        <v>0</v>
      </c>
      <c r="I489" s="137">
        <v>0</v>
      </c>
      <c r="J489" s="137">
        <v>0</v>
      </c>
      <c r="K489" s="137">
        <v>0</v>
      </c>
      <c r="L489" s="137">
        <v>0</v>
      </c>
      <c r="M489" s="137">
        <v>0</v>
      </c>
      <c r="N489" s="137">
        <v>0</v>
      </c>
      <c r="O489" s="137">
        <v>0</v>
      </c>
      <c r="P489" s="137">
        <v>0</v>
      </c>
      <c r="Q489" s="137">
        <v>0</v>
      </c>
      <c r="R489" s="137">
        <v>0</v>
      </c>
      <c r="S489" s="137">
        <v>0</v>
      </c>
      <c r="T489" s="137">
        <v>0</v>
      </c>
      <c r="U489" s="137">
        <v>0</v>
      </c>
      <c r="V489" s="137">
        <v>0</v>
      </c>
      <c r="W489" s="140">
        <v>14122428</v>
      </c>
      <c r="X489" s="56">
        <f t="shared" si="14"/>
        <v>7</v>
      </c>
      <c r="Y489" s="56" t="str">
        <f t="shared" si="15"/>
        <v>NO LOGUEO</v>
      </c>
    </row>
    <row r="490" spans="1:25" ht="15" x14ac:dyDescent="0.25">
      <c r="A490" s="136" t="s">
        <v>3706</v>
      </c>
      <c r="B490" s="137">
        <v>0</v>
      </c>
      <c r="C490" s="137">
        <v>6.98</v>
      </c>
      <c r="D490" s="137">
        <v>9.0398999999999994</v>
      </c>
      <c r="E490" s="137">
        <v>8.9499999999999993</v>
      </c>
      <c r="F490" s="137">
        <v>8.36</v>
      </c>
      <c r="G490" s="137">
        <v>7.27</v>
      </c>
      <c r="H490" s="137">
        <v>8.76</v>
      </c>
      <c r="I490" s="137">
        <v>0</v>
      </c>
      <c r="J490" s="137">
        <v>0</v>
      </c>
      <c r="K490" s="137">
        <v>0</v>
      </c>
      <c r="L490" s="137">
        <v>0</v>
      </c>
      <c r="M490" s="137">
        <v>1.28</v>
      </c>
      <c r="N490" s="137">
        <v>0</v>
      </c>
      <c r="O490" s="137">
        <v>0</v>
      </c>
      <c r="P490" s="137">
        <v>0</v>
      </c>
      <c r="Q490" s="137">
        <v>0</v>
      </c>
      <c r="R490" s="137">
        <v>0</v>
      </c>
      <c r="S490" s="137">
        <v>0</v>
      </c>
      <c r="T490" s="137">
        <v>0</v>
      </c>
      <c r="U490" s="137">
        <v>0</v>
      </c>
      <c r="V490" s="137">
        <v>0</v>
      </c>
      <c r="W490" s="140" t="s">
        <v>1609</v>
      </c>
      <c r="X490" s="56">
        <f t="shared" si="14"/>
        <v>7</v>
      </c>
      <c r="Y490" s="56" t="str">
        <f t="shared" si="15"/>
        <v>NO LOGUEO</v>
      </c>
    </row>
    <row r="491" spans="1:25" ht="15" x14ac:dyDescent="0.25">
      <c r="A491" s="136" t="s">
        <v>141</v>
      </c>
      <c r="B491" s="137">
        <v>1.17</v>
      </c>
      <c r="C491" s="137">
        <v>8.23</v>
      </c>
      <c r="D491" s="137">
        <v>7.16</v>
      </c>
      <c r="E491" s="137">
        <v>0</v>
      </c>
      <c r="F491" s="137">
        <v>0</v>
      </c>
      <c r="G491" s="137">
        <v>6.9999000000000002</v>
      </c>
      <c r="H491" s="137">
        <v>6.2798999999999996</v>
      </c>
      <c r="I491" s="137">
        <v>0</v>
      </c>
      <c r="J491" s="137">
        <v>0</v>
      </c>
      <c r="K491" s="137">
        <v>7.84</v>
      </c>
      <c r="L491" s="137">
        <v>7.29</v>
      </c>
      <c r="M491" s="137">
        <v>0</v>
      </c>
      <c r="N491" s="137">
        <v>0</v>
      </c>
      <c r="O491" s="137">
        <v>7.43</v>
      </c>
      <c r="P491" s="137">
        <v>6.75</v>
      </c>
      <c r="Q491" s="137">
        <v>0</v>
      </c>
      <c r="R491" s="137">
        <v>0</v>
      </c>
      <c r="S491" s="137">
        <v>7.99</v>
      </c>
      <c r="T491" s="137">
        <v>6.57</v>
      </c>
      <c r="U491" s="137">
        <v>0</v>
      </c>
      <c r="V491" s="137">
        <v>0</v>
      </c>
      <c r="W491" s="140">
        <v>14115244</v>
      </c>
      <c r="X491" s="56">
        <f t="shared" si="14"/>
        <v>4</v>
      </c>
      <c r="Y491" s="56" t="str">
        <f t="shared" si="15"/>
        <v>NO LOGUEO</v>
      </c>
    </row>
    <row r="492" spans="1:25" ht="15" x14ac:dyDescent="0.25">
      <c r="A492" s="136" t="s">
        <v>115</v>
      </c>
      <c r="B492" s="137">
        <v>0.55000000000000004</v>
      </c>
      <c r="C492" s="137">
        <v>0</v>
      </c>
      <c r="D492" s="137">
        <v>0</v>
      </c>
      <c r="E492" s="137">
        <v>0</v>
      </c>
      <c r="F492" s="137">
        <v>1.83</v>
      </c>
      <c r="G492" s="137">
        <v>0.7</v>
      </c>
      <c r="H492" s="137">
        <v>0</v>
      </c>
      <c r="I492" s="137">
        <v>0.53</v>
      </c>
      <c r="J492" s="137">
        <v>3.93</v>
      </c>
      <c r="K492" s="137">
        <v>8.0398999999999994</v>
      </c>
      <c r="L492" s="137">
        <v>7.83</v>
      </c>
      <c r="M492" s="137">
        <v>7.82</v>
      </c>
      <c r="N492" s="137">
        <v>9.1</v>
      </c>
      <c r="O492" s="137">
        <v>11.43</v>
      </c>
      <c r="P492" s="137">
        <v>8.18</v>
      </c>
      <c r="Q492" s="137">
        <v>6.22</v>
      </c>
      <c r="R492" s="137">
        <v>5.54</v>
      </c>
      <c r="S492" s="137">
        <v>8.2898999999999994</v>
      </c>
      <c r="T492" s="137">
        <v>4.7698999999999998</v>
      </c>
      <c r="U492" s="137">
        <v>0</v>
      </c>
      <c r="V492" s="137">
        <v>5.16</v>
      </c>
      <c r="W492" s="140">
        <v>14112174</v>
      </c>
      <c r="X492" s="56">
        <f t="shared" si="14"/>
        <v>1</v>
      </c>
      <c r="Y492" s="56" t="str">
        <f t="shared" si="15"/>
        <v>LOGUEO</v>
      </c>
    </row>
    <row r="493" spans="1:25" ht="15" x14ac:dyDescent="0.25">
      <c r="A493" s="136" t="s">
        <v>2561</v>
      </c>
      <c r="B493" s="137">
        <v>2.3498999999999999</v>
      </c>
      <c r="C493" s="137">
        <v>5.25</v>
      </c>
      <c r="D493" s="137">
        <v>5.6898999999999997</v>
      </c>
      <c r="E493" s="137">
        <v>4.0999999999999996</v>
      </c>
      <c r="F493" s="137">
        <v>1.6</v>
      </c>
      <c r="G493" s="137">
        <v>5.07</v>
      </c>
      <c r="H493" s="137">
        <v>5.6999000000000004</v>
      </c>
      <c r="I493" s="137">
        <v>2.4700000000000002</v>
      </c>
      <c r="J493" s="137">
        <v>5.31</v>
      </c>
      <c r="K493" s="137">
        <v>9.4199000000000002</v>
      </c>
      <c r="L493" s="137">
        <v>6.69</v>
      </c>
      <c r="M493" s="137">
        <v>5.07</v>
      </c>
      <c r="N493" s="137">
        <v>7.38</v>
      </c>
      <c r="O493" s="137">
        <v>3.27</v>
      </c>
      <c r="P493" s="137">
        <v>2.34</v>
      </c>
      <c r="Q493" s="137">
        <v>2.4</v>
      </c>
      <c r="R493" s="137">
        <v>0</v>
      </c>
      <c r="S493" s="137">
        <v>0</v>
      </c>
      <c r="T493" s="137">
        <v>0</v>
      </c>
      <c r="U493" s="137">
        <v>0</v>
      </c>
      <c r="V493" s="137">
        <v>0</v>
      </c>
      <c r="W493" s="140" t="s">
        <v>1609</v>
      </c>
      <c r="X493" s="56">
        <f t="shared" si="14"/>
        <v>5</v>
      </c>
      <c r="Y493" s="56" t="str">
        <f t="shared" si="15"/>
        <v>NO LOGUEO</v>
      </c>
    </row>
    <row r="494" spans="1:25" ht="15" x14ac:dyDescent="0.25">
      <c r="A494" s="136" t="s">
        <v>2533</v>
      </c>
      <c r="B494" s="137">
        <v>0</v>
      </c>
      <c r="C494" s="137">
        <v>0</v>
      </c>
      <c r="D494" s="137">
        <v>0</v>
      </c>
      <c r="E494" s="137">
        <v>0</v>
      </c>
      <c r="F494" s="137">
        <v>0</v>
      </c>
      <c r="G494" s="137">
        <v>0</v>
      </c>
      <c r="H494" s="137">
        <v>0</v>
      </c>
      <c r="I494" s="137">
        <v>0</v>
      </c>
      <c r="J494" s="137">
        <v>0</v>
      </c>
      <c r="K494" s="137">
        <v>0</v>
      </c>
      <c r="L494" s="137">
        <v>0</v>
      </c>
      <c r="M494" s="137">
        <v>0</v>
      </c>
      <c r="N494" s="137">
        <v>0</v>
      </c>
      <c r="O494" s="137">
        <v>0</v>
      </c>
      <c r="P494" s="137">
        <v>0</v>
      </c>
      <c r="Q494" s="137">
        <v>0</v>
      </c>
      <c r="R494" s="137">
        <v>0.25</v>
      </c>
      <c r="S494" s="137">
        <v>0</v>
      </c>
      <c r="T494" s="137">
        <v>1.49</v>
      </c>
      <c r="U494" s="137">
        <v>2.02</v>
      </c>
      <c r="V494" s="137">
        <v>0</v>
      </c>
      <c r="W494" s="140" t="s">
        <v>1609</v>
      </c>
      <c r="X494" s="56">
        <f t="shared" si="14"/>
        <v>4</v>
      </c>
      <c r="Y494" s="56" t="str">
        <f t="shared" si="15"/>
        <v>NO LOGUEO</v>
      </c>
    </row>
    <row r="495" spans="1:25" ht="15" x14ac:dyDescent="0.25">
      <c r="A495" s="136" t="s">
        <v>2562</v>
      </c>
      <c r="B495" s="137">
        <v>0</v>
      </c>
      <c r="C495" s="137">
        <v>1.91</v>
      </c>
      <c r="D495" s="137">
        <v>0</v>
      </c>
      <c r="E495" s="137">
        <v>1.49</v>
      </c>
      <c r="F495" s="137">
        <v>1.59</v>
      </c>
      <c r="G495" s="137">
        <v>2.75</v>
      </c>
      <c r="H495" s="137">
        <v>1.0900000000000001</v>
      </c>
      <c r="I495" s="137">
        <v>1</v>
      </c>
      <c r="J495" s="137">
        <v>2.69</v>
      </c>
      <c r="K495" s="137">
        <v>0</v>
      </c>
      <c r="L495" s="137">
        <v>0.68</v>
      </c>
      <c r="M495" s="137">
        <v>1.71</v>
      </c>
      <c r="N495" s="137">
        <v>1.4</v>
      </c>
      <c r="O495" s="137">
        <v>0</v>
      </c>
      <c r="P495" s="137">
        <v>0</v>
      </c>
      <c r="Q495" s="137">
        <v>0</v>
      </c>
      <c r="R495" s="137">
        <v>0</v>
      </c>
      <c r="S495" s="137">
        <v>0</v>
      </c>
      <c r="T495" s="137">
        <v>0</v>
      </c>
      <c r="U495" s="137">
        <v>0</v>
      </c>
      <c r="V495" s="137">
        <v>0</v>
      </c>
      <c r="W495" s="140" t="s">
        <v>1609</v>
      </c>
      <c r="X495" s="56">
        <f t="shared" si="14"/>
        <v>7</v>
      </c>
      <c r="Y495" s="56" t="str">
        <f t="shared" si="15"/>
        <v>NO LOGUEO</v>
      </c>
    </row>
    <row r="496" spans="1:25" ht="15" x14ac:dyDescent="0.25">
      <c r="A496" s="136" t="s">
        <v>2028</v>
      </c>
      <c r="B496" s="137">
        <v>0</v>
      </c>
      <c r="C496" s="137">
        <v>0</v>
      </c>
      <c r="D496" s="137">
        <v>0</v>
      </c>
      <c r="E496" s="137">
        <v>0</v>
      </c>
      <c r="F496" s="137">
        <v>0</v>
      </c>
      <c r="G496" s="137">
        <v>0</v>
      </c>
      <c r="H496" s="137">
        <v>0</v>
      </c>
      <c r="I496" s="137">
        <v>0</v>
      </c>
      <c r="J496" s="137">
        <v>0</v>
      </c>
      <c r="K496" s="137">
        <v>0</v>
      </c>
      <c r="L496" s="137">
        <v>0</v>
      </c>
      <c r="M496" s="137">
        <v>0</v>
      </c>
      <c r="N496" s="137">
        <v>0</v>
      </c>
      <c r="O496" s="137">
        <v>0</v>
      </c>
      <c r="P496" s="137">
        <v>0</v>
      </c>
      <c r="Q496" s="137">
        <v>0</v>
      </c>
      <c r="R496" s="137">
        <v>1.88</v>
      </c>
      <c r="S496" s="137">
        <v>3.88</v>
      </c>
      <c r="T496" s="137">
        <v>0</v>
      </c>
      <c r="U496" s="137">
        <v>0.83</v>
      </c>
      <c r="V496" s="137">
        <v>2.04</v>
      </c>
      <c r="W496" s="140" t="s">
        <v>1609</v>
      </c>
      <c r="X496" s="56">
        <f t="shared" si="14"/>
        <v>3</v>
      </c>
      <c r="Y496" s="56" t="str">
        <f t="shared" si="15"/>
        <v>NO LOGUEO</v>
      </c>
    </row>
    <row r="497" spans="1:25" ht="15" x14ac:dyDescent="0.25">
      <c r="A497" s="136" t="s">
        <v>41</v>
      </c>
      <c r="B497" s="137">
        <v>4.34</v>
      </c>
      <c r="C497" s="137">
        <v>8.42</v>
      </c>
      <c r="D497" s="137">
        <v>9.8800000000000008</v>
      </c>
      <c r="E497" s="137">
        <v>9.75</v>
      </c>
      <c r="F497" s="137">
        <v>2.4</v>
      </c>
      <c r="G497" s="137">
        <v>10.34</v>
      </c>
      <c r="H497" s="137">
        <v>8.68</v>
      </c>
      <c r="I497" s="137">
        <v>6.95</v>
      </c>
      <c r="J497" s="137">
        <v>6.45</v>
      </c>
      <c r="K497" s="137">
        <v>8.9700000000000006</v>
      </c>
      <c r="L497" s="137">
        <v>11.479900000000001</v>
      </c>
      <c r="M497" s="137">
        <v>9.1999999999999993</v>
      </c>
      <c r="N497" s="137">
        <v>11.02</v>
      </c>
      <c r="O497" s="137">
        <v>10.56</v>
      </c>
      <c r="P497" s="137">
        <v>6.17</v>
      </c>
      <c r="Q497" s="137">
        <v>8.02</v>
      </c>
      <c r="R497" s="137">
        <v>10.06</v>
      </c>
      <c r="S497" s="137">
        <v>7.1</v>
      </c>
      <c r="T497" s="137">
        <v>9.3698999999999995</v>
      </c>
      <c r="U497" s="137">
        <v>10.32</v>
      </c>
      <c r="V497" s="137">
        <v>7.01</v>
      </c>
      <c r="W497" s="140">
        <v>14104599</v>
      </c>
      <c r="X497" s="56">
        <f t="shared" si="14"/>
        <v>0</v>
      </c>
      <c r="Y497" s="56" t="str">
        <f t="shared" si="15"/>
        <v>LOGUEO</v>
      </c>
    </row>
    <row r="498" spans="1:25" ht="15" x14ac:dyDescent="0.25">
      <c r="A498" s="136" t="s">
        <v>2029</v>
      </c>
      <c r="B498" s="137">
        <v>0</v>
      </c>
      <c r="C498" s="137">
        <v>0</v>
      </c>
      <c r="D498" s="137">
        <v>0</v>
      </c>
      <c r="E498" s="137">
        <v>0</v>
      </c>
      <c r="F498" s="137">
        <v>0</v>
      </c>
      <c r="G498" s="137">
        <v>0</v>
      </c>
      <c r="H498" s="137">
        <v>0</v>
      </c>
      <c r="I498" s="137">
        <v>0</v>
      </c>
      <c r="J498" s="137">
        <v>0</v>
      </c>
      <c r="K498" s="137">
        <v>0</v>
      </c>
      <c r="L498" s="137">
        <v>0</v>
      </c>
      <c r="M498" s="137">
        <v>0</v>
      </c>
      <c r="N498" s="137">
        <v>0</v>
      </c>
      <c r="O498" s="137">
        <v>0</v>
      </c>
      <c r="P498" s="137">
        <v>0</v>
      </c>
      <c r="Q498" s="137">
        <v>0</v>
      </c>
      <c r="R498" s="137">
        <v>0</v>
      </c>
      <c r="S498" s="137">
        <v>0</v>
      </c>
      <c r="T498" s="137">
        <v>0</v>
      </c>
      <c r="U498" s="137">
        <v>0</v>
      </c>
      <c r="V498" s="137">
        <v>0</v>
      </c>
      <c r="W498" s="140" t="s">
        <v>1609</v>
      </c>
      <c r="X498" s="56">
        <f t="shared" si="14"/>
        <v>7</v>
      </c>
      <c r="Y498" s="56" t="str">
        <f t="shared" si="15"/>
        <v>NO LOGUEO</v>
      </c>
    </row>
    <row r="499" spans="1:25" ht="15" x14ac:dyDescent="0.25">
      <c r="A499" s="136" t="s">
        <v>2563</v>
      </c>
      <c r="B499" s="137">
        <v>0</v>
      </c>
      <c r="C499" s="137">
        <v>0</v>
      </c>
      <c r="D499" s="137">
        <v>0</v>
      </c>
      <c r="E499" s="137">
        <v>0</v>
      </c>
      <c r="F499" s="137">
        <v>0</v>
      </c>
      <c r="G499" s="137">
        <v>0</v>
      </c>
      <c r="H499" s="137">
        <v>0</v>
      </c>
      <c r="I499" s="137">
        <v>0</v>
      </c>
      <c r="J499" s="137">
        <v>0</v>
      </c>
      <c r="K499" s="137">
        <v>0</v>
      </c>
      <c r="L499" s="137">
        <v>1.55</v>
      </c>
      <c r="M499" s="137">
        <v>0</v>
      </c>
      <c r="N499" s="137">
        <v>0</v>
      </c>
      <c r="O499" s="137">
        <v>0</v>
      </c>
      <c r="P499" s="137">
        <v>0</v>
      </c>
      <c r="Q499" s="137">
        <v>0</v>
      </c>
      <c r="R499" s="137">
        <v>0</v>
      </c>
      <c r="S499" s="137">
        <v>0</v>
      </c>
      <c r="T499" s="137">
        <v>0</v>
      </c>
      <c r="U499" s="137">
        <v>0</v>
      </c>
      <c r="V499" s="137">
        <v>0</v>
      </c>
      <c r="W499" s="140" t="s">
        <v>1609</v>
      </c>
      <c r="X499" s="56">
        <f t="shared" si="14"/>
        <v>7</v>
      </c>
      <c r="Y499" s="56" t="str">
        <f t="shared" si="15"/>
        <v>NO LOGUEO</v>
      </c>
    </row>
    <row r="500" spans="1:25" ht="15" x14ac:dyDescent="0.25">
      <c r="A500" s="136" t="s">
        <v>158</v>
      </c>
      <c r="B500" s="137">
        <v>5.43</v>
      </c>
      <c r="C500" s="137">
        <v>5.91</v>
      </c>
      <c r="D500" s="137">
        <v>0</v>
      </c>
      <c r="E500" s="137">
        <v>3.74</v>
      </c>
      <c r="F500" s="137">
        <v>3.87</v>
      </c>
      <c r="G500" s="137">
        <v>4.08</v>
      </c>
      <c r="H500" s="137">
        <v>3.53</v>
      </c>
      <c r="I500" s="137">
        <v>6.37</v>
      </c>
      <c r="J500" s="137">
        <v>3.99</v>
      </c>
      <c r="K500" s="137">
        <v>5.7999000000000001</v>
      </c>
      <c r="L500" s="137">
        <v>5.57</v>
      </c>
      <c r="M500" s="137">
        <v>1.6</v>
      </c>
      <c r="N500" s="137">
        <v>3.36</v>
      </c>
      <c r="O500" s="137">
        <v>3.42</v>
      </c>
      <c r="P500" s="137">
        <v>5.28</v>
      </c>
      <c r="Q500" s="137">
        <v>1.5299</v>
      </c>
      <c r="R500" s="137">
        <v>6.72</v>
      </c>
      <c r="S500" s="137">
        <v>3.4</v>
      </c>
      <c r="T500" s="137">
        <v>3.16</v>
      </c>
      <c r="U500" s="137">
        <v>4.22</v>
      </c>
      <c r="V500" s="137">
        <v>3.97</v>
      </c>
      <c r="W500" s="140">
        <v>14116262</v>
      </c>
      <c r="X500" s="56">
        <f t="shared" si="14"/>
        <v>0</v>
      </c>
      <c r="Y500" s="56" t="str">
        <f t="shared" si="15"/>
        <v>LOGUEO</v>
      </c>
    </row>
    <row r="501" spans="1:25" ht="15" x14ac:dyDescent="0.25">
      <c r="A501" s="136" t="s">
        <v>22</v>
      </c>
      <c r="B501" s="137">
        <v>0</v>
      </c>
      <c r="C501" s="137">
        <v>4.5598999999999998</v>
      </c>
      <c r="D501" s="137">
        <v>9.0299999999999994</v>
      </c>
      <c r="E501" s="137">
        <v>6.7899000000000003</v>
      </c>
      <c r="F501" s="137">
        <v>3.1</v>
      </c>
      <c r="G501" s="137">
        <v>6.95</v>
      </c>
      <c r="H501" s="137">
        <v>6.59</v>
      </c>
      <c r="I501" s="137">
        <v>0</v>
      </c>
      <c r="J501" s="137">
        <v>8.99</v>
      </c>
      <c r="K501" s="137">
        <v>6.77</v>
      </c>
      <c r="L501" s="137">
        <v>6.4798999999999998</v>
      </c>
      <c r="M501" s="137">
        <v>1.53</v>
      </c>
      <c r="N501" s="137">
        <v>0</v>
      </c>
      <c r="O501" s="137">
        <v>1.6298999999999999</v>
      </c>
      <c r="P501" s="137">
        <v>0</v>
      </c>
      <c r="Q501" s="137">
        <v>1.55</v>
      </c>
      <c r="R501" s="137">
        <v>1.35</v>
      </c>
      <c r="S501" s="137">
        <v>0</v>
      </c>
      <c r="T501" s="137">
        <v>1.2</v>
      </c>
      <c r="U501" s="137">
        <v>1</v>
      </c>
      <c r="V501" s="137">
        <v>1.45</v>
      </c>
      <c r="W501" s="140">
        <v>14100795</v>
      </c>
      <c r="X501" s="56">
        <f t="shared" si="14"/>
        <v>2</v>
      </c>
      <c r="Y501" s="56" t="str">
        <f t="shared" si="15"/>
        <v>NO LOGUEO</v>
      </c>
    </row>
    <row r="502" spans="1:25" ht="15" x14ac:dyDescent="0.25">
      <c r="A502" s="136" t="s">
        <v>763</v>
      </c>
      <c r="B502" s="137">
        <v>10.27</v>
      </c>
      <c r="C502" s="137">
        <v>0</v>
      </c>
      <c r="D502" s="137">
        <v>3.98</v>
      </c>
      <c r="E502" s="137">
        <v>7.9199000000000002</v>
      </c>
      <c r="F502" s="137">
        <v>2.33</v>
      </c>
      <c r="G502" s="137">
        <v>7.27</v>
      </c>
      <c r="H502" s="137">
        <v>1.85</v>
      </c>
      <c r="I502" s="137">
        <v>6.91</v>
      </c>
      <c r="J502" s="137">
        <v>0</v>
      </c>
      <c r="K502" s="137">
        <v>7.86</v>
      </c>
      <c r="L502" s="137">
        <v>3.62</v>
      </c>
      <c r="M502" s="137">
        <v>3.37</v>
      </c>
      <c r="N502" s="137">
        <v>4.9000000000000004</v>
      </c>
      <c r="O502" s="137">
        <v>3.3</v>
      </c>
      <c r="P502" s="137">
        <v>9.3699999999999992</v>
      </c>
      <c r="Q502" s="137">
        <v>0</v>
      </c>
      <c r="R502" s="137">
        <v>3.5</v>
      </c>
      <c r="S502" s="137">
        <v>7.49</v>
      </c>
      <c r="T502" s="137">
        <v>6.19</v>
      </c>
      <c r="U502" s="137">
        <v>7.6199000000000003</v>
      </c>
      <c r="V502" s="137">
        <v>3.33</v>
      </c>
      <c r="W502" s="140">
        <v>14117400</v>
      </c>
      <c r="X502" s="56">
        <f t="shared" si="14"/>
        <v>1</v>
      </c>
      <c r="Y502" s="56" t="str">
        <f t="shared" si="15"/>
        <v>LOGUEO</v>
      </c>
    </row>
    <row r="503" spans="1:25" ht="15" x14ac:dyDescent="0.25">
      <c r="A503" s="136" t="s">
        <v>450</v>
      </c>
      <c r="B503" s="137">
        <v>8.52</v>
      </c>
      <c r="C503" s="137">
        <v>8.32</v>
      </c>
      <c r="D503" s="137">
        <v>10.01</v>
      </c>
      <c r="E503" s="137">
        <v>8.4600000000000009</v>
      </c>
      <c r="F503" s="137">
        <v>3.5198999999999998</v>
      </c>
      <c r="G503" s="137">
        <v>8.83</v>
      </c>
      <c r="H503" s="137">
        <v>0</v>
      </c>
      <c r="I503" s="137">
        <v>7.48</v>
      </c>
      <c r="J503" s="137">
        <v>8.15</v>
      </c>
      <c r="K503" s="137">
        <v>10.959899999999999</v>
      </c>
      <c r="L503" s="137">
        <v>9.6300000000000008</v>
      </c>
      <c r="M503" s="137">
        <v>9.59</v>
      </c>
      <c r="N503" s="137">
        <v>9.81</v>
      </c>
      <c r="O503" s="137">
        <v>8.36</v>
      </c>
      <c r="P503" s="137">
        <v>7.71</v>
      </c>
      <c r="Q503" s="137">
        <v>13.32</v>
      </c>
      <c r="R503" s="137">
        <v>0</v>
      </c>
      <c r="S503" s="137">
        <v>9.0699000000000005</v>
      </c>
      <c r="T503" s="137">
        <v>11.5</v>
      </c>
      <c r="U503" s="137">
        <v>9.19</v>
      </c>
      <c r="V503" s="137">
        <v>11.1</v>
      </c>
      <c r="W503" s="140">
        <v>14122775</v>
      </c>
      <c r="X503" s="56">
        <f t="shared" si="14"/>
        <v>1</v>
      </c>
      <c r="Y503" s="56" t="str">
        <f t="shared" si="15"/>
        <v>LOGUEO</v>
      </c>
    </row>
    <row r="504" spans="1:25" ht="15" x14ac:dyDescent="0.25">
      <c r="A504" s="136" t="s">
        <v>3717</v>
      </c>
      <c r="B504" s="137">
        <v>0</v>
      </c>
      <c r="C504" s="137">
        <v>0</v>
      </c>
      <c r="D504" s="137">
        <v>0</v>
      </c>
      <c r="E504" s="137">
        <v>1.73</v>
      </c>
      <c r="F504" s="137">
        <v>0</v>
      </c>
      <c r="G504" s="137">
        <v>0.73</v>
      </c>
      <c r="H504" s="137">
        <v>0</v>
      </c>
      <c r="I504" s="137">
        <v>0</v>
      </c>
      <c r="J504" s="137">
        <v>0</v>
      </c>
      <c r="K504" s="137">
        <v>0</v>
      </c>
      <c r="L504" s="137">
        <v>0</v>
      </c>
      <c r="M504" s="137">
        <v>0</v>
      </c>
      <c r="N504" s="137">
        <v>0</v>
      </c>
      <c r="O504" s="137">
        <v>0</v>
      </c>
      <c r="P504" s="137">
        <v>0</v>
      </c>
      <c r="Q504" s="137">
        <v>0</v>
      </c>
      <c r="R504" s="137">
        <v>0</v>
      </c>
      <c r="S504" s="137">
        <v>0</v>
      </c>
      <c r="T504" s="137">
        <v>0</v>
      </c>
      <c r="U504" s="137">
        <v>0</v>
      </c>
      <c r="V504" s="137">
        <v>0</v>
      </c>
      <c r="W504" s="140" t="s">
        <v>1609</v>
      </c>
      <c r="X504" s="56">
        <f t="shared" si="14"/>
        <v>7</v>
      </c>
      <c r="Y504" s="56" t="str">
        <f t="shared" si="15"/>
        <v>NO LOGUEO</v>
      </c>
    </row>
    <row r="505" spans="1:25" ht="15" x14ac:dyDescent="0.25">
      <c r="A505" s="136" t="s">
        <v>72</v>
      </c>
      <c r="B505" s="137">
        <v>0</v>
      </c>
      <c r="C505" s="137">
        <v>0</v>
      </c>
      <c r="D505" s="137">
        <v>0</v>
      </c>
      <c r="E505" s="137">
        <v>0</v>
      </c>
      <c r="F505" s="137">
        <v>0</v>
      </c>
      <c r="G505" s="137">
        <v>1.17</v>
      </c>
      <c r="H505" s="137">
        <v>0</v>
      </c>
      <c r="I505" s="137">
        <v>0</v>
      </c>
      <c r="J505" s="137">
        <v>0</v>
      </c>
      <c r="K505" s="137">
        <v>0</v>
      </c>
      <c r="L505" s="137">
        <v>6.57</v>
      </c>
      <c r="M505" s="137">
        <v>1.24</v>
      </c>
      <c r="N505" s="137">
        <v>8.5</v>
      </c>
      <c r="O505" s="137">
        <v>8.9</v>
      </c>
      <c r="P505" s="137">
        <v>8.1198999999999995</v>
      </c>
      <c r="Q505" s="137">
        <v>9.25</v>
      </c>
      <c r="R505" s="137">
        <v>11.27</v>
      </c>
      <c r="S505" s="137">
        <v>9.0500000000000007</v>
      </c>
      <c r="T505" s="137">
        <v>8.58</v>
      </c>
      <c r="U505" s="137">
        <v>8.64</v>
      </c>
      <c r="V505" s="137">
        <v>11.82</v>
      </c>
      <c r="W505" s="140">
        <v>14108222</v>
      </c>
      <c r="X505" s="56">
        <f t="shared" si="14"/>
        <v>0</v>
      </c>
      <c r="Y505" s="56" t="str">
        <f t="shared" si="15"/>
        <v>LOGUEO</v>
      </c>
    </row>
    <row r="506" spans="1:25" ht="15" x14ac:dyDescent="0.25">
      <c r="A506" s="136" t="s">
        <v>402</v>
      </c>
      <c r="B506" s="137">
        <v>8.7100000000000009</v>
      </c>
      <c r="C506" s="137">
        <v>9.6298999999999992</v>
      </c>
      <c r="D506" s="137">
        <v>11.129899999999999</v>
      </c>
      <c r="E506" s="137">
        <v>9.2499000000000002</v>
      </c>
      <c r="F506" s="137">
        <v>6.84</v>
      </c>
      <c r="G506" s="137">
        <v>8.2898999999999994</v>
      </c>
      <c r="H506" s="137">
        <v>11.16</v>
      </c>
      <c r="I506" s="137">
        <v>0</v>
      </c>
      <c r="J506" s="137">
        <v>9.3800000000000008</v>
      </c>
      <c r="K506" s="137">
        <v>9.6999999999999993</v>
      </c>
      <c r="L506" s="137">
        <v>13.04</v>
      </c>
      <c r="M506" s="137">
        <v>9.8800000000000008</v>
      </c>
      <c r="N506" s="137">
        <v>12.78</v>
      </c>
      <c r="O506" s="137">
        <v>10.08</v>
      </c>
      <c r="P506" s="137">
        <v>10.11</v>
      </c>
      <c r="Q506" s="137">
        <v>9.84</v>
      </c>
      <c r="R506" s="137">
        <v>9.83</v>
      </c>
      <c r="S506" s="137">
        <v>9.58</v>
      </c>
      <c r="T506" s="137">
        <v>9.31</v>
      </c>
      <c r="U506" s="137">
        <v>10.459899999999999</v>
      </c>
      <c r="V506" s="137">
        <v>12.01</v>
      </c>
      <c r="W506" s="140">
        <v>14122221</v>
      </c>
      <c r="X506" s="56">
        <f t="shared" si="14"/>
        <v>0</v>
      </c>
      <c r="Y506" s="56" t="str">
        <f t="shared" si="15"/>
        <v>LOGUEO</v>
      </c>
    </row>
    <row r="507" spans="1:25" ht="15" x14ac:dyDescent="0.25">
      <c r="A507" s="136" t="s">
        <v>183</v>
      </c>
      <c r="B507" s="137">
        <v>2.65</v>
      </c>
      <c r="C507" s="137">
        <v>5.32</v>
      </c>
      <c r="D507" s="137">
        <v>5.79</v>
      </c>
      <c r="E507" s="137">
        <v>6.03</v>
      </c>
      <c r="F507" s="137">
        <v>1.5</v>
      </c>
      <c r="G507" s="137">
        <v>7.75</v>
      </c>
      <c r="H507" s="137">
        <v>6.04</v>
      </c>
      <c r="I507" s="137">
        <v>2.7799</v>
      </c>
      <c r="J507" s="137">
        <v>6.02</v>
      </c>
      <c r="K507" s="137">
        <v>6.19</v>
      </c>
      <c r="L507" s="137">
        <v>6.19</v>
      </c>
      <c r="M507" s="137">
        <v>5.6</v>
      </c>
      <c r="N507" s="137">
        <v>6</v>
      </c>
      <c r="O507" s="137">
        <v>5.4</v>
      </c>
      <c r="P507" s="137">
        <v>3.3298999999999999</v>
      </c>
      <c r="Q507" s="137">
        <v>5.12</v>
      </c>
      <c r="R507" s="137">
        <v>4.12</v>
      </c>
      <c r="S507" s="137">
        <v>0</v>
      </c>
      <c r="T507" s="137">
        <v>2.8498999999999999</v>
      </c>
      <c r="U507" s="137">
        <v>4.47</v>
      </c>
      <c r="V507" s="137">
        <v>6.55</v>
      </c>
      <c r="W507" s="140">
        <v>14110929</v>
      </c>
      <c r="X507" s="56">
        <f t="shared" si="14"/>
        <v>1</v>
      </c>
      <c r="Y507" s="56" t="str">
        <f t="shared" si="15"/>
        <v>LOGUEO</v>
      </c>
    </row>
    <row r="508" spans="1:25" ht="15" x14ac:dyDescent="0.25">
      <c r="A508" s="136" t="s">
        <v>39</v>
      </c>
      <c r="B508" s="137">
        <v>0</v>
      </c>
      <c r="C508" s="137">
        <v>0</v>
      </c>
      <c r="D508" s="137">
        <v>0</v>
      </c>
      <c r="E508" s="137">
        <v>0</v>
      </c>
      <c r="F508" s="137">
        <v>0</v>
      </c>
      <c r="G508" s="137">
        <v>0</v>
      </c>
      <c r="H508" s="137">
        <v>0</v>
      </c>
      <c r="I508" s="137">
        <v>0</v>
      </c>
      <c r="J508" s="137">
        <v>0</v>
      </c>
      <c r="K508" s="137">
        <v>0</v>
      </c>
      <c r="L508" s="137">
        <v>0</v>
      </c>
      <c r="M508" s="137">
        <v>0</v>
      </c>
      <c r="N508" s="137">
        <v>0</v>
      </c>
      <c r="O508" s="137">
        <v>0</v>
      </c>
      <c r="P508" s="137">
        <v>0</v>
      </c>
      <c r="Q508" s="137">
        <v>0</v>
      </c>
      <c r="R508" s="137">
        <v>0</v>
      </c>
      <c r="S508" s="137">
        <v>0</v>
      </c>
      <c r="T508" s="137">
        <v>0</v>
      </c>
      <c r="U508" s="137">
        <v>0</v>
      </c>
      <c r="V508" s="137">
        <v>0</v>
      </c>
      <c r="W508" s="140">
        <v>14103952</v>
      </c>
      <c r="X508" s="56">
        <f t="shared" si="14"/>
        <v>7</v>
      </c>
      <c r="Y508" s="56" t="str">
        <f t="shared" si="15"/>
        <v>NO LOGUEO</v>
      </c>
    </row>
    <row r="509" spans="1:25" ht="15" x14ac:dyDescent="0.25">
      <c r="A509" s="136" t="s">
        <v>244</v>
      </c>
      <c r="B509" s="137">
        <v>10.49</v>
      </c>
      <c r="C509" s="137">
        <v>0</v>
      </c>
      <c r="D509" s="137">
        <v>10.17</v>
      </c>
      <c r="E509" s="137">
        <v>12.899900000000001</v>
      </c>
      <c r="F509" s="137">
        <v>7.61</v>
      </c>
      <c r="G509" s="137">
        <v>13.1999</v>
      </c>
      <c r="H509" s="137">
        <v>13.28</v>
      </c>
      <c r="I509" s="137">
        <v>11.969900000000001</v>
      </c>
      <c r="J509" s="137">
        <v>0</v>
      </c>
      <c r="K509" s="137">
        <v>10.67</v>
      </c>
      <c r="L509" s="137">
        <v>15.35</v>
      </c>
      <c r="M509" s="137">
        <v>10.709899999999999</v>
      </c>
      <c r="N509" s="137">
        <v>13.19</v>
      </c>
      <c r="O509" s="137">
        <v>13.26</v>
      </c>
      <c r="P509" s="137">
        <v>11.9899</v>
      </c>
      <c r="Q509" s="137">
        <v>0</v>
      </c>
      <c r="R509" s="137">
        <v>13.67</v>
      </c>
      <c r="S509" s="137">
        <v>13.77</v>
      </c>
      <c r="T509" s="137">
        <v>4.0298999999999996</v>
      </c>
      <c r="U509" s="137">
        <v>11.139900000000001</v>
      </c>
      <c r="V509" s="137">
        <v>12.59</v>
      </c>
      <c r="W509" s="140">
        <v>14112197</v>
      </c>
      <c r="X509" s="56">
        <f t="shared" si="14"/>
        <v>1</v>
      </c>
      <c r="Y509" s="56" t="str">
        <f t="shared" si="15"/>
        <v>LOGUEO</v>
      </c>
    </row>
    <row r="510" spans="1:25" ht="15" x14ac:dyDescent="0.25">
      <c r="A510" s="136" t="s">
        <v>2403</v>
      </c>
      <c r="B510" s="137">
        <v>1.82</v>
      </c>
      <c r="C510" s="137">
        <v>5.6299000000000001</v>
      </c>
      <c r="D510" s="137">
        <v>6.5499000000000001</v>
      </c>
      <c r="E510" s="137">
        <v>6.2698999999999998</v>
      </c>
      <c r="F510" s="137">
        <v>0.98</v>
      </c>
      <c r="G510" s="137">
        <v>6.46</v>
      </c>
      <c r="H510" s="137">
        <v>5.36</v>
      </c>
      <c r="I510" s="137">
        <v>2.2999999999999998</v>
      </c>
      <c r="J510" s="137">
        <v>4.59</v>
      </c>
      <c r="K510" s="137">
        <v>6.56</v>
      </c>
      <c r="L510" s="137">
        <v>7.53</v>
      </c>
      <c r="M510" s="137">
        <v>6.01</v>
      </c>
      <c r="N510" s="137">
        <v>7.25</v>
      </c>
      <c r="O510" s="137">
        <v>7.09</v>
      </c>
      <c r="P510" s="137">
        <v>3.48</v>
      </c>
      <c r="Q510" s="137">
        <v>8.4700000000000006</v>
      </c>
      <c r="R510" s="137">
        <v>3.5598999999999998</v>
      </c>
      <c r="S510" s="137">
        <v>0</v>
      </c>
      <c r="T510" s="137">
        <v>4.21</v>
      </c>
      <c r="U510" s="137">
        <v>5.13</v>
      </c>
      <c r="V510" s="137">
        <v>6.19</v>
      </c>
      <c r="W510" s="140" t="s">
        <v>1609</v>
      </c>
      <c r="X510" s="56">
        <f t="shared" si="14"/>
        <v>1</v>
      </c>
      <c r="Y510" s="56" t="str">
        <f t="shared" si="15"/>
        <v>LOGUEO</v>
      </c>
    </row>
    <row r="511" spans="1:25" ht="15" x14ac:dyDescent="0.25">
      <c r="A511" s="136" t="s">
        <v>2534</v>
      </c>
      <c r="B511" s="137">
        <v>0</v>
      </c>
      <c r="C511" s="137">
        <v>0</v>
      </c>
      <c r="D511" s="137">
        <v>0</v>
      </c>
      <c r="E511" s="137">
        <v>0</v>
      </c>
      <c r="F511" s="137">
        <v>0</v>
      </c>
      <c r="G511" s="137">
        <v>0</v>
      </c>
      <c r="H511" s="137">
        <v>0</v>
      </c>
      <c r="I511" s="137">
        <v>0</v>
      </c>
      <c r="J511" s="137">
        <v>0</v>
      </c>
      <c r="K511" s="137">
        <v>0</v>
      </c>
      <c r="L511" s="137">
        <v>0</v>
      </c>
      <c r="M511" s="137">
        <v>0</v>
      </c>
      <c r="N511" s="137">
        <v>0</v>
      </c>
      <c r="O511" s="137">
        <v>0</v>
      </c>
      <c r="P511" s="137">
        <v>0</v>
      </c>
      <c r="Q511" s="137">
        <v>0</v>
      </c>
      <c r="R511" s="137">
        <v>0</v>
      </c>
      <c r="S511" s="137">
        <v>0</v>
      </c>
      <c r="T511" s="137">
        <v>0</v>
      </c>
      <c r="U511" s="137">
        <v>0</v>
      </c>
      <c r="V511" s="137">
        <v>0</v>
      </c>
      <c r="W511" s="140" t="s">
        <v>1609</v>
      </c>
      <c r="X511" s="56">
        <f t="shared" si="14"/>
        <v>7</v>
      </c>
      <c r="Y511" s="56" t="str">
        <f t="shared" si="15"/>
        <v>NO LOGUEO</v>
      </c>
    </row>
    <row r="512" spans="1:25" ht="15" x14ac:dyDescent="0.25">
      <c r="A512" s="136" t="s">
        <v>1984</v>
      </c>
      <c r="B512" s="137">
        <v>0</v>
      </c>
      <c r="C512" s="137">
        <v>0</v>
      </c>
      <c r="D512" s="137">
        <v>0</v>
      </c>
      <c r="E512" s="137">
        <v>0</v>
      </c>
      <c r="F512" s="137">
        <v>0</v>
      </c>
      <c r="G512" s="137">
        <v>0</v>
      </c>
      <c r="H512" s="137">
        <v>0</v>
      </c>
      <c r="I512" s="137">
        <v>0</v>
      </c>
      <c r="J512" s="137">
        <v>0</v>
      </c>
      <c r="K512" s="137">
        <v>0</v>
      </c>
      <c r="L512" s="137">
        <v>0</v>
      </c>
      <c r="M512" s="137">
        <v>0</v>
      </c>
      <c r="N512" s="137">
        <v>0</v>
      </c>
      <c r="O512" s="137">
        <v>0</v>
      </c>
      <c r="P512" s="137">
        <v>0</v>
      </c>
      <c r="Q512" s="137">
        <v>0</v>
      </c>
      <c r="R512" s="137">
        <v>0</v>
      </c>
      <c r="S512" s="137">
        <v>0</v>
      </c>
      <c r="T512" s="137">
        <v>0</v>
      </c>
      <c r="U512" s="137">
        <v>0</v>
      </c>
      <c r="V512" s="137">
        <v>0</v>
      </c>
      <c r="W512" s="140" t="s">
        <v>1609</v>
      </c>
      <c r="X512" s="56">
        <f t="shared" si="14"/>
        <v>7</v>
      </c>
      <c r="Y512" s="56" t="str">
        <f t="shared" si="15"/>
        <v>NO LOGUEO</v>
      </c>
    </row>
    <row r="513" spans="1:25" ht="15" x14ac:dyDescent="0.25">
      <c r="A513" s="136" t="s">
        <v>104</v>
      </c>
      <c r="B513" s="137">
        <v>0</v>
      </c>
      <c r="C513" s="137">
        <v>4.53</v>
      </c>
      <c r="D513" s="137">
        <v>4.6399999999999997</v>
      </c>
      <c r="E513" s="137">
        <v>7.31</v>
      </c>
      <c r="F513" s="137">
        <v>0</v>
      </c>
      <c r="G513" s="137">
        <v>5.75</v>
      </c>
      <c r="H513" s="137">
        <v>4.63</v>
      </c>
      <c r="I513" s="137">
        <v>0</v>
      </c>
      <c r="J513" s="137">
        <v>5.51</v>
      </c>
      <c r="K513" s="137">
        <v>4.9999000000000002</v>
      </c>
      <c r="L513" s="137">
        <v>4.07</v>
      </c>
      <c r="M513" s="137">
        <v>4.57</v>
      </c>
      <c r="N513" s="137">
        <v>4.5</v>
      </c>
      <c r="O513" s="137">
        <v>4.88</v>
      </c>
      <c r="P513" s="137">
        <v>0</v>
      </c>
      <c r="Q513" s="137">
        <v>2.12</v>
      </c>
      <c r="R513" s="137">
        <v>6.1</v>
      </c>
      <c r="S513" s="137">
        <v>7.2</v>
      </c>
      <c r="T513" s="137">
        <v>5.0598999999999998</v>
      </c>
      <c r="U513" s="137">
        <v>5.74</v>
      </c>
      <c r="V513" s="137">
        <v>4.16</v>
      </c>
      <c r="W513" s="140">
        <v>14110550</v>
      </c>
      <c r="X513" s="56">
        <f t="shared" si="14"/>
        <v>1</v>
      </c>
      <c r="Y513" s="56" t="str">
        <f t="shared" si="15"/>
        <v>LOGUEO</v>
      </c>
    </row>
    <row r="514" spans="1:25" ht="15" x14ac:dyDescent="0.25">
      <c r="A514" s="136" t="s">
        <v>248</v>
      </c>
      <c r="B514" s="137">
        <v>3.55</v>
      </c>
      <c r="C514" s="137">
        <v>7.82</v>
      </c>
      <c r="D514" s="137">
        <v>0</v>
      </c>
      <c r="E514" s="137">
        <v>8.2200000000000006</v>
      </c>
      <c r="F514" s="137">
        <v>1.6099000000000001</v>
      </c>
      <c r="G514" s="137">
        <v>9.25</v>
      </c>
      <c r="H514" s="137">
        <v>8.25</v>
      </c>
      <c r="I514" s="137">
        <v>4.62</v>
      </c>
      <c r="J514" s="137">
        <v>8.25</v>
      </c>
      <c r="K514" s="137">
        <v>2.58</v>
      </c>
      <c r="L514" s="137">
        <v>7.2099000000000002</v>
      </c>
      <c r="M514" s="137">
        <v>8.99</v>
      </c>
      <c r="N514" s="137">
        <v>9.1999999999999993</v>
      </c>
      <c r="O514" s="137">
        <v>8.6999999999999993</v>
      </c>
      <c r="P514" s="137">
        <v>0</v>
      </c>
      <c r="Q514" s="137">
        <v>10.02</v>
      </c>
      <c r="R514" s="137">
        <v>11.05</v>
      </c>
      <c r="S514" s="137">
        <v>10.39</v>
      </c>
      <c r="T514" s="137">
        <v>7.78</v>
      </c>
      <c r="U514" s="137">
        <v>9.75</v>
      </c>
      <c r="V514" s="137">
        <v>8.7998999999999992</v>
      </c>
      <c r="W514" s="140">
        <v>14119481</v>
      </c>
      <c r="X514" s="56">
        <f t="shared" si="14"/>
        <v>1</v>
      </c>
      <c r="Y514" s="56" t="str">
        <f t="shared" si="15"/>
        <v>LOGUEO</v>
      </c>
    </row>
    <row r="515" spans="1:25" ht="15" x14ac:dyDescent="0.25">
      <c r="A515" s="136" t="s">
        <v>108</v>
      </c>
      <c r="B515" s="137">
        <v>0</v>
      </c>
      <c r="C515" s="137">
        <v>0</v>
      </c>
      <c r="D515" s="137">
        <v>2.17</v>
      </c>
      <c r="E515" s="137">
        <v>0</v>
      </c>
      <c r="F515" s="137">
        <v>0</v>
      </c>
      <c r="G515" s="137">
        <v>0</v>
      </c>
      <c r="H515" s="137">
        <v>0</v>
      </c>
      <c r="I515" s="137">
        <v>0</v>
      </c>
      <c r="J515" s="137">
        <v>0</v>
      </c>
      <c r="K515" s="137">
        <v>0</v>
      </c>
      <c r="L515" s="137">
        <v>0</v>
      </c>
      <c r="M515" s="137">
        <v>0</v>
      </c>
      <c r="N515" s="137">
        <v>0</v>
      </c>
      <c r="O515" s="137">
        <v>0</v>
      </c>
      <c r="P515" s="137">
        <v>0</v>
      </c>
      <c r="Q515" s="137">
        <v>0</v>
      </c>
      <c r="R515" s="137">
        <v>0</v>
      </c>
      <c r="S515" s="137">
        <v>0</v>
      </c>
      <c r="T515" s="137">
        <v>0</v>
      </c>
      <c r="U515" s="137">
        <v>0</v>
      </c>
      <c r="V515" s="137">
        <v>0</v>
      </c>
      <c r="W515" s="140">
        <v>14110974</v>
      </c>
      <c r="X515" s="56">
        <f t="shared" ref="X515:X578" si="16">COUNTIF(P515:V515,0)</f>
        <v>7</v>
      </c>
      <c r="Y515" s="56" t="str">
        <f t="shared" ref="Y515:Y578" si="17">IF(X515&gt;1,"NO LOGUEO","LOGUEO")</f>
        <v>NO LOGUEO</v>
      </c>
    </row>
    <row r="516" spans="1:25" ht="15" x14ac:dyDescent="0.25">
      <c r="A516" s="136" t="s">
        <v>540</v>
      </c>
      <c r="B516" s="137">
        <v>8.66</v>
      </c>
      <c r="C516" s="137">
        <v>9.68</v>
      </c>
      <c r="D516" s="137">
        <v>4.54</v>
      </c>
      <c r="E516" s="137">
        <v>7.85</v>
      </c>
      <c r="F516" s="137">
        <v>7.6599000000000004</v>
      </c>
      <c r="G516" s="137">
        <v>9.58</v>
      </c>
      <c r="H516" s="137">
        <v>8.81</v>
      </c>
      <c r="I516" s="137">
        <v>7.56</v>
      </c>
      <c r="J516" s="137">
        <v>10.309900000000001</v>
      </c>
      <c r="K516" s="137">
        <v>4.21</v>
      </c>
      <c r="L516" s="137">
        <v>0</v>
      </c>
      <c r="M516" s="137">
        <v>4.71</v>
      </c>
      <c r="N516" s="137">
        <v>8.8299000000000003</v>
      </c>
      <c r="O516" s="137">
        <v>8.84</v>
      </c>
      <c r="P516" s="137">
        <v>5.71</v>
      </c>
      <c r="Q516" s="137">
        <v>8.74</v>
      </c>
      <c r="R516" s="137">
        <v>5.66</v>
      </c>
      <c r="S516" s="137">
        <v>6.24</v>
      </c>
      <c r="T516" s="137">
        <v>8.75</v>
      </c>
      <c r="U516" s="137">
        <v>7.76</v>
      </c>
      <c r="V516" s="137">
        <v>0</v>
      </c>
      <c r="W516" s="140" t="s">
        <v>1609</v>
      </c>
      <c r="X516" s="56">
        <f t="shared" si="16"/>
        <v>1</v>
      </c>
      <c r="Y516" s="56" t="str">
        <f t="shared" si="17"/>
        <v>LOGUEO</v>
      </c>
    </row>
    <row r="517" spans="1:25" ht="15" x14ac:dyDescent="0.25">
      <c r="A517" s="136" t="s">
        <v>109</v>
      </c>
      <c r="B517" s="137">
        <v>0</v>
      </c>
      <c r="C517" s="137">
        <v>3.11</v>
      </c>
      <c r="D517" s="137">
        <v>3.57</v>
      </c>
      <c r="E517" s="137">
        <v>3.3</v>
      </c>
      <c r="F517" s="137">
        <v>2.93</v>
      </c>
      <c r="G517" s="137">
        <v>3.3298999999999999</v>
      </c>
      <c r="H517" s="137">
        <v>3.72</v>
      </c>
      <c r="I517" s="137">
        <v>0</v>
      </c>
      <c r="J517" s="137">
        <v>3.98</v>
      </c>
      <c r="K517" s="137">
        <v>4.8099999999999996</v>
      </c>
      <c r="L517" s="137">
        <v>3.32</v>
      </c>
      <c r="M517" s="137">
        <v>3.63</v>
      </c>
      <c r="N517" s="137">
        <v>3.71</v>
      </c>
      <c r="O517" s="137">
        <v>2.84</v>
      </c>
      <c r="P517" s="137">
        <v>0</v>
      </c>
      <c r="Q517" s="137">
        <v>2.44</v>
      </c>
      <c r="R517" s="137">
        <v>3.7698999999999998</v>
      </c>
      <c r="S517" s="137">
        <v>3.0099</v>
      </c>
      <c r="T517" s="137">
        <v>4.6500000000000004</v>
      </c>
      <c r="U517" s="137">
        <v>3.1</v>
      </c>
      <c r="V517" s="137">
        <v>4.9898999999999996</v>
      </c>
      <c r="W517" s="140">
        <v>14110978</v>
      </c>
      <c r="X517" s="56">
        <f t="shared" si="16"/>
        <v>1</v>
      </c>
      <c r="Y517" s="56" t="str">
        <f t="shared" si="17"/>
        <v>LOGUEO</v>
      </c>
    </row>
    <row r="518" spans="1:25" ht="15" x14ac:dyDescent="0.25">
      <c r="A518" s="136" t="s">
        <v>2564</v>
      </c>
      <c r="B518" s="137">
        <v>0</v>
      </c>
      <c r="C518" s="137">
        <v>0</v>
      </c>
      <c r="D518" s="137">
        <v>0</v>
      </c>
      <c r="E518" s="137">
        <v>0</v>
      </c>
      <c r="F518" s="137">
        <v>0</v>
      </c>
      <c r="G518" s="137">
        <v>0</v>
      </c>
      <c r="H518" s="137">
        <v>0</v>
      </c>
      <c r="I518" s="137">
        <v>0</v>
      </c>
      <c r="J518" s="137">
        <v>0</v>
      </c>
      <c r="K518" s="137">
        <v>0</v>
      </c>
      <c r="L518" s="137">
        <v>0</v>
      </c>
      <c r="M518" s="137">
        <v>0.9</v>
      </c>
      <c r="N518" s="137">
        <v>0</v>
      </c>
      <c r="O518" s="137">
        <v>0</v>
      </c>
      <c r="P518" s="137">
        <v>0</v>
      </c>
      <c r="Q518" s="137">
        <v>0</v>
      </c>
      <c r="R518" s="137">
        <v>0</v>
      </c>
      <c r="S518" s="137">
        <v>0</v>
      </c>
      <c r="T518" s="137">
        <v>0</v>
      </c>
      <c r="U518" s="137">
        <v>0</v>
      </c>
      <c r="V518" s="137">
        <v>0</v>
      </c>
      <c r="W518" s="140" t="s">
        <v>1609</v>
      </c>
      <c r="X518" s="56">
        <f t="shared" si="16"/>
        <v>7</v>
      </c>
      <c r="Y518" s="56" t="str">
        <f t="shared" si="17"/>
        <v>NO LOGUEO</v>
      </c>
    </row>
    <row r="519" spans="1:25" ht="15" x14ac:dyDescent="0.25">
      <c r="A519" s="136" t="s">
        <v>101</v>
      </c>
      <c r="B519" s="137">
        <v>0</v>
      </c>
      <c r="C519" s="137">
        <v>11.67</v>
      </c>
      <c r="D519" s="137">
        <v>0.32</v>
      </c>
      <c r="E519" s="137">
        <v>11.5799</v>
      </c>
      <c r="F519" s="137">
        <v>0.35</v>
      </c>
      <c r="G519" s="137">
        <v>12.1</v>
      </c>
      <c r="H519" s="137">
        <v>0.22</v>
      </c>
      <c r="I519" s="137">
        <v>10.67</v>
      </c>
      <c r="J519" s="137">
        <v>0</v>
      </c>
      <c r="K519" s="137">
        <v>12.79</v>
      </c>
      <c r="L519" s="137">
        <v>0</v>
      </c>
      <c r="M519" s="137">
        <v>12.469900000000001</v>
      </c>
      <c r="N519" s="137">
        <v>0</v>
      </c>
      <c r="O519" s="137">
        <v>11.5</v>
      </c>
      <c r="P519" s="137">
        <v>0.47</v>
      </c>
      <c r="Q519" s="137">
        <v>3.69</v>
      </c>
      <c r="R519" s="137">
        <v>0</v>
      </c>
      <c r="S519" s="137">
        <v>0</v>
      </c>
      <c r="T519" s="137">
        <v>10.8</v>
      </c>
      <c r="U519" s="137">
        <v>0</v>
      </c>
      <c r="V519" s="137">
        <v>0</v>
      </c>
      <c r="W519" s="140">
        <v>14110292</v>
      </c>
      <c r="X519" s="56">
        <f t="shared" si="16"/>
        <v>4</v>
      </c>
      <c r="Y519" s="56" t="str">
        <f t="shared" si="17"/>
        <v>NO LOGUEO</v>
      </c>
    </row>
    <row r="520" spans="1:25" ht="15" x14ac:dyDescent="0.25">
      <c r="A520" s="136" t="s">
        <v>2030</v>
      </c>
      <c r="B520" s="137">
        <v>0</v>
      </c>
      <c r="C520" s="137">
        <v>0</v>
      </c>
      <c r="D520" s="137">
        <v>0</v>
      </c>
      <c r="E520" s="137">
        <v>0</v>
      </c>
      <c r="F520" s="137">
        <v>0</v>
      </c>
      <c r="G520" s="137">
        <v>0</v>
      </c>
      <c r="H520" s="137">
        <v>0</v>
      </c>
      <c r="I520" s="137">
        <v>0</v>
      </c>
      <c r="J520" s="137">
        <v>0</v>
      </c>
      <c r="K520" s="137">
        <v>0</v>
      </c>
      <c r="L520" s="137">
        <v>0</v>
      </c>
      <c r="M520" s="137">
        <v>0</v>
      </c>
      <c r="N520" s="137">
        <v>0</v>
      </c>
      <c r="O520" s="137">
        <v>0</v>
      </c>
      <c r="P520" s="137">
        <v>0</v>
      </c>
      <c r="Q520" s="137">
        <v>0</v>
      </c>
      <c r="R520" s="137">
        <v>0</v>
      </c>
      <c r="S520" s="137">
        <v>0</v>
      </c>
      <c r="T520" s="137">
        <v>0</v>
      </c>
      <c r="U520" s="137">
        <v>0</v>
      </c>
      <c r="V520" s="137">
        <v>0</v>
      </c>
      <c r="W520" s="140" t="s">
        <v>1609</v>
      </c>
      <c r="X520" s="56">
        <f t="shared" si="16"/>
        <v>7</v>
      </c>
      <c r="Y520" s="56" t="str">
        <f t="shared" si="17"/>
        <v>NO LOGUEO</v>
      </c>
    </row>
    <row r="521" spans="1:25" ht="15" x14ac:dyDescent="0.25">
      <c r="A521" s="136" t="s">
        <v>2396</v>
      </c>
      <c r="B521" s="137">
        <v>8.7799999999999994</v>
      </c>
      <c r="C521" s="137">
        <v>11.07</v>
      </c>
      <c r="D521" s="137">
        <v>7.93</v>
      </c>
      <c r="E521" s="137">
        <v>2.82</v>
      </c>
      <c r="F521" s="137">
        <v>0</v>
      </c>
      <c r="G521" s="137">
        <v>6.7</v>
      </c>
      <c r="H521" s="137">
        <v>6.51</v>
      </c>
      <c r="I521" s="137">
        <v>0</v>
      </c>
      <c r="J521" s="137">
        <v>10.9</v>
      </c>
      <c r="K521" s="137">
        <v>2.9</v>
      </c>
      <c r="L521" s="137">
        <v>6.65</v>
      </c>
      <c r="M521" s="137">
        <v>8.91</v>
      </c>
      <c r="N521" s="137">
        <v>2.77</v>
      </c>
      <c r="O521" s="137">
        <v>2.98</v>
      </c>
      <c r="P521" s="137">
        <v>9.7098999999999993</v>
      </c>
      <c r="Q521" s="137">
        <v>0</v>
      </c>
      <c r="R521" s="137">
        <v>6.6</v>
      </c>
      <c r="S521" s="137">
        <v>4.0999999999999996</v>
      </c>
      <c r="T521" s="137">
        <v>3.11</v>
      </c>
      <c r="U521" s="137">
        <v>6.75</v>
      </c>
      <c r="V521" s="137">
        <v>12.03</v>
      </c>
      <c r="W521" s="140" t="s">
        <v>1609</v>
      </c>
      <c r="X521" s="56">
        <f t="shared" si="16"/>
        <v>1</v>
      </c>
      <c r="Y521" s="56" t="str">
        <f t="shared" si="17"/>
        <v>LOGUEO</v>
      </c>
    </row>
    <row r="522" spans="1:25" ht="15" x14ac:dyDescent="0.25">
      <c r="A522" s="136" t="s">
        <v>1839</v>
      </c>
      <c r="B522" s="137">
        <v>0</v>
      </c>
      <c r="C522" s="137">
        <v>6.61</v>
      </c>
      <c r="D522" s="137">
        <v>7.39</v>
      </c>
      <c r="E522" s="137">
        <v>7.02</v>
      </c>
      <c r="F522" s="137">
        <v>5.38</v>
      </c>
      <c r="G522" s="137">
        <v>7</v>
      </c>
      <c r="H522" s="137">
        <v>8</v>
      </c>
      <c r="I522" s="137">
        <v>6.1898999999999997</v>
      </c>
      <c r="J522" s="137">
        <v>6.55</v>
      </c>
      <c r="K522" s="137">
        <v>7.24</v>
      </c>
      <c r="L522" s="137">
        <v>0.92</v>
      </c>
      <c r="M522" s="137">
        <v>5.95</v>
      </c>
      <c r="N522" s="137">
        <v>6.78</v>
      </c>
      <c r="O522" s="137">
        <v>7.67</v>
      </c>
      <c r="P522" s="137">
        <v>6.6699000000000002</v>
      </c>
      <c r="Q522" s="137">
        <v>9.77</v>
      </c>
      <c r="R522" s="137">
        <v>0.88</v>
      </c>
      <c r="S522" s="137">
        <v>5.44</v>
      </c>
      <c r="T522" s="137">
        <v>6.92</v>
      </c>
      <c r="U522" s="137">
        <v>7.05</v>
      </c>
      <c r="V522" s="137">
        <v>8.0498999999999992</v>
      </c>
      <c r="W522" s="140">
        <v>14106033</v>
      </c>
      <c r="X522" s="56">
        <f t="shared" si="16"/>
        <v>0</v>
      </c>
      <c r="Y522" s="56" t="str">
        <f t="shared" si="17"/>
        <v>LOGUEO</v>
      </c>
    </row>
    <row r="523" spans="1:25" ht="15" x14ac:dyDescent="0.25">
      <c r="A523" s="136" t="s">
        <v>13</v>
      </c>
      <c r="B523" s="137">
        <v>9.2799999999999994</v>
      </c>
      <c r="C523" s="137">
        <v>7.79</v>
      </c>
      <c r="D523" s="137">
        <v>7.0899000000000001</v>
      </c>
      <c r="E523" s="137">
        <v>8.9598999999999993</v>
      </c>
      <c r="F523" s="137">
        <v>1.6</v>
      </c>
      <c r="G523" s="137">
        <v>7.1599000000000004</v>
      </c>
      <c r="H523" s="137">
        <v>6.8699000000000003</v>
      </c>
      <c r="I523" s="137">
        <v>0</v>
      </c>
      <c r="J523" s="137">
        <v>7.42</v>
      </c>
      <c r="K523" s="137">
        <v>8.23</v>
      </c>
      <c r="L523" s="137">
        <v>7.2</v>
      </c>
      <c r="M523" s="137">
        <v>7.19</v>
      </c>
      <c r="N523" s="137">
        <v>7.02</v>
      </c>
      <c r="O523" s="137">
        <v>8.5498999999999992</v>
      </c>
      <c r="P523" s="137">
        <v>9.31</v>
      </c>
      <c r="Q523" s="137">
        <v>7.5</v>
      </c>
      <c r="R523" s="137">
        <v>6.67</v>
      </c>
      <c r="S523" s="137">
        <v>6.77</v>
      </c>
      <c r="T523" s="137">
        <v>7.12</v>
      </c>
      <c r="U523" s="137">
        <v>7.24</v>
      </c>
      <c r="V523" s="137">
        <v>7.13</v>
      </c>
      <c r="W523" s="140">
        <v>14100726</v>
      </c>
      <c r="X523" s="56">
        <f t="shared" si="16"/>
        <v>0</v>
      </c>
      <c r="Y523" s="56" t="str">
        <f t="shared" si="17"/>
        <v>LOGUEO</v>
      </c>
    </row>
    <row r="524" spans="1:25" ht="15" x14ac:dyDescent="0.25">
      <c r="A524" s="136" t="s">
        <v>102</v>
      </c>
      <c r="B524" s="137">
        <v>3.67</v>
      </c>
      <c r="C524" s="137">
        <v>9.35</v>
      </c>
      <c r="D524" s="137">
        <v>8.75</v>
      </c>
      <c r="E524" s="137">
        <v>8.9</v>
      </c>
      <c r="F524" s="137">
        <v>1.92</v>
      </c>
      <c r="G524" s="137">
        <v>11.32</v>
      </c>
      <c r="H524" s="137">
        <v>8.2200000000000006</v>
      </c>
      <c r="I524" s="137">
        <v>4.3</v>
      </c>
      <c r="J524" s="137">
        <v>8.8899000000000008</v>
      </c>
      <c r="K524" s="137">
        <v>10.8</v>
      </c>
      <c r="L524" s="137">
        <v>11.82</v>
      </c>
      <c r="M524" s="137">
        <v>10.64</v>
      </c>
      <c r="N524" s="137">
        <v>11.19</v>
      </c>
      <c r="O524" s="137">
        <v>8.64</v>
      </c>
      <c r="P524" s="137">
        <v>2.17</v>
      </c>
      <c r="Q524" s="137">
        <v>10.41</v>
      </c>
      <c r="R524" s="137">
        <v>2.67</v>
      </c>
      <c r="S524" s="137">
        <v>6.21</v>
      </c>
      <c r="T524" s="137">
        <v>0</v>
      </c>
      <c r="U524" s="137">
        <v>1.42</v>
      </c>
      <c r="V524" s="137">
        <v>0</v>
      </c>
      <c r="W524" s="140">
        <v>14110339</v>
      </c>
      <c r="X524" s="56">
        <f t="shared" si="16"/>
        <v>2</v>
      </c>
      <c r="Y524" s="56" t="str">
        <f t="shared" si="17"/>
        <v>NO LOGUEO</v>
      </c>
    </row>
    <row r="525" spans="1:25" ht="15" x14ac:dyDescent="0.25">
      <c r="A525" s="136" t="s">
        <v>546</v>
      </c>
      <c r="B525" s="137">
        <v>7.08</v>
      </c>
      <c r="C525" s="137">
        <v>7.36</v>
      </c>
      <c r="D525" s="137">
        <v>0</v>
      </c>
      <c r="E525" s="137">
        <v>11.1</v>
      </c>
      <c r="F525" s="137">
        <v>4.49</v>
      </c>
      <c r="G525" s="137">
        <v>9.91</v>
      </c>
      <c r="H525" s="137">
        <v>7.39</v>
      </c>
      <c r="I525" s="137">
        <v>5.89</v>
      </c>
      <c r="J525" s="137">
        <v>4.29</v>
      </c>
      <c r="K525" s="137">
        <v>6.32</v>
      </c>
      <c r="L525" s="137">
        <v>7.52</v>
      </c>
      <c r="M525" s="137">
        <v>6.53</v>
      </c>
      <c r="N525" s="137">
        <v>0</v>
      </c>
      <c r="O525" s="137">
        <v>6.47</v>
      </c>
      <c r="P525" s="137">
        <v>6.22</v>
      </c>
      <c r="Q525" s="137">
        <v>4.42</v>
      </c>
      <c r="R525" s="137">
        <v>8.15</v>
      </c>
      <c r="S525" s="137">
        <v>7.39</v>
      </c>
      <c r="T525" s="137">
        <v>5.5698999999999996</v>
      </c>
      <c r="U525" s="137">
        <v>8.18</v>
      </c>
      <c r="V525" s="137">
        <v>7.3498999999999999</v>
      </c>
      <c r="W525" s="140" t="s">
        <v>1609</v>
      </c>
      <c r="X525" s="56">
        <f t="shared" si="16"/>
        <v>0</v>
      </c>
      <c r="Y525" s="56" t="str">
        <f t="shared" si="17"/>
        <v>LOGUEO</v>
      </c>
    </row>
    <row r="526" spans="1:25" ht="15" x14ac:dyDescent="0.25">
      <c r="A526" s="136" t="s">
        <v>1840</v>
      </c>
      <c r="B526" s="137">
        <v>0</v>
      </c>
      <c r="C526" s="137">
        <v>5.15</v>
      </c>
      <c r="D526" s="137">
        <v>4.3499999999999996</v>
      </c>
      <c r="E526" s="137">
        <v>4.4800000000000004</v>
      </c>
      <c r="F526" s="137">
        <v>4.7300000000000004</v>
      </c>
      <c r="G526" s="137">
        <v>5.87</v>
      </c>
      <c r="H526" s="137">
        <v>4.49</v>
      </c>
      <c r="I526" s="137">
        <v>0</v>
      </c>
      <c r="J526" s="137">
        <v>4.16</v>
      </c>
      <c r="K526" s="137">
        <v>4.43</v>
      </c>
      <c r="L526" s="137">
        <v>4.67</v>
      </c>
      <c r="M526" s="137">
        <v>4.49</v>
      </c>
      <c r="N526" s="137">
        <v>6.51</v>
      </c>
      <c r="O526" s="137">
        <v>4.42</v>
      </c>
      <c r="P526" s="137">
        <v>0</v>
      </c>
      <c r="Q526" s="137">
        <v>6.34</v>
      </c>
      <c r="R526" s="137">
        <v>4.28</v>
      </c>
      <c r="S526" s="137">
        <v>4.3899999999999997</v>
      </c>
      <c r="T526" s="137">
        <v>6.54</v>
      </c>
      <c r="U526" s="137">
        <v>5.82</v>
      </c>
      <c r="V526" s="137">
        <v>8.65</v>
      </c>
      <c r="W526" s="140" t="s">
        <v>1609</v>
      </c>
      <c r="X526" s="56">
        <f t="shared" si="16"/>
        <v>1</v>
      </c>
      <c r="Y526" s="56" t="str">
        <f t="shared" si="17"/>
        <v>LOGUEO</v>
      </c>
    </row>
    <row r="527" spans="1:25" ht="15" x14ac:dyDescent="0.25">
      <c r="A527" s="136" t="s">
        <v>90</v>
      </c>
      <c r="B527" s="137">
        <v>9.33</v>
      </c>
      <c r="C527" s="137">
        <v>7.99</v>
      </c>
      <c r="D527" s="137">
        <v>0.33</v>
      </c>
      <c r="E527" s="137">
        <v>0</v>
      </c>
      <c r="F527" s="137">
        <v>0</v>
      </c>
      <c r="G527" s="137">
        <v>0</v>
      </c>
      <c r="H527" s="137">
        <v>0</v>
      </c>
      <c r="I527" s="137">
        <v>0</v>
      </c>
      <c r="J527" s="137">
        <v>0</v>
      </c>
      <c r="K527" s="137">
        <v>0</v>
      </c>
      <c r="L527" s="137">
        <v>0</v>
      </c>
      <c r="M527" s="137">
        <v>0</v>
      </c>
      <c r="N527" s="137">
        <v>0</v>
      </c>
      <c r="O527" s="137">
        <v>0</v>
      </c>
      <c r="P527" s="137">
        <v>0</v>
      </c>
      <c r="Q527" s="137">
        <v>0</v>
      </c>
      <c r="R527" s="137">
        <v>0</v>
      </c>
      <c r="S527" s="137">
        <v>0</v>
      </c>
      <c r="T527" s="137">
        <v>0</v>
      </c>
      <c r="U527" s="137">
        <v>0</v>
      </c>
      <c r="V527" s="137">
        <v>0</v>
      </c>
      <c r="W527" s="140">
        <v>14109664</v>
      </c>
      <c r="X527" s="56">
        <f t="shared" si="16"/>
        <v>7</v>
      </c>
      <c r="Y527" s="56" t="str">
        <f t="shared" si="17"/>
        <v>NO LOGUEO</v>
      </c>
    </row>
    <row r="528" spans="1:25" ht="15" x14ac:dyDescent="0.25">
      <c r="A528" s="136" t="s">
        <v>544</v>
      </c>
      <c r="B528" s="137">
        <v>0</v>
      </c>
      <c r="C528" s="137">
        <v>0</v>
      </c>
      <c r="D528" s="137">
        <v>0</v>
      </c>
      <c r="E528" s="137">
        <v>0</v>
      </c>
      <c r="F528" s="137">
        <v>0</v>
      </c>
      <c r="G528" s="137">
        <v>0</v>
      </c>
      <c r="H528" s="137">
        <v>0</v>
      </c>
      <c r="I528" s="137">
        <v>0</v>
      </c>
      <c r="J528" s="137">
        <v>0</v>
      </c>
      <c r="K528" s="137">
        <v>0</v>
      </c>
      <c r="L528" s="137">
        <v>0</v>
      </c>
      <c r="M528" s="137">
        <v>0</v>
      </c>
      <c r="N528" s="137">
        <v>0</v>
      </c>
      <c r="O528" s="137">
        <v>0</v>
      </c>
      <c r="P528" s="137">
        <v>0</v>
      </c>
      <c r="Q528" s="137">
        <v>0</v>
      </c>
      <c r="R528" s="137">
        <v>0</v>
      </c>
      <c r="S528" s="137">
        <v>0</v>
      </c>
      <c r="T528" s="137">
        <v>0</v>
      </c>
      <c r="U528" s="137">
        <v>0</v>
      </c>
      <c r="V528" s="137">
        <v>0</v>
      </c>
      <c r="W528" s="140" t="s">
        <v>1609</v>
      </c>
      <c r="X528" s="56">
        <f t="shared" si="16"/>
        <v>7</v>
      </c>
      <c r="Y528" s="56" t="str">
        <f t="shared" si="17"/>
        <v>NO LOGUEO</v>
      </c>
    </row>
    <row r="529" spans="1:25" ht="15" x14ac:dyDescent="0.25">
      <c r="A529" s="136" t="s">
        <v>478</v>
      </c>
      <c r="B529" s="137">
        <v>0</v>
      </c>
      <c r="C529" s="137">
        <v>0</v>
      </c>
      <c r="D529" s="137">
        <v>0</v>
      </c>
      <c r="E529" s="137">
        <v>0</v>
      </c>
      <c r="F529" s="137">
        <v>0</v>
      </c>
      <c r="G529" s="137">
        <v>0</v>
      </c>
      <c r="H529" s="137">
        <v>0</v>
      </c>
      <c r="I529" s="137">
        <v>0</v>
      </c>
      <c r="J529" s="137">
        <v>0</v>
      </c>
      <c r="K529" s="137">
        <v>0</v>
      </c>
      <c r="L529" s="137">
        <v>0</v>
      </c>
      <c r="M529" s="137">
        <v>0</v>
      </c>
      <c r="N529" s="137">
        <v>0</v>
      </c>
      <c r="O529" s="137">
        <v>0</v>
      </c>
      <c r="P529" s="137">
        <v>0</v>
      </c>
      <c r="Q529" s="137">
        <v>0</v>
      </c>
      <c r="R529" s="137">
        <v>0</v>
      </c>
      <c r="S529" s="137">
        <v>0</v>
      </c>
      <c r="T529" s="137">
        <v>0</v>
      </c>
      <c r="U529" s="137">
        <v>0</v>
      </c>
      <c r="V529" s="137">
        <v>0</v>
      </c>
      <c r="W529" s="140">
        <v>14123012</v>
      </c>
      <c r="X529" s="56">
        <f t="shared" si="16"/>
        <v>7</v>
      </c>
      <c r="Y529" s="56" t="str">
        <f t="shared" si="17"/>
        <v>NO LOGUEO</v>
      </c>
    </row>
    <row r="530" spans="1:25" ht="15" x14ac:dyDescent="0.25">
      <c r="A530" s="136" t="s">
        <v>516</v>
      </c>
      <c r="B530" s="137">
        <v>0.56989999999999996</v>
      </c>
      <c r="C530" s="137">
        <v>6.3</v>
      </c>
      <c r="D530" s="137">
        <v>6.2</v>
      </c>
      <c r="E530" s="137">
        <v>6.57</v>
      </c>
      <c r="F530" s="137">
        <v>1.53</v>
      </c>
      <c r="G530" s="137">
        <v>6.81</v>
      </c>
      <c r="H530" s="137">
        <v>6.26</v>
      </c>
      <c r="I530" s="137">
        <v>5.2798999999999996</v>
      </c>
      <c r="J530" s="137">
        <v>6.44</v>
      </c>
      <c r="K530" s="137">
        <v>7.0399000000000003</v>
      </c>
      <c r="L530" s="137">
        <v>5.93</v>
      </c>
      <c r="M530" s="137">
        <v>7.31</v>
      </c>
      <c r="N530" s="137">
        <v>7.19</v>
      </c>
      <c r="O530" s="137">
        <v>6.16</v>
      </c>
      <c r="P530" s="137">
        <v>0</v>
      </c>
      <c r="Q530" s="137">
        <v>1.32</v>
      </c>
      <c r="R530" s="137">
        <v>7.24</v>
      </c>
      <c r="S530" s="137">
        <v>9.16</v>
      </c>
      <c r="T530" s="137">
        <v>8.48</v>
      </c>
      <c r="U530" s="137">
        <v>7.74</v>
      </c>
      <c r="V530" s="137">
        <v>7.08</v>
      </c>
      <c r="W530" s="140">
        <v>14123377</v>
      </c>
      <c r="X530" s="56">
        <f t="shared" si="16"/>
        <v>1</v>
      </c>
      <c r="Y530" s="56" t="str">
        <f t="shared" si="17"/>
        <v>LOGUEO</v>
      </c>
    </row>
    <row r="531" spans="1:25" ht="15" x14ac:dyDescent="0.25">
      <c r="A531" s="136" t="s">
        <v>553</v>
      </c>
      <c r="B531" s="137">
        <v>0</v>
      </c>
      <c r="C531" s="137">
        <v>0</v>
      </c>
      <c r="D531" s="137">
        <v>0</v>
      </c>
      <c r="E531" s="137">
        <v>0</v>
      </c>
      <c r="F531" s="137">
        <v>0</v>
      </c>
      <c r="G531" s="137">
        <v>0</v>
      </c>
      <c r="H531" s="137">
        <v>0</v>
      </c>
      <c r="I531" s="137">
        <v>0</v>
      </c>
      <c r="J531" s="137">
        <v>0</v>
      </c>
      <c r="K531" s="137">
        <v>0</v>
      </c>
      <c r="L531" s="137">
        <v>0</v>
      </c>
      <c r="M531" s="137">
        <v>0</v>
      </c>
      <c r="N531" s="137">
        <v>0</v>
      </c>
      <c r="O531" s="137">
        <v>0</v>
      </c>
      <c r="P531" s="137">
        <v>0</v>
      </c>
      <c r="Q531" s="137">
        <v>0</v>
      </c>
      <c r="R531" s="137">
        <v>0</v>
      </c>
      <c r="S531" s="137">
        <v>0</v>
      </c>
      <c r="T531" s="137">
        <v>0</v>
      </c>
      <c r="U531" s="137">
        <v>0</v>
      </c>
      <c r="V531" s="137">
        <v>0</v>
      </c>
      <c r="W531" s="140" t="s">
        <v>1609</v>
      </c>
      <c r="X531" s="56">
        <f t="shared" si="16"/>
        <v>7</v>
      </c>
      <c r="Y531" s="56" t="str">
        <f t="shared" si="17"/>
        <v>NO LOGUEO</v>
      </c>
    </row>
    <row r="532" spans="1:25" ht="15" x14ac:dyDescent="0.25">
      <c r="A532" s="136" t="s">
        <v>1909</v>
      </c>
      <c r="B532" s="137">
        <v>0</v>
      </c>
      <c r="C532" s="137">
        <v>0</v>
      </c>
      <c r="D532" s="137">
        <v>0</v>
      </c>
      <c r="E532" s="137">
        <v>0</v>
      </c>
      <c r="F532" s="137">
        <v>0</v>
      </c>
      <c r="G532" s="137">
        <v>0</v>
      </c>
      <c r="H532" s="137">
        <v>0</v>
      </c>
      <c r="I532" s="137">
        <v>0</v>
      </c>
      <c r="J532" s="137">
        <v>0</v>
      </c>
      <c r="K532" s="137">
        <v>0</v>
      </c>
      <c r="L532" s="137">
        <v>0</v>
      </c>
      <c r="M532" s="137">
        <v>0</v>
      </c>
      <c r="N532" s="137">
        <v>0</v>
      </c>
      <c r="O532" s="137">
        <v>0</v>
      </c>
      <c r="P532" s="137">
        <v>0</v>
      </c>
      <c r="Q532" s="137">
        <v>0</v>
      </c>
      <c r="R532" s="137">
        <v>0</v>
      </c>
      <c r="S532" s="137">
        <v>0</v>
      </c>
      <c r="T532" s="137">
        <v>0</v>
      </c>
      <c r="U532" s="137">
        <v>0</v>
      </c>
      <c r="V532" s="137">
        <v>0</v>
      </c>
      <c r="W532" s="140" t="s">
        <v>1609</v>
      </c>
      <c r="X532" s="56">
        <f t="shared" si="16"/>
        <v>7</v>
      </c>
      <c r="Y532" s="56" t="str">
        <f t="shared" si="17"/>
        <v>NO LOGUEO</v>
      </c>
    </row>
    <row r="533" spans="1:25" ht="15" x14ac:dyDescent="0.25">
      <c r="A533" s="136" t="s">
        <v>1841</v>
      </c>
      <c r="B533" s="137">
        <v>0</v>
      </c>
      <c r="C533" s="137">
        <v>9.11</v>
      </c>
      <c r="D533" s="137">
        <v>8.58</v>
      </c>
      <c r="E533" s="137">
        <v>8.6300000000000008</v>
      </c>
      <c r="F533" s="137">
        <v>7.13</v>
      </c>
      <c r="G533" s="137">
        <v>8.6198999999999995</v>
      </c>
      <c r="H533" s="137">
        <v>8.0498999999999992</v>
      </c>
      <c r="I533" s="137">
        <v>0</v>
      </c>
      <c r="J533" s="137">
        <v>7.51</v>
      </c>
      <c r="K533" s="137">
        <v>8.8099000000000007</v>
      </c>
      <c r="L533" s="137">
        <v>9.2100000000000009</v>
      </c>
      <c r="M533" s="137">
        <v>8.99</v>
      </c>
      <c r="N533" s="137">
        <v>8.4598999999999993</v>
      </c>
      <c r="O533" s="137">
        <v>8.5398999999999994</v>
      </c>
      <c r="P533" s="137">
        <v>0</v>
      </c>
      <c r="Q533" s="137">
        <v>9.2898999999999994</v>
      </c>
      <c r="R533" s="137">
        <v>8.27</v>
      </c>
      <c r="S533" s="137">
        <v>9.16</v>
      </c>
      <c r="T533" s="137">
        <v>8.99</v>
      </c>
      <c r="U533" s="137">
        <v>8.7799999999999994</v>
      </c>
      <c r="V533" s="137">
        <v>7.61</v>
      </c>
      <c r="W533" s="140" t="s">
        <v>1609</v>
      </c>
      <c r="X533" s="56">
        <f t="shared" si="16"/>
        <v>1</v>
      </c>
      <c r="Y533" s="56" t="str">
        <f t="shared" si="17"/>
        <v>LOGUEO</v>
      </c>
    </row>
    <row r="534" spans="1:25" ht="15" x14ac:dyDescent="0.25">
      <c r="A534" s="136" t="s">
        <v>1561</v>
      </c>
      <c r="B534" s="137">
        <v>6.74</v>
      </c>
      <c r="C534" s="137">
        <v>4.26</v>
      </c>
      <c r="D534" s="137">
        <v>14.94</v>
      </c>
      <c r="E534" s="137">
        <v>5.08</v>
      </c>
      <c r="F534" s="137">
        <v>20.119900000000001</v>
      </c>
      <c r="G534" s="137">
        <v>2.73</v>
      </c>
      <c r="H534" s="137">
        <v>10.59</v>
      </c>
      <c r="I534" s="137">
        <v>0</v>
      </c>
      <c r="J534" s="137">
        <v>10.4099</v>
      </c>
      <c r="K534" s="137">
        <v>7.71</v>
      </c>
      <c r="L534" s="137">
        <v>10.32</v>
      </c>
      <c r="M534" s="137">
        <v>9.2799999999999994</v>
      </c>
      <c r="N534" s="137">
        <v>10.43</v>
      </c>
      <c r="O534" s="137">
        <v>4.18</v>
      </c>
      <c r="P534" s="137">
        <v>6.12</v>
      </c>
      <c r="Q534" s="137">
        <v>4.84</v>
      </c>
      <c r="R534" s="137">
        <v>10.95</v>
      </c>
      <c r="S534" s="137">
        <v>4.2</v>
      </c>
      <c r="T534" s="137">
        <v>10.02</v>
      </c>
      <c r="U534" s="137">
        <v>5.55</v>
      </c>
      <c r="V534" s="137">
        <v>9.91</v>
      </c>
      <c r="W534" s="140">
        <v>14109674</v>
      </c>
      <c r="X534" s="56">
        <f t="shared" si="16"/>
        <v>0</v>
      </c>
      <c r="Y534" s="56" t="str">
        <f t="shared" si="17"/>
        <v>LOGUEO</v>
      </c>
    </row>
    <row r="535" spans="1:25" ht="15" x14ac:dyDescent="0.25">
      <c r="A535" s="136" t="s">
        <v>2402</v>
      </c>
      <c r="B535" s="137">
        <v>4.4000000000000004</v>
      </c>
      <c r="C535" s="137">
        <v>5.3</v>
      </c>
      <c r="D535" s="137">
        <v>8.4</v>
      </c>
      <c r="E535" s="137">
        <v>1.28</v>
      </c>
      <c r="F535" s="137">
        <v>0</v>
      </c>
      <c r="G535" s="137">
        <v>0.28000000000000003</v>
      </c>
      <c r="H535" s="137">
        <v>0</v>
      </c>
      <c r="I535" s="137">
        <v>0</v>
      </c>
      <c r="J535" s="137">
        <v>0</v>
      </c>
      <c r="K535" s="137">
        <v>1.62</v>
      </c>
      <c r="L535" s="137">
        <v>5.4798999999999998</v>
      </c>
      <c r="M535" s="137">
        <v>2.44</v>
      </c>
      <c r="N535" s="137">
        <v>8.7898999999999994</v>
      </c>
      <c r="O535" s="137">
        <v>8.89</v>
      </c>
      <c r="P535" s="137">
        <v>8.9</v>
      </c>
      <c r="Q535" s="137">
        <v>8.44</v>
      </c>
      <c r="R535" s="137">
        <v>4.3499999999999996</v>
      </c>
      <c r="S535" s="137">
        <v>0</v>
      </c>
      <c r="T535" s="137">
        <v>4.58</v>
      </c>
      <c r="U535" s="137">
        <v>7.28</v>
      </c>
      <c r="V535" s="137">
        <v>1.5</v>
      </c>
      <c r="W535" s="140" t="s">
        <v>1609</v>
      </c>
      <c r="X535" s="56">
        <f t="shared" si="16"/>
        <v>1</v>
      </c>
      <c r="Y535" s="56" t="str">
        <f t="shared" si="17"/>
        <v>LOGUEO</v>
      </c>
    </row>
    <row r="536" spans="1:25" ht="15" x14ac:dyDescent="0.25">
      <c r="A536" s="136" t="s">
        <v>1985</v>
      </c>
      <c r="B536" s="137">
        <v>0</v>
      </c>
      <c r="C536" s="137">
        <v>0</v>
      </c>
      <c r="D536" s="137">
        <v>0</v>
      </c>
      <c r="E536" s="137">
        <v>0</v>
      </c>
      <c r="F536" s="137">
        <v>0</v>
      </c>
      <c r="G536" s="137">
        <v>0</v>
      </c>
      <c r="H536" s="137">
        <v>0</v>
      </c>
      <c r="I536" s="137">
        <v>0</v>
      </c>
      <c r="J536" s="137">
        <v>0</v>
      </c>
      <c r="K536" s="137">
        <v>0</v>
      </c>
      <c r="L536" s="137">
        <v>0</v>
      </c>
      <c r="M536" s="137">
        <v>0</v>
      </c>
      <c r="N536" s="137">
        <v>0</v>
      </c>
      <c r="O536" s="137">
        <v>0</v>
      </c>
      <c r="P536" s="137">
        <v>0</v>
      </c>
      <c r="Q536" s="137">
        <v>0</v>
      </c>
      <c r="R536" s="137">
        <v>0</v>
      </c>
      <c r="S536" s="137">
        <v>0</v>
      </c>
      <c r="T536" s="137">
        <v>0</v>
      </c>
      <c r="U536" s="137">
        <v>0</v>
      </c>
      <c r="V536" s="137">
        <v>0</v>
      </c>
      <c r="W536" s="140" t="s">
        <v>1609</v>
      </c>
      <c r="X536" s="56">
        <f t="shared" si="16"/>
        <v>7</v>
      </c>
      <c r="Y536" s="56" t="str">
        <f t="shared" si="17"/>
        <v>NO LOGUEO</v>
      </c>
    </row>
    <row r="537" spans="1:25" ht="15" x14ac:dyDescent="0.25">
      <c r="A537" s="136" t="s">
        <v>547</v>
      </c>
      <c r="B537" s="137">
        <v>6.3699000000000003</v>
      </c>
      <c r="C537" s="137">
        <v>7.28</v>
      </c>
      <c r="D537" s="137">
        <v>0</v>
      </c>
      <c r="E537" s="137">
        <v>3.37</v>
      </c>
      <c r="F537" s="137">
        <v>6.54</v>
      </c>
      <c r="G537" s="137">
        <v>9.14</v>
      </c>
      <c r="H537" s="137">
        <v>6.55</v>
      </c>
      <c r="I537" s="137">
        <v>7.81</v>
      </c>
      <c r="J537" s="137">
        <v>9.4799000000000007</v>
      </c>
      <c r="K537" s="137">
        <v>8.27</v>
      </c>
      <c r="L537" s="137">
        <v>9.0299999999999994</v>
      </c>
      <c r="M537" s="137">
        <v>10.68</v>
      </c>
      <c r="N537" s="137">
        <v>4.25</v>
      </c>
      <c r="O537" s="137">
        <v>1.32</v>
      </c>
      <c r="P537" s="137">
        <v>5.84</v>
      </c>
      <c r="Q537" s="137">
        <v>9.84</v>
      </c>
      <c r="R537" s="137">
        <v>10.219900000000001</v>
      </c>
      <c r="S537" s="137">
        <v>9.0500000000000007</v>
      </c>
      <c r="T537" s="137">
        <v>7.99</v>
      </c>
      <c r="U537" s="137">
        <v>8.93</v>
      </c>
      <c r="V537" s="137">
        <v>6.0698999999999996</v>
      </c>
      <c r="W537" s="140" t="s">
        <v>1609</v>
      </c>
      <c r="X537" s="56">
        <f t="shared" si="16"/>
        <v>0</v>
      </c>
      <c r="Y537" s="56" t="str">
        <f t="shared" si="17"/>
        <v>LOGUEO</v>
      </c>
    </row>
    <row r="538" spans="1:25" ht="15" x14ac:dyDescent="0.25">
      <c r="A538" s="136" t="s">
        <v>110</v>
      </c>
      <c r="B538" s="137">
        <v>0</v>
      </c>
      <c r="C538" s="137">
        <v>4.9798999999999998</v>
      </c>
      <c r="D538" s="137">
        <v>5.29</v>
      </c>
      <c r="E538" s="137">
        <v>5.09</v>
      </c>
      <c r="F538" s="137">
        <v>2.54</v>
      </c>
      <c r="G538" s="137">
        <v>6.43</v>
      </c>
      <c r="H538" s="137">
        <v>4.59</v>
      </c>
      <c r="I538" s="137">
        <v>5.4</v>
      </c>
      <c r="J538" s="137">
        <v>4.7</v>
      </c>
      <c r="K538" s="137">
        <v>0</v>
      </c>
      <c r="L538" s="137">
        <v>6.05</v>
      </c>
      <c r="M538" s="137">
        <v>5.47</v>
      </c>
      <c r="N538" s="137">
        <v>5.0999999999999996</v>
      </c>
      <c r="O538" s="137">
        <v>5.64</v>
      </c>
      <c r="P538" s="137">
        <v>4.99</v>
      </c>
      <c r="Q538" s="137">
        <v>11.129899999999999</v>
      </c>
      <c r="R538" s="137">
        <v>7.1699000000000002</v>
      </c>
      <c r="S538" s="137">
        <v>5.38</v>
      </c>
      <c r="T538" s="137">
        <v>5.4099000000000004</v>
      </c>
      <c r="U538" s="137">
        <v>5.22</v>
      </c>
      <c r="V538" s="137">
        <v>0</v>
      </c>
      <c r="W538" s="140">
        <v>14111143</v>
      </c>
      <c r="X538" s="56">
        <f t="shared" si="16"/>
        <v>1</v>
      </c>
      <c r="Y538" s="56" t="str">
        <f t="shared" si="17"/>
        <v>LOGUEO</v>
      </c>
    </row>
    <row r="539" spans="1:25" ht="15" x14ac:dyDescent="0.25">
      <c r="A539" s="136" t="s">
        <v>1869</v>
      </c>
      <c r="B539" s="137">
        <v>0</v>
      </c>
      <c r="C539" s="137">
        <v>13.18</v>
      </c>
      <c r="D539" s="137">
        <v>10.08</v>
      </c>
      <c r="E539" s="137">
        <v>7.0399000000000003</v>
      </c>
      <c r="F539" s="137">
        <v>0</v>
      </c>
      <c r="G539" s="137">
        <v>3.5598999999999998</v>
      </c>
      <c r="H539" s="137">
        <v>2.13</v>
      </c>
      <c r="I539" s="137">
        <v>7.7</v>
      </c>
      <c r="J539" s="137">
        <v>11.379899999999999</v>
      </c>
      <c r="K539" s="137">
        <v>11.64</v>
      </c>
      <c r="L539" s="137">
        <v>10.33</v>
      </c>
      <c r="M539" s="137">
        <v>7.4</v>
      </c>
      <c r="N539" s="137">
        <v>9.9999000000000002</v>
      </c>
      <c r="O539" s="137">
        <v>9.6298999999999992</v>
      </c>
      <c r="P539" s="137">
        <v>6.74</v>
      </c>
      <c r="Q539" s="137">
        <v>7.42</v>
      </c>
      <c r="R539" s="137">
        <v>0</v>
      </c>
      <c r="S539" s="137">
        <v>9.82</v>
      </c>
      <c r="T539" s="137">
        <v>11.85</v>
      </c>
      <c r="U539" s="137">
        <v>9.1</v>
      </c>
      <c r="V539" s="137">
        <v>10.32</v>
      </c>
      <c r="W539" s="140" t="s">
        <v>1609</v>
      </c>
      <c r="X539" s="56">
        <f t="shared" si="16"/>
        <v>1</v>
      </c>
      <c r="Y539" s="56" t="str">
        <f t="shared" si="17"/>
        <v>LOGUEO</v>
      </c>
    </row>
    <row r="540" spans="1:25" ht="15" x14ac:dyDescent="0.25">
      <c r="A540" s="136" t="s">
        <v>117</v>
      </c>
      <c r="B540" s="137">
        <v>5.76</v>
      </c>
      <c r="C540" s="137">
        <v>7.39</v>
      </c>
      <c r="D540" s="137">
        <v>8.77</v>
      </c>
      <c r="E540" s="137">
        <v>8.58</v>
      </c>
      <c r="F540" s="137">
        <v>3.65</v>
      </c>
      <c r="G540" s="137">
        <v>5.9499000000000004</v>
      </c>
      <c r="H540" s="137">
        <v>3.29</v>
      </c>
      <c r="I540" s="137">
        <v>0.33</v>
      </c>
      <c r="J540" s="137">
        <v>6.77</v>
      </c>
      <c r="K540" s="137">
        <v>7.55</v>
      </c>
      <c r="L540" s="137">
        <v>9.16</v>
      </c>
      <c r="M540" s="137">
        <v>7.72</v>
      </c>
      <c r="N540" s="137">
        <v>8.11</v>
      </c>
      <c r="O540" s="137">
        <v>7.18</v>
      </c>
      <c r="P540" s="137">
        <v>0</v>
      </c>
      <c r="Q540" s="137">
        <v>8.1298999999999992</v>
      </c>
      <c r="R540" s="137">
        <v>8.1199999999999992</v>
      </c>
      <c r="S540" s="137">
        <v>8.0500000000000007</v>
      </c>
      <c r="T540" s="137">
        <v>7.85</v>
      </c>
      <c r="U540" s="137">
        <v>8.43</v>
      </c>
      <c r="V540" s="137">
        <v>7.4699</v>
      </c>
      <c r="W540" s="140">
        <v>14112592</v>
      </c>
      <c r="X540" s="56">
        <f t="shared" si="16"/>
        <v>1</v>
      </c>
      <c r="Y540" s="56" t="str">
        <f t="shared" si="17"/>
        <v>LOGUEO</v>
      </c>
    </row>
    <row r="541" spans="1:25" ht="15" x14ac:dyDescent="0.25">
      <c r="A541" s="136" t="s">
        <v>55</v>
      </c>
      <c r="B541" s="137">
        <v>5.8</v>
      </c>
      <c r="C541" s="137">
        <v>8.2100000000000009</v>
      </c>
      <c r="D541" s="137">
        <v>5.26</v>
      </c>
      <c r="E541" s="137">
        <v>8.31</v>
      </c>
      <c r="F541" s="137">
        <v>2.2000000000000002</v>
      </c>
      <c r="G541" s="137">
        <v>9.14</v>
      </c>
      <c r="H541" s="137">
        <v>4.82</v>
      </c>
      <c r="I541" s="137">
        <v>7.6199000000000003</v>
      </c>
      <c r="J541" s="137">
        <v>3.65</v>
      </c>
      <c r="K541" s="137">
        <v>4.79</v>
      </c>
      <c r="L541" s="137">
        <v>5.39</v>
      </c>
      <c r="M541" s="137">
        <v>12.5</v>
      </c>
      <c r="N541" s="137">
        <v>0</v>
      </c>
      <c r="O541" s="137">
        <v>9.48</v>
      </c>
      <c r="P541" s="137">
        <v>3.63</v>
      </c>
      <c r="Q541" s="137">
        <v>8.7799999999999994</v>
      </c>
      <c r="R541" s="137">
        <v>4.75</v>
      </c>
      <c r="S541" s="137">
        <v>8.56</v>
      </c>
      <c r="T541" s="137">
        <v>5.3998999999999997</v>
      </c>
      <c r="U541" s="137">
        <v>8.94</v>
      </c>
      <c r="V541" s="137">
        <v>4.9000000000000004</v>
      </c>
      <c r="W541" s="140">
        <v>14106980</v>
      </c>
      <c r="X541" s="56">
        <f t="shared" si="16"/>
        <v>0</v>
      </c>
      <c r="Y541" s="56" t="str">
        <f t="shared" si="17"/>
        <v>LOGUEO</v>
      </c>
    </row>
    <row r="542" spans="1:25" ht="15" x14ac:dyDescent="0.25">
      <c r="A542" s="136" t="s">
        <v>910</v>
      </c>
      <c r="B542" s="137">
        <v>6.13</v>
      </c>
      <c r="C542" s="137">
        <v>11.03</v>
      </c>
      <c r="D542" s="137">
        <v>8.34</v>
      </c>
      <c r="E542" s="137">
        <v>7.19</v>
      </c>
      <c r="F542" s="137">
        <v>6.68</v>
      </c>
      <c r="G542" s="137">
        <v>6.63</v>
      </c>
      <c r="H542" s="137">
        <v>8.32</v>
      </c>
      <c r="I542" s="137">
        <v>4.4800000000000004</v>
      </c>
      <c r="J542" s="137">
        <v>7.8699000000000003</v>
      </c>
      <c r="K542" s="137">
        <v>8.61</v>
      </c>
      <c r="L542" s="137">
        <v>7.72</v>
      </c>
      <c r="M542" s="137">
        <v>7.17</v>
      </c>
      <c r="N542" s="137">
        <v>7.63</v>
      </c>
      <c r="O542" s="137">
        <v>7.5799000000000003</v>
      </c>
      <c r="P542" s="137">
        <v>6.63</v>
      </c>
      <c r="Q542" s="137">
        <v>6.37</v>
      </c>
      <c r="R542" s="137">
        <v>7.84</v>
      </c>
      <c r="S542" s="137">
        <v>8.58</v>
      </c>
      <c r="T542" s="137">
        <v>5.3098999999999998</v>
      </c>
      <c r="U542" s="137">
        <v>7.11</v>
      </c>
      <c r="V542" s="137">
        <v>7.75</v>
      </c>
      <c r="W542" s="140" t="s">
        <v>1609</v>
      </c>
      <c r="X542" s="56">
        <f t="shared" si="16"/>
        <v>0</v>
      </c>
      <c r="Y542" s="56" t="str">
        <f t="shared" si="17"/>
        <v>LOGUEO</v>
      </c>
    </row>
    <row r="543" spans="1:25" ht="15" x14ac:dyDescent="0.25">
      <c r="A543" s="136" t="s">
        <v>341</v>
      </c>
      <c r="B543" s="137">
        <v>3.12</v>
      </c>
      <c r="C543" s="137">
        <v>2.9699</v>
      </c>
      <c r="D543" s="137">
        <v>11.11</v>
      </c>
      <c r="E543" s="137">
        <v>8.74</v>
      </c>
      <c r="F543" s="137">
        <v>1.92</v>
      </c>
      <c r="G543" s="137">
        <v>7.76</v>
      </c>
      <c r="H543" s="137">
        <v>9.66</v>
      </c>
      <c r="I543" s="137">
        <v>6.66</v>
      </c>
      <c r="J543" s="137">
        <v>0</v>
      </c>
      <c r="K543" s="137">
        <v>5.2698999999999998</v>
      </c>
      <c r="L543" s="137">
        <v>4.1399999999999997</v>
      </c>
      <c r="M543" s="137">
        <v>5.1199000000000003</v>
      </c>
      <c r="N543" s="137">
        <v>6.4</v>
      </c>
      <c r="O543" s="137">
        <v>8.07</v>
      </c>
      <c r="P543" s="137">
        <v>7.26</v>
      </c>
      <c r="Q543" s="137">
        <v>7.54</v>
      </c>
      <c r="R543" s="137">
        <v>5.17</v>
      </c>
      <c r="S543" s="137">
        <v>9.7100000000000009</v>
      </c>
      <c r="T543" s="137">
        <v>9.0299999999999994</v>
      </c>
      <c r="U543" s="137">
        <v>9.7100000000000009</v>
      </c>
      <c r="V543" s="137">
        <v>9.1199999999999992</v>
      </c>
      <c r="W543" s="140">
        <v>14115909</v>
      </c>
      <c r="X543" s="56">
        <f t="shared" si="16"/>
        <v>0</v>
      </c>
      <c r="Y543" s="56" t="str">
        <f t="shared" si="17"/>
        <v>LOGUEO</v>
      </c>
    </row>
    <row r="544" spans="1:25" ht="15" x14ac:dyDescent="0.25">
      <c r="A544" s="136" t="s">
        <v>480</v>
      </c>
      <c r="B544" s="137">
        <v>0</v>
      </c>
      <c r="C544" s="137">
        <v>0</v>
      </c>
      <c r="D544" s="137">
        <v>0</v>
      </c>
      <c r="E544" s="137">
        <v>0</v>
      </c>
      <c r="F544" s="137">
        <v>0</v>
      </c>
      <c r="G544" s="137">
        <v>0</v>
      </c>
      <c r="H544" s="137">
        <v>0</v>
      </c>
      <c r="I544" s="137">
        <v>0</v>
      </c>
      <c r="J544" s="137">
        <v>0</v>
      </c>
      <c r="K544" s="137">
        <v>0</v>
      </c>
      <c r="L544" s="137">
        <v>0</v>
      </c>
      <c r="M544" s="137">
        <v>0</v>
      </c>
      <c r="N544" s="137">
        <v>0</v>
      </c>
      <c r="O544" s="137">
        <v>0</v>
      </c>
      <c r="P544" s="137">
        <v>0</v>
      </c>
      <c r="Q544" s="137">
        <v>0</v>
      </c>
      <c r="R544" s="137">
        <v>0</v>
      </c>
      <c r="S544" s="137">
        <v>0</v>
      </c>
      <c r="T544" s="137">
        <v>0</v>
      </c>
      <c r="U544" s="137">
        <v>0</v>
      </c>
      <c r="V544" s="137">
        <v>0</v>
      </c>
      <c r="W544" s="140">
        <v>14123064</v>
      </c>
      <c r="X544" s="56">
        <f t="shared" si="16"/>
        <v>7</v>
      </c>
      <c r="Y544" s="56" t="str">
        <f t="shared" si="17"/>
        <v>NO LOGUEO</v>
      </c>
    </row>
    <row r="545" spans="1:25" ht="15" x14ac:dyDescent="0.25">
      <c r="A545" s="136" t="s">
        <v>230</v>
      </c>
      <c r="B545" s="137">
        <v>9.92</v>
      </c>
      <c r="C545" s="137">
        <v>8.2100000000000009</v>
      </c>
      <c r="D545" s="137">
        <v>10.34</v>
      </c>
      <c r="E545" s="137">
        <v>8.73</v>
      </c>
      <c r="F545" s="137">
        <v>3.78</v>
      </c>
      <c r="G545" s="137">
        <v>8.9</v>
      </c>
      <c r="H545" s="137">
        <v>9.3698999999999995</v>
      </c>
      <c r="I545" s="137">
        <v>9.66</v>
      </c>
      <c r="J545" s="137">
        <v>9.1</v>
      </c>
      <c r="K545" s="137">
        <v>0</v>
      </c>
      <c r="L545" s="137">
        <v>9.1300000000000008</v>
      </c>
      <c r="M545" s="137">
        <v>8.7799999999999994</v>
      </c>
      <c r="N545" s="137">
        <v>9.4499999999999993</v>
      </c>
      <c r="O545" s="137">
        <v>9.64</v>
      </c>
      <c r="P545" s="137">
        <v>8.27</v>
      </c>
      <c r="Q545" s="137">
        <v>8.9499999999999993</v>
      </c>
      <c r="R545" s="137">
        <v>0</v>
      </c>
      <c r="S545" s="137">
        <v>7.15</v>
      </c>
      <c r="T545" s="137">
        <v>9.64</v>
      </c>
      <c r="U545" s="137">
        <v>9.61</v>
      </c>
      <c r="V545" s="137">
        <v>8.6</v>
      </c>
      <c r="W545" s="140">
        <v>14119018</v>
      </c>
      <c r="X545" s="56">
        <f t="shared" si="16"/>
        <v>1</v>
      </c>
      <c r="Y545" s="56" t="str">
        <f t="shared" si="17"/>
        <v>LOGUEO</v>
      </c>
    </row>
    <row r="546" spans="1:25" ht="15" x14ac:dyDescent="0.25">
      <c r="A546" s="136" t="s">
        <v>76</v>
      </c>
      <c r="B546" s="137">
        <v>0</v>
      </c>
      <c r="C546" s="137">
        <v>0</v>
      </c>
      <c r="D546" s="137">
        <v>0.57999999999999996</v>
      </c>
      <c r="E546" s="137">
        <v>0.33</v>
      </c>
      <c r="F546" s="137">
        <v>0</v>
      </c>
      <c r="G546" s="137">
        <v>0</v>
      </c>
      <c r="H546" s="137">
        <v>0</v>
      </c>
      <c r="I546" s="137">
        <v>0</v>
      </c>
      <c r="J546" s="137">
        <v>0</v>
      </c>
      <c r="K546" s="137">
        <v>0</v>
      </c>
      <c r="L546" s="137">
        <v>0</v>
      </c>
      <c r="M546" s="137">
        <v>0</v>
      </c>
      <c r="N546" s="137">
        <v>0</v>
      </c>
      <c r="O546" s="137">
        <v>0</v>
      </c>
      <c r="P546" s="137">
        <v>0</v>
      </c>
      <c r="Q546" s="137">
        <v>0</v>
      </c>
      <c r="R546" s="137">
        <v>2</v>
      </c>
      <c r="S546" s="137">
        <v>0</v>
      </c>
      <c r="T546" s="137">
        <v>2.6</v>
      </c>
      <c r="U546" s="137">
        <v>1.1298999999999999</v>
      </c>
      <c r="V546" s="137">
        <v>0</v>
      </c>
      <c r="W546" s="140">
        <v>14108382</v>
      </c>
      <c r="X546" s="56">
        <f t="shared" si="16"/>
        <v>4</v>
      </c>
      <c r="Y546" s="56" t="str">
        <f t="shared" si="17"/>
        <v>NO LOGUEO</v>
      </c>
    </row>
    <row r="547" spans="1:25" ht="15" x14ac:dyDescent="0.25">
      <c r="A547" s="136" t="s">
        <v>231</v>
      </c>
      <c r="B547" s="137">
        <v>3.55</v>
      </c>
      <c r="C547" s="137">
        <v>6.03</v>
      </c>
      <c r="D547" s="137">
        <v>0</v>
      </c>
      <c r="E547" s="137">
        <v>2.27</v>
      </c>
      <c r="F547" s="137">
        <v>5.27</v>
      </c>
      <c r="G547" s="137">
        <v>5.29</v>
      </c>
      <c r="H547" s="137">
        <v>4.75</v>
      </c>
      <c r="I547" s="137">
        <v>4.18</v>
      </c>
      <c r="J547" s="137">
        <v>4.63</v>
      </c>
      <c r="K547" s="137">
        <v>4.55</v>
      </c>
      <c r="L547" s="137">
        <v>0</v>
      </c>
      <c r="M547" s="137">
        <v>6.4798999999999998</v>
      </c>
      <c r="N547" s="137">
        <v>6.8</v>
      </c>
      <c r="O547" s="137">
        <v>8.41</v>
      </c>
      <c r="P547" s="137">
        <v>5</v>
      </c>
      <c r="Q547" s="137">
        <v>3.92</v>
      </c>
      <c r="R547" s="137">
        <v>5.9898999999999996</v>
      </c>
      <c r="S547" s="137">
        <v>7.08</v>
      </c>
      <c r="T547" s="137">
        <v>5.93</v>
      </c>
      <c r="U547" s="137">
        <v>6.74</v>
      </c>
      <c r="V547" s="137">
        <v>4.9000000000000004</v>
      </c>
      <c r="W547" s="140">
        <v>14119057</v>
      </c>
      <c r="X547" s="56">
        <f t="shared" si="16"/>
        <v>0</v>
      </c>
      <c r="Y547" s="56" t="str">
        <f t="shared" si="17"/>
        <v>LOGUEO</v>
      </c>
    </row>
    <row r="548" spans="1:25" ht="15" x14ac:dyDescent="0.25">
      <c r="A548" s="136" t="s">
        <v>256</v>
      </c>
      <c r="B548" s="137">
        <v>0</v>
      </c>
      <c r="C548" s="137">
        <v>12.28</v>
      </c>
      <c r="D548" s="137">
        <v>13.0099</v>
      </c>
      <c r="E548" s="137">
        <v>13.9</v>
      </c>
      <c r="F548" s="137">
        <v>10.07</v>
      </c>
      <c r="G548" s="137">
        <v>13.54</v>
      </c>
      <c r="H548" s="137">
        <v>9</v>
      </c>
      <c r="I548" s="137">
        <v>0</v>
      </c>
      <c r="J548" s="137">
        <v>10.979900000000001</v>
      </c>
      <c r="K548" s="137">
        <v>13.51</v>
      </c>
      <c r="L548" s="137">
        <v>10.93</v>
      </c>
      <c r="M548" s="137">
        <v>13.76</v>
      </c>
      <c r="N548" s="137">
        <v>9.1399000000000008</v>
      </c>
      <c r="O548" s="137">
        <v>13.8</v>
      </c>
      <c r="P548" s="137">
        <v>0</v>
      </c>
      <c r="Q548" s="137">
        <v>11.64</v>
      </c>
      <c r="R548" s="137">
        <v>10.38</v>
      </c>
      <c r="S548" s="137">
        <v>12.95</v>
      </c>
      <c r="T548" s="137">
        <v>10.029999999999999</v>
      </c>
      <c r="U548" s="137">
        <v>13.28</v>
      </c>
      <c r="V548" s="137">
        <v>10.08</v>
      </c>
      <c r="W548" s="140">
        <v>14116853</v>
      </c>
      <c r="X548" s="56">
        <f t="shared" si="16"/>
        <v>1</v>
      </c>
      <c r="Y548" s="56" t="str">
        <f t="shared" si="17"/>
        <v>LOGUEO</v>
      </c>
    </row>
    <row r="549" spans="1:25" ht="15" x14ac:dyDescent="0.25">
      <c r="A549" s="136" t="s">
        <v>232</v>
      </c>
      <c r="B549" s="137">
        <v>1.87</v>
      </c>
      <c r="C549" s="137">
        <v>3.0998999999999999</v>
      </c>
      <c r="D549" s="137">
        <v>3.3</v>
      </c>
      <c r="E549" s="137">
        <v>2.4300000000000002</v>
      </c>
      <c r="F549" s="137">
        <v>0</v>
      </c>
      <c r="G549" s="137">
        <v>3.2199</v>
      </c>
      <c r="H549" s="137">
        <v>3.9</v>
      </c>
      <c r="I549" s="137">
        <v>3.1598999999999999</v>
      </c>
      <c r="J549" s="137">
        <v>3.2199</v>
      </c>
      <c r="K549" s="137">
        <v>3.2698999999999998</v>
      </c>
      <c r="L549" s="137">
        <v>3.35</v>
      </c>
      <c r="M549" s="137">
        <v>3.1798999999999999</v>
      </c>
      <c r="N549" s="137">
        <v>3.56</v>
      </c>
      <c r="O549" s="137">
        <v>3.21</v>
      </c>
      <c r="P549" s="137">
        <v>3.15</v>
      </c>
      <c r="Q549" s="137">
        <v>2.9298999999999999</v>
      </c>
      <c r="R549" s="137">
        <v>3.2399</v>
      </c>
      <c r="S549" s="137">
        <v>3.2599</v>
      </c>
      <c r="T549" s="137">
        <v>0</v>
      </c>
      <c r="U549" s="137">
        <v>4.0599999999999996</v>
      </c>
      <c r="V549" s="137">
        <v>3.36</v>
      </c>
      <c r="W549" s="140">
        <v>14119076</v>
      </c>
      <c r="X549" s="56">
        <f t="shared" si="16"/>
        <v>1</v>
      </c>
      <c r="Y549" s="56" t="str">
        <f t="shared" si="17"/>
        <v>LOGUEO</v>
      </c>
    </row>
    <row r="550" spans="1:25" ht="15" x14ac:dyDescent="0.25">
      <c r="A550" s="136" t="s">
        <v>1986</v>
      </c>
      <c r="B550" s="137">
        <v>0</v>
      </c>
      <c r="C550" s="137">
        <v>0</v>
      </c>
      <c r="D550" s="137">
        <v>0</v>
      </c>
      <c r="E550" s="137">
        <v>0</v>
      </c>
      <c r="F550" s="137">
        <v>0</v>
      </c>
      <c r="G550" s="137">
        <v>0</v>
      </c>
      <c r="H550" s="137">
        <v>0</v>
      </c>
      <c r="I550" s="137">
        <v>0</v>
      </c>
      <c r="J550" s="137">
        <v>0</v>
      </c>
      <c r="K550" s="137">
        <v>0</v>
      </c>
      <c r="L550" s="137">
        <v>0</v>
      </c>
      <c r="M550" s="137">
        <v>0</v>
      </c>
      <c r="N550" s="137">
        <v>0</v>
      </c>
      <c r="O550" s="137">
        <v>0</v>
      </c>
      <c r="P550" s="137">
        <v>0</v>
      </c>
      <c r="Q550" s="137">
        <v>0</v>
      </c>
      <c r="R550" s="137">
        <v>0</v>
      </c>
      <c r="S550" s="137">
        <v>0</v>
      </c>
      <c r="T550" s="137">
        <v>0</v>
      </c>
      <c r="U550" s="137">
        <v>0</v>
      </c>
      <c r="V550" s="137">
        <v>0</v>
      </c>
      <c r="W550" s="140">
        <v>14100801</v>
      </c>
      <c r="X550" s="56">
        <f t="shared" si="16"/>
        <v>7</v>
      </c>
      <c r="Y550" s="56" t="str">
        <f t="shared" si="17"/>
        <v>NO LOGUEO</v>
      </c>
    </row>
    <row r="551" spans="1:25" ht="15" x14ac:dyDescent="0.25">
      <c r="A551" s="136" t="s">
        <v>545</v>
      </c>
      <c r="B551" s="137">
        <v>0</v>
      </c>
      <c r="C551" s="137">
        <v>4.5</v>
      </c>
      <c r="D551" s="137">
        <v>7.48</v>
      </c>
      <c r="E551" s="137">
        <v>11.33</v>
      </c>
      <c r="F551" s="137">
        <v>4.9398999999999997</v>
      </c>
      <c r="G551" s="137">
        <v>11.11</v>
      </c>
      <c r="H551" s="137">
        <v>7.54</v>
      </c>
      <c r="I551" s="137">
        <v>0</v>
      </c>
      <c r="J551" s="137">
        <v>6.75</v>
      </c>
      <c r="K551" s="137">
        <v>11.43</v>
      </c>
      <c r="L551" s="137">
        <v>11.54</v>
      </c>
      <c r="M551" s="137">
        <v>10.9</v>
      </c>
      <c r="N551" s="137">
        <v>8.18</v>
      </c>
      <c r="O551" s="137">
        <v>8.58</v>
      </c>
      <c r="P551" s="137">
        <v>0</v>
      </c>
      <c r="Q551" s="137">
        <v>6.99</v>
      </c>
      <c r="R551" s="137">
        <v>9.0299999999999994</v>
      </c>
      <c r="S551" s="137">
        <v>9.14</v>
      </c>
      <c r="T551" s="137">
        <v>7.38</v>
      </c>
      <c r="U551" s="137">
        <v>10.18</v>
      </c>
      <c r="V551" s="137">
        <v>7.63</v>
      </c>
      <c r="W551" s="140" t="s">
        <v>1609</v>
      </c>
      <c r="X551" s="56">
        <f t="shared" si="16"/>
        <v>1</v>
      </c>
      <c r="Y551" s="56" t="str">
        <f t="shared" si="17"/>
        <v>LOGUEO</v>
      </c>
    </row>
    <row r="552" spans="1:25" ht="15" x14ac:dyDescent="0.25">
      <c r="A552" s="136" t="s">
        <v>919</v>
      </c>
      <c r="B552" s="137">
        <v>0</v>
      </c>
      <c r="C552" s="137">
        <v>5.0499000000000001</v>
      </c>
      <c r="D552" s="137">
        <v>4.88</v>
      </c>
      <c r="E552" s="137">
        <v>3.96</v>
      </c>
      <c r="F552" s="137">
        <v>1.69</v>
      </c>
      <c r="G552" s="137">
        <v>4.8499999999999996</v>
      </c>
      <c r="H552" s="137">
        <v>2.8</v>
      </c>
      <c r="I552" s="137">
        <v>4.6500000000000004</v>
      </c>
      <c r="J552" s="137">
        <v>6.31</v>
      </c>
      <c r="K552" s="137">
        <v>4.04</v>
      </c>
      <c r="L552" s="137">
        <v>0</v>
      </c>
      <c r="M552" s="137">
        <v>0</v>
      </c>
      <c r="N552" s="137">
        <v>0</v>
      </c>
      <c r="O552" s="137">
        <v>0</v>
      </c>
      <c r="P552" s="137">
        <v>0</v>
      </c>
      <c r="Q552" s="137">
        <v>0</v>
      </c>
      <c r="R552" s="137">
        <v>0</v>
      </c>
      <c r="S552" s="137">
        <v>0</v>
      </c>
      <c r="T552" s="137">
        <v>0</v>
      </c>
      <c r="U552" s="137">
        <v>0</v>
      </c>
      <c r="V552" s="137">
        <v>0</v>
      </c>
      <c r="W552" s="140">
        <v>14109276</v>
      </c>
      <c r="X552" s="56">
        <f t="shared" si="16"/>
        <v>7</v>
      </c>
      <c r="Y552" s="56" t="str">
        <f t="shared" si="17"/>
        <v>NO LOGUEO</v>
      </c>
    </row>
    <row r="553" spans="1:25" ht="15" x14ac:dyDescent="0.25">
      <c r="A553" s="136" t="s">
        <v>71</v>
      </c>
      <c r="B553" s="137">
        <v>4.9398999999999997</v>
      </c>
      <c r="C553" s="137">
        <v>2.2000000000000002</v>
      </c>
      <c r="D553" s="137">
        <v>4.71</v>
      </c>
      <c r="E553" s="137">
        <v>6.99</v>
      </c>
      <c r="F553" s="137">
        <v>5.8998999999999997</v>
      </c>
      <c r="G553" s="137">
        <v>7.14</v>
      </c>
      <c r="H553" s="137">
        <v>9.77</v>
      </c>
      <c r="I553" s="137">
        <v>6.63</v>
      </c>
      <c r="J553" s="137">
        <v>6.69</v>
      </c>
      <c r="K553" s="137">
        <v>7.3</v>
      </c>
      <c r="L553" s="137">
        <v>7.04</v>
      </c>
      <c r="M553" s="137">
        <v>0</v>
      </c>
      <c r="N553" s="137">
        <v>9.7898999999999994</v>
      </c>
      <c r="O553" s="137">
        <v>7.2999000000000001</v>
      </c>
      <c r="P553" s="137">
        <v>7.2</v>
      </c>
      <c r="Q553" s="137">
        <v>5.6498999999999997</v>
      </c>
      <c r="R553" s="137">
        <v>11.319900000000001</v>
      </c>
      <c r="S553" s="137">
        <v>1.05</v>
      </c>
      <c r="T553" s="137">
        <v>0</v>
      </c>
      <c r="U553" s="137">
        <v>0</v>
      </c>
      <c r="V553" s="137">
        <v>0</v>
      </c>
      <c r="W553" s="140">
        <v>14108150</v>
      </c>
      <c r="X553" s="56">
        <f t="shared" si="16"/>
        <v>3</v>
      </c>
      <c r="Y553" s="56" t="str">
        <f t="shared" si="17"/>
        <v>NO LOGUEO</v>
      </c>
    </row>
    <row r="554" spans="1:25" ht="15" x14ac:dyDescent="0.25">
      <c r="A554" s="136" t="s">
        <v>311</v>
      </c>
      <c r="B554" s="137">
        <v>3.81</v>
      </c>
      <c r="C554" s="137">
        <v>0</v>
      </c>
      <c r="D554" s="137">
        <v>9.26</v>
      </c>
      <c r="E554" s="137">
        <v>9.76</v>
      </c>
      <c r="F554" s="137">
        <v>2.79</v>
      </c>
      <c r="G554" s="137">
        <v>6.96</v>
      </c>
      <c r="H554" s="137">
        <v>11.73</v>
      </c>
      <c r="I554" s="137">
        <v>1.35</v>
      </c>
      <c r="J554" s="137">
        <v>3.8298999999999999</v>
      </c>
      <c r="K554" s="137">
        <v>8.34</v>
      </c>
      <c r="L554" s="137">
        <v>11.66</v>
      </c>
      <c r="M554" s="137">
        <v>11.83</v>
      </c>
      <c r="N554" s="137">
        <v>13.0299</v>
      </c>
      <c r="O554" s="137">
        <v>11.4399</v>
      </c>
      <c r="P554" s="137">
        <v>0</v>
      </c>
      <c r="Q554" s="137">
        <v>8.85</v>
      </c>
      <c r="R554" s="137">
        <v>11.18</v>
      </c>
      <c r="S554" s="137">
        <v>11.03</v>
      </c>
      <c r="T554" s="137">
        <v>10.77</v>
      </c>
      <c r="U554" s="137">
        <v>8.0299999999999994</v>
      </c>
      <c r="V554" s="137">
        <v>10.24</v>
      </c>
      <c r="W554" s="140">
        <v>14121015</v>
      </c>
      <c r="X554" s="56">
        <f t="shared" si="16"/>
        <v>1</v>
      </c>
      <c r="Y554" s="56" t="str">
        <f t="shared" si="17"/>
        <v>LOGUEO</v>
      </c>
    </row>
    <row r="555" spans="1:25" ht="15" x14ac:dyDescent="0.25">
      <c r="A555" s="136" t="s">
        <v>979</v>
      </c>
      <c r="B555" s="137">
        <v>0</v>
      </c>
      <c r="C555" s="137">
        <v>11.9999</v>
      </c>
      <c r="D555" s="137">
        <v>10.71</v>
      </c>
      <c r="E555" s="137">
        <v>9.5399999999999991</v>
      </c>
      <c r="F555" s="137">
        <v>2.63</v>
      </c>
      <c r="G555" s="137">
        <v>10.049899999999999</v>
      </c>
      <c r="H555" s="137">
        <v>10.51</v>
      </c>
      <c r="I555" s="137">
        <v>8.14</v>
      </c>
      <c r="J555" s="137">
        <v>13.3299</v>
      </c>
      <c r="K555" s="137">
        <v>10</v>
      </c>
      <c r="L555" s="137">
        <v>10.36</v>
      </c>
      <c r="M555" s="137">
        <v>10.43</v>
      </c>
      <c r="N555" s="137">
        <v>10.25</v>
      </c>
      <c r="O555" s="137">
        <v>6.46</v>
      </c>
      <c r="P555" s="137">
        <v>0</v>
      </c>
      <c r="Q555" s="137">
        <v>12.479900000000001</v>
      </c>
      <c r="R555" s="137">
        <v>9.93</v>
      </c>
      <c r="S555" s="137">
        <v>9.4499999999999993</v>
      </c>
      <c r="T555" s="137">
        <v>8.74</v>
      </c>
      <c r="U555" s="137">
        <v>9.59</v>
      </c>
      <c r="V555" s="137">
        <v>9.34</v>
      </c>
      <c r="W555" s="140" t="s">
        <v>1609</v>
      </c>
      <c r="X555" s="56">
        <f t="shared" si="16"/>
        <v>1</v>
      </c>
      <c r="Y555" s="56" t="str">
        <f t="shared" si="17"/>
        <v>LOGUEO</v>
      </c>
    </row>
    <row r="556" spans="1:25" ht="15" x14ac:dyDescent="0.25">
      <c r="A556" s="136" t="s">
        <v>47</v>
      </c>
      <c r="B556" s="137">
        <v>3.25</v>
      </c>
      <c r="C556" s="137">
        <v>9.11</v>
      </c>
      <c r="D556" s="137">
        <v>8.6999999999999993</v>
      </c>
      <c r="E556" s="137">
        <v>8.17</v>
      </c>
      <c r="F556" s="137">
        <v>8.31</v>
      </c>
      <c r="G556" s="137">
        <v>8.2898999999999994</v>
      </c>
      <c r="H556" s="137">
        <v>8.69</v>
      </c>
      <c r="I556" s="137">
        <v>7.11</v>
      </c>
      <c r="J556" s="137">
        <v>4.12</v>
      </c>
      <c r="K556" s="137">
        <v>8.58</v>
      </c>
      <c r="L556" s="137">
        <v>0</v>
      </c>
      <c r="M556" s="137">
        <v>8.02</v>
      </c>
      <c r="N556" s="137">
        <v>9.23</v>
      </c>
      <c r="O556" s="137">
        <v>7.53</v>
      </c>
      <c r="P556" s="137">
        <v>3.68</v>
      </c>
      <c r="Q556" s="137">
        <v>8.98</v>
      </c>
      <c r="R556" s="137">
        <v>8.8399000000000001</v>
      </c>
      <c r="S556" s="137">
        <v>1.17</v>
      </c>
      <c r="T556" s="137">
        <v>5.0198999999999998</v>
      </c>
      <c r="U556" s="137">
        <v>9.2998999999999992</v>
      </c>
      <c r="V556" s="137">
        <v>8.4999000000000002</v>
      </c>
      <c r="W556" s="140">
        <v>14105586</v>
      </c>
      <c r="X556" s="56">
        <f t="shared" si="16"/>
        <v>0</v>
      </c>
      <c r="Y556" s="56" t="str">
        <f t="shared" si="17"/>
        <v>LOGUEO</v>
      </c>
    </row>
    <row r="557" spans="1:25" ht="15" x14ac:dyDescent="0.25">
      <c r="A557" s="136" t="s">
        <v>549</v>
      </c>
      <c r="B557" s="137">
        <v>1.95</v>
      </c>
      <c r="C557" s="137">
        <v>5.5499000000000001</v>
      </c>
      <c r="D557" s="137">
        <v>5.3098999999999998</v>
      </c>
      <c r="E557" s="137">
        <v>5.6199000000000003</v>
      </c>
      <c r="F557" s="137">
        <v>2.9298999999999999</v>
      </c>
      <c r="G557" s="137">
        <v>5.4</v>
      </c>
      <c r="H557" s="137">
        <v>5.51</v>
      </c>
      <c r="I557" s="137">
        <v>2.4</v>
      </c>
      <c r="J557" s="137">
        <v>7.21</v>
      </c>
      <c r="K557" s="137">
        <v>8.2599</v>
      </c>
      <c r="L557" s="137">
        <v>5.15</v>
      </c>
      <c r="M557" s="137">
        <v>7.06</v>
      </c>
      <c r="N557" s="137">
        <v>7.75</v>
      </c>
      <c r="O557" s="137">
        <v>7.14</v>
      </c>
      <c r="P557" s="137">
        <v>3.78</v>
      </c>
      <c r="Q557" s="137">
        <v>9.57</v>
      </c>
      <c r="R557" s="137">
        <v>9.76</v>
      </c>
      <c r="S557" s="137">
        <v>6.22</v>
      </c>
      <c r="T557" s="137">
        <v>10.45</v>
      </c>
      <c r="U557" s="137">
        <v>6.37</v>
      </c>
      <c r="V557" s="137">
        <v>3.16</v>
      </c>
      <c r="W557" s="140" t="s">
        <v>1609</v>
      </c>
      <c r="X557" s="56">
        <f t="shared" si="16"/>
        <v>0</v>
      </c>
      <c r="Y557" s="56" t="str">
        <f t="shared" si="17"/>
        <v>LOGUEO</v>
      </c>
    </row>
    <row r="558" spans="1:25" ht="15" x14ac:dyDescent="0.25">
      <c r="A558" s="136" t="s">
        <v>3718</v>
      </c>
      <c r="B558" s="137">
        <v>0</v>
      </c>
      <c r="C558" s="137">
        <v>0</v>
      </c>
      <c r="D558" s="137">
        <v>0</v>
      </c>
      <c r="E558" s="137">
        <v>0</v>
      </c>
      <c r="F558" s="137">
        <v>0</v>
      </c>
      <c r="G558" s="137">
        <v>0.57999999999999996</v>
      </c>
      <c r="H558" s="137">
        <v>0</v>
      </c>
      <c r="I558" s="137">
        <v>0</v>
      </c>
      <c r="J558" s="137">
        <v>0</v>
      </c>
      <c r="K558" s="137">
        <v>0</v>
      </c>
      <c r="L558" s="137">
        <v>0</v>
      </c>
      <c r="M558" s="137">
        <v>0</v>
      </c>
      <c r="N558" s="137">
        <v>0</v>
      </c>
      <c r="O558" s="137">
        <v>0</v>
      </c>
      <c r="P558" s="137">
        <v>0</v>
      </c>
      <c r="Q558" s="137">
        <v>0</v>
      </c>
      <c r="R558" s="137">
        <v>0</v>
      </c>
      <c r="S558" s="137">
        <v>0</v>
      </c>
      <c r="T558" s="137">
        <v>0</v>
      </c>
      <c r="U558" s="137">
        <v>0</v>
      </c>
      <c r="V558" s="137">
        <v>0</v>
      </c>
      <c r="W558" s="140" t="s">
        <v>1609</v>
      </c>
      <c r="X558" s="56">
        <f t="shared" si="16"/>
        <v>7</v>
      </c>
      <c r="Y558" s="56" t="str">
        <f t="shared" si="17"/>
        <v>NO LOGUEO</v>
      </c>
    </row>
    <row r="559" spans="1:25" ht="15" x14ac:dyDescent="0.25">
      <c r="A559" s="136" t="s">
        <v>1812</v>
      </c>
      <c r="B559" s="137">
        <v>0</v>
      </c>
      <c r="C559" s="137">
        <v>7.95</v>
      </c>
      <c r="D559" s="137">
        <v>8.1399000000000008</v>
      </c>
      <c r="E559" s="137">
        <v>6.9599000000000002</v>
      </c>
      <c r="F559" s="137">
        <v>6.68</v>
      </c>
      <c r="G559" s="137">
        <v>8.11</v>
      </c>
      <c r="H559" s="137">
        <v>7.7</v>
      </c>
      <c r="I559" s="137">
        <v>0</v>
      </c>
      <c r="J559" s="137">
        <v>6.34</v>
      </c>
      <c r="K559" s="137">
        <v>8.2199000000000009</v>
      </c>
      <c r="L559" s="137">
        <v>6.25</v>
      </c>
      <c r="M559" s="137">
        <v>7.75</v>
      </c>
      <c r="N559" s="137">
        <v>7</v>
      </c>
      <c r="O559" s="137">
        <v>8.8899000000000008</v>
      </c>
      <c r="P559" s="137">
        <v>0</v>
      </c>
      <c r="Q559" s="137">
        <v>0</v>
      </c>
      <c r="R559" s="137">
        <v>4.7298999999999998</v>
      </c>
      <c r="S559" s="137">
        <v>7.92</v>
      </c>
      <c r="T559" s="137">
        <v>7.9</v>
      </c>
      <c r="U559" s="137">
        <v>2.63</v>
      </c>
      <c r="V559" s="137">
        <v>5.61</v>
      </c>
      <c r="W559" s="140">
        <v>14113565</v>
      </c>
      <c r="X559" s="56">
        <f t="shared" si="16"/>
        <v>2</v>
      </c>
      <c r="Y559" s="56" t="str">
        <f t="shared" si="17"/>
        <v>NO LOGUEO</v>
      </c>
    </row>
    <row r="560" spans="1:25" ht="15" x14ac:dyDescent="0.25">
      <c r="A560" s="136" t="s">
        <v>436</v>
      </c>
      <c r="B560" s="137">
        <v>6.49</v>
      </c>
      <c r="C560" s="137">
        <v>6.13</v>
      </c>
      <c r="D560" s="137">
        <v>9.41</v>
      </c>
      <c r="E560" s="137">
        <v>7.25</v>
      </c>
      <c r="F560" s="137">
        <v>2.0299999999999998</v>
      </c>
      <c r="G560" s="137">
        <v>10.029999999999999</v>
      </c>
      <c r="H560" s="137">
        <v>8.51</v>
      </c>
      <c r="I560" s="137">
        <v>6.49</v>
      </c>
      <c r="J560" s="137">
        <v>7.96</v>
      </c>
      <c r="K560" s="137">
        <v>8.6300000000000008</v>
      </c>
      <c r="L560" s="137">
        <v>9.18</v>
      </c>
      <c r="M560" s="137">
        <v>9.27</v>
      </c>
      <c r="N560" s="137">
        <v>5.51</v>
      </c>
      <c r="O560" s="137">
        <v>2.63</v>
      </c>
      <c r="P560" s="137">
        <v>4.6399999999999997</v>
      </c>
      <c r="Q560" s="137">
        <v>8.2100000000000009</v>
      </c>
      <c r="R560" s="137">
        <v>8.61</v>
      </c>
      <c r="S560" s="137">
        <v>8.7200000000000006</v>
      </c>
      <c r="T560" s="137">
        <v>5.25</v>
      </c>
      <c r="U560" s="137">
        <v>8.6298999999999992</v>
      </c>
      <c r="V560" s="137">
        <v>7.49</v>
      </c>
      <c r="W560" s="140">
        <v>14122618</v>
      </c>
      <c r="X560" s="56">
        <f t="shared" si="16"/>
        <v>0</v>
      </c>
      <c r="Y560" s="56" t="str">
        <f t="shared" si="17"/>
        <v>LOGUEO</v>
      </c>
    </row>
    <row r="561" spans="1:25" ht="15" x14ac:dyDescent="0.25">
      <c r="A561" s="136" t="s">
        <v>902</v>
      </c>
      <c r="B561" s="137">
        <v>2.1</v>
      </c>
      <c r="C561" s="137">
        <v>9.4</v>
      </c>
      <c r="D561" s="137">
        <v>8.61</v>
      </c>
      <c r="E561" s="137">
        <v>3.94</v>
      </c>
      <c r="F561" s="137">
        <v>1.22</v>
      </c>
      <c r="G561" s="137">
        <v>7.19</v>
      </c>
      <c r="H561" s="137">
        <v>2.21</v>
      </c>
      <c r="I561" s="137">
        <v>1.43</v>
      </c>
      <c r="J561" s="137">
        <v>1.67</v>
      </c>
      <c r="K561" s="137">
        <v>4.49</v>
      </c>
      <c r="L561" s="137">
        <v>5.3598999999999997</v>
      </c>
      <c r="M561" s="137">
        <v>9.58</v>
      </c>
      <c r="N561" s="137">
        <v>1.67</v>
      </c>
      <c r="O561" s="137">
        <v>5.5</v>
      </c>
      <c r="P561" s="137">
        <v>2.82</v>
      </c>
      <c r="Q561" s="137">
        <v>9.92</v>
      </c>
      <c r="R561" s="137">
        <v>4.53</v>
      </c>
      <c r="S561" s="137">
        <v>4.83</v>
      </c>
      <c r="T561" s="137">
        <v>6.94</v>
      </c>
      <c r="U561" s="137">
        <v>4.09</v>
      </c>
      <c r="V561" s="137">
        <v>8.3699999999999992</v>
      </c>
      <c r="W561" s="140" t="s">
        <v>1609</v>
      </c>
      <c r="X561" s="56">
        <f t="shared" si="16"/>
        <v>0</v>
      </c>
      <c r="Y561" s="56" t="str">
        <f t="shared" si="17"/>
        <v>LOGUEO</v>
      </c>
    </row>
    <row r="562" spans="1:25" ht="15" x14ac:dyDescent="0.25">
      <c r="A562" s="136" t="s">
        <v>1987</v>
      </c>
      <c r="B562" s="137">
        <v>9.35</v>
      </c>
      <c r="C562" s="137">
        <v>7.41</v>
      </c>
      <c r="D562" s="137">
        <v>12.8499</v>
      </c>
      <c r="E562" s="137">
        <v>8.77</v>
      </c>
      <c r="F562" s="137">
        <v>6.46</v>
      </c>
      <c r="G562" s="137">
        <v>9.59</v>
      </c>
      <c r="H562" s="137">
        <v>8.57</v>
      </c>
      <c r="I562" s="137">
        <v>0</v>
      </c>
      <c r="J562" s="137">
        <v>9.02</v>
      </c>
      <c r="K562" s="137">
        <v>10.85</v>
      </c>
      <c r="L562" s="137">
        <v>9.36</v>
      </c>
      <c r="M562" s="137">
        <v>8.86</v>
      </c>
      <c r="N562" s="137">
        <v>12.96</v>
      </c>
      <c r="O562" s="137">
        <v>10.62</v>
      </c>
      <c r="P562" s="137">
        <v>9.4499999999999993</v>
      </c>
      <c r="Q562" s="137">
        <v>11.07</v>
      </c>
      <c r="R562" s="137">
        <v>0</v>
      </c>
      <c r="S562" s="137">
        <v>11.72</v>
      </c>
      <c r="T562" s="137">
        <v>14.08</v>
      </c>
      <c r="U562" s="137">
        <v>12.02</v>
      </c>
      <c r="V562" s="137">
        <v>10.57</v>
      </c>
      <c r="W562" s="140" t="s">
        <v>1609</v>
      </c>
      <c r="X562" s="56">
        <f t="shared" si="16"/>
        <v>1</v>
      </c>
      <c r="Y562" s="56" t="str">
        <f t="shared" si="17"/>
        <v>LOGUEO</v>
      </c>
    </row>
    <row r="563" spans="1:25" ht="15" x14ac:dyDescent="0.25">
      <c r="A563" s="136" t="s">
        <v>1863</v>
      </c>
      <c r="B563" s="137">
        <v>0</v>
      </c>
      <c r="C563" s="137">
        <v>0</v>
      </c>
      <c r="D563" s="137">
        <v>0</v>
      </c>
      <c r="E563" s="137">
        <v>0</v>
      </c>
      <c r="F563" s="137">
        <v>0</v>
      </c>
      <c r="G563" s="137">
        <v>0</v>
      </c>
      <c r="H563" s="137">
        <v>0</v>
      </c>
      <c r="I563" s="137">
        <v>0</v>
      </c>
      <c r="J563" s="137">
        <v>0</v>
      </c>
      <c r="K563" s="137">
        <v>0</v>
      </c>
      <c r="L563" s="137">
        <v>0</v>
      </c>
      <c r="M563" s="137">
        <v>0</v>
      </c>
      <c r="N563" s="137">
        <v>0</v>
      </c>
      <c r="O563" s="137">
        <v>0</v>
      </c>
      <c r="P563" s="137">
        <v>0</v>
      </c>
      <c r="Q563" s="137">
        <v>0</v>
      </c>
      <c r="R563" s="137">
        <v>0</v>
      </c>
      <c r="S563" s="137">
        <v>0</v>
      </c>
      <c r="T563" s="137">
        <v>0</v>
      </c>
      <c r="U563" s="137">
        <v>0</v>
      </c>
      <c r="V563" s="137">
        <v>0</v>
      </c>
      <c r="W563" s="140" t="s">
        <v>1609</v>
      </c>
      <c r="X563" s="56">
        <f t="shared" si="16"/>
        <v>7</v>
      </c>
      <c r="Y563" s="56" t="str">
        <f t="shared" si="17"/>
        <v>NO LOGUEO</v>
      </c>
    </row>
    <row r="564" spans="1:25" ht="15" x14ac:dyDescent="0.25">
      <c r="A564" s="136" t="s">
        <v>938</v>
      </c>
      <c r="B564" s="137">
        <v>5.2</v>
      </c>
      <c r="C564" s="137">
        <v>7.07</v>
      </c>
      <c r="D564" s="137">
        <v>7.38</v>
      </c>
      <c r="E564" s="137">
        <v>6.79</v>
      </c>
      <c r="F564" s="137">
        <v>2.1</v>
      </c>
      <c r="G564" s="137">
        <v>8.0398999999999994</v>
      </c>
      <c r="H564" s="137">
        <v>6.74</v>
      </c>
      <c r="I564" s="137">
        <v>5.2798999999999996</v>
      </c>
      <c r="J564" s="137">
        <v>7.11</v>
      </c>
      <c r="K564" s="137">
        <v>4.87</v>
      </c>
      <c r="L564" s="137">
        <v>7.15</v>
      </c>
      <c r="M564" s="137">
        <v>6.79</v>
      </c>
      <c r="N564" s="137">
        <v>4.21</v>
      </c>
      <c r="O564" s="137">
        <v>5.97</v>
      </c>
      <c r="P564" s="137">
        <v>3.74</v>
      </c>
      <c r="Q564" s="137">
        <v>7.05</v>
      </c>
      <c r="R564" s="137">
        <v>7.99</v>
      </c>
      <c r="S564" s="137">
        <v>8.6</v>
      </c>
      <c r="T564" s="137">
        <v>7.78</v>
      </c>
      <c r="U564" s="137">
        <v>7.54</v>
      </c>
      <c r="V564" s="137">
        <v>6.36</v>
      </c>
      <c r="W564" s="140" t="s">
        <v>1609</v>
      </c>
      <c r="X564" s="56">
        <f t="shared" si="16"/>
        <v>0</v>
      </c>
      <c r="Y564" s="56" t="str">
        <f t="shared" si="17"/>
        <v>LOGUEO</v>
      </c>
    </row>
    <row r="565" spans="1:25" ht="15" x14ac:dyDescent="0.25">
      <c r="A565" s="136" t="s">
        <v>284</v>
      </c>
      <c r="B565" s="137">
        <v>3.47</v>
      </c>
      <c r="C565" s="137">
        <v>5.3</v>
      </c>
      <c r="D565" s="137">
        <v>6.65</v>
      </c>
      <c r="E565" s="137">
        <v>6.74</v>
      </c>
      <c r="F565" s="137">
        <v>1.72</v>
      </c>
      <c r="G565" s="137">
        <v>8.0500000000000007</v>
      </c>
      <c r="H565" s="137">
        <v>3.23</v>
      </c>
      <c r="I565" s="137">
        <v>0</v>
      </c>
      <c r="J565" s="137">
        <v>0.38</v>
      </c>
      <c r="K565" s="137">
        <v>7.18</v>
      </c>
      <c r="L565" s="137">
        <v>0</v>
      </c>
      <c r="M565" s="137">
        <v>0</v>
      </c>
      <c r="N565" s="137">
        <v>0</v>
      </c>
      <c r="O565" s="137">
        <v>2.17</v>
      </c>
      <c r="P565" s="137">
        <v>5.7</v>
      </c>
      <c r="Q565" s="137">
        <v>9.4700000000000006</v>
      </c>
      <c r="R565" s="137">
        <v>8.27</v>
      </c>
      <c r="S565" s="137">
        <v>9.24</v>
      </c>
      <c r="T565" s="137">
        <v>7.46</v>
      </c>
      <c r="U565" s="137">
        <v>8.5</v>
      </c>
      <c r="V565" s="137">
        <v>8.09</v>
      </c>
      <c r="W565" s="140">
        <v>14111678</v>
      </c>
      <c r="X565" s="56">
        <f t="shared" si="16"/>
        <v>0</v>
      </c>
      <c r="Y565" s="56" t="str">
        <f t="shared" si="17"/>
        <v>LOGUEO</v>
      </c>
    </row>
    <row r="566" spans="1:25" ht="15" x14ac:dyDescent="0.25">
      <c r="A566" s="136" t="s">
        <v>1988</v>
      </c>
      <c r="B566" s="137">
        <v>1.57</v>
      </c>
      <c r="C566" s="137">
        <v>0</v>
      </c>
      <c r="D566" s="137">
        <v>0</v>
      </c>
      <c r="E566" s="137">
        <v>0</v>
      </c>
      <c r="F566" s="137">
        <v>1.35</v>
      </c>
      <c r="G566" s="137">
        <v>0</v>
      </c>
      <c r="H566" s="137">
        <v>0</v>
      </c>
      <c r="I566" s="137">
        <v>0</v>
      </c>
      <c r="J566" s="137">
        <v>0</v>
      </c>
      <c r="K566" s="137">
        <v>0</v>
      </c>
      <c r="L566" s="137">
        <v>0</v>
      </c>
      <c r="M566" s="137">
        <v>0</v>
      </c>
      <c r="N566" s="137">
        <v>0</v>
      </c>
      <c r="O566" s="137">
        <v>0</v>
      </c>
      <c r="P566" s="137">
        <v>0</v>
      </c>
      <c r="Q566" s="137">
        <v>0</v>
      </c>
      <c r="R566" s="137">
        <v>0</v>
      </c>
      <c r="S566" s="137">
        <v>0</v>
      </c>
      <c r="T566" s="137">
        <v>0</v>
      </c>
      <c r="U566" s="137">
        <v>0</v>
      </c>
      <c r="V566" s="137">
        <v>1.81</v>
      </c>
      <c r="W566" s="140">
        <v>14108948</v>
      </c>
      <c r="X566" s="56">
        <f t="shared" si="16"/>
        <v>6</v>
      </c>
      <c r="Y566" s="56" t="str">
        <f t="shared" si="17"/>
        <v>NO LOGUEO</v>
      </c>
    </row>
    <row r="567" spans="1:25" ht="15" x14ac:dyDescent="0.25">
      <c r="A567" s="136" t="s">
        <v>536</v>
      </c>
      <c r="B567" s="137">
        <v>0</v>
      </c>
      <c r="C567" s="137">
        <v>0</v>
      </c>
      <c r="D567" s="137">
        <v>0</v>
      </c>
      <c r="E567" s="137">
        <v>0</v>
      </c>
      <c r="F567" s="137">
        <v>0</v>
      </c>
      <c r="G567" s="137">
        <v>0</v>
      </c>
      <c r="H567" s="137">
        <v>0</v>
      </c>
      <c r="I567" s="137">
        <v>0</v>
      </c>
      <c r="J567" s="137">
        <v>0</v>
      </c>
      <c r="K567" s="137">
        <v>0</v>
      </c>
      <c r="L567" s="137">
        <v>0</v>
      </c>
      <c r="M567" s="137">
        <v>0</v>
      </c>
      <c r="N567" s="137">
        <v>0</v>
      </c>
      <c r="O567" s="137">
        <v>0</v>
      </c>
      <c r="P567" s="137">
        <v>0</v>
      </c>
      <c r="Q567" s="137">
        <v>0</v>
      </c>
      <c r="R567" s="137">
        <v>4.1500000000000004</v>
      </c>
      <c r="S567" s="137">
        <v>6.57</v>
      </c>
      <c r="T567" s="137">
        <v>8.49</v>
      </c>
      <c r="U567" s="137">
        <v>6.73</v>
      </c>
      <c r="V567" s="137">
        <v>6.37</v>
      </c>
      <c r="W567" s="140" t="s">
        <v>1609</v>
      </c>
      <c r="X567" s="56">
        <f t="shared" si="16"/>
        <v>2</v>
      </c>
      <c r="Y567" s="56" t="str">
        <f t="shared" si="17"/>
        <v>NO LOGUEO</v>
      </c>
    </row>
    <row r="568" spans="1:25" ht="15" x14ac:dyDescent="0.25">
      <c r="A568" s="136" t="s">
        <v>1842</v>
      </c>
      <c r="B568" s="137">
        <v>4.74</v>
      </c>
      <c r="C568" s="137">
        <v>6.21</v>
      </c>
      <c r="D568" s="137">
        <v>0</v>
      </c>
      <c r="E568" s="137">
        <v>5.98</v>
      </c>
      <c r="F568" s="137">
        <v>0</v>
      </c>
      <c r="G568" s="137">
        <v>0</v>
      </c>
      <c r="H568" s="137">
        <v>5.9</v>
      </c>
      <c r="I568" s="137">
        <v>4.92</v>
      </c>
      <c r="J568" s="137">
        <v>5.87</v>
      </c>
      <c r="K568" s="137">
        <v>6.05</v>
      </c>
      <c r="L568" s="137">
        <v>0</v>
      </c>
      <c r="M568" s="137">
        <v>0</v>
      </c>
      <c r="N568" s="137">
        <v>6.3</v>
      </c>
      <c r="O568" s="137">
        <v>6.05</v>
      </c>
      <c r="P568" s="137">
        <v>6.0298999999999996</v>
      </c>
      <c r="Q568" s="137">
        <v>6.16</v>
      </c>
      <c r="R568" s="137">
        <v>7.09</v>
      </c>
      <c r="S568" s="137">
        <v>6.82</v>
      </c>
      <c r="T568" s="137">
        <v>5.17</v>
      </c>
      <c r="U568" s="137">
        <v>0</v>
      </c>
      <c r="V568" s="137">
        <v>5.66</v>
      </c>
      <c r="W568" s="140" t="s">
        <v>1609</v>
      </c>
      <c r="X568" s="56">
        <f t="shared" si="16"/>
        <v>1</v>
      </c>
      <c r="Y568" s="56" t="str">
        <f t="shared" si="17"/>
        <v>LOGUEO</v>
      </c>
    </row>
    <row r="569" spans="1:25" ht="15" x14ac:dyDescent="0.25">
      <c r="A569" s="136" t="s">
        <v>1843</v>
      </c>
      <c r="B569" s="137">
        <v>0</v>
      </c>
      <c r="C569" s="137">
        <v>6.58</v>
      </c>
      <c r="D569" s="137">
        <v>3.68</v>
      </c>
      <c r="E569" s="137">
        <v>6.4</v>
      </c>
      <c r="F569" s="137">
        <v>3.38</v>
      </c>
      <c r="G569" s="137">
        <v>3.33</v>
      </c>
      <c r="H569" s="137">
        <v>4.7300000000000004</v>
      </c>
      <c r="I569" s="137">
        <v>0</v>
      </c>
      <c r="J569" s="137">
        <v>2.09</v>
      </c>
      <c r="K569" s="137">
        <v>1.47</v>
      </c>
      <c r="L569" s="137">
        <v>6.3598999999999997</v>
      </c>
      <c r="M569" s="137">
        <v>4.3099999999999996</v>
      </c>
      <c r="N569" s="137">
        <v>5.7899000000000003</v>
      </c>
      <c r="O569" s="137">
        <v>5.6199000000000003</v>
      </c>
      <c r="P569" s="137">
        <v>0</v>
      </c>
      <c r="Q569" s="137">
        <v>4.32</v>
      </c>
      <c r="R569" s="137">
        <v>5.4798999999999998</v>
      </c>
      <c r="S569" s="137">
        <v>5.13</v>
      </c>
      <c r="T569" s="137">
        <v>3.65</v>
      </c>
      <c r="U569" s="137">
        <v>7</v>
      </c>
      <c r="V569" s="137">
        <v>5.6898999999999997</v>
      </c>
      <c r="W569" s="140" t="s">
        <v>1609</v>
      </c>
      <c r="X569" s="56">
        <f t="shared" si="16"/>
        <v>1</v>
      </c>
      <c r="Y569" s="56" t="str">
        <f t="shared" si="17"/>
        <v>LOGUEO</v>
      </c>
    </row>
    <row r="570" spans="1:25" ht="15" x14ac:dyDescent="0.25">
      <c r="A570" s="136" t="s">
        <v>238</v>
      </c>
      <c r="B570" s="137">
        <v>3.76</v>
      </c>
      <c r="C570" s="137">
        <v>4.8</v>
      </c>
      <c r="D570" s="137">
        <v>4.21</v>
      </c>
      <c r="E570" s="137">
        <v>4.9800000000000004</v>
      </c>
      <c r="F570" s="137">
        <v>0</v>
      </c>
      <c r="G570" s="137">
        <v>5.9599000000000002</v>
      </c>
      <c r="H570" s="137">
        <v>2.35</v>
      </c>
      <c r="I570" s="137">
        <v>2.58</v>
      </c>
      <c r="J570" s="137">
        <v>4.0199999999999996</v>
      </c>
      <c r="K570" s="137">
        <v>4.0198999999999998</v>
      </c>
      <c r="L570" s="137">
        <v>6.59</v>
      </c>
      <c r="M570" s="137">
        <v>10.65</v>
      </c>
      <c r="N570" s="137">
        <v>5.1498999999999997</v>
      </c>
      <c r="O570" s="137">
        <v>4.95</v>
      </c>
      <c r="P570" s="137">
        <v>1.17</v>
      </c>
      <c r="Q570" s="137">
        <v>0</v>
      </c>
      <c r="R570" s="137">
        <v>4.68</v>
      </c>
      <c r="S570" s="137">
        <v>11.3</v>
      </c>
      <c r="T570" s="137">
        <v>5.09</v>
      </c>
      <c r="U570" s="137">
        <v>3.51</v>
      </c>
      <c r="V570" s="137">
        <v>3.21</v>
      </c>
      <c r="W570" s="140">
        <v>14119175</v>
      </c>
      <c r="X570" s="56">
        <f t="shared" si="16"/>
        <v>1</v>
      </c>
      <c r="Y570" s="56" t="str">
        <f t="shared" si="17"/>
        <v>LOGUEO</v>
      </c>
    </row>
    <row r="571" spans="1:25" ht="15" x14ac:dyDescent="0.25">
      <c r="A571" s="136" t="s">
        <v>283</v>
      </c>
      <c r="B571" s="137">
        <v>1.98</v>
      </c>
      <c r="C571" s="137">
        <v>6.05</v>
      </c>
      <c r="D571" s="137">
        <v>4.9599000000000002</v>
      </c>
      <c r="E571" s="137">
        <v>4.6500000000000004</v>
      </c>
      <c r="F571" s="137">
        <v>1.1000000000000001</v>
      </c>
      <c r="G571" s="137">
        <v>5.01</v>
      </c>
      <c r="H571" s="137">
        <v>4.82</v>
      </c>
      <c r="I571" s="137">
        <v>1.85</v>
      </c>
      <c r="J571" s="137">
        <v>4.8099999999999996</v>
      </c>
      <c r="K571" s="137">
        <v>1.83</v>
      </c>
      <c r="L571" s="137">
        <v>6.0499000000000001</v>
      </c>
      <c r="M571" s="137">
        <v>4.8598999999999997</v>
      </c>
      <c r="N571" s="137">
        <v>4.45</v>
      </c>
      <c r="O571" s="137">
        <v>5.2</v>
      </c>
      <c r="P571" s="137">
        <v>3.72</v>
      </c>
      <c r="Q571" s="137">
        <v>4.63</v>
      </c>
      <c r="R571" s="137">
        <v>6.05</v>
      </c>
      <c r="S571" s="137">
        <v>5.22</v>
      </c>
      <c r="T571" s="137">
        <v>5.5198999999999998</v>
      </c>
      <c r="U571" s="137">
        <v>4.9400000000000004</v>
      </c>
      <c r="V571" s="137">
        <v>3.55</v>
      </c>
      <c r="W571" s="140">
        <v>14120276</v>
      </c>
      <c r="X571" s="56">
        <f t="shared" si="16"/>
        <v>0</v>
      </c>
      <c r="Y571" s="56" t="str">
        <f t="shared" si="17"/>
        <v>LOGUEO</v>
      </c>
    </row>
    <row r="572" spans="1:25" ht="15" x14ac:dyDescent="0.25">
      <c r="A572" s="136" t="s">
        <v>1882</v>
      </c>
      <c r="B572" s="137">
        <v>0</v>
      </c>
      <c r="C572" s="137">
        <v>0</v>
      </c>
      <c r="D572" s="137">
        <v>0</v>
      </c>
      <c r="E572" s="137">
        <v>0</v>
      </c>
      <c r="F572" s="137">
        <v>0</v>
      </c>
      <c r="G572" s="137">
        <v>0</v>
      </c>
      <c r="H572" s="137">
        <v>0</v>
      </c>
      <c r="I572" s="137">
        <v>0</v>
      </c>
      <c r="J572" s="137">
        <v>0</v>
      </c>
      <c r="K572" s="137">
        <v>0</v>
      </c>
      <c r="L572" s="137">
        <v>0</v>
      </c>
      <c r="M572" s="137">
        <v>0</v>
      </c>
      <c r="N572" s="137">
        <v>0</v>
      </c>
      <c r="O572" s="137">
        <v>0</v>
      </c>
      <c r="P572" s="137">
        <v>0</v>
      </c>
      <c r="Q572" s="137">
        <v>0</v>
      </c>
      <c r="R572" s="137">
        <v>0</v>
      </c>
      <c r="S572" s="137">
        <v>0</v>
      </c>
      <c r="T572" s="137">
        <v>0</v>
      </c>
      <c r="U572" s="137">
        <v>0</v>
      </c>
      <c r="V572" s="137">
        <v>0</v>
      </c>
      <c r="W572" s="140" t="s">
        <v>1609</v>
      </c>
      <c r="X572" s="56">
        <f t="shared" si="16"/>
        <v>7</v>
      </c>
      <c r="Y572" s="56" t="str">
        <f t="shared" si="17"/>
        <v>NO LOGUEO</v>
      </c>
    </row>
    <row r="573" spans="1:25" ht="15" x14ac:dyDescent="0.25">
      <c r="A573" s="136" t="s">
        <v>280</v>
      </c>
      <c r="B573" s="137">
        <v>0</v>
      </c>
      <c r="C573" s="137">
        <v>7.64</v>
      </c>
      <c r="D573" s="137">
        <v>10.8499</v>
      </c>
      <c r="E573" s="137">
        <v>11.54</v>
      </c>
      <c r="F573" s="137">
        <v>1.54</v>
      </c>
      <c r="G573" s="137">
        <v>2.4699</v>
      </c>
      <c r="H573" s="137">
        <v>10.709899999999999</v>
      </c>
      <c r="I573" s="137">
        <v>5.53</v>
      </c>
      <c r="J573" s="137">
        <v>8.8000000000000007</v>
      </c>
      <c r="K573" s="137">
        <v>10.67</v>
      </c>
      <c r="L573" s="137">
        <v>8.65</v>
      </c>
      <c r="M573" s="137">
        <v>7.22</v>
      </c>
      <c r="N573" s="137">
        <v>3.1798999999999999</v>
      </c>
      <c r="O573" s="137">
        <v>7.37</v>
      </c>
      <c r="P573" s="137">
        <v>0</v>
      </c>
      <c r="Q573" s="137">
        <v>7.6199000000000003</v>
      </c>
      <c r="R573" s="137">
        <v>9.1999999999999993</v>
      </c>
      <c r="S573" s="137">
        <v>8.41</v>
      </c>
      <c r="T573" s="137">
        <v>7.6</v>
      </c>
      <c r="U573" s="137">
        <v>7.47</v>
      </c>
      <c r="V573" s="137">
        <v>6.07</v>
      </c>
      <c r="W573" s="140">
        <v>14120196</v>
      </c>
      <c r="X573" s="56">
        <f t="shared" si="16"/>
        <v>1</v>
      </c>
      <c r="Y573" s="56" t="str">
        <f t="shared" si="17"/>
        <v>LOGUEO</v>
      </c>
    </row>
    <row r="574" spans="1:25" ht="15" x14ac:dyDescent="0.25">
      <c r="A574" s="136" t="s">
        <v>229</v>
      </c>
      <c r="B574" s="137">
        <v>4.13</v>
      </c>
      <c r="C574" s="137">
        <v>5.87</v>
      </c>
      <c r="D574" s="137">
        <v>7.95</v>
      </c>
      <c r="E574" s="137">
        <v>6.13</v>
      </c>
      <c r="F574" s="137">
        <v>3.59</v>
      </c>
      <c r="G574" s="137">
        <v>0</v>
      </c>
      <c r="H574" s="137">
        <v>10.050000000000001</v>
      </c>
      <c r="I574" s="137">
        <v>7.08</v>
      </c>
      <c r="J574" s="137">
        <v>5.1498999999999997</v>
      </c>
      <c r="K574" s="137">
        <v>6.41</v>
      </c>
      <c r="L574" s="137">
        <v>0</v>
      </c>
      <c r="M574" s="137">
        <v>8.41</v>
      </c>
      <c r="N574" s="137">
        <v>6.36</v>
      </c>
      <c r="O574" s="137">
        <v>10.74</v>
      </c>
      <c r="P574" s="137">
        <v>4.55</v>
      </c>
      <c r="Q574" s="137">
        <v>0</v>
      </c>
      <c r="R574" s="137">
        <v>4.93</v>
      </c>
      <c r="S574" s="137">
        <v>9.5299999999999994</v>
      </c>
      <c r="T574" s="137">
        <v>4.1898999999999997</v>
      </c>
      <c r="U574" s="137">
        <v>2.81</v>
      </c>
      <c r="V574" s="137">
        <v>0</v>
      </c>
      <c r="W574" s="140">
        <v>14119017</v>
      </c>
      <c r="X574" s="56">
        <f t="shared" si="16"/>
        <v>2</v>
      </c>
      <c r="Y574" s="56" t="str">
        <f t="shared" si="17"/>
        <v>NO LOGUEO</v>
      </c>
    </row>
    <row r="575" spans="1:25" ht="15" x14ac:dyDescent="0.25">
      <c r="A575" s="136" t="s">
        <v>1910</v>
      </c>
      <c r="B575" s="137">
        <v>0</v>
      </c>
      <c r="C575" s="137">
        <v>0</v>
      </c>
      <c r="D575" s="137">
        <v>0</v>
      </c>
      <c r="E575" s="137">
        <v>0</v>
      </c>
      <c r="F575" s="137">
        <v>0</v>
      </c>
      <c r="G575" s="137">
        <v>0</v>
      </c>
      <c r="H575" s="137">
        <v>2.13</v>
      </c>
      <c r="I575" s="137">
        <v>0</v>
      </c>
      <c r="J575" s="137">
        <v>0</v>
      </c>
      <c r="K575" s="137">
        <v>0</v>
      </c>
      <c r="L575" s="137">
        <v>0</v>
      </c>
      <c r="M575" s="137">
        <v>0</v>
      </c>
      <c r="N575" s="137">
        <v>1.32</v>
      </c>
      <c r="O575" s="137">
        <v>0</v>
      </c>
      <c r="P575" s="137">
        <v>0</v>
      </c>
      <c r="Q575" s="137">
        <v>0</v>
      </c>
      <c r="R575" s="137">
        <v>0</v>
      </c>
      <c r="S575" s="137">
        <v>0</v>
      </c>
      <c r="T575" s="137">
        <v>0</v>
      </c>
      <c r="U575" s="137">
        <v>0</v>
      </c>
      <c r="V575" s="137">
        <v>0</v>
      </c>
      <c r="W575" s="140">
        <v>0</v>
      </c>
      <c r="X575" s="56">
        <f t="shared" si="16"/>
        <v>7</v>
      </c>
      <c r="Y575" s="56" t="str">
        <f t="shared" si="17"/>
        <v>NO LOGUEO</v>
      </c>
    </row>
    <row r="576" spans="1:25" ht="15" x14ac:dyDescent="0.25">
      <c r="A576" s="136" t="s">
        <v>401</v>
      </c>
      <c r="B576" s="137">
        <v>0</v>
      </c>
      <c r="C576" s="137">
        <v>9.7898999999999994</v>
      </c>
      <c r="D576" s="137">
        <v>11.8</v>
      </c>
      <c r="E576" s="137">
        <v>10.06</v>
      </c>
      <c r="F576" s="137">
        <v>8.17</v>
      </c>
      <c r="G576" s="137">
        <v>11.34</v>
      </c>
      <c r="H576" s="137">
        <v>12.1</v>
      </c>
      <c r="I576" s="137">
        <v>9.01</v>
      </c>
      <c r="J576" s="137">
        <v>2.77</v>
      </c>
      <c r="K576" s="137">
        <v>9.0299999999999994</v>
      </c>
      <c r="L576" s="137">
        <v>14.069900000000001</v>
      </c>
      <c r="M576" s="137">
        <v>9.86</v>
      </c>
      <c r="N576" s="137">
        <v>12.34</v>
      </c>
      <c r="O576" s="137">
        <v>9.67</v>
      </c>
      <c r="P576" s="137">
        <v>8.91</v>
      </c>
      <c r="Q576" s="137">
        <v>9.6198999999999995</v>
      </c>
      <c r="R576" s="137">
        <v>12.459899999999999</v>
      </c>
      <c r="S576" s="137">
        <v>9.8000000000000007</v>
      </c>
      <c r="T576" s="137">
        <v>10.899900000000001</v>
      </c>
      <c r="U576" s="137">
        <v>9.73</v>
      </c>
      <c r="V576" s="137">
        <v>11.42</v>
      </c>
      <c r="W576" s="140">
        <v>14122194</v>
      </c>
      <c r="X576" s="56">
        <f t="shared" si="16"/>
        <v>0</v>
      </c>
      <c r="Y576" s="56" t="str">
        <f t="shared" si="17"/>
        <v>LOGUEO</v>
      </c>
    </row>
    <row r="577" spans="1:25" ht="15" x14ac:dyDescent="0.25">
      <c r="A577" s="136" t="s">
        <v>1989</v>
      </c>
      <c r="B577" s="137">
        <v>6.6599000000000004</v>
      </c>
      <c r="C577" s="137">
        <v>8.2898999999999994</v>
      </c>
      <c r="D577" s="137">
        <v>9.98</v>
      </c>
      <c r="E577" s="137">
        <v>8.2200000000000006</v>
      </c>
      <c r="F577" s="137">
        <v>2.1</v>
      </c>
      <c r="G577" s="137">
        <v>9.74</v>
      </c>
      <c r="H577" s="137">
        <v>9.6199999999999992</v>
      </c>
      <c r="I577" s="137">
        <v>6.78</v>
      </c>
      <c r="J577" s="137">
        <v>8.86</v>
      </c>
      <c r="K577" s="137">
        <v>10.629899999999999</v>
      </c>
      <c r="L577" s="137">
        <v>11.01</v>
      </c>
      <c r="M577" s="137">
        <v>11.799899999999999</v>
      </c>
      <c r="N577" s="137">
        <v>9.58</v>
      </c>
      <c r="O577" s="137">
        <v>7.99</v>
      </c>
      <c r="P577" s="137">
        <v>7.39</v>
      </c>
      <c r="Q577" s="137">
        <v>8.59</v>
      </c>
      <c r="R577" s="137">
        <v>4.6098999999999997</v>
      </c>
      <c r="S577" s="137">
        <v>1.23</v>
      </c>
      <c r="T577" s="137">
        <v>9.59</v>
      </c>
      <c r="U577" s="137">
        <v>4.55</v>
      </c>
      <c r="V577" s="137">
        <v>5.83</v>
      </c>
      <c r="W577" s="140">
        <v>14107202</v>
      </c>
      <c r="X577" s="56">
        <f t="shared" si="16"/>
        <v>0</v>
      </c>
      <c r="Y577" s="56" t="str">
        <f t="shared" si="17"/>
        <v>LOGUEO</v>
      </c>
    </row>
    <row r="578" spans="1:25" ht="15" x14ac:dyDescent="0.25">
      <c r="A578" s="136" t="s">
        <v>133</v>
      </c>
      <c r="B578" s="137">
        <v>4.57</v>
      </c>
      <c r="C578" s="137">
        <v>5.9</v>
      </c>
      <c r="D578" s="137">
        <v>5.63</v>
      </c>
      <c r="E578" s="137">
        <v>0</v>
      </c>
      <c r="F578" s="137">
        <v>0</v>
      </c>
      <c r="G578" s="137">
        <v>0</v>
      </c>
      <c r="H578" s="137">
        <v>0</v>
      </c>
      <c r="I578" s="137">
        <v>0</v>
      </c>
      <c r="J578" s="137">
        <v>0</v>
      </c>
      <c r="K578" s="137">
        <v>0</v>
      </c>
      <c r="L578" s="137">
        <v>0</v>
      </c>
      <c r="M578" s="137">
        <v>4.12</v>
      </c>
      <c r="N578" s="137">
        <v>6.69</v>
      </c>
      <c r="O578" s="137">
        <v>6.5198999999999998</v>
      </c>
      <c r="P578" s="137">
        <v>5.23</v>
      </c>
      <c r="Q578" s="137">
        <v>5.4099000000000004</v>
      </c>
      <c r="R578" s="137">
        <v>6.92</v>
      </c>
      <c r="S578" s="137">
        <v>6.71</v>
      </c>
      <c r="T578" s="137">
        <v>7.01</v>
      </c>
      <c r="U578" s="137">
        <v>6.11</v>
      </c>
      <c r="V578" s="137">
        <v>5.89</v>
      </c>
      <c r="W578" s="140">
        <v>14114030</v>
      </c>
      <c r="X578" s="56">
        <f t="shared" si="16"/>
        <v>0</v>
      </c>
      <c r="Y578" s="56" t="str">
        <f t="shared" si="17"/>
        <v>LOGUEO</v>
      </c>
    </row>
    <row r="579" spans="1:25" ht="15" x14ac:dyDescent="0.25">
      <c r="A579" s="136" t="s">
        <v>60</v>
      </c>
      <c r="B579" s="137">
        <v>0</v>
      </c>
      <c r="C579" s="137">
        <v>0</v>
      </c>
      <c r="D579" s="137">
        <v>0</v>
      </c>
      <c r="E579" s="137">
        <v>0</v>
      </c>
      <c r="F579" s="137">
        <v>0</v>
      </c>
      <c r="G579" s="137">
        <v>0</v>
      </c>
      <c r="H579" s="137">
        <v>0</v>
      </c>
      <c r="I579" s="137">
        <v>0</v>
      </c>
      <c r="J579" s="137">
        <v>0</v>
      </c>
      <c r="K579" s="137">
        <v>0</v>
      </c>
      <c r="L579" s="137">
        <v>0</v>
      </c>
      <c r="M579" s="137">
        <v>0</v>
      </c>
      <c r="N579" s="137">
        <v>0</v>
      </c>
      <c r="O579" s="137">
        <v>0</v>
      </c>
      <c r="P579" s="137">
        <v>0</v>
      </c>
      <c r="Q579" s="137">
        <v>0</v>
      </c>
      <c r="R579" s="137">
        <v>0</v>
      </c>
      <c r="S579" s="137">
        <v>0</v>
      </c>
      <c r="T579" s="137">
        <v>0</v>
      </c>
      <c r="U579" s="137">
        <v>0</v>
      </c>
      <c r="V579" s="137">
        <v>0</v>
      </c>
      <c r="W579" s="140">
        <v>14107217</v>
      </c>
      <c r="X579" s="56">
        <f t="shared" ref="X579:X642" si="18">COUNTIF(P579:V579,0)</f>
        <v>7</v>
      </c>
      <c r="Y579" s="56" t="str">
        <f t="shared" ref="Y579:Y642" si="19">IF(X579&gt;1,"NO LOGUEO","LOGUEO")</f>
        <v>NO LOGUEO</v>
      </c>
    </row>
    <row r="580" spans="1:25" ht="15" x14ac:dyDescent="0.25">
      <c r="A580" s="136" t="s">
        <v>182</v>
      </c>
      <c r="B580" s="137">
        <v>0.45</v>
      </c>
      <c r="C580" s="137">
        <v>0</v>
      </c>
      <c r="D580" s="137">
        <v>4.0198999999999998</v>
      </c>
      <c r="E580" s="137">
        <v>2.65</v>
      </c>
      <c r="F580" s="137">
        <v>0</v>
      </c>
      <c r="G580" s="137">
        <v>0</v>
      </c>
      <c r="H580" s="137">
        <v>0</v>
      </c>
      <c r="I580" s="137">
        <v>0</v>
      </c>
      <c r="J580" s="137">
        <v>0</v>
      </c>
      <c r="K580" s="137">
        <v>4.9400000000000004</v>
      </c>
      <c r="L580" s="137">
        <v>1.72</v>
      </c>
      <c r="M580" s="137">
        <v>0</v>
      </c>
      <c r="N580" s="137">
        <v>0</v>
      </c>
      <c r="O580" s="137">
        <v>0</v>
      </c>
      <c r="P580" s="137">
        <v>0</v>
      </c>
      <c r="Q580" s="137">
        <v>0</v>
      </c>
      <c r="R580" s="137">
        <v>0</v>
      </c>
      <c r="S580" s="137">
        <v>0</v>
      </c>
      <c r="T580" s="137">
        <v>0</v>
      </c>
      <c r="U580" s="137">
        <v>0</v>
      </c>
      <c r="V580" s="137">
        <v>0</v>
      </c>
      <c r="W580" s="140">
        <v>14108775</v>
      </c>
      <c r="X580" s="56">
        <f t="shared" si="18"/>
        <v>7</v>
      </c>
      <c r="Y580" s="56" t="str">
        <f t="shared" si="19"/>
        <v>NO LOGUEO</v>
      </c>
    </row>
    <row r="581" spans="1:25" ht="15" x14ac:dyDescent="0.25">
      <c r="A581" s="136" t="s">
        <v>1174</v>
      </c>
      <c r="B581" s="137">
        <v>0</v>
      </c>
      <c r="C581" s="137">
        <v>8.84</v>
      </c>
      <c r="D581" s="137">
        <v>9.6999999999999993</v>
      </c>
      <c r="E581" s="137">
        <v>9.14</v>
      </c>
      <c r="F581" s="137">
        <v>1.76</v>
      </c>
      <c r="G581" s="137">
        <v>9.7199000000000009</v>
      </c>
      <c r="H581" s="137">
        <v>9.0500000000000007</v>
      </c>
      <c r="I581" s="137">
        <v>9.3800000000000008</v>
      </c>
      <c r="J581" s="137">
        <v>8.9</v>
      </c>
      <c r="K581" s="137">
        <v>10.08</v>
      </c>
      <c r="L581" s="137">
        <v>10.67</v>
      </c>
      <c r="M581" s="137">
        <v>9.26</v>
      </c>
      <c r="N581" s="137">
        <v>9.7499000000000002</v>
      </c>
      <c r="O581" s="137">
        <v>9.66</v>
      </c>
      <c r="P581" s="137">
        <v>0</v>
      </c>
      <c r="Q581" s="137">
        <v>8.76</v>
      </c>
      <c r="R581" s="137">
        <v>10.119899999999999</v>
      </c>
      <c r="S581" s="137">
        <v>8.43</v>
      </c>
      <c r="T581" s="137">
        <v>9.39</v>
      </c>
      <c r="U581" s="137">
        <v>10.199999999999999</v>
      </c>
      <c r="V581" s="137">
        <v>9.1699000000000002</v>
      </c>
      <c r="W581" s="140">
        <v>14113198</v>
      </c>
      <c r="X581" s="56">
        <f t="shared" si="18"/>
        <v>1</v>
      </c>
      <c r="Y581" s="56" t="str">
        <f t="shared" si="19"/>
        <v>LOGUEO</v>
      </c>
    </row>
    <row r="582" spans="1:25" ht="15" x14ac:dyDescent="0.25">
      <c r="A582" s="136" t="s">
        <v>291</v>
      </c>
      <c r="B582" s="137">
        <v>0</v>
      </c>
      <c r="C582" s="137">
        <v>0</v>
      </c>
      <c r="D582" s="137">
        <v>0</v>
      </c>
      <c r="E582" s="137">
        <v>0</v>
      </c>
      <c r="F582" s="137">
        <v>0</v>
      </c>
      <c r="G582" s="137">
        <v>0</v>
      </c>
      <c r="H582" s="137">
        <v>0</v>
      </c>
      <c r="I582" s="137">
        <v>0</v>
      </c>
      <c r="J582" s="137">
        <v>0</v>
      </c>
      <c r="K582" s="137">
        <v>0</v>
      </c>
      <c r="L582" s="137">
        <v>0</v>
      </c>
      <c r="M582" s="137">
        <v>0</v>
      </c>
      <c r="N582" s="137">
        <v>0</v>
      </c>
      <c r="O582" s="137">
        <v>0</v>
      </c>
      <c r="P582" s="137">
        <v>0</v>
      </c>
      <c r="Q582" s="137">
        <v>2.96</v>
      </c>
      <c r="R582" s="137">
        <v>10.399900000000001</v>
      </c>
      <c r="S582" s="137">
        <v>8.33</v>
      </c>
      <c r="T582" s="137">
        <v>0</v>
      </c>
      <c r="U582" s="137">
        <v>10.59</v>
      </c>
      <c r="V582" s="137">
        <v>7.58</v>
      </c>
      <c r="W582" s="140">
        <v>14120489</v>
      </c>
      <c r="X582" s="56">
        <f t="shared" si="18"/>
        <v>2</v>
      </c>
      <c r="Y582" s="56" t="str">
        <f t="shared" si="19"/>
        <v>NO LOGUEO</v>
      </c>
    </row>
    <row r="583" spans="1:25" ht="15" x14ac:dyDescent="0.25">
      <c r="A583" s="136" t="s">
        <v>430</v>
      </c>
      <c r="B583" s="137">
        <v>8.51</v>
      </c>
      <c r="C583" s="137">
        <v>9.2898999999999994</v>
      </c>
      <c r="D583" s="137">
        <v>5.46</v>
      </c>
      <c r="E583" s="137">
        <v>0.45</v>
      </c>
      <c r="F583" s="137">
        <v>9.67</v>
      </c>
      <c r="G583" s="137">
        <v>10.629899999999999</v>
      </c>
      <c r="H583" s="137">
        <v>11.1</v>
      </c>
      <c r="I583" s="137">
        <v>10.15</v>
      </c>
      <c r="J583" s="137">
        <v>11.6</v>
      </c>
      <c r="K583" s="137">
        <v>3.8098999999999998</v>
      </c>
      <c r="L583" s="137">
        <v>0</v>
      </c>
      <c r="M583" s="137">
        <v>7.6</v>
      </c>
      <c r="N583" s="137">
        <v>12.31</v>
      </c>
      <c r="O583" s="137">
        <v>11.5</v>
      </c>
      <c r="P583" s="137">
        <v>8.6298999999999992</v>
      </c>
      <c r="Q583" s="137">
        <v>10.799899999999999</v>
      </c>
      <c r="R583" s="137">
        <v>13.63</v>
      </c>
      <c r="S583" s="137">
        <v>1.17</v>
      </c>
      <c r="T583" s="137">
        <v>2.7599</v>
      </c>
      <c r="U583" s="137">
        <v>9.61</v>
      </c>
      <c r="V583" s="137">
        <v>9.3699999999999992</v>
      </c>
      <c r="W583" s="140">
        <v>14122510</v>
      </c>
      <c r="X583" s="56">
        <f t="shared" si="18"/>
        <v>0</v>
      </c>
      <c r="Y583" s="56" t="str">
        <f t="shared" si="19"/>
        <v>LOGUEO</v>
      </c>
    </row>
    <row r="584" spans="1:25" ht="15" x14ac:dyDescent="0.25">
      <c r="A584" s="136" t="s">
        <v>89</v>
      </c>
      <c r="B584" s="137">
        <v>2.12</v>
      </c>
      <c r="C584" s="137">
        <v>1.25</v>
      </c>
      <c r="D584" s="137">
        <v>3.67</v>
      </c>
      <c r="E584" s="137">
        <v>2.78</v>
      </c>
      <c r="F584" s="137">
        <v>1.3</v>
      </c>
      <c r="G584" s="137">
        <v>5.6</v>
      </c>
      <c r="H584" s="137">
        <v>3.2</v>
      </c>
      <c r="I584" s="137">
        <v>2.36</v>
      </c>
      <c r="J584" s="137">
        <v>0.85</v>
      </c>
      <c r="K584" s="137">
        <v>8.5099</v>
      </c>
      <c r="L584" s="137">
        <v>0</v>
      </c>
      <c r="M584" s="137">
        <v>0</v>
      </c>
      <c r="N584" s="137">
        <v>3.48</v>
      </c>
      <c r="O584" s="137">
        <v>1.9899</v>
      </c>
      <c r="P584" s="137">
        <v>2.23</v>
      </c>
      <c r="Q584" s="137">
        <v>0.57999999999999996</v>
      </c>
      <c r="R584" s="137">
        <v>6.98</v>
      </c>
      <c r="S584" s="137">
        <v>4.49</v>
      </c>
      <c r="T584" s="137">
        <v>2.96</v>
      </c>
      <c r="U584" s="137">
        <v>4.42</v>
      </c>
      <c r="V584" s="137">
        <v>1.18</v>
      </c>
      <c r="W584" s="140">
        <v>14109435</v>
      </c>
      <c r="X584" s="56">
        <f t="shared" si="18"/>
        <v>0</v>
      </c>
      <c r="Y584" s="56" t="str">
        <f t="shared" si="19"/>
        <v>LOGUEO</v>
      </c>
    </row>
    <row r="585" spans="1:25" ht="15" x14ac:dyDescent="0.25">
      <c r="A585" s="136" t="s">
        <v>237</v>
      </c>
      <c r="B585" s="137">
        <v>10.23</v>
      </c>
      <c r="C585" s="137">
        <v>10.45</v>
      </c>
      <c r="D585" s="137">
        <v>6.79</v>
      </c>
      <c r="E585" s="137">
        <v>11.8499</v>
      </c>
      <c r="F585" s="137">
        <v>0</v>
      </c>
      <c r="G585" s="137">
        <v>11.38</v>
      </c>
      <c r="H585" s="137">
        <v>10.039899999999999</v>
      </c>
      <c r="I585" s="137">
        <v>6.72</v>
      </c>
      <c r="J585" s="137">
        <v>8.84</v>
      </c>
      <c r="K585" s="137">
        <v>12.83</v>
      </c>
      <c r="L585" s="137">
        <v>9.4598999999999993</v>
      </c>
      <c r="M585" s="137">
        <v>6.4398999999999997</v>
      </c>
      <c r="N585" s="137">
        <v>0</v>
      </c>
      <c r="O585" s="137">
        <v>11.18</v>
      </c>
      <c r="P585" s="137">
        <v>7.98</v>
      </c>
      <c r="Q585" s="137">
        <v>8.02</v>
      </c>
      <c r="R585" s="137">
        <v>10.719900000000001</v>
      </c>
      <c r="S585" s="137">
        <v>6.26</v>
      </c>
      <c r="T585" s="137">
        <v>0</v>
      </c>
      <c r="U585" s="137">
        <v>5.78</v>
      </c>
      <c r="V585" s="137">
        <v>8.0398999999999994</v>
      </c>
      <c r="W585" s="140">
        <v>14117509</v>
      </c>
      <c r="X585" s="56">
        <f t="shared" si="18"/>
        <v>1</v>
      </c>
      <c r="Y585" s="56" t="str">
        <f t="shared" si="19"/>
        <v>LOGUEO</v>
      </c>
    </row>
    <row r="586" spans="1:25" ht="15" x14ac:dyDescent="0.25">
      <c r="A586" s="136" t="s">
        <v>2393</v>
      </c>
      <c r="B586" s="137">
        <v>4.88</v>
      </c>
      <c r="C586" s="137">
        <v>2.78</v>
      </c>
      <c r="D586" s="137">
        <v>8.99</v>
      </c>
      <c r="E586" s="137">
        <v>9.2100000000000009</v>
      </c>
      <c r="F586" s="137">
        <v>2.61</v>
      </c>
      <c r="G586" s="137">
        <v>8.92</v>
      </c>
      <c r="H586" s="137">
        <v>7.5499000000000001</v>
      </c>
      <c r="I586" s="137">
        <v>2.13</v>
      </c>
      <c r="J586" s="137">
        <v>6.74</v>
      </c>
      <c r="K586" s="137">
        <v>10.549899999999999</v>
      </c>
      <c r="L586" s="137">
        <v>11.22</v>
      </c>
      <c r="M586" s="137">
        <v>10.0799</v>
      </c>
      <c r="N586" s="137">
        <v>9.91</v>
      </c>
      <c r="O586" s="137">
        <v>10.59</v>
      </c>
      <c r="P586" s="137">
        <v>7.65</v>
      </c>
      <c r="Q586" s="137">
        <v>3.23</v>
      </c>
      <c r="R586" s="137">
        <v>10.24</v>
      </c>
      <c r="S586" s="137">
        <v>10.65</v>
      </c>
      <c r="T586" s="137">
        <v>11.14</v>
      </c>
      <c r="U586" s="137">
        <v>10.5</v>
      </c>
      <c r="V586" s="137">
        <v>10.5</v>
      </c>
      <c r="W586" s="140" t="s">
        <v>1609</v>
      </c>
      <c r="X586" s="56">
        <f t="shared" si="18"/>
        <v>0</v>
      </c>
      <c r="Y586" s="56" t="str">
        <f t="shared" si="19"/>
        <v>LOGUEO</v>
      </c>
    </row>
    <row r="587" spans="1:25" ht="15" x14ac:dyDescent="0.25">
      <c r="A587" s="136" t="s">
        <v>1911</v>
      </c>
      <c r="B587" s="137">
        <v>0</v>
      </c>
      <c r="C587" s="137">
        <v>0</v>
      </c>
      <c r="D587" s="137">
        <v>0</v>
      </c>
      <c r="E587" s="137">
        <v>0</v>
      </c>
      <c r="F587" s="137">
        <v>0</v>
      </c>
      <c r="G587" s="137">
        <v>0</v>
      </c>
      <c r="H587" s="137">
        <v>0</v>
      </c>
      <c r="I587" s="137">
        <v>0</v>
      </c>
      <c r="J587" s="137">
        <v>0</v>
      </c>
      <c r="K587" s="137">
        <v>0</v>
      </c>
      <c r="L587" s="137">
        <v>0</v>
      </c>
      <c r="M587" s="137">
        <v>0</v>
      </c>
      <c r="N587" s="137">
        <v>0</v>
      </c>
      <c r="O587" s="137">
        <v>0</v>
      </c>
      <c r="P587" s="137">
        <v>0</v>
      </c>
      <c r="Q587" s="137">
        <v>0</v>
      </c>
      <c r="R587" s="137">
        <v>0</v>
      </c>
      <c r="S587" s="137">
        <v>0</v>
      </c>
      <c r="T587" s="137">
        <v>0</v>
      </c>
      <c r="U587" s="137">
        <v>0</v>
      </c>
      <c r="V587" s="137">
        <v>0</v>
      </c>
      <c r="W587" s="140" t="s">
        <v>1609</v>
      </c>
      <c r="X587" s="56">
        <f t="shared" si="18"/>
        <v>7</v>
      </c>
      <c r="Y587" s="56" t="str">
        <f t="shared" si="19"/>
        <v>NO LOGUEO</v>
      </c>
    </row>
    <row r="588" spans="1:25" ht="15" x14ac:dyDescent="0.25">
      <c r="A588" s="136" t="s">
        <v>87</v>
      </c>
      <c r="B588" s="137">
        <v>0</v>
      </c>
      <c r="C588" s="137">
        <v>0</v>
      </c>
      <c r="D588" s="137">
        <v>2.62</v>
      </c>
      <c r="E588" s="137">
        <v>7.4599000000000002</v>
      </c>
      <c r="F588" s="137">
        <v>0</v>
      </c>
      <c r="G588" s="137">
        <v>9.06</v>
      </c>
      <c r="H588" s="137">
        <v>2.48</v>
      </c>
      <c r="I588" s="137">
        <v>4.0199999999999996</v>
      </c>
      <c r="J588" s="137">
        <v>5.99</v>
      </c>
      <c r="K588" s="137">
        <v>8.57</v>
      </c>
      <c r="L588" s="137">
        <v>2.67</v>
      </c>
      <c r="M588" s="137">
        <v>8.3800000000000008</v>
      </c>
      <c r="N588" s="137">
        <v>2.4699</v>
      </c>
      <c r="O588" s="137">
        <v>8.3798999999999992</v>
      </c>
      <c r="P588" s="137">
        <v>0</v>
      </c>
      <c r="Q588" s="137">
        <v>0</v>
      </c>
      <c r="R588" s="137">
        <v>2.48</v>
      </c>
      <c r="S588" s="137">
        <v>8.73</v>
      </c>
      <c r="T588" s="137">
        <v>2.52</v>
      </c>
      <c r="U588" s="137">
        <v>8.2199000000000009</v>
      </c>
      <c r="V588" s="137">
        <v>2.5499999999999998</v>
      </c>
      <c r="W588" s="140">
        <v>14109408</v>
      </c>
      <c r="X588" s="56">
        <f t="shared" si="18"/>
        <v>2</v>
      </c>
      <c r="Y588" s="56" t="str">
        <f t="shared" si="19"/>
        <v>NO LOGUEO</v>
      </c>
    </row>
    <row r="589" spans="1:25" ht="15" x14ac:dyDescent="0.25">
      <c r="A589" s="136" t="s">
        <v>111</v>
      </c>
      <c r="B589" s="137">
        <v>3.91</v>
      </c>
      <c r="C589" s="137">
        <v>6.48</v>
      </c>
      <c r="D589" s="137">
        <v>5.67</v>
      </c>
      <c r="E589" s="137">
        <v>3.65</v>
      </c>
      <c r="F589" s="137">
        <v>2.4700000000000002</v>
      </c>
      <c r="G589" s="137">
        <v>5.29</v>
      </c>
      <c r="H589" s="137">
        <v>1.89</v>
      </c>
      <c r="I589" s="137">
        <v>0</v>
      </c>
      <c r="J589" s="137">
        <v>8.74</v>
      </c>
      <c r="K589" s="137">
        <v>5.51</v>
      </c>
      <c r="L589" s="137">
        <v>2.48</v>
      </c>
      <c r="M589" s="137">
        <v>3.84</v>
      </c>
      <c r="N589" s="137">
        <v>4.8899999999999997</v>
      </c>
      <c r="O589" s="137">
        <v>3.88</v>
      </c>
      <c r="P589" s="137">
        <v>3.8599000000000001</v>
      </c>
      <c r="Q589" s="137">
        <v>1.25</v>
      </c>
      <c r="R589" s="137">
        <v>7.2</v>
      </c>
      <c r="S589" s="137">
        <v>6.3</v>
      </c>
      <c r="T589" s="137">
        <v>6.42</v>
      </c>
      <c r="U589" s="137">
        <v>7.7</v>
      </c>
      <c r="V589" s="137">
        <v>5.3098999999999998</v>
      </c>
      <c r="W589" s="140">
        <v>14111266</v>
      </c>
      <c r="X589" s="56">
        <f t="shared" si="18"/>
        <v>0</v>
      </c>
      <c r="Y589" s="56" t="str">
        <f t="shared" si="19"/>
        <v>LOGUEO</v>
      </c>
    </row>
    <row r="590" spans="1:25" ht="15" x14ac:dyDescent="0.25">
      <c r="A590" s="136" t="s">
        <v>93</v>
      </c>
      <c r="B590" s="137">
        <v>1.75</v>
      </c>
      <c r="C590" s="137">
        <v>7.35</v>
      </c>
      <c r="D590" s="137">
        <v>1.77</v>
      </c>
      <c r="E590" s="137">
        <v>8.02</v>
      </c>
      <c r="F590" s="137">
        <v>4.38</v>
      </c>
      <c r="G590" s="137">
        <v>7.43</v>
      </c>
      <c r="H590" s="137">
        <v>1.7</v>
      </c>
      <c r="I590" s="137">
        <v>7.05</v>
      </c>
      <c r="J590" s="137">
        <v>1.82</v>
      </c>
      <c r="K590" s="137">
        <v>8.84</v>
      </c>
      <c r="L590" s="137">
        <v>1.72</v>
      </c>
      <c r="M590" s="137">
        <v>7.1199000000000003</v>
      </c>
      <c r="N590" s="137">
        <v>1.87</v>
      </c>
      <c r="O590" s="137">
        <v>7.53</v>
      </c>
      <c r="P590" s="137">
        <v>6.5</v>
      </c>
      <c r="Q590" s="137">
        <v>7.83</v>
      </c>
      <c r="R590" s="137">
        <v>1.9</v>
      </c>
      <c r="S590" s="137">
        <v>7.51</v>
      </c>
      <c r="T590" s="137">
        <v>8.35</v>
      </c>
      <c r="U590" s="137">
        <v>7.61</v>
      </c>
      <c r="V590" s="137">
        <v>7.5598999999999998</v>
      </c>
      <c r="W590" s="140">
        <v>14109707</v>
      </c>
      <c r="X590" s="56">
        <f t="shared" si="18"/>
        <v>0</v>
      </c>
      <c r="Y590" s="56" t="str">
        <f t="shared" si="19"/>
        <v>LOGUEO</v>
      </c>
    </row>
    <row r="591" spans="1:25" ht="15" x14ac:dyDescent="0.25">
      <c r="A591" s="136" t="s">
        <v>406</v>
      </c>
      <c r="B591" s="137">
        <v>2.6798999999999999</v>
      </c>
      <c r="C591" s="137">
        <v>0</v>
      </c>
      <c r="D591" s="137">
        <v>8.17</v>
      </c>
      <c r="E591" s="137">
        <v>8.94</v>
      </c>
      <c r="F591" s="137">
        <v>2.6798999999999999</v>
      </c>
      <c r="G591" s="137">
        <v>8.24</v>
      </c>
      <c r="H591" s="137">
        <v>7.83</v>
      </c>
      <c r="I591" s="137">
        <v>2.71</v>
      </c>
      <c r="J591" s="137">
        <v>10.039899999999999</v>
      </c>
      <c r="K591" s="137">
        <v>10.53</v>
      </c>
      <c r="L591" s="137">
        <v>10.66</v>
      </c>
      <c r="M591" s="137">
        <v>0</v>
      </c>
      <c r="N591" s="137">
        <v>6.45</v>
      </c>
      <c r="O591" s="137">
        <v>9.5299999999999994</v>
      </c>
      <c r="P591" s="137">
        <v>2.82</v>
      </c>
      <c r="Q591" s="137">
        <v>12.03</v>
      </c>
      <c r="R591" s="137">
        <v>10.57</v>
      </c>
      <c r="S591" s="137">
        <v>8.1199999999999992</v>
      </c>
      <c r="T591" s="137">
        <v>0</v>
      </c>
      <c r="U591" s="137">
        <v>10.199999999999999</v>
      </c>
      <c r="V591" s="137">
        <v>9.2100000000000009</v>
      </c>
      <c r="W591" s="140">
        <v>14120199</v>
      </c>
      <c r="X591" s="56">
        <f t="shared" si="18"/>
        <v>1</v>
      </c>
      <c r="Y591" s="56" t="str">
        <f t="shared" si="19"/>
        <v>LOGUEO</v>
      </c>
    </row>
    <row r="592" spans="1:25" ht="15" x14ac:dyDescent="0.25">
      <c r="A592" s="136" t="s">
        <v>372</v>
      </c>
      <c r="B592" s="137">
        <v>2.2000000000000002</v>
      </c>
      <c r="C592" s="137">
        <v>5.22</v>
      </c>
      <c r="D592" s="137">
        <v>8.2200000000000006</v>
      </c>
      <c r="E592" s="137">
        <v>7.23</v>
      </c>
      <c r="F592" s="137">
        <v>2.48</v>
      </c>
      <c r="G592" s="137">
        <v>9.4598999999999993</v>
      </c>
      <c r="H592" s="137">
        <v>7.39</v>
      </c>
      <c r="I592" s="137">
        <v>2.69</v>
      </c>
      <c r="J592" s="137">
        <v>10.24</v>
      </c>
      <c r="K592" s="137">
        <v>8.14</v>
      </c>
      <c r="L592" s="137">
        <v>8.09</v>
      </c>
      <c r="M592" s="137">
        <v>8.33</v>
      </c>
      <c r="N592" s="137">
        <v>7.31</v>
      </c>
      <c r="O592" s="137">
        <v>6.66</v>
      </c>
      <c r="P592" s="137">
        <v>2.9098999999999999</v>
      </c>
      <c r="Q592" s="137">
        <v>12.44</v>
      </c>
      <c r="R592" s="137">
        <v>6.59</v>
      </c>
      <c r="S592" s="137">
        <v>10.299899999999999</v>
      </c>
      <c r="T592" s="137">
        <v>6.75</v>
      </c>
      <c r="U592" s="137">
        <v>7.22</v>
      </c>
      <c r="V592" s="137">
        <v>6.4398999999999997</v>
      </c>
      <c r="W592" s="140">
        <v>14112595</v>
      </c>
      <c r="X592" s="56">
        <f t="shared" si="18"/>
        <v>0</v>
      </c>
      <c r="Y592" s="56" t="str">
        <f t="shared" si="19"/>
        <v>LOGUEO</v>
      </c>
    </row>
    <row r="593" spans="1:25" ht="15" x14ac:dyDescent="0.25">
      <c r="A593" s="136" t="s">
        <v>219</v>
      </c>
      <c r="B593" s="137">
        <v>0</v>
      </c>
      <c r="C593" s="137">
        <v>0</v>
      </c>
      <c r="D593" s="137">
        <v>0</v>
      </c>
      <c r="E593" s="137">
        <v>0</v>
      </c>
      <c r="F593" s="137">
        <v>0</v>
      </c>
      <c r="G593" s="137">
        <v>7.93</v>
      </c>
      <c r="H593" s="137">
        <v>7.94</v>
      </c>
      <c r="I593" s="137">
        <v>0</v>
      </c>
      <c r="J593" s="137">
        <v>4.18</v>
      </c>
      <c r="K593" s="137">
        <v>9.7799999999999994</v>
      </c>
      <c r="L593" s="137">
        <v>9.51</v>
      </c>
      <c r="M593" s="137">
        <v>5.98</v>
      </c>
      <c r="N593" s="137">
        <v>8.8699999999999992</v>
      </c>
      <c r="O593" s="137">
        <v>8.3000000000000007</v>
      </c>
      <c r="P593" s="137">
        <v>4.75</v>
      </c>
      <c r="Q593" s="137">
        <v>5.63</v>
      </c>
      <c r="R593" s="137">
        <v>9.33</v>
      </c>
      <c r="S593" s="137">
        <v>9.64</v>
      </c>
      <c r="T593" s="137">
        <v>9.51</v>
      </c>
      <c r="U593" s="137">
        <v>8.5599000000000007</v>
      </c>
      <c r="V593" s="137">
        <v>7.33</v>
      </c>
      <c r="W593" s="140">
        <v>14118849</v>
      </c>
      <c r="X593" s="56">
        <f t="shared" si="18"/>
        <v>0</v>
      </c>
      <c r="Y593" s="56" t="str">
        <f t="shared" si="19"/>
        <v>LOGUEO</v>
      </c>
    </row>
    <row r="594" spans="1:25" ht="15" x14ac:dyDescent="0.25">
      <c r="A594" s="136" t="s">
        <v>59</v>
      </c>
      <c r="B594" s="137">
        <v>0</v>
      </c>
      <c r="C594" s="137">
        <v>6.76</v>
      </c>
      <c r="D594" s="137">
        <v>7.38</v>
      </c>
      <c r="E594" s="137">
        <v>6.43</v>
      </c>
      <c r="F594" s="137">
        <v>2.02</v>
      </c>
      <c r="G594" s="137">
        <v>7.3</v>
      </c>
      <c r="H594" s="137">
        <v>5.26</v>
      </c>
      <c r="I594" s="137">
        <v>4.0298999999999996</v>
      </c>
      <c r="J594" s="137">
        <v>8</v>
      </c>
      <c r="K594" s="137">
        <v>7.95</v>
      </c>
      <c r="L594" s="137">
        <v>9.1999999999999993</v>
      </c>
      <c r="M594" s="137">
        <v>7.68</v>
      </c>
      <c r="N594" s="137">
        <v>8.43</v>
      </c>
      <c r="O594" s="137">
        <v>8.49</v>
      </c>
      <c r="P594" s="137">
        <v>0</v>
      </c>
      <c r="Q594" s="137">
        <v>8.16</v>
      </c>
      <c r="R594" s="137">
        <v>8.5599000000000007</v>
      </c>
      <c r="S594" s="137">
        <v>8.06</v>
      </c>
      <c r="T594" s="137">
        <v>8.3199000000000005</v>
      </c>
      <c r="U594" s="137">
        <v>7.95</v>
      </c>
      <c r="V594" s="137">
        <v>7.08</v>
      </c>
      <c r="W594" s="140">
        <v>14107206</v>
      </c>
      <c r="X594" s="56">
        <f t="shared" si="18"/>
        <v>1</v>
      </c>
      <c r="Y594" s="56" t="str">
        <f t="shared" si="19"/>
        <v>LOGUEO</v>
      </c>
    </row>
    <row r="595" spans="1:25" ht="15" x14ac:dyDescent="0.25">
      <c r="A595" s="136" t="s">
        <v>2565</v>
      </c>
      <c r="B595" s="137">
        <v>4.43</v>
      </c>
      <c r="C595" s="137">
        <v>3.55</v>
      </c>
      <c r="D595" s="137">
        <v>0</v>
      </c>
      <c r="E595" s="137">
        <v>0</v>
      </c>
      <c r="F595" s="137">
        <v>0</v>
      </c>
      <c r="G595" s="137">
        <v>0</v>
      </c>
      <c r="H595" s="137">
        <v>0.68</v>
      </c>
      <c r="I595" s="137">
        <v>0</v>
      </c>
      <c r="J595" s="137">
        <v>2.4300000000000002</v>
      </c>
      <c r="K595" s="137">
        <v>7.13</v>
      </c>
      <c r="L595" s="137">
        <v>0</v>
      </c>
      <c r="M595" s="137">
        <v>4.42</v>
      </c>
      <c r="N595" s="137">
        <v>0</v>
      </c>
      <c r="O595" s="137">
        <v>0</v>
      </c>
      <c r="P595" s="137">
        <v>0</v>
      </c>
      <c r="Q595" s="137">
        <v>0</v>
      </c>
      <c r="R595" s="137">
        <v>0</v>
      </c>
      <c r="S595" s="137">
        <v>0</v>
      </c>
      <c r="T595" s="137">
        <v>0</v>
      </c>
      <c r="U595" s="137">
        <v>0</v>
      </c>
      <c r="V595" s="137">
        <v>0</v>
      </c>
      <c r="W595" s="140" t="s">
        <v>1609</v>
      </c>
      <c r="X595" s="56">
        <f t="shared" si="18"/>
        <v>7</v>
      </c>
      <c r="Y595" s="56" t="str">
        <f t="shared" si="19"/>
        <v>NO LOGUEO</v>
      </c>
    </row>
    <row r="596" spans="1:25" ht="15" x14ac:dyDescent="0.25">
      <c r="A596" s="136" t="s">
        <v>1870</v>
      </c>
      <c r="B596" s="137">
        <v>0</v>
      </c>
      <c r="C596" s="137">
        <v>0</v>
      </c>
      <c r="D596" s="137">
        <v>0.45</v>
      </c>
      <c r="E596" s="137">
        <v>0.87</v>
      </c>
      <c r="F596" s="137">
        <v>0</v>
      </c>
      <c r="G596" s="137">
        <v>0</v>
      </c>
      <c r="H596" s="137">
        <v>1.97</v>
      </c>
      <c r="I596" s="137">
        <v>2.4700000000000002</v>
      </c>
      <c r="J596" s="137">
        <v>0</v>
      </c>
      <c r="K596" s="137">
        <v>0</v>
      </c>
      <c r="L596" s="137">
        <v>1.62</v>
      </c>
      <c r="M596" s="137">
        <v>0.72</v>
      </c>
      <c r="N596" s="137">
        <v>0</v>
      </c>
      <c r="O596" s="137">
        <v>0</v>
      </c>
      <c r="P596" s="137">
        <v>0</v>
      </c>
      <c r="Q596" s="137">
        <v>0</v>
      </c>
      <c r="R596" s="137">
        <v>0</v>
      </c>
      <c r="S596" s="137">
        <v>3.98</v>
      </c>
      <c r="T596" s="137">
        <v>2.44</v>
      </c>
      <c r="U596" s="137">
        <v>3.64</v>
      </c>
      <c r="V596" s="137">
        <v>1.6298999999999999</v>
      </c>
      <c r="W596" s="140">
        <v>14105693</v>
      </c>
      <c r="X596" s="56">
        <f t="shared" si="18"/>
        <v>3</v>
      </c>
      <c r="Y596" s="56" t="str">
        <f t="shared" si="19"/>
        <v>NO LOGUEO</v>
      </c>
    </row>
    <row r="597" spans="1:25" ht="15" x14ac:dyDescent="0.25">
      <c r="A597" s="136" t="s">
        <v>79</v>
      </c>
      <c r="B597" s="137">
        <v>0</v>
      </c>
      <c r="C597" s="137">
        <v>0</v>
      </c>
      <c r="D597" s="137">
        <v>0</v>
      </c>
      <c r="E597" s="137">
        <v>0</v>
      </c>
      <c r="F597" s="137">
        <v>0</v>
      </c>
      <c r="G597" s="137">
        <v>0</v>
      </c>
      <c r="H597" s="137">
        <v>0</v>
      </c>
      <c r="I597" s="137">
        <v>0</v>
      </c>
      <c r="J597" s="137">
        <v>0</v>
      </c>
      <c r="K597" s="137">
        <v>0</v>
      </c>
      <c r="L597" s="137">
        <v>0</v>
      </c>
      <c r="M597" s="137">
        <v>0</v>
      </c>
      <c r="N597" s="137">
        <v>0</v>
      </c>
      <c r="O597" s="137">
        <v>0</v>
      </c>
      <c r="P597" s="137">
        <v>0</v>
      </c>
      <c r="Q597" s="137">
        <v>0</v>
      </c>
      <c r="R597" s="137">
        <v>0</v>
      </c>
      <c r="S597" s="137">
        <v>0</v>
      </c>
      <c r="T597" s="137">
        <v>0</v>
      </c>
      <c r="U597" s="137">
        <v>0</v>
      </c>
      <c r="V597" s="137">
        <v>0</v>
      </c>
      <c r="W597" s="140">
        <v>14108577</v>
      </c>
      <c r="X597" s="56">
        <f t="shared" si="18"/>
        <v>7</v>
      </c>
      <c r="Y597" s="56" t="str">
        <f t="shared" si="19"/>
        <v>NO LOGUEO</v>
      </c>
    </row>
    <row r="598" spans="1:25" ht="15" x14ac:dyDescent="0.25">
      <c r="A598" s="136" t="s">
        <v>53</v>
      </c>
      <c r="B598" s="137">
        <v>5.98</v>
      </c>
      <c r="C598" s="137">
        <v>8.41</v>
      </c>
      <c r="D598" s="137">
        <v>8.3299000000000003</v>
      </c>
      <c r="E598" s="137">
        <v>7.98</v>
      </c>
      <c r="F598" s="137">
        <v>3.09</v>
      </c>
      <c r="G598" s="137">
        <v>8.5500000000000007</v>
      </c>
      <c r="H598" s="137">
        <v>8.85</v>
      </c>
      <c r="I598" s="137">
        <v>4.17</v>
      </c>
      <c r="J598" s="137">
        <v>9.0099</v>
      </c>
      <c r="K598" s="137">
        <v>8.24</v>
      </c>
      <c r="L598" s="137">
        <v>9.92</v>
      </c>
      <c r="M598" s="137">
        <v>8.3699999999999992</v>
      </c>
      <c r="N598" s="137">
        <v>7.24</v>
      </c>
      <c r="O598" s="137">
        <v>0</v>
      </c>
      <c r="P598" s="137">
        <v>0</v>
      </c>
      <c r="Q598" s="137">
        <v>0</v>
      </c>
      <c r="R598" s="137">
        <v>0</v>
      </c>
      <c r="S598" s="137">
        <v>8.94</v>
      </c>
      <c r="T598" s="137">
        <v>9.2200000000000006</v>
      </c>
      <c r="U598" s="137">
        <v>9.5500000000000007</v>
      </c>
      <c r="V598" s="137">
        <v>7.45</v>
      </c>
      <c r="W598" s="140">
        <v>14106778</v>
      </c>
      <c r="X598" s="56">
        <f t="shared" si="18"/>
        <v>3</v>
      </c>
      <c r="Y598" s="56" t="str">
        <f t="shared" si="19"/>
        <v>NO LOGUEO</v>
      </c>
    </row>
    <row r="599" spans="1:25" ht="15" x14ac:dyDescent="0.25">
      <c r="A599" s="136" t="s">
        <v>1748</v>
      </c>
      <c r="B599" s="137">
        <v>3.5699000000000001</v>
      </c>
      <c r="C599" s="137">
        <v>3.87</v>
      </c>
      <c r="D599" s="137">
        <v>1.27</v>
      </c>
      <c r="E599" s="137">
        <v>10.71</v>
      </c>
      <c r="F599" s="137">
        <v>8.42</v>
      </c>
      <c r="G599" s="137">
        <v>8.6298999999999992</v>
      </c>
      <c r="H599" s="137">
        <v>7</v>
      </c>
      <c r="I599" s="137">
        <v>3.12</v>
      </c>
      <c r="J599" s="137">
        <v>0</v>
      </c>
      <c r="K599" s="137">
        <v>1.76</v>
      </c>
      <c r="L599" s="137">
        <v>4.9800000000000004</v>
      </c>
      <c r="M599" s="137">
        <v>10.469900000000001</v>
      </c>
      <c r="N599" s="137">
        <v>7.25</v>
      </c>
      <c r="O599" s="137">
        <v>9.81</v>
      </c>
      <c r="P599" s="137">
        <v>5.5399000000000003</v>
      </c>
      <c r="Q599" s="137">
        <v>6.39</v>
      </c>
      <c r="R599" s="137">
        <v>7.53</v>
      </c>
      <c r="S599" s="137">
        <v>11.04</v>
      </c>
      <c r="T599" s="137">
        <v>1.1499999999999999</v>
      </c>
      <c r="U599" s="137">
        <v>5.42</v>
      </c>
      <c r="V599" s="137">
        <v>7.37</v>
      </c>
      <c r="W599" s="140">
        <v>14121571</v>
      </c>
      <c r="X599" s="56">
        <f t="shared" si="18"/>
        <v>0</v>
      </c>
      <c r="Y599" s="56" t="str">
        <f t="shared" si="19"/>
        <v>LOGUEO</v>
      </c>
    </row>
    <row r="600" spans="1:25" ht="15" x14ac:dyDescent="0.25">
      <c r="A600" s="136" t="s">
        <v>211</v>
      </c>
      <c r="B600" s="137">
        <v>7.93</v>
      </c>
      <c r="C600" s="137">
        <v>4.2300000000000004</v>
      </c>
      <c r="D600" s="137">
        <v>2.74</v>
      </c>
      <c r="E600" s="137">
        <v>5.47</v>
      </c>
      <c r="F600" s="137">
        <v>6.05</v>
      </c>
      <c r="G600" s="137">
        <v>6.27</v>
      </c>
      <c r="H600" s="137">
        <v>9.65</v>
      </c>
      <c r="I600" s="137">
        <v>4.4400000000000004</v>
      </c>
      <c r="J600" s="137">
        <v>8.6199999999999992</v>
      </c>
      <c r="K600" s="137">
        <v>3.57</v>
      </c>
      <c r="L600" s="137">
        <v>0</v>
      </c>
      <c r="M600" s="137">
        <v>6.82</v>
      </c>
      <c r="N600" s="137">
        <v>8.23</v>
      </c>
      <c r="O600" s="137">
        <v>7.11</v>
      </c>
      <c r="P600" s="137">
        <v>9.84</v>
      </c>
      <c r="Q600" s="137">
        <v>6.75</v>
      </c>
      <c r="R600" s="137">
        <v>6.58</v>
      </c>
      <c r="S600" s="137">
        <v>0</v>
      </c>
      <c r="T600" s="137">
        <v>8.4600000000000009</v>
      </c>
      <c r="U600" s="137">
        <v>6.79</v>
      </c>
      <c r="V600" s="137">
        <v>9.4598999999999993</v>
      </c>
      <c r="W600" s="140">
        <v>14118663</v>
      </c>
      <c r="X600" s="56">
        <f t="shared" si="18"/>
        <v>1</v>
      </c>
      <c r="Y600" s="56" t="str">
        <f t="shared" si="19"/>
        <v>LOGUEO</v>
      </c>
    </row>
    <row r="601" spans="1:25" ht="15" x14ac:dyDescent="0.25">
      <c r="A601" s="136" t="s">
        <v>80</v>
      </c>
      <c r="B601" s="137">
        <v>0</v>
      </c>
      <c r="C601" s="137">
        <v>0</v>
      </c>
      <c r="D601" s="137">
        <v>2.98</v>
      </c>
      <c r="E601" s="137">
        <v>12.81</v>
      </c>
      <c r="F601" s="137">
        <v>3.9799000000000002</v>
      </c>
      <c r="G601" s="137">
        <v>0</v>
      </c>
      <c r="H601" s="137">
        <v>8.18</v>
      </c>
      <c r="I601" s="137">
        <v>8.9700000000000006</v>
      </c>
      <c r="J601" s="137">
        <v>10.969900000000001</v>
      </c>
      <c r="K601" s="137">
        <v>11.18</v>
      </c>
      <c r="L601" s="137">
        <v>9.8798999999999992</v>
      </c>
      <c r="M601" s="137">
        <v>13.96</v>
      </c>
      <c r="N601" s="137">
        <v>1.75</v>
      </c>
      <c r="O601" s="137">
        <v>4.82</v>
      </c>
      <c r="P601" s="137">
        <v>9.24</v>
      </c>
      <c r="Q601" s="137">
        <v>3.68</v>
      </c>
      <c r="R601" s="137">
        <v>5.9499000000000004</v>
      </c>
      <c r="S601" s="137">
        <v>4.2300000000000004</v>
      </c>
      <c r="T601" s="137">
        <v>0</v>
      </c>
      <c r="U601" s="137">
        <v>11.6799</v>
      </c>
      <c r="V601" s="137">
        <v>9.17</v>
      </c>
      <c r="W601" s="140">
        <v>14108916</v>
      </c>
      <c r="X601" s="56">
        <f t="shared" si="18"/>
        <v>1</v>
      </c>
      <c r="Y601" s="56" t="str">
        <f t="shared" si="19"/>
        <v>LOGUEO</v>
      </c>
    </row>
    <row r="602" spans="1:25" ht="15" x14ac:dyDescent="0.25">
      <c r="A602" s="136" t="s">
        <v>459</v>
      </c>
      <c r="B602" s="137">
        <v>7.8</v>
      </c>
      <c r="C602" s="137">
        <v>12.8</v>
      </c>
      <c r="D602" s="137">
        <v>2.36</v>
      </c>
      <c r="E602" s="137">
        <v>10.54</v>
      </c>
      <c r="F602" s="137">
        <v>5.8098999999999998</v>
      </c>
      <c r="G602" s="137">
        <v>11.549899999999999</v>
      </c>
      <c r="H602" s="137">
        <v>5.7798999999999996</v>
      </c>
      <c r="I602" s="137">
        <v>8.91</v>
      </c>
      <c r="J602" s="137">
        <v>0.2</v>
      </c>
      <c r="K602" s="137">
        <v>11.459899999999999</v>
      </c>
      <c r="L602" s="137">
        <v>3.0099</v>
      </c>
      <c r="M602" s="137">
        <v>11.67</v>
      </c>
      <c r="N602" s="137">
        <v>5.38</v>
      </c>
      <c r="O602" s="137">
        <v>12.27</v>
      </c>
      <c r="P602" s="137">
        <v>3.3</v>
      </c>
      <c r="Q602" s="137">
        <v>7.88</v>
      </c>
      <c r="R602" s="137">
        <v>13.52</v>
      </c>
      <c r="S602" s="137">
        <v>12.44</v>
      </c>
      <c r="T602" s="137">
        <v>12.0999</v>
      </c>
      <c r="U602" s="137">
        <v>3.93</v>
      </c>
      <c r="V602" s="137">
        <v>11.399900000000001</v>
      </c>
      <c r="W602" s="140">
        <v>14122871</v>
      </c>
      <c r="X602" s="56">
        <f t="shared" si="18"/>
        <v>0</v>
      </c>
      <c r="Y602" s="56" t="str">
        <f t="shared" si="19"/>
        <v>LOGUEO</v>
      </c>
    </row>
    <row r="603" spans="1:25" ht="15" x14ac:dyDescent="0.25">
      <c r="A603" s="136" t="s">
        <v>289</v>
      </c>
      <c r="B603" s="137">
        <v>4.4800000000000004</v>
      </c>
      <c r="C603" s="137">
        <v>8.68</v>
      </c>
      <c r="D603" s="137">
        <v>10.9399</v>
      </c>
      <c r="E603" s="137">
        <v>11.58</v>
      </c>
      <c r="F603" s="137">
        <v>3.56</v>
      </c>
      <c r="G603" s="137">
        <v>8.1</v>
      </c>
      <c r="H603" s="137">
        <v>7.02</v>
      </c>
      <c r="I603" s="137">
        <v>0</v>
      </c>
      <c r="J603" s="137">
        <v>3.12</v>
      </c>
      <c r="K603" s="137">
        <v>6.7</v>
      </c>
      <c r="L603" s="137">
        <v>4.22</v>
      </c>
      <c r="M603" s="137">
        <v>5.4499000000000004</v>
      </c>
      <c r="N603" s="137">
        <v>5.72</v>
      </c>
      <c r="O603" s="137">
        <v>0.43</v>
      </c>
      <c r="P603" s="137">
        <v>2.35</v>
      </c>
      <c r="Q603" s="137">
        <v>3.36</v>
      </c>
      <c r="R603" s="137">
        <v>5.0999999999999996</v>
      </c>
      <c r="S603" s="137">
        <v>6.25</v>
      </c>
      <c r="T603" s="137">
        <v>6.28</v>
      </c>
      <c r="U603" s="137">
        <v>6.71</v>
      </c>
      <c r="V603" s="137">
        <v>0</v>
      </c>
      <c r="W603" s="140">
        <v>14115535</v>
      </c>
      <c r="X603" s="56">
        <f t="shared" si="18"/>
        <v>1</v>
      </c>
      <c r="Y603" s="56" t="str">
        <f t="shared" si="19"/>
        <v>LOGUEO</v>
      </c>
    </row>
    <row r="604" spans="1:25" ht="15" x14ac:dyDescent="0.25">
      <c r="A604" s="136" t="s">
        <v>1990</v>
      </c>
      <c r="B604" s="137">
        <v>0</v>
      </c>
      <c r="C604" s="137">
        <v>0</v>
      </c>
      <c r="D604" s="137">
        <v>0</v>
      </c>
      <c r="E604" s="137">
        <v>0</v>
      </c>
      <c r="F604" s="137">
        <v>0</v>
      </c>
      <c r="G604" s="137">
        <v>0</v>
      </c>
      <c r="H604" s="137">
        <v>0</v>
      </c>
      <c r="I604" s="137">
        <v>0</v>
      </c>
      <c r="J604" s="137">
        <v>0</v>
      </c>
      <c r="K604" s="137">
        <v>0</v>
      </c>
      <c r="L604" s="137">
        <v>0</v>
      </c>
      <c r="M604" s="137">
        <v>0</v>
      </c>
      <c r="N604" s="137">
        <v>0</v>
      </c>
      <c r="O604" s="137">
        <v>0</v>
      </c>
      <c r="P604" s="137">
        <v>0</v>
      </c>
      <c r="Q604" s="137">
        <v>0</v>
      </c>
      <c r="R604" s="137">
        <v>0</v>
      </c>
      <c r="S604" s="137">
        <v>0</v>
      </c>
      <c r="T604" s="137">
        <v>0</v>
      </c>
      <c r="U604" s="137">
        <v>0</v>
      </c>
      <c r="V604" s="137">
        <v>0</v>
      </c>
      <c r="W604" s="140" t="s">
        <v>1609</v>
      </c>
      <c r="X604" s="56">
        <f t="shared" si="18"/>
        <v>7</v>
      </c>
      <c r="Y604" s="56" t="str">
        <f t="shared" si="19"/>
        <v>NO LOGUEO</v>
      </c>
    </row>
    <row r="605" spans="1:25" ht="15" x14ac:dyDescent="0.25">
      <c r="A605" s="136" t="s">
        <v>2566</v>
      </c>
      <c r="B605" s="137">
        <v>5.73</v>
      </c>
      <c r="C605" s="137">
        <v>8.61</v>
      </c>
      <c r="D605" s="137">
        <v>6.85</v>
      </c>
      <c r="E605" s="137">
        <v>1.18</v>
      </c>
      <c r="F605" s="137">
        <v>0</v>
      </c>
      <c r="G605" s="137">
        <v>6.01</v>
      </c>
      <c r="H605" s="137">
        <v>6.66</v>
      </c>
      <c r="I605" s="137">
        <v>7.35</v>
      </c>
      <c r="J605" s="137">
        <v>10.66</v>
      </c>
      <c r="K605" s="137">
        <v>12.35</v>
      </c>
      <c r="L605" s="137">
        <v>10.43</v>
      </c>
      <c r="M605" s="137">
        <v>8.4499999999999993</v>
      </c>
      <c r="N605" s="137">
        <v>7.05</v>
      </c>
      <c r="O605" s="137">
        <v>0</v>
      </c>
      <c r="P605" s="137">
        <v>0</v>
      </c>
      <c r="Q605" s="137">
        <v>0</v>
      </c>
      <c r="R605" s="137">
        <v>0</v>
      </c>
      <c r="S605" s="137">
        <v>0</v>
      </c>
      <c r="T605" s="137">
        <v>0</v>
      </c>
      <c r="U605" s="137">
        <v>0</v>
      </c>
      <c r="V605" s="137">
        <v>0</v>
      </c>
      <c r="W605" s="140" t="s">
        <v>1609</v>
      </c>
      <c r="X605" s="56">
        <f t="shared" si="18"/>
        <v>7</v>
      </c>
      <c r="Y605" s="56" t="str">
        <f t="shared" si="19"/>
        <v>NO LOGUEO</v>
      </c>
    </row>
    <row r="606" spans="1:25" ht="15" x14ac:dyDescent="0.25">
      <c r="A606" s="136" t="s">
        <v>1991</v>
      </c>
      <c r="B606" s="137">
        <v>0</v>
      </c>
      <c r="C606" s="137">
        <v>0</v>
      </c>
      <c r="D606" s="137">
        <v>0</v>
      </c>
      <c r="E606" s="137">
        <v>0</v>
      </c>
      <c r="F606" s="137">
        <v>0</v>
      </c>
      <c r="G606" s="137">
        <v>0</v>
      </c>
      <c r="H606" s="137">
        <v>0</v>
      </c>
      <c r="I606" s="137">
        <v>0</v>
      </c>
      <c r="J606" s="137">
        <v>0</v>
      </c>
      <c r="K606" s="137">
        <v>0</v>
      </c>
      <c r="L606" s="137">
        <v>0</v>
      </c>
      <c r="M606" s="137">
        <v>0</v>
      </c>
      <c r="N606" s="137">
        <v>0</v>
      </c>
      <c r="O606" s="137">
        <v>0</v>
      </c>
      <c r="P606" s="137">
        <v>0</v>
      </c>
      <c r="Q606" s="137">
        <v>0</v>
      </c>
      <c r="R606" s="137">
        <v>0.18</v>
      </c>
      <c r="S606" s="137">
        <v>2.1</v>
      </c>
      <c r="T606" s="137">
        <v>0.97</v>
      </c>
      <c r="U606" s="137">
        <v>2.4</v>
      </c>
      <c r="V606" s="137">
        <v>2.5</v>
      </c>
      <c r="W606" s="140" t="s">
        <v>1609</v>
      </c>
      <c r="X606" s="56">
        <f t="shared" si="18"/>
        <v>2</v>
      </c>
      <c r="Y606" s="56" t="str">
        <f t="shared" si="19"/>
        <v>NO LOGUEO</v>
      </c>
    </row>
    <row r="607" spans="1:25" ht="15" x14ac:dyDescent="0.25">
      <c r="A607" s="136" t="s">
        <v>126</v>
      </c>
      <c r="B607" s="137">
        <v>0</v>
      </c>
      <c r="C607" s="137">
        <v>3.1798999999999999</v>
      </c>
      <c r="D607" s="137">
        <v>10.42</v>
      </c>
      <c r="E607" s="137">
        <v>7.58</v>
      </c>
      <c r="F607" s="137">
        <v>0</v>
      </c>
      <c r="G607" s="137">
        <v>7.82</v>
      </c>
      <c r="H607" s="137">
        <v>9.52</v>
      </c>
      <c r="I607" s="137">
        <v>4.18</v>
      </c>
      <c r="J607" s="137">
        <v>4.95</v>
      </c>
      <c r="K607" s="137">
        <v>7.0198999999999998</v>
      </c>
      <c r="L607" s="137">
        <v>11.25</v>
      </c>
      <c r="M607" s="137">
        <v>7.66</v>
      </c>
      <c r="N607" s="137">
        <v>10.32</v>
      </c>
      <c r="O607" s="137">
        <v>7.8</v>
      </c>
      <c r="P607" s="137">
        <v>5.8098999999999998</v>
      </c>
      <c r="Q607" s="137">
        <v>2.54</v>
      </c>
      <c r="R607" s="137">
        <v>0.7</v>
      </c>
      <c r="S607" s="137">
        <v>7.38</v>
      </c>
      <c r="T607" s="137">
        <v>10.5999</v>
      </c>
      <c r="U607" s="137">
        <v>6.37</v>
      </c>
      <c r="V607" s="137">
        <v>9.08</v>
      </c>
      <c r="W607" s="140">
        <v>14113200</v>
      </c>
      <c r="X607" s="56">
        <f t="shared" si="18"/>
        <v>0</v>
      </c>
      <c r="Y607" s="56" t="str">
        <f t="shared" si="19"/>
        <v>LOGUEO</v>
      </c>
    </row>
    <row r="608" spans="1:25" ht="15" x14ac:dyDescent="0.25">
      <c r="A608" s="136" t="s">
        <v>441</v>
      </c>
      <c r="B608" s="137">
        <v>9.19</v>
      </c>
      <c r="C608" s="137">
        <v>9.65</v>
      </c>
      <c r="D608" s="137">
        <v>10.41</v>
      </c>
      <c r="E608" s="137">
        <v>11.91</v>
      </c>
      <c r="F608" s="137">
        <v>0</v>
      </c>
      <c r="G608" s="137">
        <v>13.65</v>
      </c>
      <c r="H608" s="137">
        <v>10.61</v>
      </c>
      <c r="I608" s="137">
        <v>8.1</v>
      </c>
      <c r="J608" s="137">
        <v>8.67</v>
      </c>
      <c r="K608" s="137">
        <v>13</v>
      </c>
      <c r="L608" s="137">
        <v>0</v>
      </c>
      <c r="M608" s="137">
        <v>13.6</v>
      </c>
      <c r="N608" s="137">
        <v>10.7</v>
      </c>
      <c r="O608" s="137">
        <v>10.709899999999999</v>
      </c>
      <c r="P608" s="137">
        <v>9.01</v>
      </c>
      <c r="Q608" s="137">
        <v>9.92</v>
      </c>
      <c r="R608" s="137">
        <v>9.5599000000000007</v>
      </c>
      <c r="S608" s="137">
        <v>13.049899999999999</v>
      </c>
      <c r="T608" s="137">
        <v>10.32</v>
      </c>
      <c r="U608" s="137">
        <v>13.61</v>
      </c>
      <c r="V608" s="137">
        <v>9.9499999999999993</v>
      </c>
      <c r="W608" s="140">
        <v>14122683</v>
      </c>
      <c r="X608" s="56">
        <f t="shared" si="18"/>
        <v>0</v>
      </c>
      <c r="Y608" s="56" t="str">
        <f t="shared" si="19"/>
        <v>LOGUEO</v>
      </c>
    </row>
    <row r="609" spans="1:25" ht="15" x14ac:dyDescent="0.25">
      <c r="A609" s="136" t="s">
        <v>1912</v>
      </c>
      <c r="B609" s="137">
        <v>0</v>
      </c>
      <c r="C609" s="137">
        <v>0</v>
      </c>
      <c r="D609" s="137">
        <v>0</v>
      </c>
      <c r="E609" s="137">
        <v>0</v>
      </c>
      <c r="F609" s="137">
        <v>0</v>
      </c>
      <c r="G609" s="137">
        <v>0</v>
      </c>
      <c r="H609" s="137">
        <v>0</v>
      </c>
      <c r="I609" s="137">
        <v>0</v>
      </c>
      <c r="J609" s="137">
        <v>0</v>
      </c>
      <c r="K609" s="137">
        <v>0</v>
      </c>
      <c r="L609" s="137">
        <v>0</v>
      </c>
      <c r="M609" s="137">
        <v>0</v>
      </c>
      <c r="N609" s="137">
        <v>0</v>
      </c>
      <c r="O609" s="137">
        <v>0</v>
      </c>
      <c r="P609" s="137">
        <v>0</v>
      </c>
      <c r="Q609" s="137">
        <v>0</v>
      </c>
      <c r="R609" s="137">
        <v>0</v>
      </c>
      <c r="S609" s="137">
        <v>0</v>
      </c>
      <c r="T609" s="137">
        <v>0</v>
      </c>
      <c r="U609" s="137">
        <v>0</v>
      </c>
      <c r="V609" s="137">
        <v>0</v>
      </c>
      <c r="W609" s="140" t="s">
        <v>1609</v>
      </c>
      <c r="X609" s="56">
        <f t="shared" si="18"/>
        <v>7</v>
      </c>
      <c r="Y609" s="56" t="str">
        <f t="shared" si="19"/>
        <v>NO LOGUEO</v>
      </c>
    </row>
    <row r="610" spans="1:25" ht="15" x14ac:dyDescent="0.25">
      <c r="A610" s="136" t="s">
        <v>411</v>
      </c>
      <c r="B610" s="137">
        <v>12.04</v>
      </c>
      <c r="C610" s="137">
        <v>13.12</v>
      </c>
      <c r="D610" s="137">
        <v>1.7</v>
      </c>
      <c r="E610" s="137">
        <v>3.42</v>
      </c>
      <c r="F610" s="137">
        <v>8.66</v>
      </c>
      <c r="G610" s="137">
        <v>13.78</v>
      </c>
      <c r="H610" s="137">
        <v>15.32</v>
      </c>
      <c r="I610" s="137">
        <v>11.52</v>
      </c>
      <c r="J610" s="137">
        <v>10.6899</v>
      </c>
      <c r="K610" s="137">
        <v>14.17</v>
      </c>
      <c r="L610" s="137">
        <v>16.149999999999999</v>
      </c>
      <c r="M610" s="137">
        <v>15.51</v>
      </c>
      <c r="N610" s="137">
        <v>16.7</v>
      </c>
      <c r="O610" s="137">
        <v>15.48</v>
      </c>
      <c r="P610" s="137">
        <v>12.28</v>
      </c>
      <c r="Q610" s="137">
        <v>10.84</v>
      </c>
      <c r="R610" s="137">
        <v>14.16</v>
      </c>
      <c r="S610" s="137">
        <v>12.17</v>
      </c>
      <c r="T610" s="137">
        <v>0</v>
      </c>
      <c r="U610" s="137">
        <v>12.85</v>
      </c>
      <c r="V610" s="137">
        <v>10.56</v>
      </c>
      <c r="W610" s="140">
        <v>14122320</v>
      </c>
      <c r="X610" s="56">
        <f t="shared" si="18"/>
        <v>1</v>
      </c>
      <c r="Y610" s="56" t="str">
        <f t="shared" si="19"/>
        <v>LOGUEO</v>
      </c>
    </row>
    <row r="611" spans="1:25" ht="15" x14ac:dyDescent="0.25">
      <c r="A611" s="136" t="s">
        <v>2567</v>
      </c>
      <c r="B611" s="137">
        <v>4.51</v>
      </c>
      <c r="C611" s="137">
        <v>8.99</v>
      </c>
      <c r="D611" s="137">
        <v>7.8898999999999999</v>
      </c>
      <c r="E611" s="137">
        <v>7.11</v>
      </c>
      <c r="F611" s="137">
        <v>2.9298999999999999</v>
      </c>
      <c r="G611" s="137">
        <v>7.2</v>
      </c>
      <c r="H611" s="137">
        <v>7.94</v>
      </c>
      <c r="I611" s="137">
        <v>6.14</v>
      </c>
      <c r="J611" s="137">
        <v>3.98</v>
      </c>
      <c r="K611" s="137">
        <v>6.87</v>
      </c>
      <c r="L611" s="137">
        <v>0</v>
      </c>
      <c r="M611" s="137">
        <v>0</v>
      </c>
      <c r="N611" s="137">
        <v>4.6500000000000004</v>
      </c>
      <c r="O611" s="137">
        <v>5.2698999999999998</v>
      </c>
      <c r="P611" s="137">
        <v>0</v>
      </c>
      <c r="Q611" s="137">
        <v>0</v>
      </c>
      <c r="R611" s="137">
        <v>0</v>
      </c>
      <c r="S611" s="137">
        <v>0</v>
      </c>
      <c r="T611" s="137">
        <v>0</v>
      </c>
      <c r="U611" s="137">
        <v>0</v>
      </c>
      <c r="V611" s="137">
        <v>0</v>
      </c>
      <c r="W611" s="140" t="s">
        <v>1609</v>
      </c>
      <c r="X611" s="56">
        <f t="shared" si="18"/>
        <v>7</v>
      </c>
      <c r="Y611" s="56" t="str">
        <f t="shared" si="19"/>
        <v>NO LOGUEO</v>
      </c>
    </row>
    <row r="612" spans="1:25" ht="15" x14ac:dyDescent="0.25">
      <c r="A612" s="136" t="s">
        <v>1992</v>
      </c>
      <c r="B612" s="137">
        <v>0</v>
      </c>
      <c r="C612" s="137">
        <v>0</v>
      </c>
      <c r="D612" s="137">
        <v>0</v>
      </c>
      <c r="E612" s="137">
        <v>0</v>
      </c>
      <c r="F612" s="137">
        <v>0</v>
      </c>
      <c r="G612" s="137">
        <v>0</v>
      </c>
      <c r="H612" s="137">
        <v>0</v>
      </c>
      <c r="I612" s="137">
        <v>0</v>
      </c>
      <c r="J612" s="137">
        <v>0</v>
      </c>
      <c r="K612" s="137">
        <v>0</v>
      </c>
      <c r="L612" s="137">
        <v>0</v>
      </c>
      <c r="M612" s="137">
        <v>0</v>
      </c>
      <c r="N612" s="137">
        <v>0</v>
      </c>
      <c r="O612" s="137">
        <v>0</v>
      </c>
      <c r="P612" s="137">
        <v>0</v>
      </c>
      <c r="Q612" s="137">
        <v>0</v>
      </c>
      <c r="R612" s="137">
        <v>0.33</v>
      </c>
      <c r="S612" s="137">
        <v>3.0299</v>
      </c>
      <c r="T612" s="137">
        <v>0</v>
      </c>
      <c r="U612" s="137">
        <v>0</v>
      </c>
      <c r="V612" s="137">
        <v>1.7</v>
      </c>
      <c r="W612" s="140" t="s">
        <v>1609</v>
      </c>
      <c r="X612" s="56">
        <f t="shared" si="18"/>
        <v>4</v>
      </c>
      <c r="Y612" s="56" t="str">
        <f t="shared" si="19"/>
        <v>NO LOGUEO</v>
      </c>
    </row>
    <row r="613" spans="1:25" ht="15" x14ac:dyDescent="0.25">
      <c r="A613" s="136" t="s">
        <v>917</v>
      </c>
      <c r="B613" s="137">
        <v>3.38</v>
      </c>
      <c r="C613" s="137">
        <v>3.78</v>
      </c>
      <c r="D613" s="137">
        <v>5.97</v>
      </c>
      <c r="E613" s="137">
        <v>3.0099</v>
      </c>
      <c r="F613" s="137">
        <v>3.64</v>
      </c>
      <c r="G613" s="137">
        <v>2.8098999999999998</v>
      </c>
      <c r="H613" s="137">
        <v>3.93</v>
      </c>
      <c r="I613" s="137">
        <v>3.81</v>
      </c>
      <c r="J613" s="137">
        <v>3.77</v>
      </c>
      <c r="K613" s="137">
        <v>5.85</v>
      </c>
      <c r="L613" s="137">
        <v>2.79</v>
      </c>
      <c r="M613" s="137">
        <v>3.94</v>
      </c>
      <c r="N613" s="137">
        <v>4.6100000000000003</v>
      </c>
      <c r="O613" s="137">
        <v>2.82</v>
      </c>
      <c r="P613" s="137">
        <v>4.0199999999999996</v>
      </c>
      <c r="Q613" s="137">
        <v>2.8</v>
      </c>
      <c r="R613" s="137">
        <v>0</v>
      </c>
      <c r="S613" s="137">
        <v>2.99</v>
      </c>
      <c r="T613" s="137">
        <v>3.8</v>
      </c>
      <c r="U613" s="137">
        <v>3.81</v>
      </c>
      <c r="V613" s="137">
        <v>3.59</v>
      </c>
      <c r="W613" s="140">
        <v>14109275</v>
      </c>
      <c r="X613" s="56">
        <f t="shared" si="18"/>
        <v>1</v>
      </c>
      <c r="Y613" s="56" t="str">
        <f t="shared" si="19"/>
        <v>LOGUEO</v>
      </c>
    </row>
    <row r="614" spans="1:25" ht="15" x14ac:dyDescent="0.25">
      <c r="A614" s="136" t="s">
        <v>442</v>
      </c>
      <c r="B614" s="137">
        <v>0</v>
      </c>
      <c r="C614" s="137">
        <v>0</v>
      </c>
      <c r="D614" s="137">
        <v>7.49</v>
      </c>
      <c r="E614" s="137">
        <v>1.45</v>
      </c>
      <c r="F614" s="137">
        <v>0</v>
      </c>
      <c r="G614" s="137">
        <v>0</v>
      </c>
      <c r="H614" s="137">
        <v>2.67</v>
      </c>
      <c r="I614" s="137">
        <v>4.18</v>
      </c>
      <c r="J614" s="137">
        <v>0</v>
      </c>
      <c r="K614" s="137">
        <v>3.78</v>
      </c>
      <c r="L614" s="137">
        <v>6.28</v>
      </c>
      <c r="M614" s="137">
        <v>4.42</v>
      </c>
      <c r="N614" s="137">
        <v>8.3699999999999992</v>
      </c>
      <c r="O614" s="137">
        <v>6.49</v>
      </c>
      <c r="P614" s="137">
        <v>0</v>
      </c>
      <c r="Q614" s="137">
        <v>0</v>
      </c>
      <c r="R614" s="137">
        <v>3.22</v>
      </c>
      <c r="S614" s="137">
        <v>2.0299999999999998</v>
      </c>
      <c r="T614" s="137">
        <v>2.85</v>
      </c>
      <c r="U614" s="137">
        <v>7.58</v>
      </c>
      <c r="V614" s="137">
        <v>7.22</v>
      </c>
      <c r="W614" s="140">
        <v>14122685</v>
      </c>
      <c r="X614" s="56">
        <f t="shared" si="18"/>
        <v>2</v>
      </c>
      <c r="Y614" s="56" t="str">
        <f t="shared" si="19"/>
        <v>NO LOGUEO</v>
      </c>
    </row>
    <row r="615" spans="1:25" ht="15" x14ac:dyDescent="0.25">
      <c r="A615" s="136" t="s">
        <v>61</v>
      </c>
      <c r="B615" s="137">
        <v>0</v>
      </c>
      <c r="C615" s="137">
        <v>0</v>
      </c>
      <c r="D615" s="137">
        <v>0</v>
      </c>
      <c r="E615" s="137">
        <v>0</v>
      </c>
      <c r="F615" s="137">
        <v>0</v>
      </c>
      <c r="G615" s="137">
        <v>0</v>
      </c>
      <c r="H615" s="137">
        <v>0</v>
      </c>
      <c r="I615" s="137">
        <v>0</v>
      </c>
      <c r="J615" s="137">
        <v>0</v>
      </c>
      <c r="K615" s="137">
        <v>1.6</v>
      </c>
      <c r="L615" s="137">
        <v>0.9</v>
      </c>
      <c r="M615" s="137">
        <v>1.57</v>
      </c>
      <c r="N615" s="137">
        <v>0.97</v>
      </c>
      <c r="O615" s="137">
        <v>1.7</v>
      </c>
      <c r="P615" s="137">
        <v>0</v>
      </c>
      <c r="Q615" s="137">
        <v>0</v>
      </c>
      <c r="R615" s="137">
        <v>1.03</v>
      </c>
      <c r="S615" s="137">
        <v>1.52</v>
      </c>
      <c r="T615" s="137">
        <v>1.99</v>
      </c>
      <c r="U615" s="137">
        <v>1.92</v>
      </c>
      <c r="V615" s="137">
        <v>1.86</v>
      </c>
      <c r="W615" s="140">
        <v>14107271</v>
      </c>
      <c r="X615" s="56">
        <f t="shared" si="18"/>
        <v>2</v>
      </c>
      <c r="Y615" s="56" t="str">
        <f t="shared" si="19"/>
        <v>NO LOGUEO</v>
      </c>
    </row>
    <row r="616" spans="1:25" ht="15" x14ac:dyDescent="0.25">
      <c r="A616" s="136" t="s">
        <v>1993</v>
      </c>
      <c r="B616" s="137">
        <v>0</v>
      </c>
      <c r="C616" s="137">
        <v>0</v>
      </c>
      <c r="D616" s="137">
        <v>0</v>
      </c>
      <c r="E616" s="137">
        <v>0</v>
      </c>
      <c r="F616" s="137">
        <v>0</v>
      </c>
      <c r="G616" s="137">
        <v>0</v>
      </c>
      <c r="H616" s="137">
        <v>0</v>
      </c>
      <c r="I616" s="137">
        <v>0</v>
      </c>
      <c r="J616" s="137">
        <v>0</v>
      </c>
      <c r="K616" s="137">
        <v>0</v>
      </c>
      <c r="L616" s="137">
        <v>0</v>
      </c>
      <c r="M616" s="137">
        <v>0</v>
      </c>
      <c r="N616" s="137">
        <v>0</v>
      </c>
      <c r="O616" s="137">
        <v>0</v>
      </c>
      <c r="P616" s="137">
        <v>0</v>
      </c>
      <c r="Q616" s="137">
        <v>1.03</v>
      </c>
      <c r="R616" s="137">
        <v>0</v>
      </c>
      <c r="S616" s="137">
        <v>0</v>
      </c>
      <c r="T616" s="137">
        <v>0</v>
      </c>
      <c r="U616" s="137">
        <v>0</v>
      </c>
      <c r="V616" s="137">
        <v>0</v>
      </c>
      <c r="W616" s="140">
        <v>14100742</v>
      </c>
      <c r="X616" s="56">
        <f t="shared" si="18"/>
        <v>6</v>
      </c>
      <c r="Y616" s="56" t="str">
        <f t="shared" si="19"/>
        <v>NO LOGUEO</v>
      </c>
    </row>
    <row r="617" spans="1:25" ht="15" x14ac:dyDescent="0.25">
      <c r="A617" s="136" t="s">
        <v>95</v>
      </c>
      <c r="B617" s="137">
        <v>3.53</v>
      </c>
      <c r="C617" s="137">
        <v>10.4</v>
      </c>
      <c r="D617" s="137">
        <v>2.42</v>
      </c>
      <c r="E617" s="137">
        <v>9.06</v>
      </c>
      <c r="F617" s="137">
        <v>6.78</v>
      </c>
      <c r="G617" s="137">
        <v>9.0399999999999991</v>
      </c>
      <c r="H617" s="137">
        <v>7.65</v>
      </c>
      <c r="I617" s="137">
        <v>5.05</v>
      </c>
      <c r="J617" s="137">
        <v>9.99</v>
      </c>
      <c r="K617" s="137">
        <v>0</v>
      </c>
      <c r="L617" s="137">
        <v>0</v>
      </c>
      <c r="M617" s="137">
        <v>0</v>
      </c>
      <c r="N617" s="137">
        <v>0</v>
      </c>
      <c r="O617" s="137">
        <v>0</v>
      </c>
      <c r="P617" s="137">
        <v>6.03</v>
      </c>
      <c r="Q617" s="137">
        <v>8.27</v>
      </c>
      <c r="R617" s="137">
        <v>0.48</v>
      </c>
      <c r="S617" s="137">
        <v>10.979900000000001</v>
      </c>
      <c r="T617" s="137">
        <v>10.07</v>
      </c>
      <c r="U617" s="137">
        <v>8.58</v>
      </c>
      <c r="V617" s="137">
        <v>8.4699000000000009</v>
      </c>
      <c r="W617" s="140">
        <v>14109748</v>
      </c>
      <c r="X617" s="56">
        <f t="shared" si="18"/>
        <v>0</v>
      </c>
      <c r="Y617" s="56" t="str">
        <f t="shared" si="19"/>
        <v>LOGUEO</v>
      </c>
    </row>
    <row r="618" spans="1:25" ht="15" x14ac:dyDescent="0.25">
      <c r="A618" s="136" t="s">
        <v>1994</v>
      </c>
      <c r="B618" s="137">
        <v>0</v>
      </c>
      <c r="C618" s="137">
        <v>0</v>
      </c>
      <c r="D618" s="137">
        <v>0</v>
      </c>
      <c r="E618" s="137">
        <v>0</v>
      </c>
      <c r="F618" s="137">
        <v>0</v>
      </c>
      <c r="G618" s="137">
        <v>0</v>
      </c>
      <c r="H618" s="137">
        <v>0</v>
      </c>
      <c r="I618" s="137">
        <v>0</v>
      </c>
      <c r="J618" s="137">
        <v>0</v>
      </c>
      <c r="K618" s="137">
        <v>0</v>
      </c>
      <c r="L618" s="137">
        <v>0</v>
      </c>
      <c r="M618" s="137">
        <v>0</v>
      </c>
      <c r="N618" s="137">
        <v>2.6</v>
      </c>
      <c r="O618" s="137">
        <v>0</v>
      </c>
      <c r="P618" s="137">
        <v>0</v>
      </c>
      <c r="Q618" s="137">
        <v>0</v>
      </c>
      <c r="R618" s="137">
        <v>0</v>
      </c>
      <c r="S618" s="137">
        <v>0</v>
      </c>
      <c r="T618" s="137">
        <v>0</v>
      </c>
      <c r="U618" s="137">
        <v>0</v>
      </c>
      <c r="V618" s="137">
        <v>0</v>
      </c>
      <c r="W618" s="140">
        <v>14107383</v>
      </c>
      <c r="X618" s="56">
        <f t="shared" si="18"/>
        <v>7</v>
      </c>
      <c r="Y618" s="56" t="str">
        <f t="shared" si="19"/>
        <v>NO LOGUEO</v>
      </c>
    </row>
    <row r="619" spans="1:25" ht="15" x14ac:dyDescent="0.25">
      <c r="A619" s="136" t="s">
        <v>313</v>
      </c>
      <c r="B619" s="137">
        <v>7.8299000000000003</v>
      </c>
      <c r="C619" s="137">
        <v>1.08</v>
      </c>
      <c r="D619" s="137">
        <v>0</v>
      </c>
      <c r="E619" s="137">
        <v>7.4</v>
      </c>
      <c r="F619" s="137">
        <v>6.31</v>
      </c>
      <c r="G619" s="137">
        <v>8.98</v>
      </c>
      <c r="H619" s="137">
        <v>10.5</v>
      </c>
      <c r="I619" s="137">
        <v>7.44</v>
      </c>
      <c r="J619" s="137">
        <v>2.9799000000000002</v>
      </c>
      <c r="K619" s="137">
        <v>0</v>
      </c>
      <c r="L619" s="137">
        <v>11.039899999999999</v>
      </c>
      <c r="M619" s="137">
        <v>7.9398999999999997</v>
      </c>
      <c r="N619" s="137">
        <v>11.17</v>
      </c>
      <c r="O619" s="137">
        <v>7.44</v>
      </c>
      <c r="P619" s="137">
        <v>5.64</v>
      </c>
      <c r="Q619" s="137">
        <v>0</v>
      </c>
      <c r="R619" s="137">
        <v>9.6300000000000008</v>
      </c>
      <c r="S619" s="137">
        <v>9.58</v>
      </c>
      <c r="T619" s="137">
        <v>11.81</v>
      </c>
      <c r="U619" s="137">
        <v>8.99</v>
      </c>
      <c r="V619" s="137">
        <v>11.15</v>
      </c>
      <c r="W619" s="140">
        <v>14121104</v>
      </c>
      <c r="X619" s="56">
        <f t="shared" si="18"/>
        <v>1</v>
      </c>
      <c r="Y619" s="56" t="str">
        <f t="shared" si="19"/>
        <v>LOGUEO</v>
      </c>
    </row>
    <row r="620" spans="1:25" ht="15" x14ac:dyDescent="0.25">
      <c r="A620" s="136" t="s">
        <v>408</v>
      </c>
      <c r="B620" s="137">
        <v>0</v>
      </c>
      <c r="C620" s="137">
        <v>7</v>
      </c>
      <c r="D620" s="137">
        <v>10.93</v>
      </c>
      <c r="E620" s="137">
        <v>6.14</v>
      </c>
      <c r="F620" s="137">
        <v>2.6</v>
      </c>
      <c r="G620" s="137">
        <v>3.49</v>
      </c>
      <c r="H620" s="137">
        <v>10.34</v>
      </c>
      <c r="I620" s="137">
        <v>1.5299</v>
      </c>
      <c r="J620" s="137">
        <v>3.9</v>
      </c>
      <c r="K620" s="137">
        <v>8.84</v>
      </c>
      <c r="L620" s="137">
        <v>4.49</v>
      </c>
      <c r="M620" s="137">
        <v>5.8699000000000003</v>
      </c>
      <c r="N620" s="137">
        <v>7.3</v>
      </c>
      <c r="O620" s="137">
        <v>9.4899000000000004</v>
      </c>
      <c r="P620" s="137">
        <v>0</v>
      </c>
      <c r="Q620" s="137">
        <v>6.88</v>
      </c>
      <c r="R620" s="137">
        <v>10.64</v>
      </c>
      <c r="S620" s="137">
        <v>8.17</v>
      </c>
      <c r="T620" s="137">
        <v>11.039899999999999</v>
      </c>
      <c r="U620" s="137">
        <v>8.7799999999999994</v>
      </c>
      <c r="V620" s="137">
        <v>8.48</v>
      </c>
      <c r="W620" s="140">
        <v>14122291</v>
      </c>
      <c r="X620" s="56">
        <f t="shared" si="18"/>
        <v>1</v>
      </c>
      <c r="Y620" s="56" t="str">
        <f t="shared" si="19"/>
        <v>LOGUEO</v>
      </c>
    </row>
    <row r="621" spans="1:25" ht="15" x14ac:dyDescent="0.25">
      <c r="A621" s="136" t="s">
        <v>62</v>
      </c>
      <c r="B621" s="137">
        <v>7.4</v>
      </c>
      <c r="C621" s="137">
        <v>8.75</v>
      </c>
      <c r="D621" s="137">
        <v>11.93</v>
      </c>
      <c r="E621" s="137">
        <v>7.73</v>
      </c>
      <c r="F621" s="137">
        <v>0.9</v>
      </c>
      <c r="G621" s="137">
        <v>5.62</v>
      </c>
      <c r="H621" s="137">
        <v>10.5099</v>
      </c>
      <c r="I621" s="137">
        <v>6.66</v>
      </c>
      <c r="J621" s="137">
        <v>8.41</v>
      </c>
      <c r="K621" s="137">
        <v>8.2200000000000006</v>
      </c>
      <c r="L621" s="137">
        <v>11.34</v>
      </c>
      <c r="M621" s="137">
        <v>7.47</v>
      </c>
      <c r="N621" s="137">
        <v>6.22</v>
      </c>
      <c r="O621" s="137">
        <v>0</v>
      </c>
      <c r="P621" s="137">
        <v>7.62</v>
      </c>
      <c r="Q621" s="137">
        <v>9.66</v>
      </c>
      <c r="R621" s="137">
        <v>0.92</v>
      </c>
      <c r="S621" s="137">
        <v>5.97</v>
      </c>
      <c r="T621" s="137">
        <v>11.04</v>
      </c>
      <c r="U621" s="137">
        <v>7.9</v>
      </c>
      <c r="V621" s="137">
        <v>9.57</v>
      </c>
      <c r="W621" s="140">
        <v>14107393</v>
      </c>
      <c r="X621" s="56">
        <f t="shared" si="18"/>
        <v>0</v>
      </c>
      <c r="Y621" s="56" t="str">
        <f t="shared" si="19"/>
        <v>LOGUEO</v>
      </c>
    </row>
    <row r="622" spans="1:25" ht="15" x14ac:dyDescent="0.25">
      <c r="A622" s="136" t="s">
        <v>66</v>
      </c>
      <c r="B622" s="137">
        <v>2.48</v>
      </c>
      <c r="C622" s="137">
        <v>2.94</v>
      </c>
      <c r="D622" s="137">
        <v>9.61</v>
      </c>
      <c r="E622" s="137">
        <v>10.51</v>
      </c>
      <c r="F622" s="137">
        <v>4.55</v>
      </c>
      <c r="G622" s="137">
        <v>9.73</v>
      </c>
      <c r="H622" s="137">
        <v>9.6298999999999992</v>
      </c>
      <c r="I622" s="137">
        <v>0</v>
      </c>
      <c r="J622" s="137">
        <v>3.33</v>
      </c>
      <c r="K622" s="137">
        <v>6.4</v>
      </c>
      <c r="L622" s="137">
        <v>8.85</v>
      </c>
      <c r="M622" s="137">
        <v>4.3099999999999996</v>
      </c>
      <c r="N622" s="137">
        <v>6.63</v>
      </c>
      <c r="O622" s="137">
        <v>7.32</v>
      </c>
      <c r="P622" s="137">
        <v>2.5499999999999998</v>
      </c>
      <c r="Q622" s="137">
        <v>7.53</v>
      </c>
      <c r="R622" s="137">
        <v>9.7599</v>
      </c>
      <c r="S622" s="137">
        <v>11.07</v>
      </c>
      <c r="T622" s="137">
        <v>8.9600000000000009</v>
      </c>
      <c r="U622" s="137">
        <v>11.19</v>
      </c>
      <c r="V622" s="137">
        <v>9.6</v>
      </c>
      <c r="W622" s="140">
        <v>14107754</v>
      </c>
      <c r="X622" s="56">
        <f t="shared" si="18"/>
        <v>0</v>
      </c>
      <c r="Y622" s="56" t="str">
        <f t="shared" si="19"/>
        <v>LOGUEO</v>
      </c>
    </row>
    <row r="623" spans="1:25" ht="15" x14ac:dyDescent="0.25">
      <c r="A623" s="136" t="s">
        <v>1510</v>
      </c>
      <c r="B623" s="137">
        <v>0</v>
      </c>
      <c r="C623" s="137">
        <v>7.6599000000000004</v>
      </c>
      <c r="D623" s="137">
        <v>2.5499999999999998</v>
      </c>
      <c r="E623" s="137">
        <v>1.98</v>
      </c>
      <c r="F623" s="137">
        <v>4.43</v>
      </c>
      <c r="G623" s="137">
        <v>4.41</v>
      </c>
      <c r="H623" s="137">
        <v>5.41</v>
      </c>
      <c r="I623" s="137">
        <v>0</v>
      </c>
      <c r="J623" s="137">
        <v>7.24</v>
      </c>
      <c r="K623" s="137">
        <v>5.61</v>
      </c>
      <c r="L623" s="137">
        <v>6.37</v>
      </c>
      <c r="M623" s="137">
        <v>4.95</v>
      </c>
      <c r="N623" s="137">
        <v>3.9998999999999998</v>
      </c>
      <c r="O623" s="137">
        <v>7.07</v>
      </c>
      <c r="P623" s="137">
        <v>1.88</v>
      </c>
      <c r="Q623" s="137">
        <v>5.82</v>
      </c>
      <c r="R623" s="137">
        <v>4.83</v>
      </c>
      <c r="S623" s="137">
        <v>6.2798999999999996</v>
      </c>
      <c r="T623" s="137">
        <v>6.64</v>
      </c>
      <c r="U623" s="137">
        <v>5.66</v>
      </c>
      <c r="V623" s="137">
        <v>5.73</v>
      </c>
      <c r="W623" s="140" t="s">
        <v>1609</v>
      </c>
      <c r="X623" s="56">
        <f t="shared" si="18"/>
        <v>0</v>
      </c>
      <c r="Y623" s="56" t="str">
        <f t="shared" si="19"/>
        <v>LOGUEO</v>
      </c>
    </row>
    <row r="624" spans="1:25" ht="15" x14ac:dyDescent="0.25">
      <c r="A624" s="136" t="s">
        <v>3719</v>
      </c>
      <c r="B624" s="137">
        <v>5.8</v>
      </c>
      <c r="C624" s="137">
        <v>0</v>
      </c>
      <c r="D624" s="137">
        <v>5.59</v>
      </c>
      <c r="E624" s="137">
        <v>5.91</v>
      </c>
      <c r="F624" s="137">
        <v>6.42</v>
      </c>
      <c r="G624" s="137">
        <v>9.85</v>
      </c>
      <c r="H624" s="137">
        <v>6.07</v>
      </c>
      <c r="I624" s="137">
        <v>0</v>
      </c>
      <c r="J624" s="137">
        <v>0</v>
      </c>
      <c r="K624" s="137">
        <v>1.8</v>
      </c>
      <c r="L624" s="137">
        <v>0</v>
      </c>
      <c r="M624" s="137">
        <v>0</v>
      </c>
      <c r="N624" s="137">
        <v>0</v>
      </c>
      <c r="O624" s="137">
        <v>0</v>
      </c>
      <c r="P624" s="137">
        <v>0</v>
      </c>
      <c r="Q624" s="137">
        <v>0</v>
      </c>
      <c r="R624" s="137">
        <v>0</v>
      </c>
      <c r="S624" s="137">
        <v>0</v>
      </c>
      <c r="T624" s="137">
        <v>0</v>
      </c>
      <c r="U624" s="137">
        <v>0</v>
      </c>
      <c r="V624" s="137">
        <v>0</v>
      </c>
      <c r="W624" s="140" t="s">
        <v>1609</v>
      </c>
      <c r="X624" s="56">
        <f t="shared" si="18"/>
        <v>7</v>
      </c>
      <c r="Y624" s="56" t="str">
        <f t="shared" si="19"/>
        <v>NO LOGUEO</v>
      </c>
    </row>
    <row r="625" spans="1:25" ht="15" x14ac:dyDescent="0.25">
      <c r="A625" s="136" t="s">
        <v>455</v>
      </c>
      <c r="B625" s="137">
        <v>4.2300000000000004</v>
      </c>
      <c r="C625" s="137">
        <v>7.5598999999999998</v>
      </c>
      <c r="D625" s="137">
        <v>5.26</v>
      </c>
      <c r="E625" s="137">
        <v>4.6399999999999997</v>
      </c>
      <c r="F625" s="137">
        <v>3.25</v>
      </c>
      <c r="G625" s="137">
        <v>4.97</v>
      </c>
      <c r="H625" s="137">
        <v>7.46</v>
      </c>
      <c r="I625" s="137">
        <v>0</v>
      </c>
      <c r="J625" s="137">
        <v>1.94</v>
      </c>
      <c r="K625" s="137">
        <v>5.09</v>
      </c>
      <c r="L625" s="137">
        <v>4.9800000000000004</v>
      </c>
      <c r="M625" s="137">
        <v>4.9000000000000004</v>
      </c>
      <c r="N625" s="137">
        <v>5.0199999999999996</v>
      </c>
      <c r="O625" s="137">
        <v>5.0999999999999996</v>
      </c>
      <c r="P625" s="137">
        <v>9.2898999999999994</v>
      </c>
      <c r="Q625" s="137">
        <v>6.53</v>
      </c>
      <c r="R625" s="137">
        <v>4.82</v>
      </c>
      <c r="S625" s="137">
        <v>4.92</v>
      </c>
      <c r="T625" s="137">
        <v>4.91</v>
      </c>
      <c r="U625" s="137">
        <v>4.8</v>
      </c>
      <c r="V625" s="137">
        <v>5.08</v>
      </c>
      <c r="W625" s="140">
        <v>14122852</v>
      </c>
      <c r="X625" s="56">
        <f t="shared" si="18"/>
        <v>0</v>
      </c>
      <c r="Y625" s="56" t="str">
        <f t="shared" si="19"/>
        <v>LOGUEO</v>
      </c>
    </row>
    <row r="626" spans="1:25" ht="15" x14ac:dyDescent="0.25">
      <c r="A626" s="136" t="s">
        <v>197</v>
      </c>
      <c r="B626" s="137">
        <v>6.85</v>
      </c>
      <c r="C626" s="137">
        <v>8.65</v>
      </c>
      <c r="D626" s="137">
        <v>11.62</v>
      </c>
      <c r="E626" s="137">
        <v>9.0398999999999994</v>
      </c>
      <c r="F626" s="137">
        <v>6.05</v>
      </c>
      <c r="G626" s="137">
        <v>8.9</v>
      </c>
      <c r="H626" s="137">
        <v>10.42</v>
      </c>
      <c r="I626" s="137">
        <v>0</v>
      </c>
      <c r="J626" s="137">
        <v>7.96</v>
      </c>
      <c r="K626" s="137">
        <v>9.8000000000000007</v>
      </c>
      <c r="L626" s="137">
        <v>11.14</v>
      </c>
      <c r="M626" s="137">
        <v>8.85</v>
      </c>
      <c r="N626" s="137">
        <v>11.35</v>
      </c>
      <c r="O626" s="137">
        <v>9.4700000000000006</v>
      </c>
      <c r="P626" s="137">
        <v>0</v>
      </c>
      <c r="Q626" s="137">
        <v>8.39</v>
      </c>
      <c r="R626" s="137">
        <v>11.039899999999999</v>
      </c>
      <c r="S626" s="137">
        <v>9.7799999999999994</v>
      </c>
      <c r="T626" s="137">
        <v>11.3299</v>
      </c>
      <c r="U626" s="137">
        <v>9.34</v>
      </c>
      <c r="V626" s="137">
        <v>10.119899999999999</v>
      </c>
      <c r="W626" s="140">
        <v>14112449</v>
      </c>
      <c r="X626" s="56">
        <f t="shared" si="18"/>
        <v>1</v>
      </c>
      <c r="Y626" s="56" t="str">
        <f t="shared" si="19"/>
        <v>LOGUEO</v>
      </c>
    </row>
    <row r="627" spans="1:25" ht="15" x14ac:dyDescent="0.25">
      <c r="A627" s="136" t="s">
        <v>983</v>
      </c>
      <c r="B627" s="137">
        <v>2.67</v>
      </c>
      <c r="C627" s="137">
        <v>7.04</v>
      </c>
      <c r="D627" s="137">
        <v>9.92</v>
      </c>
      <c r="E627" s="137">
        <v>8.26</v>
      </c>
      <c r="F627" s="137">
        <v>0.75</v>
      </c>
      <c r="G627" s="137">
        <v>6.48</v>
      </c>
      <c r="H627" s="137">
        <v>8.5398999999999994</v>
      </c>
      <c r="I627" s="137">
        <v>1.5</v>
      </c>
      <c r="J627" s="137">
        <v>6.4599000000000002</v>
      </c>
      <c r="K627" s="137">
        <v>6.3</v>
      </c>
      <c r="L627" s="137">
        <v>6.82</v>
      </c>
      <c r="M627" s="137">
        <v>8.6298999999999992</v>
      </c>
      <c r="N627" s="137">
        <v>10.379899999999999</v>
      </c>
      <c r="O627" s="137">
        <v>10.199999999999999</v>
      </c>
      <c r="P627" s="137">
        <v>2.81</v>
      </c>
      <c r="Q627" s="137">
        <v>12.1</v>
      </c>
      <c r="R627" s="137">
        <v>6.18</v>
      </c>
      <c r="S627" s="137">
        <v>7.75</v>
      </c>
      <c r="T627" s="137">
        <v>9.9999000000000002</v>
      </c>
      <c r="U627" s="137">
        <v>0</v>
      </c>
      <c r="V627" s="137">
        <v>0</v>
      </c>
      <c r="W627" s="140" t="s">
        <v>1609</v>
      </c>
      <c r="X627" s="56">
        <f t="shared" si="18"/>
        <v>2</v>
      </c>
      <c r="Y627" s="56" t="str">
        <f t="shared" si="19"/>
        <v>NO LOGUEO</v>
      </c>
    </row>
    <row r="628" spans="1:25" ht="15" x14ac:dyDescent="0.25">
      <c r="A628" s="136" t="s">
        <v>1995</v>
      </c>
      <c r="B628" s="137">
        <v>0</v>
      </c>
      <c r="C628" s="137">
        <v>0</v>
      </c>
      <c r="D628" s="137">
        <v>0</v>
      </c>
      <c r="E628" s="137">
        <v>0</v>
      </c>
      <c r="F628" s="137">
        <v>0</v>
      </c>
      <c r="G628" s="137">
        <v>0</v>
      </c>
      <c r="H628" s="137">
        <v>0</v>
      </c>
      <c r="I628" s="137">
        <v>0</v>
      </c>
      <c r="J628" s="137">
        <v>0</v>
      </c>
      <c r="K628" s="137">
        <v>0</v>
      </c>
      <c r="L628" s="137">
        <v>0</v>
      </c>
      <c r="M628" s="137">
        <v>0</v>
      </c>
      <c r="N628" s="137">
        <v>0</v>
      </c>
      <c r="O628" s="137">
        <v>0</v>
      </c>
      <c r="P628" s="137">
        <v>0</v>
      </c>
      <c r="Q628" s="137">
        <v>0</v>
      </c>
      <c r="R628" s="137">
        <v>0</v>
      </c>
      <c r="S628" s="137">
        <v>0</v>
      </c>
      <c r="T628" s="137">
        <v>0</v>
      </c>
      <c r="U628" s="137">
        <v>0</v>
      </c>
      <c r="V628" s="137">
        <v>0</v>
      </c>
      <c r="W628" s="140" t="s">
        <v>1609</v>
      </c>
      <c r="X628" s="56">
        <f t="shared" si="18"/>
        <v>7</v>
      </c>
      <c r="Y628" s="56" t="str">
        <f t="shared" si="19"/>
        <v>NO LOGUEO</v>
      </c>
    </row>
    <row r="629" spans="1:25" ht="15" x14ac:dyDescent="0.25">
      <c r="A629" s="136" t="s">
        <v>418</v>
      </c>
      <c r="B629" s="137">
        <v>12.26</v>
      </c>
      <c r="C629" s="137">
        <v>8.48</v>
      </c>
      <c r="D629" s="137">
        <v>0</v>
      </c>
      <c r="E629" s="137">
        <v>6.95</v>
      </c>
      <c r="F629" s="137">
        <v>0</v>
      </c>
      <c r="G629" s="137">
        <v>8.77</v>
      </c>
      <c r="H629" s="137">
        <v>0</v>
      </c>
      <c r="I629" s="137">
        <v>0</v>
      </c>
      <c r="J629" s="137">
        <v>0</v>
      </c>
      <c r="K629" s="137">
        <v>12.4199</v>
      </c>
      <c r="L629" s="137">
        <v>0</v>
      </c>
      <c r="M629" s="137">
        <v>10.34</v>
      </c>
      <c r="N629" s="137">
        <v>1.22</v>
      </c>
      <c r="O629" s="137">
        <v>3.35</v>
      </c>
      <c r="P629" s="137">
        <v>3.74</v>
      </c>
      <c r="Q629" s="137">
        <v>9.9700000000000006</v>
      </c>
      <c r="R629" s="137">
        <v>1.93</v>
      </c>
      <c r="S629" s="137">
        <v>4.38</v>
      </c>
      <c r="T629" s="137">
        <v>0</v>
      </c>
      <c r="U629" s="137">
        <v>0</v>
      </c>
      <c r="V629" s="137">
        <v>0</v>
      </c>
      <c r="W629" s="140">
        <v>14122377</v>
      </c>
      <c r="X629" s="56">
        <f t="shared" si="18"/>
        <v>3</v>
      </c>
      <c r="Y629" s="56" t="str">
        <f t="shared" si="19"/>
        <v>NO LOGUEO</v>
      </c>
    </row>
    <row r="630" spans="1:25" ht="15" x14ac:dyDescent="0.25">
      <c r="A630" s="136" t="s">
        <v>447</v>
      </c>
      <c r="B630" s="137">
        <v>4.87</v>
      </c>
      <c r="C630" s="137">
        <v>4.3600000000000003</v>
      </c>
      <c r="D630" s="137">
        <v>5.26</v>
      </c>
      <c r="E630" s="137">
        <v>4.97</v>
      </c>
      <c r="F630" s="137">
        <v>3.1</v>
      </c>
      <c r="G630" s="137">
        <v>0</v>
      </c>
      <c r="H630" s="137">
        <v>3.64</v>
      </c>
      <c r="I630" s="137">
        <v>4.63</v>
      </c>
      <c r="J630" s="137">
        <v>5.7</v>
      </c>
      <c r="K630" s="137">
        <v>4.95</v>
      </c>
      <c r="L630" s="137">
        <v>5.18</v>
      </c>
      <c r="M630" s="137">
        <v>5.27</v>
      </c>
      <c r="N630" s="137">
        <v>5.25</v>
      </c>
      <c r="O630" s="137">
        <v>4.75</v>
      </c>
      <c r="P630" s="137">
        <v>4.51</v>
      </c>
      <c r="Q630" s="137">
        <v>6.84</v>
      </c>
      <c r="R630" s="137">
        <v>0</v>
      </c>
      <c r="S630" s="137">
        <v>3.77</v>
      </c>
      <c r="T630" s="137">
        <v>5.3098999999999998</v>
      </c>
      <c r="U630" s="137">
        <v>4.97</v>
      </c>
      <c r="V630" s="137">
        <v>5.4699</v>
      </c>
      <c r="W630" s="140">
        <v>14122758</v>
      </c>
      <c r="X630" s="56">
        <f t="shared" si="18"/>
        <v>1</v>
      </c>
      <c r="Y630" s="56" t="str">
        <f t="shared" si="19"/>
        <v>LOGUEO</v>
      </c>
    </row>
    <row r="631" spans="1:25" ht="15" x14ac:dyDescent="0.25">
      <c r="A631" s="136" t="s">
        <v>285</v>
      </c>
      <c r="B631" s="137">
        <v>4.7398999999999996</v>
      </c>
      <c r="C631" s="137">
        <v>8.31</v>
      </c>
      <c r="D631" s="137">
        <v>5.33</v>
      </c>
      <c r="E631" s="137">
        <v>5.3598999999999997</v>
      </c>
      <c r="F631" s="137">
        <v>2.15</v>
      </c>
      <c r="G631" s="137">
        <v>8.4499999999999993</v>
      </c>
      <c r="H631" s="137">
        <v>10.389900000000001</v>
      </c>
      <c r="I631" s="137">
        <v>4.62</v>
      </c>
      <c r="J631" s="137">
        <v>7</v>
      </c>
      <c r="K631" s="137">
        <v>9</v>
      </c>
      <c r="L631" s="137">
        <v>9.3800000000000008</v>
      </c>
      <c r="M631" s="137">
        <v>6.1999000000000004</v>
      </c>
      <c r="N631" s="137">
        <v>12.54</v>
      </c>
      <c r="O631" s="137">
        <v>10.92</v>
      </c>
      <c r="P631" s="137">
        <v>2.8</v>
      </c>
      <c r="Q631" s="137">
        <v>10.3299</v>
      </c>
      <c r="R631" s="137">
        <v>12.01</v>
      </c>
      <c r="S631" s="137">
        <v>9.6300000000000008</v>
      </c>
      <c r="T631" s="137">
        <v>11.969900000000001</v>
      </c>
      <c r="U631" s="137">
        <v>7.56</v>
      </c>
      <c r="V631" s="137">
        <v>5.83</v>
      </c>
      <c r="W631" s="140">
        <v>14120349</v>
      </c>
      <c r="X631" s="56">
        <f t="shared" si="18"/>
        <v>0</v>
      </c>
      <c r="Y631" s="56" t="str">
        <f t="shared" si="19"/>
        <v>LOGUEO</v>
      </c>
    </row>
    <row r="632" spans="1:25" ht="15" x14ac:dyDescent="0.25">
      <c r="A632" s="136" t="s">
        <v>64</v>
      </c>
      <c r="B632" s="137">
        <v>0</v>
      </c>
      <c r="C632" s="137">
        <v>1.03</v>
      </c>
      <c r="D632" s="137">
        <v>10.539899999999999</v>
      </c>
      <c r="E632" s="137">
        <v>0</v>
      </c>
      <c r="F632" s="137">
        <v>2.67</v>
      </c>
      <c r="G632" s="137">
        <v>8.84</v>
      </c>
      <c r="H632" s="137">
        <v>9.85</v>
      </c>
      <c r="I632" s="137">
        <v>0</v>
      </c>
      <c r="J632" s="137">
        <v>7.27</v>
      </c>
      <c r="K632" s="137">
        <v>11.36</v>
      </c>
      <c r="L632" s="137">
        <v>0</v>
      </c>
      <c r="M632" s="137">
        <v>10.9</v>
      </c>
      <c r="N632" s="137">
        <v>10.399900000000001</v>
      </c>
      <c r="O632" s="137">
        <v>10.67</v>
      </c>
      <c r="P632" s="137">
        <v>0</v>
      </c>
      <c r="Q632" s="137">
        <v>11.77</v>
      </c>
      <c r="R632" s="137">
        <v>10.7599</v>
      </c>
      <c r="S632" s="137">
        <v>0</v>
      </c>
      <c r="T632" s="137">
        <v>10.16</v>
      </c>
      <c r="U632" s="137">
        <v>10</v>
      </c>
      <c r="V632" s="137">
        <v>9.42</v>
      </c>
      <c r="W632" s="140">
        <v>14107552</v>
      </c>
      <c r="X632" s="56">
        <f t="shared" si="18"/>
        <v>2</v>
      </c>
      <c r="Y632" s="56" t="str">
        <f t="shared" si="19"/>
        <v>NO LOGUEO</v>
      </c>
    </row>
    <row r="633" spans="1:25" ht="15" x14ac:dyDescent="0.25">
      <c r="A633" s="136" t="s">
        <v>511</v>
      </c>
      <c r="B633" s="137">
        <v>11.95</v>
      </c>
      <c r="C633" s="137">
        <v>11.95</v>
      </c>
      <c r="D633" s="137">
        <v>0</v>
      </c>
      <c r="E633" s="137">
        <v>10.1</v>
      </c>
      <c r="F633" s="137">
        <v>5.9099000000000004</v>
      </c>
      <c r="G633" s="137">
        <v>7.84</v>
      </c>
      <c r="H633" s="137">
        <v>7.36</v>
      </c>
      <c r="I633" s="137">
        <v>6.9199000000000002</v>
      </c>
      <c r="J633" s="137">
        <v>7.67</v>
      </c>
      <c r="K633" s="137">
        <v>5.29</v>
      </c>
      <c r="L633" s="137">
        <v>7.27</v>
      </c>
      <c r="M633" s="137">
        <v>0</v>
      </c>
      <c r="N633" s="137">
        <v>7.8</v>
      </c>
      <c r="O633" s="137">
        <v>6.82</v>
      </c>
      <c r="P633" s="137">
        <v>6.15</v>
      </c>
      <c r="Q633" s="137">
        <v>7.02</v>
      </c>
      <c r="R633" s="137">
        <v>7.58</v>
      </c>
      <c r="S633" s="137">
        <v>7.83</v>
      </c>
      <c r="T633" s="137">
        <v>7.23</v>
      </c>
      <c r="U633" s="137">
        <v>7.7999000000000001</v>
      </c>
      <c r="V633" s="137">
        <v>8.2100000000000009</v>
      </c>
      <c r="W633" s="140">
        <v>14123331</v>
      </c>
      <c r="X633" s="56">
        <f t="shared" si="18"/>
        <v>0</v>
      </c>
      <c r="Y633" s="56" t="str">
        <f t="shared" si="19"/>
        <v>LOGUEO</v>
      </c>
    </row>
    <row r="634" spans="1:25" ht="15" x14ac:dyDescent="0.25">
      <c r="A634" s="136" t="s">
        <v>1844</v>
      </c>
      <c r="B634" s="137">
        <v>0</v>
      </c>
      <c r="C634" s="137">
        <v>6.92</v>
      </c>
      <c r="D634" s="137">
        <v>7.1199000000000003</v>
      </c>
      <c r="E634" s="137">
        <v>7.4</v>
      </c>
      <c r="F634" s="137">
        <v>0</v>
      </c>
      <c r="G634" s="137">
        <v>7.74</v>
      </c>
      <c r="H634" s="137">
        <v>7.25</v>
      </c>
      <c r="I634" s="137">
        <v>0</v>
      </c>
      <c r="J634" s="137">
        <v>6.21</v>
      </c>
      <c r="K634" s="137">
        <v>7.76</v>
      </c>
      <c r="L634" s="137">
        <v>7.19</v>
      </c>
      <c r="M634" s="137">
        <v>7.02</v>
      </c>
      <c r="N634" s="137">
        <v>7.24</v>
      </c>
      <c r="O634" s="137">
        <v>6.61</v>
      </c>
      <c r="P634" s="137">
        <v>0</v>
      </c>
      <c r="Q634" s="137">
        <v>0</v>
      </c>
      <c r="R634" s="137">
        <v>7.62</v>
      </c>
      <c r="S634" s="137">
        <v>7.71</v>
      </c>
      <c r="T634" s="137">
        <v>8.5099</v>
      </c>
      <c r="U634" s="137">
        <v>7.34</v>
      </c>
      <c r="V634" s="137">
        <v>7.15</v>
      </c>
      <c r="W634" s="140">
        <v>14109738</v>
      </c>
      <c r="X634" s="56">
        <f t="shared" si="18"/>
        <v>2</v>
      </c>
      <c r="Y634" s="56" t="str">
        <f t="shared" si="19"/>
        <v>NO LOGUEO</v>
      </c>
    </row>
    <row r="635" spans="1:25" ht="15" x14ac:dyDescent="0.25">
      <c r="A635" s="136" t="s">
        <v>1996</v>
      </c>
      <c r="B635" s="137">
        <v>0</v>
      </c>
      <c r="C635" s="137">
        <v>0</v>
      </c>
      <c r="D635" s="137">
        <v>0</v>
      </c>
      <c r="E635" s="137">
        <v>0</v>
      </c>
      <c r="F635" s="137">
        <v>0</v>
      </c>
      <c r="G635" s="137">
        <v>0</v>
      </c>
      <c r="H635" s="137">
        <v>0</v>
      </c>
      <c r="I635" s="137">
        <v>0</v>
      </c>
      <c r="J635" s="137">
        <v>0</v>
      </c>
      <c r="K635" s="137">
        <v>0</v>
      </c>
      <c r="L635" s="137">
        <v>0</v>
      </c>
      <c r="M635" s="137">
        <v>0</v>
      </c>
      <c r="N635" s="137">
        <v>0</v>
      </c>
      <c r="O635" s="137">
        <v>0</v>
      </c>
      <c r="P635" s="137">
        <v>0</v>
      </c>
      <c r="Q635" s="137">
        <v>0</v>
      </c>
      <c r="R635" s="137">
        <v>0</v>
      </c>
      <c r="S635" s="137">
        <v>0</v>
      </c>
      <c r="T635" s="137">
        <v>0</v>
      </c>
      <c r="U635" s="137">
        <v>0</v>
      </c>
      <c r="V635" s="137">
        <v>0</v>
      </c>
      <c r="W635" s="140" t="s">
        <v>1609</v>
      </c>
      <c r="X635" s="56">
        <f t="shared" si="18"/>
        <v>7</v>
      </c>
      <c r="Y635" s="56" t="str">
        <f t="shared" si="19"/>
        <v>NO LOGUEO</v>
      </c>
    </row>
    <row r="636" spans="1:25" ht="15" x14ac:dyDescent="0.25">
      <c r="A636" s="136" t="s">
        <v>2401</v>
      </c>
      <c r="B636" s="137">
        <v>5.47</v>
      </c>
      <c r="C636" s="137">
        <v>5.74</v>
      </c>
      <c r="D636" s="137">
        <v>5.09</v>
      </c>
      <c r="E636" s="137">
        <v>5.59</v>
      </c>
      <c r="F636" s="137">
        <v>5.3</v>
      </c>
      <c r="G636" s="137">
        <v>5.73</v>
      </c>
      <c r="H636" s="137">
        <v>3.62</v>
      </c>
      <c r="I636" s="137">
        <v>0</v>
      </c>
      <c r="J636" s="137">
        <v>3.84</v>
      </c>
      <c r="K636" s="137">
        <v>4.6100000000000003</v>
      </c>
      <c r="L636" s="137">
        <v>5.63</v>
      </c>
      <c r="M636" s="137">
        <v>7.1</v>
      </c>
      <c r="N636" s="137">
        <v>6.33</v>
      </c>
      <c r="O636" s="137">
        <v>5.9099000000000004</v>
      </c>
      <c r="P636" s="137">
        <v>5.21</v>
      </c>
      <c r="Q636" s="137">
        <v>6.96</v>
      </c>
      <c r="R636" s="137">
        <v>7.67</v>
      </c>
      <c r="S636" s="137">
        <v>6.1999000000000004</v>
      </c>
      <c r="T636" s="137">
        <v>6.57</v>
      </c>
      <c r="U636" s="137">
        <v>6.05</v>
      </c>
      <c r="V636" s="137">
        <v>6.46</v>
      </c>
      <c r="W636" s="140" t="s">
        <v>1609</v>
      </c>
      <c r="X636" s="56">
        <f t="shared" si="18"/>
        <v>0</v>
      </c>
      <c r="Y636" s="56" t="str">
        <f t="shared" si="19"/>
        <v>LOGUEO</v>
      </c>
    </row>
    <row r="637" spans="1:25" ht="15" x14ac:dyDescent="0.25">
      <c r="A637" s="136" t="s">
        <v>106</v>
      </c>
      <c r="B637" s="137">
        <v>0</v>
      </c>
      <c r="C637" s="137">
        <v>6.0598999999999998</v>
      </c>
      <c r="D637" s="137">
        <v>7.84</v>
      </c>
      <c r="E637" s="137">
        <v>0</v>
      </c>
      <c r="F637" s="137">
        <v>0</v>
      </c>
      <c r="G637" s="137">
        <v>0</v>
      </c>
      <c r="H637" s="137">
        <v>0</v>
      </c>
      <c r="I637" s="137">
        <v>0</v>
      </c>
      <c r="J637" s="137">
        <v>7.3</v>
      </c>
      <c r="K637" s="137">
        <v>8.11</v>
      </c>
      <c r="L637" s="137">
        <v>7.17</v>
      </c>
      <c r="M637" s="137">
        <v>7.97</v>
      </c>
      <c r="N637" s="137">
        <v>0.7</v>
      </c>
      <c r="O637" s="137">
        <v>0</v>
      </c>
      <c r="P637" s="137">
        <v>0</v>
      </c>
      <c r="Q637" s="137">
        <v>0</v>
      </c>
      <c r="R637" s="137">
        <v>0</v>
      </c>
      <c r="S637" s="137">
        <v>0</v>
      </c>
      <c r="T637" s="137">
        <v>1.9</v>
      </c>
      <c r="U637" s="137">
        <v>8.6399000000000008</v>
      </c>
      <c r="V637" s="137">
        <v>0.68</v>
      </c>
      <c r="W637" s="140">
        <v>14110765</v>
      </c>
      <c r="X637" s="56">
        <f t="shared" si="18"/>
        <v>4</v>
      </c>
      <c r="Y637" s="56" t="str">
        <f t="shared" si="19"/>
        <v>NO LOGUEO</v>
      </c>
    </row>
    <row r="638" spans="1:25" ht="15" x14ac:dyDescent="0.25">
      <c r="A638" s="136" t="s">
        <v>1813</v>
      </c>
      <c r="B638" s="137">
        <v>7.26</v>
      </c>
      <c r="C638" s="137">
        <v>7.59</v>
      </c>
      <c r="D638" s="137">
        <v>8.85</v>
      </c>
      <c r="E638" s="137">
        <v>11.389900000000001</v>
      </c>
      <c r="F638" s="137">
        <v>0</v>
      </c>
      <c r="G638" s="137">
        <v>8.77</v>
      </c>
      <c r="H638" s="137">
        <v>8.77</v>
      </c>
      <c r="I638" s="137">
        <v>7.25</v>
      </c>
      <c r="J638" s="137">
        <v>16.919899999999998</v>
      </c>
      <c r="K638" s="137">
        <v>10.220000000000001</v>
      </c>
      <c r="L638" s="137">
        <v>10.299899999999999</v>
      </c>
      <c r="M638" s="137">
        <v>9.23</v>
      </c>
      <c r="N638" s="137">
        <v>10.93</v>
      </c>
      <c r="O638" s="137">
        <v>8.66</v>
      </c>
      <c r="P638" s="137">
        <v>8.5</v>
      </c>
      <c r="Q638" s="137">
        <v>0</v>
      </c>
      <c r="R638" s="137">
        <v>11.34</v>
      </c>
      <c r="S638" s="137">
        <v>9.1</v>
      </c>
      <c r="T638" s="137">
        <v>11.87</v>
      </c>
      <c r="U638" s="137">
        <v>10.46</v>
      </c>
      <c r="V638" s="137">
        <v>8.99</v>
      </c>
      <c r="W638" s="140" t="s">
        <v>1609</v>
      </c>
      <c r="X638" s="56">
        <f t="shared" si="18"/>
        <v>1</v>
      </c>
      <c r="Y638" s="56" t="str">
        <f t="shared" si="19"/>
        <v>LOGUEO</v>
      </c>
    </row>
    <row r="639" spans="1:25" ht="15" x14ac:dyDescent="0.25">
      <c r="A639" s="136" t="s">
        <v>1152</v>
      </c>
      <c r="B639" s="137">
        <v>0</v>
      </c>
      <c r="C639" s="137">
        <v>0</v>
      </c>
      <c r="D639" s="137">
        <v>0</v>
      </c>
      <c r="E639" s="137">
        <v>0</v>
      </c>
      <c r="F639" s="137">
        <v>0</v>
      </c>
      <c r="G639" s="137">
        <v>1.1200000000000001</v>
      </c>
      <c r="H639" s="137">
        <v>3.9</v>
      </c>
      <c r="I639" s="137">
        <v>3.69</v>
      </c>
      <c r="J639" s="137">
        <v>3.55</v>
      </c>
      <c r="K639" s="137">
        <v>2.2200000000000002</v>
      </c>
      <c r="L639" s="137">
        <v>0</v>
      </c>
      <c r="M639" s="137">
        <v>0</v>
      </c>
      <c r="N639" s="137">
        <v>0</v>
      </c>
      <c r="O639" s="137">
        <v>3.43</v>
      </c>
      <c r="P639" s="137">
        <v>5.08</v>
      </c>
      <c r="Q639" s="137">
        <v>4.8499999999999996</v>
      </c>
      <c r="R639" s="137">
        <v>5.66</v>
      </c>
      <c r="S639" s="137">
        <v>4.54</v>
      </c>
      <c r="T639" s="137">
        <v>4.8098999999999998</v>
      </c>
      <c r="U639" s="137">
        <v>4.6199000000000003</v>
      </c>
      <c r="V639" s="137">
        <v>4.08</v>
      </c>
      <c r="W639" s="140">
        <v>14122113</v>
      </c>
      <c r="X639" s="56">
        <f t="shared" si="18"/>
        <v>0</v>
      </c>
      <c r="Y639" s="56" t="str">
        <f t="shared" si="19"/>
        <v>LOGUEO</v>
      </c>
    </row>
    <row r="640" spans="1:25" ht="15" x14ac:dyDescent="0.25">
      <c r="A640" s="136" t="s">
        <v>63</v>
      </c>
      <c r="B640" s="137">
        <v>0</v>
      </c>
      <c r="C640" s="137">
        <v>6.3</v>
      </c>
      <c r="D640" s="137">
        <v>8.36</v>
      </c>
      <c r="E640" s="137">
        <v>6.46</v>
      </c>
      <c r="F640" s="137">
        <v>5.83</v>
      </c>
      <c r="G640" s="137">
        <v>7.67</v>
      </c>
      <c r="H640" s="137">
        <v>7.88</v>
      </c>
      <c r="I640" s="137">
        <v>6.85</v>
      </c>
      <c r="J640" s="137">
        <v>0</v>
      </c>
      <c r="K640" s="137">
        <v>7.93</v>
      </c>
      <c r="L640" s="137">
        <v>7.74</v>
      </c>
      <c r="M640" s="137">
        <v>9.2100000000000009</v>
      </c>
      <c r="N640" s="137">
        <v>8.0498999999999992</v>
      </c>
      <c r="O640" s="137">
        <v>7.32</v>
      </c>
      <c r="P640" s="137">
        <v>0</v>
      </c>
      <c r="Q640" s="137">
        <v>7.33</v>
      </c>
      <c r="R640" s="137">
        <v>8.19</v>
      </c>
      <c r="S640" s="137">
        <v>7.51</v>
      </c>
      <c r="T640" s="137">
        <v>7.4099000000000004</v>
      </c>
      <c r="U640" s="137">
        <v>7.91</v>
      </c>
      <c r="V640" s="137">
        <v>7.25</v>
      </c>
      <c r="W640" s="140">
        <v>14107484</v>
      </c>
      <c r="X640" s="56">
        <f t="shared" si="18"/>
        <v>1</v>
      </c>
      <c r="Y640" s="56" t="str">
        <f t="shared" si="19"/>
        <v>LOGUEO</v>
      </c>
    </row>
    <row r="641" spans="1:25" ht="15" x14ac:dyDescent="0.25">
      <c r="A641" s="136" t="s">
        <v>98</v>
      </c>
      <c r="B641" s="137">
        <v>0</v>
      </c>
      <c r="C641" s="137">
        <v>0.38</v>
      </c>
      <c r="D641" s="137">
        <v>3.72</v>
      </c>
      <c r="E641" s="137">
        <v>3.84</v>
      </c>
      <c r="F641" s="137">
        <v>0</v>
      </c>
      <c r="G641" s="137">
        <v>0</v>
      </c>
      <c r="H641" s="137">
        <v>3.63</v>
      </c>
      <c r="I641" s="137">
        <v>0</v>
      </c>
      <c r="J641" s="137">
        <v>0</v>
      </c>
      <c r="K641" s="137">
        <v>1.88</v>
      </c>
      <c r="L641" s="137">
        <v>3.16</v>
      </c>
      <c r="M641" s="137">
        <v>2.2000000000000002</v>
      </c>
      <c r="N641" s="137">
        <v>3.2199</v>
      </c>
      <c r="O641" s="137">
        <v>2.08</v>
      </c>
      <c r="P641" s="137">
        <v>0</v>
      </c>
      <c r="Q641" s="137">
        <v>0.33</v>
      </c>
      <c r="R641" s="137">
        <v>2.06</v>
      </c>
      <c r="S641" s="137">
        <v>0.83</v>
      </c>
      <c r="T641" s="137">
        <v>1.78</v>
      </c>
      <c r="U641" s="137">
        <v>1.57</v>
      </c>
      <c r="V641" s="137">
        <v>1.32</v>
      </c>
      <c r="W641" s="140">
        <v>14109874</v>
      </c>
      <c r="X641" s="56">
        <f t="shared" si="18"/>
        <v>1</v>
      </c>
      <c r="Y641" s="56" t="str">
        <f t="shared" si="19"/>
        <v>LOGUEO</v>
      </c>
    </row>
    <row r="642" spans="1:25" ht="15" x14ac:dyDescent="0.25">
      <c r="A642" s="136" t="s">
        <v>97</v>
      </c>
      <c r="B642" s="137">
        <v>3.51</v>
      </c>
      <c r="C642" s="137">
        <v>4.3</v>
      </c>
      <c r="D642" s="137">
        <v>4.3899999999999997</v>
      </c>
      <c r="E642" s="137">
        <v>4.5999999999999996</v>
      </c>
      <c r="F642" s="137">
        <v>1.08</v>
      </c>
      <c r="G642" s="137">
        <v>4.62</v>
      </c>
      <c r="H642" s="137">
        <v>2.5</v>
      </c>
      <c r="I642" s="137">
        <v>0</v>
      </c>
      <c r="J642" s="137">
        <v>4.63</v>
      </c>
      <c r="K642" s="137">
        <v>4.45</v>
      </c>
      <c r="L642" s="137">
        <v>5</v>
      </c>
      <c r="M642" s="137">
        <v>4.95</v>
      </c>
      <c r="N642" s="137">
        <v>5.86</v>
      </c>
      <c r="O642" s="137">
        <v>4.34</v>
      </c>
      <c r="P642" s="137">
        <v>3.72</v>
      </c>
      <c r="Q642" s="137">
        <v>4.97</v>
      </c>
      <c r="R642" s="137">
        <v>4.7599</v>
      </c>
      <c r="S642" s="137">
        <v>5.25</v>
      </c>
      <c r="T642" s="137">
        <v>4.71</v>
      </c>
      <c r="U642" s="137">
        <v>4.53</v>
      </c>
      <c r="V642" s="137">
        <v>4.24</v>
      </c>
      <c r="W642" s="140">
        <v>14109808</v>
      </c>
      <c r="X642" s="56">
        <f t="shared" si="18"/>
        <v>0</v>
      </c>
      <c r="Y642" s="56" t="str">
        <f t="shared" si="19"/>
        <v>LOGUEO</v>
      </c>
    </row>
    <row r="643" spans="1:25" ht="15" x14ac:dyDescent="0.25">
      <c r="A643" s="136" t="s">
        <v>3720</v>
      </c>
      <c r="B643" s="137">
        <v>0</v>
      </c>
      <c r="C643" s="137">
        <v>0</v>
      </c>
      <c r="D643" s="137">
        <v>6.63</v>
      </c>
      <c r="E643" s="137">
        <v>7.27</v>
      </c>
      <c r="F643" s="137">
        <v>0</v>
      </c>
      <c r="G643" s="137">
        <v>2.48</v>
      </c>
      <c r="H643" s="137">
        <v>7.23</v>
      </c>
      <c r="I643" s="137">
        <v>0</v>
      </c>
      <c r="J643" s="137">
        <v>0.9</v>
      </c>
      <c r="K643" s="137">
        <v>0</v>
      </c>
      <c r="L643" s="137">
        <v>0</v>
      </c>
      <c r="M643" s="137">
        <v>0</v>
      </c>
      <c r="N643" s="137">
        <v>0</v>
      </c>
      <c r="O643" s="137">
        <v>0</v>
      </c>
      <c r="P643" s="137">
        <v>0</v>
      </c>
      <c r="Q643" s="137">
        <v>0</v>
      </c>
      <c r="R643" s="137">
        <v>0</v>
      </c>
      <c r="S643" s="137">
        <v>0</v>
      </c>
      <c r="T643" s="137">
        <v>0</v>
      </c>
      <c r="U643" s="137">
        <v>0</v>
      </c>
      <c r="V643" s="137">
        <v>0</v>
      </c>
      <c r="W643" s="140" t="s">
        <v>1609</v>
      </c>
      <c r="X643" s="56">
        <f t="shared" ref="X643:X706" si="20">COUNTIF(P643:V643,0)</f>
        <v>7</v>
      </c>
      <c r="Y643" s="56" t="str">
        <f t="shared" ref="Y643:Y706" si="21">IF(X643&gt;1,"NO LOGUEO","LOGUEO")</f>
        <v>NO LOGUEO</v>
      </c>
    </row>
    <row r="644" spans="1:25" ht="15" x14ac:dyDescent="0.25">
      <c r="A644" s="136" t="s">
        <v>497</v>
      </c>
      <c r="B644" s="137">
        <v>0</v>
      </c>
      <c r="C644" s="137">
        <v>5.59</v>
      </c>
      <c r="D644" s="137">
        <v>6.84</v>
      </c>
      <c r="E644" s="137">
        <v>6.0198999999999998</v>
      </c>
      <c r="F644" s="137">
        <v>1.87</v>
      </c>
      <c r="G644" s="137">
        <v>6.41</v>
      </c>
      <c r="H644" s="137">
        <v>6.29</v>
      </c>
      <c r="I644" s="137">
        <v>0</v>
      </c>
      <c r="J644" s="137">
        <v>5.66</v>
      </c>
      <c r="K644" s="137">
        <v>6.3799000000000001</v>
      </c>
      <c r="L644" s="137">
        <v>6.3998999999999997</v>
      </c>
      <c r="M644" s="137">
        <v>6.4398999999999997</v>
      </c>
      <c r="N644" s="137">
        <v>11.17</v>
      </c>
      <c r="O644" s="137">
        <v>8.2200000000000006</v>
      </c>
      <c r="P644" s="137">
        <v>4.8</v>
      </c>
      <c r="Q644" s="137">
        <v>7.48</v>
      </c>
      <c r="R644" s="137">
        <v>11.89</v>
      </c>
      <c r="S644" s="137">
        <v>8.09</v>
      </c>
      <c r="T644" s="137">
        <v>7.43</v>
      </c>
      <c r="U644" s="137">
        <v>12.479900000000001</v>
      </c>
      <c r="V644" s="137">
        <v>5.5698999999999996</v>
      </c>
      <c r="W644" s="140">
        <v>14123246</v>
      </c>
      <c r="X644" s="56">
        <f t="shared" si="20"/>
        <v>0</v>
      </c>
      <c r="Y644" s="56" t="str">
        <f t="shared" si="21"/>
        <v>LOGUEO</v>
      </c>
    </row>
    <row r="645" spans="1:25" ht="15" x14ac:dyDescent="0.25">
      <c r="A645" s="136" t="s">
        <v>1913</v>
      </c>
      <c r="B645" s="137">
        <v>0</v>
      </c>
      <c r="C645" s="137">
        <v>0</v>
      </c>
      <c r="D645" s="137">
        <v>0</v>
      </c>
      <c r="E645" s="137">
        <v>0</v>
      </c>
      <c r="F645" s="137">
        <v>0</v>
      </c>
      <c r="G645" s="137">
        <v>0</v>
      </c>
      <c r="H645" s="137">
        <v>0</v>
      </c>
      <c r="I645" s="137">
        <v>0</v>
      </c>
      <c r="J645" s="137">
        <v>0</v>
      </c>
      <c r="K645" s="137">
        <v>0</v>
      </c>
      <c r="L645" s="137">
        <v>0</v>
      </c>
      <c r="M645" s="137">
        <v>0</v>
      </c>
      <c r="N645" s="137">
        <v>0</v>
      </c>
      <c r="O645" s="137">
        <v>0</v>
      </c>
      <c r="P645" s="137">
        <v>0</v>
      </c>
      <c r="Q645" s="137">
        <v>0</v>
      </c>
      <c r="R645" s="137">
        <v>0</v>
      </c>
      <c r="S645" s="137">
        <v>0</v>
      </c>
      <c r="T645" s="137">
        <v>0</v>
      </c>
      <c r="U645" s="137">
        <v>0</v>
      </c>
      <c r="V645" s="137">
        <v>0</v>
      </c>
      <c r="W645" s="140" t="s">
        <v>1609</v>
      </c>
      <c r="X645" s="56">
        <f t="shared" si="20"/>
        <v>7</v>
      </c>
      <c r="Y645" s="56" t="str">
        <f t="shared" si="21"/>
        <v>NO LOGUEO</v>
      </c>
    </row>
    <row r="646" spans="1:25" ht="15" x14ac:dyDescent="0.25">
      <c r="A646" s="136" t="s">
        <v>2392</v>
      </c>
      <c r="B646" s="137">
        <v>2.88</v>
      </c>
      <c r="C646" s="137">
        <v>6.02</v>
      </c>
      <c r="D646" s="137">
        <v>7.01</v>
      </c>
      <c r="E646" s="137">
        <v>6.86</v>
      </c>
      <c r="F646" s="137">
        <v>1.3399000000000001</v>
      </c>
      <c r="G646" s="137">
        <v>7.21</v>
      </c>
      <c r="H646" s="137">
        <v>1.68</v>
      </c>
      <c r="I646" s="137">
        <v>4.3899999999999997</v>
      </c>
      <c r="J646" s="137">
        <v>5.57</v>
      </c>
      <c r="K646" s="137">
        <v>4.74</v>
      </c>
      <c r="L646" s="137">
        <v>6.8</v>
      </c>
      <c r="M646" s="137">
        <v>8.34</v>
      </c>
      <c r="N646" s="137">
        <v>6.4898999999999996</v>
      </c>
      <c r="O646" s="137">
        <v>7.63</v>
      </c>
      <c r="P646" s="137">
        <v>4.6498999999999997</v>
      </c>
      <c r="Q646" s="137">
        <v>5.7499000000000002</v>
      </c>
      <c r="R646" s="137">
        <v>7.42</v>
      </c>
      <c r="S646" s="137">
        <v>7.07</v>
      </c>
      <c r="T646" s="137">
        <v>7.05</v>
      </c>
      <c r="U646" s="137">
        <v>7.2</v>
      </c>
      <c r="V646" s="137">
        <v>6.3399000000000001</v>
      </c>
      <c r="W646" s="140" t="s">
        <v>1609</v>
      </c>
      <c r="X646" s="56">
        <f t="shared" si="20"/>
        <v>0</v>
      </c>
      <c r="Y646" s="56" t="str">
        <f t="shared" si="21"/>
        <v>LOGUEO</v>
      </c>
    </row>
    <row r="647" spans="1:25" ht="15" x14ac:dyDescent="0.25">
      <c r="A647" s="136" t="s">
        <v>132</v>
      </c>
      <c r="B647" s="137">
        <v>0</v>
      </c>
      <c r="C647" s="137">
        <v>0</v>
      </c>
      <c r="D647" s="137">
        <v>0</v>
      </c>
      <c r="E647" s="137">
        <v>0.62</v>
      </c>
      <c r="F647" s="137">
        <v>0</v>
      </c>
      <c r="G647" s="137">
        <v>10.71</v>
      </c>
      <c r="H647" s="137">
        <v>10.57</v>
      </c>
      <c r="I647" s="137">
        <v>9.33</v>
      </c>
      <c r="J647" s="137">
        <v>10.7499</v>
      </c>
      <c r="K647" s="137">
        <v>0</v>
      </c>
      <c r="L647" s="137">
        <v>9.8699999999999992</v>
      </c>
      <c r="M647" s="137">
        <v>9.34</v>
      </c>
      <c r="N647" s="137">
        <v>10.979900000000001</v>
      </c>
      <c r="O647" s="137">
        <v>10.53</v>
      </c>
      <c r="P647" s="137">
        <v>9.66</v>
      </c>
      <c r="Q647" s="137">
        <v>9.09</v>
      </c>
      <c r="R647" s="137">
        <v>10.42</v>
      </c>
      <c r="S647" s="137">
        <v>10.4</v>
      </c>
      <c r="T647" s="137">
        <v>11.75</v>
      </c>
      <c r="U647" s="137">
        <v>0</v>
      </c>
      <c r="V647" s="137">
        <v>10.54</v>
      </c>
      <c r="W647" s="140">
        <v>14113837</v>
      </c>
      <c r="X647" s="56">
        <f t="shared" si="20"/>
        <v>1</v>
      </c>
      <c r="Y647" s="56" t="str">
        <f t="shared" si="21"/>
        <v>LOGUEO</v>
      </c>
    </row>
    <row r="648" spans="1:25" ht="15" x14ac:dyDescent="0.25">
      <c r="A648" s="136" t="s">
        <v>1179</v>
      </c>
      <c r="B648" s="137">
        <v>5.6498999999999997</v>
      </c>
      <c r="C648" s="137">
        <v>9.24</v>
      </c>
      <c r="D648" s="137">
        <v>8.66</v>
      </c>
      <c r="E648" s="137">
        <v>3.93</v>
      </c>
      <c r="F648" s="137">
        <v>0</v>
      </c>
      <c r="G648" s="137">
        <v>0</v>
      </c>
      <c r="H648" s="137">
        <v>0</v>
      </c>
      <c r="I648" s="137">
        <v>2.2000000000000002</v>
      </c>
      <c r="J648" s="137">
        <v>9.18</v>
      </c>
      <c r="K648" s="137">
        <v>4.8099999999999996</v>
      </c>
      <c r="L648" s="137">
        <v>6.14</v>
      </c>
      <c r="M648" s="137">
        <v>7</v>
      </c>
      <c r="N648" s="137">
        <v>9.17</v>
      </c>
      <c r="O648" s="137">
        <v>0</v>
      </c>
      <c r="P648" s="137">
        <v>4.25</v>
      </c>
      <c r="Q648" s="137">
        <v>9.33</v>
      </c>
      <c r="R648" s="137">
        <v>2.34</v>
      </c>
      <c r="S648" s="137">
        <v>9.01</v>
      </c>
      <c r="T648" s="137">
        <v>0</v>
      </c>
      <c r="U648" s="137">
        <v>9.94</v>
      </c>
      <c r="V648" s="137">
        <v>2.67</v>
      </c>
      <c r="W648" s="140">
        <v>14109802</v>
      </c>
      <c r="X648" s="56">
        <f t="shared" si="20"/>
        <v>1</v>
      </c>
      <c r="Y648" s="56" t="str">
        <f t="shared" si="21"/>
        <v>LOGUEO</v>
      </c>
    </row>
    <row r="649" spans="1:25" ht="15" x14ac:dyDescent="0.25">
      <c r="A649" s="136" t="s">
        <v>413</v>
      </c>
      <c r="B649" s="137">
        <v>5.14</v>
      </c>
      <c r="C649" s="137">
        <v>6.42</v>
      </c>
      <c r="D649" s="137">
        <v>6.09</v>
      </c>
      <c r="E649" s="137">
        <v>6.92</v>
      </c>
      <c r="F649" s="137">
        <v>1.55</v>
      </c>
      <c r="G649" s="137">
        <v>7.39</v>
      </c>
      <c r="H649" s="137">
        <v>6.57</v>
      </c>
      <c r="I649" s="137">
        <v>4.05</v>
      </c>
      <c r="J649" s="137">
        <v>6.3699000000000003</v>
      </c>
      <c r="K649" s="137">
        <v>7.22</v>
      </c>
      <c r="L649" s="137">
        <v>6.82</v>
      </c>
      <c r="M649" s="137">
        <v>6.09</v>
      </c>
      <c r="N649" s="137">
        <v>7.8998999999999997</v>
      </c>
      <c r="O649" s="137">
        <v>7.1798999999999999</v>
      </c>
      <c r="P649" s="137">
        <v>3.2299000000000002</v>
      </c>
      <c r="Q649" s="137">
        <v>6.1098999999999997</v>
      </c>
      <c r="R649" s="137">
        <v>2.19</v>
      </c>
      <c r="S649" s="137">
        <v>8.7199000000000009</v>
      </c>
      <c r="T649" s="137">
        <v>7.08</v>
      </c>
      <c r="U649" s="137">
        <v>7.08</v>
      </c>
      <c r="V649" s="137">
        <v>7</v>
      </c>
      <c r="W649" s="140">
        <v>14122330</v>
      </c>
      <c r="X649" s="56">
        <f t="shared" si="20"/>
        <v>0</v>
      </c>
      <c r="Y649" s="56" t="str">
        <f t="shared" si="21"/>
        <v>LOGUEO</v>
      </c>
    </row>
    <row r="650" spans="1:25" ht="15" x14ac:dyDescent="0.25">
      <c r="A650" s="136" t="s">
        <v>307</v>
      </c>
      <c r="B650" s="137">
        <v>0</v>
      </c>
      <c r="C650" s="137">
        <v>8.5398999999999994</v>
      </c>
      <c r="D650" s="137">
        <v>2.83</v>
      </c>
      <c r="E650" s="137">
        <v>4.43</v>
      </c>
      <c r="F650" s="137">
        <v>7.87</v>
      </c>
      <c r="G650" s="137">
        <v>3.8298999999999999</v>
      </c>
      <c r="H650" s="137">
        <v>3.19</v>
      </c>
      <c r="I650" s="137">
        <v>7.72</v>
      </c>
      <c r="J650" s="137">
        <v>10.72</v>
      </c>
      <c r="K650" s="137">
        <v>7.27</v>
      </c>
      <c r="L650" s="137">
        <v>2.75</v>
      </c>
      <c r="M650" s="137">
        <v>2.82</v>
      </c>
      <c r="N650" s="137">
        <v>6.69</v>
      </c>
      <c r="O650" s="137">
        <v>6.1498999999999997</v>
      </c>
      <c r="P650" s="137">
        <v>0</v>
      </c>
      <c r="Q650" s="137">
        <v>8.9499999999999993</v>
      </c>
      <c r="R650" s="137">
        <v>2.65</v>
      </c>
      <c r="S650" s="137">
        <v>4.75</v>
      </c>
      <c r="T650" s="137">
        <v>6.07</v>
      </c>
      <c r="U650" s="137">
        <v>2.66</v>
      </c>
      <c r="V650" s="137">
        <v>9.42</v>
      </c>
      <c r="W650" s="140">
        <v>14120885</v>
      </c>
      <c r="X650" s="56">
        <f t="shared" si="20"/>
        <v>1</v>
      </c>
      <c r="Y650" s="56" t="str">
        <f t="shared" si="21"/>
        <v>LOGUEO</v>
      </c>
    </row>
    <row r="651" spans="1:25" ht="15" x14ac:dyDescent="0.25">
      <c r="A651" s="136" t="s">
        <v>1997</v>
      </c>
      <c r="B651" s="137">
        <v>0</v>
      </c>
      <c r="C651" s="137">
        <v>0</v>
      </c>
      <c r="D651" s="137">
        <v>0</v>
      </c>
      <c r="E651" s="137">
        <v>0</v>
      </c>
      <c r="F651" s="137">
        <v>0</v>
      </c>
      <c r="G651" s="137">
        <v>0</v>
      </c>
      <c r="H651" s="137">
        <v>0</v>
      </c>
      <c r="I651" s="137">
        <v>0</v>
      </c>
      <c r="J651" s="137">
        <v>0</v>
      </c>
      <c r="K651" s="137">
        <v>0</v>
      </c>
      <c r="L651" s="137">
        <v>0</v>
      </c>
      <c r="M651" s="137">
        <v>0</v>
      </c>
      <c r="N651" s="137">
        <v>0</v>
      </c>
      <c r="O651" s="137">
        <v>0</v>
      </c>
      <c r="P651" s="137">
        <v>0</v>
      </c>
      <c r="Q651" s="137">
        <v>0</v>
      </c>
      <c r="R651" s="137">
        <v>0</v>
      </c>
      <c r="S651" s="137">
        <v>0</v>
      </c>
      <c r="T651" s="137">
        <v>0</v>
      </c>
      <c r="U651" s="137">
        <v>0</v>
      </c>
      <c r="V651" s="137">
        <v>0</v>
      </c>
      <c r="W651" s="140" t="s">
        <v>1609</v>
      </c>
      <c r="X651" s="56">
        <f t="shared" si="20"/>
        <v>7</v>
      </c>
      <c r="Y651" s="56" t="str">
        <f t="shared" si="21"/>
        <v>NO LOGUEO</v>
      </c>
    </row>
    <row r="652" spans="1:25" ht="15" x14ac:dyDescent="0.25">
      <c r="A652" s="136" t="s">
        <v>2568</v>
      </c>
      <c r="B652" s="137">
        <v>2.72</v>
      </c>
      <c r="C652" s="137">
        <v>0</v>
      </c>
      <c r="D652" s="137">
        <v>0</v>
      </c>
      <c r="E652" s="137">
        <v>0</v>
      </c>
      <c r="F652" s="137">
        <v>0</v>
      </c>
      <c r="G652" s="137">
        <v>0</v>
      </c>
      <c r="H652" s="137">
        <v>0</v>
      </c>
      <c r="I652" s="137">
        <v>0</v>
      </c>
      <c r="J652" s="137">
        <v>0</v>
      </c>
      <c r="K652" s="137">
        <v>0</v>
      </c>
      <c r="L652" s="137">
        <v>0</v>
      </c>
      <c r="M652" s="137">
        <v>0</v>
      </c>
      <c r="N652" s="137">
        <v>2.63</v>
      </c>
      <c r="O652" s="137">
        <v>0.4</v>
      </c>
      <c r="P652" s="137">
        <v>0</v>
      </c>
      <c r="Q652" s="137">
        <v>0</v>
      </c>
      <c r="R652" s="137">
        <v>0</v>
      </c>
      <c r="S652" s="137">
        <v>0</v>
      </c>
      <c r="T652" s="137">
        <v>0</v>
      </c>
      <c r="U652" s="137">
        <v>0</v>
      </c>
      <c r="V652" s="137">
        <v>0</v>
      </c>
      <c r="W652" s="140" t="s">
        <v>1609</v>
      </c>
      <c r="X652" s="56">
        <f t="shared" si="20"/>
        <v>7</v>
      </c>
      <c r="Y652" s="56" t="str">
        <f t="shared" si="21"/>
        <v>NO LOGUEO</v>
      </c>
    </row>
    <row r="653" spans="1:25" ht="15" x14ac:dyDescent="0.25">
      <c r="A653" s="136" t="s">
        <v>1998</v>
      </c>
      <c r="B653" s="137">
        <v>5.08</v>
      </c>
      <c r="C653" s="137">
        <v>10.289899999999999</v>
      </c>
      <c r="D653" s="137">
        <v>10.039899999999999</v>
      </c>
      <c r="E653" s="137">
        <v>7.08</v>
      </c>
      <c r="F653" s="137">
        <v>1.27</v>
      </c>
      <c r="G653" s="137">
        <v>8.44</v>
      </c>
      <c r="H653" s="137">
        <v>8.39</v>
      </c>
      <c r="I653" s="137">
        <v>7.46</v>
      </c>
      <c r="J653" s="137">
        <v>7.84</v>
      </c>
      <c r="K653" s="137">
        <v>0</v>
      </c>
      <c r="L653" s="137">
        <v>3.0198999999999998</v>
      </c>
      <c r="M653" s="137">
        <v>9.73</v>
      </c>
      <c r="N653" s="137">
        <v>9.99</v>
      </c>
      <c r="O653" s="137">
        <v>11.36</v>
      </c>
      <c r="P653" s="137">
        <v>7.06</v>
      </c>
      <c r="Q653" s="137">
        <v>5.57</v>
      </c>
      <c r="R653" s="137">
        <v>11.47</v>
      </c>
      <c r="S653" s="137">
        <v>10.88</v>
      </c>
      <c r="T653" s="137">
        <v>0.52</v>
      </c>
      <c r="U653" s="137">
        <v>2.1598999999999999</v>
      </c>
      <c r="V653" s="137">
        <v>6.39</v>
      </c>
      <c r="W653" s="140" t="s">
        <v>1609</v>
      </c>
      <c r="X653" s="56">
        <f t="shared" si="20"/>
        <v>0</v>
      </c>
      <c r="Y653" s="56" t="str">
        <f t="shared" si="21"/>
        <v>LOGUEO</v>
      </c>
    </row>
    <row r="654" spans="1:25" ht="15" x14ac:dyDescent="0.25">
      <c r="A654" s="136" t="s">
        <v>1896</v>
      </c>
      <c r="B654" s="137">
        <v>0</v>
      </c>
      <c r="C654" s="137">
        <v>0</v>
      </c>
      <c r="D654" s="137">
        <v>0</v>
      </c>
      <c r="E654" s="137">
        <v>0</v>
      </c>
      <c r="F654" s="137">
        <v>0</v>
      </c>
      <c r="G654" s="137">
        <v>0</v>
      </c>
      <c r="H654" s="137">
        <v>0</v>
      </c>
      <c r="I654" s="137">
        <v>0</v>
      </c>
      <c r="J654" s="137">
        <v>0</v>
      </c>
      <c r="K654" s="137">
        <v>0</v>
      </c>
      <c r="L654" s="137">
        <v>0</v>
      </c>
      <c r="M654" s="137">
        <v>0</v>
      </c>
      <c r="N654" s="137">
        <v>0</v>
      </c>
      <c r="O654" s="137">
        <v>0</v>
      </c>
      <c r="P654" s="137">
        <v>0</v>
      </c>
      <c r="Q654" s="137">
        <v>0</v>
      </c>
      <c r="R654" s="137">
        <v>0</v>
      </c>
      <c r="S654" s="137">
        <v>0</v>
      </c>
      <c r="T654" s="137">
        <v>0</v>
      </c>
      <c r="U654" s="137">
        <v>0</v>
      </c>
      <c r="V654" s="137">
        <v>0</v>
      </c>
      <c r="W654" s="140" t="s">
        <v>1609</v>
      </c>
      <c r="X654" s="56">
        <f t="shared" si="20"/>
        <v>7</v>
      </c>
      <c r="Y654" s="56" t="str">
        <f t="shared" si="21"/>
        <v>NO LOGUEO</v>
      </c>
    </row>
    <row r="655" spans="1:25" ht="15" x14ac:dyDescent="0.25">
      <c r="A655" s="136" t="s">
        <v>2031</v>
      </c>
      <c r="B655" s="137">
        <v>3.83</v>
      </c>
      <c r="C655" s="137">
        <v>7.85</v>
      </c>
      <c r="D655" s="137">
        <v>5.86</v>
      </c>
      <c r="E655" s="137">
        <v>5.13</v>
      </c>
      <c r="F655" s="137">
        <v>1.3798999999999999</v>
      </c>
      <c r="G655" s="137">
        <v>6.78</v>
      </c>
      <c r="H655" s="137">
        <v>7.03</v>
      </c>
      <c r="I655" s="137">
        <v>4.0999999999999996</v>
      </c>
      <c r="J655" s="137">
        <v>6.2199</v>
      </c>
      <c r="K655" s="137">
        <v>6.33</v>
      </c>
      <c r="L655" s="137">
        <v>5.78</v>
      </c>
      <c r="M655" s="137">
        <v>6.08</v>
      </c>
      <c r="N655" s="137">
        <v>7.35</v>
      </c>
      <c r="O655" s="137">
        <v>2.1800000000000002</v>
      </c>
      <c r="P655" s="137">
        <v>4.66</v>
      </c>
      <c r="Q655" s="137">
        <v>6.46</v>
      </c>
      <c r="R655" s="137">
        <v>7.32</v>
      </c>
      <c r="S655" s="137">
        <v>5.49</v>
      </c>
      <c r="T655" s="137">
        <v>5.3</v>
      </c>
      <c r="U655" s="137">
        <v>7.66</v>
      </c>
      <c r="V655" s="137">
        <v>5.38</v>
      </c>
      <c r="W655" s="140" t="s">
        <v>1609</v>
      </c>
      <c r="X655" s="56">
        <f t="shared" si="20"/>
        <v>0</v>
      </c>
      <c r="Y655" s="56" t="str">
        <f t="shared" si="21"/>
        <v>LOGUEO</v>
      </c>
    </row>
    <row r="656" spans="1:25" ht="15" x14ac:dyDescent="0.25">
      <c r="A656" s="136" t="s">
        <v>1883</v>
      </c>
      <c r="B656" s="137">
        <v>0</v>
      </c>
      <c r="C656" s="137">
        <v>0</v>
      </c>
      <c r="D656" s="137">
        <v>0</v>
      </c>
      <c r="E656" s="137">
        <v>0</v>
      </c>
      <c r="F656" s="137">
        <v>0</v>
      </c>
      <c r="G656" s="137">
        <v>0</v>
      </c>
      <c r="H656" s="137">
        <v>0</v>
      </c>
      <c r="I656" s="137">
        <v>0</v>
      </c>
      <c r="J656" s="137">
        <v>0</v>
      </c>
      <c r="K656" s="137">
        <v>0</v>
      </c>
      <c r="L656" s="137">
        <v>0</v>
      </c>
      <c r="M656" s="137">
        <v>0</v>
      </c>
      <c r="N656" s="137">
        <v>0</v>
      </c>
      <c r="O656" s="137">
        <v>0</v>
      </c>
      <c r="P656" s="137">
        <v>0</v>
      </c>
      <c r="Q656" s="137">
        <v>0</v>
      </c>
      <c r="R656" s="137">
        <v>0</v>
      </c>
      <c r="S656" s="137">
        <v>0</v>
      </c>
      <c r="T656" s="137">
        <v>0</v>
      </c>
      <c r="U656" s="137">
        <v>0</v>
      </c>
      <c r="V656" s="137">
        <v>0</v>
      </c>
      <c r="W656" s="140" t="s">
        <v>1609</v>
      </c>
      <c r="X656" s="56">
        <f t="shared" si="20"/>
        <v>7</v>
      </c>
      <c r="Y656" s="56" t="str">
        <f t="shared" si="21"/>
        <v>NO LOGUEO</v>
      </c>
    </row>
    <row r="657" spans="1:25" ht="15" x14ac:dyDescent="0.25">
      <c r="A657" s="136" t="s">
        <v>3721</v>
      </c>
      <c r="B657" s="137">
        <v>0</v>
      </c>
      <c r="C657" s="137">
        <v>0</v>
      </c>
      <c r="D657" s="137">
        <v>0</v>
      </c>
      <c r="E657" s="137">
        <v>0</v>
      </c>
      <c r="F657" s="137">
        <v>0</v>
      </c>
      <c r="G657" s="137">
        <v>0</v>
      </c>
      <c r="H657" s="137">
        <v>0</v>
      </c>
      <c r="I657" s="137">
        <v>0</v>
      </c>
      <c r="J657" s="137">
        <v>0</v>
      </c>
      <c r="K657" s="137">
        <v>0</v>
      </c>
      <c r="L657" s="137">
        <v>0</v>
      </c>
      <c r="M657" s="137">
        <v>0</v>
      </c>
      <c r="N657" s="137">
        <v>2.5499999999999998</v>
      </c>
      <c r="O657" s="137">
        <v>1.87</v>
      </c>
      <c r="P657" s="137">
        <v>0</v>
      </c>
      <c r="Q657" s="137">
        <v>0</v>
      </c>
      <c r="R657" s="137">
        <v>0</v>
      </c>
      <c r="S657" s="137">
        <v>0</v>
      </c>
      <c r="T657" s="137">
        <v>0</v>
      </c>
      <c r="U657" s="137">
        <v>0</v>
      </c>
      <c r="V657" s="137">
        <v>0</v>
      </c>
      <c r="W657" s="140" t="s">
        <v>1609</v>
      </c>
      <c r="X657" s="56">
        <f t="shared" si="20"/>
        <v>7</v>
      </c>
      <c r="Y657" s="56" t="str">
        <f t="shared" si="21"/>
        <v>NO LOGUEO</v>
      </c>
    </row>
    <row r="658" spans="1:25" ht="15" x14ac:dyDescent="0.25">
      <c r="A658" s="136" t="s">
        <v>541</v>
      </c>
      <c r="B658" s="137">
        <v>0</v>
      </c>
      <c r="C658" s="137">
        <v>13.05</v>
      </c>
      <c r="D658" s="137">
        <v>13.23</v>
      </c>
      <c r="E658" s="137">
        <v>15.59</v>
      </c>
      <c r="F658" s="137">
        <v>11.23</v>
      </c>
      <c r="G658" s="137">
        <v>13.5899</v>
      </c>
      <c r="H658" s="137">
        <v>9.4598999999999993</v>
      </c>
      <c r="I658" s="137">
        <v>0.32</v>
      </c>
      <c r="J658" s="137">
        <v>10.07</v>
      </c>
      <c r="K658" s="137">
        <v>13.18</v>
      </c>
      <c r="L658" s="137">
        <v>8.08</v>
      </c>
      <c r="M658" s="137">
        <v>12.79</v>
      </c>
      <c r="N658" s="137">
        <v>10.77</v>
      </c>
      <c r="O658" s="137">
        <v>13.38</v>
      </c>
      <c r="P658" s="137">
        <v>0</v>
      </c>
      <c r="Q658" s="137">
        <v>8.6399000000000008</v>
      </c>
      <c r="R658" s="137">
        <v>11.17</v>
      </c>
      <c r="S658" s="137">
        <v>13.37</v>
      </c>
      <c r="T658" s="137">
        <v>11.18</v>
      </c>
      <c r="U658" s="137">
        <v>13.8</v>
      </c>
      <c r="V658" s="137">
        <v>10.44</v>
      </c>
      <c r="W658" s="140" t="s">
        <v>1609</v>
      </c>
      <c r="X658" s="56">
        <f t="shared" si="20"/>
        <v>1</v>
      </c>
      <c r="Y658" s="56" t="str">
        <f t="shared" si="21"/>
        <v>LOGUEO</v>
      </c>
    </row>
    <row r="659" spans="1:25" ht="15" x14ac:dyDescent="0.25">
      <c r="A659" s="136" t="s">
        <v>392</v>
      </c>
      <c r="B659" s="137">
        <v>2.25</v>
      </c>
      <c r="C659" s="137">
        <v>8.08</v>
      </c>
      <c r="D659" s="137">
        <v>8.18</v>
      </c>
      <c r="E659" s="137">
        <v>8.8699999999999992</v>
      </c>
      <c r="F659" s="137">
        <v>1.78</v>
      </c>
      <c r="G659" s="137">
        <v>8.58</v>
      </c>
      <c r="H659" s="137">
        <v>7.17</v>
      </c>
      <c r="I659" s="137">
        <v>2.1798999999999999</v>
      </c>
      <c r="J659" s="137">
        <v>6.99</v>
      </c>
      <c r="K659" s="137">
        <v>7.38</v>
      </c>
      <c r="L659" s="137">
        <v>9.31</v>
      </c>
      <c r="M659" s="137">
        <v>5.72</v>
      </c>
      <c r="N659" s="137">
        <v>7.9</v>
      </c>
      <c r="O659" s="137">
        <v>8.06</v>
      </c>
      <c r="P659" s="137">
        <v>4.42</v>
      </c>
      <c r="Q659" s="137">
        <v>8.68</v>
      </c>
      <c r="R659" s="137">
        <v>7</v>
      </c>
      <c r="S659" s="137">
        <v>7.03</v>
      </c>
      <c r="T659" s="137">
        <v>7.77</v>
      </c>
      <c r="U659" s="137">
        <v>7.68</v>
      </c>
      <c r="V659" s="137">
        <v>9.36</v>
      </c>
      <c r="W659" s="140">
        <v>14122136</v>
      </c>
      <c r="X659" s="56">
        <f t="shared" si="20"/>
        <v>0</v>
      </c>
      <c r="Y659" s="56" t="str">
        <f t="shared" si="21"/>
        <v>LOGUEO</v>
      </c>
    </row>
    <row r="660" spans="1:25" ht="15" x14ac:dyDescent="0.25">
      <c r="A660" s="136" t="s">
        <v>1845</v>
      </c>
      <c r="B660" s="137">
        <v>1.93</v>
      </c>
      <c r="C660" s="137">
        <v>4.6500000000000004</v>
      </c>
      <c r="D660" s="137">
        <v>2</v>
      </c>
      <c r="E660" s="137">
        <v>4.5999999999999996</v>
      </c>
      <c r="F660" s="137">
        <v>1.95</v>
      </c>
      <c r="G660" s="137">
        <v>4.5999999999999996</v>
      </c>
      <c r="H660" s="137">
        <v>2.68</v>
      </c>
      <c r="I660" s="137">
        <v>5.32</v>
      </c>
      <c r="J660" s="137">
        <v>2.04</v>
      </c>
      <c r="K660" s="137">
        <v>4.7698999999999998</v>
      </c>
      <c r="L660" s="137">
        <v>2.15</v>
      </c>
      <c r="M660" s="137">
        <v>4.59</v>
      </c>
      <c r="N660" s="137">
        <v>2.84</v>
      </c>
      <c r="O660" s="137">
        <v>4.4800000000000004</v>
      </c>
      <c r="P660" s="137">
        <v>0</v>
      </c>
      <c r="Q660" s="137">
        <v>4.26</v>
      </c>
      <c r="R660" s="137">
        <v>2.99</v>
      </c>
      <c r="S660" s="137">
        <v>4.82</v>
      </c>
      <c r="T660" s="137">
        <v>2.15</v>
      </c>
      <c r="U660" s="137">
        <v>4.6399999999999997</v>
      </c>
      <c r="V660" s="137">
        <v>2.0299999999999998</v>
      </c>
      <c r="W660" s="140">
        <v>14115630</v>
      </c>
      <c r="X660" s="56">
        <f t="shared" si="20"/>
        <v>1</v>
      </c>
      <c r="Y660" s="56" t="str">
        <f t="shared" si="21"/>
        <v>LOGUEO</v>
      </c>
    </row>
    <row r="661" spans="1:25" ht="15" x14ac:dyDescent="0.25">
      <c r="A661" s="136" t="s">
        <v>1846</v>
      </c>
      <c r="B661" s="137">
        <v>7.51</v>
      </c>
      <c r="C661" s="137">
        <v>0</v>
      </c>
      <c r="D661" s="137">
        <v>10.84</v>
      </c>
      <c r="E661" s="137">
        <v>9.5299999999999994</v>
      </c>
      <c r="F661" s="137">
        <v>8.26</v>
      </c>
      <c r="G661" s="137">
        <v>8.2899999999999991</v>
      </c>
      <c r="H661" s="137">
        <v>9.4499999999999993</v>
      </c>
      <c r="I661" s="137">
        <v>7.7</v>
      </c>
      <c r="J661" s="137">
        <v>9.85</v>
      </c>
      <c r="K661" s="137">
        <v>8.57</v>
      </c>
      <c r="L661" s="137">
        <v>10.46</v>
      </c>
      <c r="M661" s="137">
        <v>9.66</v>
      </c>
      <c r="N661" s="137">
        <v>9.4600000000000009</v>
      </c>
      <c r="O661" s="137">
        <v>10.18</v>
      </c>
      <c r="P661" s="137">
        <v>7.59</v>
      </c>
      <c r="Q661" s="137">
        <v>0</v>
      </c>
      <c r="R661" s="137">
        <v>9.69</v>
      </c>
      <c r="S661" s="137">
        <v>9.3698999999999995</v>
      </c>
      <c r="T661" s="137">
        <v>9.9598999999999993</v>
      </c>
      <c r="U661" s="137">
        <v>8.2799999999999994</v>
      </c>
      <c r="V661" s="137">
        <v>9.41</v>
      </c>
      <c r="W661" s="140">
        <v>14110044</v>
      </c>
      <c r="X661" s="56">
        <f t="shared" si="20"/>
        <v>1</v>
      </c>
      <c r="Y661" s="56" t="str">
        <f t="shared" si="21"/>
        <v>LOGUEO</v>
      </c>
    </row>
    <row r="662" spans="1:25" ht="15" x14ac:dyDescent="0.25">
      <c r="A662" s="136" t="s">
        <v>38</v>
      </c>
      <c r="B662" s="137">
        <v>5.5598999999999998</v>
      </c>
      <c r="C662" s="137">
        <v>6.3</v>
      </c>
      <c r="D662" s="137">
        <v>5.64</v>
      </c>
      <c r="E662" s="137">
        <v>3.91</v>
      </c>
      <c r="F662" s="137">
        <v>0</v>
      </c>
      <c r="G662" s="137">
        <v>1.84</v>
      </c>
      <c r="H662" s="137">
        <v>7.2</v>
      </c>
      <c r="I662" s="137">
        <v>0</v>
      </c>
      <c r="J662" s="137">
        <v>0.18</v>
      </c>
      <c r="K662" s="137">
        <v>3.4799000000000002</v>
      </c>
      <c r="L662" s="137">
        <v>5.7698999999999998</v>
      </c>
      <c r="M662" s="137">
        <v>3.8298999999999999</v>
      </c>
      <c r="N662" s="137">
        <v>7.42</v>
      </c>
      <c r="O662" s="137">
        <v>4.17</v>
      </c>
      <c r="P662" s="137">
        <v>6.03</v>
      </c>
      <c r="Q662" s="137">
        <v>5.94</v>
      </c>
      <c r="R662" s="137">
        <v>7.95</v>
      </c>
      <c r="S662" s="137">
        <v>3.38</v>
      </c>
      <c r="T662" s="137">
        <v>6.07</v>
      </c>
      <c r="U662" s="137">
        <v>3.97</v>
      </c>
      <c r="V662" s="137">
        <v>5.71</v>
      </c>
      <c r="W662" s="140">
        <v>14103679</v>
      </c>
      <c r="X662" s="56">
        <f t="shared" si="20"/>
        <v>0</v>
      </c>
      <c r="Y662" s="56" t="str">
        <f t="shared" si="21"/>
        <v>LOGUEO</v>
      </c>
    </row>
    <row r="663" spans="1:25" ht="15" x14ac:dyDescent="0.25">
      <c r="A663" s="136" t="s">
        <v>1884</v>
      </c>
      <c r="B663" s="137">
        <v>0</v>
      </c>
      <c r="C663" s="137">
        <v>0</v>
      </c>
      <c r="D663" s="137">
        <v>0</v>
      </c>
      <c r="E663" s="137">
        <v>0</v>
      </c>
      <c r="F663" s="137">
        <v>0</v>
      </c>
      <c r="G663" s="137">
        <v>0</v>
      </c>
      <c r="H663" s="137">
        <v>0</v>
      </c>
      <c r="I663" s="137">
        <v>0</v>
      </c>
      <c r="J663" s="137">
        <v>0</v>
      </c>
      <c r="K663" s="137">
        <v>0</v>
      </c>
      <c r="L663" s="137">
        <v>0</v>
      </c>
      <c r="M663" s="137">
        <v>0</v>
      </c>
      <c r="N663" s="137">
        <v>0</v>
      </c>
      <c r="O663" s="137">
        <v>0</v>
      </c>
      <c r="P663" s="137">
        <v>0</v>
      </c>
      <c r="Q663" s="137">
        <v>0</v>
      </c>
      <c r="R663" s="137">
        <v>0</v>
      </c>
      <c r="S663" s="137">
        <v>0</v>
      </c>
      <c r="T663" s="137">
        <v>0</v>
      </c>
      <c r="U663" s="137">
        <v>0</v>
      </c>
      <c r="V663" s="137">
        <v>0</v>
      </c>
      <c r="W663" s="140" t="s">
        <v>1609</v>
      </c>
      <c r="X663" s="56">
        <f t="shared" si="20"/>
        <v>7</v>
      </c>
      <c r="Y663" s="56" t="str">
        <f t="shared" si="21"/>
        <v>NO LOGUEO</v>
      </c>
    </row>
    <row r="664" spans="1:25" ht="15" x14ac:dyDescent="0.25">
      <c r="A664" s="136" t="s">
        <v>1999</v>
      </c>
      <c r="B664" s="137">
        <v>0</v>
      </c>
      <c r="C664" s="137">
        <v>0</v>
      </c>
      <c r="D664" s="137">
        <v>0</v>
      </c>
      <c r="E664" s="137">
        <v>0</v>
      </c>
      <c r="F664" s="137">
        <v>0</v>
      </c>
      <c r="G664" s="137">
        <v>0</v>
      </c>
      <c r="H664" s="137">
        <v>0</v>
      </c>
      <c r="I664" s="137">
        <v>0</v>
      </c>
      <c r="J664" s="137">
        <v>0</v>
      </c>
      <c r="K664" s="137">
        <v>0</v>
      </c>
      <c r="L664" s="137">
        <v>0</v>
      </c>
      <c r="M664" s="137">
        <v>0</v>
      </c>
      <c r="N664" s="137">
        <v>0</v>
      </c>
      <c r="O664" s="137">
        <v>0</v>
      </c>
      <c r="P664" s="137">
        <v>0</v>
      </c>
      <c r="Q664" s="137">
        <v>0</v>
      </c>
      <c r="R664" s="137">
        <v>0</v>
      </c>
      <c r="S664" s="137">
        <v>0</v>
      </c>
      <c r="T664" s="137">
        <v>0</v>
      </c>
      <c r="U664" s="137">
        <v>0</v>
      </c>
      <c r="V664" s="137">
        <v>0</v>
      </c>
      <c r="W664" s="140" t="s">
        <v>1609</v>
      </c>
      <c r="X664" s="56">
        <f t="shared" si="20"/>
        <v>7</v>
      </c>
      <c r="Y664" s="56" t="str">
        <f t="shared" si="21"/>
        <v>NO LOGUEO</v>
      </c>
    </row>
    <row r="665" spans="1:25" ht="15" x14ac:dyDescent="0.25">
      <c r="A665" s="136" t="s">
        <v>1486</v>
      </c>
      <c r="B665" s="137">
        <v>0</v>
      </c>
      <c r="C665" s="137">
        <v>5.87</v>
      </c>
      <c r="D665" s="137">
        <v>7.03</v>
      </c>
      <c r="E665" s="137">
        <v>5.5799000000000003</v>
      </c>
      <c r="F665" s="137">
        <v>3.55</v>
      </c>
      <c r="G665" s="137">
        <v>5.31</v>
      </c>
      <c r="H665" s="137">
        <v>5.22</v>
      </c>
      <c r="I665" s="137">
        <v>5.76</v>
      </c>
      <c r="J665" s="137">
        <v>5.95</v>
      </c>
      <c r="K665" s="137">
        <v>1.48</v>
      </c>
      <c r="L665" s="137">
        <v>0</v>
      </c>
      <c r="M665" s="137">
        <v>4.37</v>
      </c>
      <c r="N665" s="137">
        <v>6.31</v>
      </c>
      <c r="O665" s="137">
        <v>3.92</v>
      </c>
      <c r="P665" s="137">
        <v>5.38</v>
      </c>
      <c r="Q665" s="137">
        <v>4.8099999999999996</v>
      </c>
      <c r="R665" s="137">
        <v>7.19</v>
      </c>
      <c r="S665" s="137">
        <v>5.8</v>
      </c>
      <c r="T665" s="137">
        <v>5.91</v>
      </c>
      <c r="U665" s="137">
        <v>4.3198999999999996</v>
      </c>
      <c r="V665" s="137">
        <v>5.5</v>
      </c>
      <c r="W665" s="140" t="s">
        <v>1609</v>
      </c>
      <c r="X665" s="56">
        <f t="shared" si="20"/>
        <v>0</v>
      </c>
      <c r="Y665" s="56" t="str">
        <f t="shared" si="21"/>
        <v>LOGUEO</v>
      </c>
    </row>
    <row r="666" spans="1:25" ht="15" x14ac:dyDescent="0.25">
      <c r="A666" s="136" t="s">
        <v>2032</v>
      </c>
      <c r="B666" s="137">
        <v>0</v>
      </c>
      <c r="C666" s="137">
        <v>0</v>
      </c>
      <c r="D666" s="137">
        <v>0</v>
      </c>
      <c r="E666" s="137">
        <v>0</v>
      </c>
      <c r="F666" s="137">
        <v>0</v>
      </c>
      <c r="G666" s="137">
        <v>0</v>
      </c>
      <c r="H666" s="137">
        <v>0</v>
      </c>
      <c r="I666" s="137">
        <v>0</v>
      </c>
      <c r="J666" s="137">
        <v>0</v>
      </c>
      <c r="K666" s="137">
        <v>0</v>
      </c>
      <c r="L666" s="137">
        <v>0</v>
      </c>
      <c r="M666" s="137">
        <v>0</v>
      </c>
      <c r="N666" s="137">
        <v>0</v>
      </c>
      <c r="O666" s="137">
        <v>0</v>
      </c>
      <c r="P666" s="137">
        <v>0</v>
      </c>
      <c r="Q666" s="137">
        <v>0</v>
      </c>
      <c r="R666" s="137">
        <v>0</v>
      </c>
      <c r="S666" s="137">
        <v>0</v>
      </c>
      <c r="T666" s="137">
        <v>0</v>
      </c>
      <c r="U666" s="137">
        <v>0</v>
      </c>
      <c r="V666" s="137">
        <v>0</v>
      </c>
      <c r="W666" s="140" t="s">
        <v>1609</v>
      </c>
      <c r="X666" s="56">
        <f t="shared" si="20"/>
        <v>7</v>
      </c>
      <c r="Y666" s="56" t="str">
        <f t="shared" si="21"/>
        <v>NO LOGUEO</v>
      </c>
    </row>
    <row r="667" spans="1:25" ht="15" x14ac:dyDescent="0.25">
      <c r="A667" s="136" t="s">
        <v>2400</v>
      </c>
      <c r="B667" s="137">
        <v>4.7698999999999998</v>
      </c>
      <c r="C667" s="137">
        <v>9.1999999999999993</v>
      </c>
      <c r="D667" s="137">
        <v>10.78</v>
      </c>
      <c r="E667" s="137">
        <v>9.0299999999999994</v>
      </c>
      <c r="F667" s="137">
        <v>5.3598999999999997</v>
      </c>
      <c r="G667" s="137">
        <v>0</v>
      </c>
      <c r="H667" s="137">
        <v>9.59</v>
      </c>
      <c r="I667" s="137">
        <v>7.74</v>
      </c>
      <c r="J667" s="137">
        <v>9.4799000000000007</v>
      </c>
      <c r="K667" s="137">
        <v>10.0799</v>
      </c>
      <c r="L667" s="137">
        <v>10.65</v>
      </c>
      <c r="M667" s="137">
        <v>11.03</v>
      </c>
      <c r="N667" s="137">
        <v>8.42</v>
      </c>
      <c r="O667" s="137">
        <v>10.4999</v>
      </c>
      <c r="P667" s="137">
        <v>8.66</v>
      </c>
      <c r="Q667" s="137">
        <v>8.43</v>
      </c>
      <c r="R667" s="137">
        <v>5.26</v>
      </c>
      <c r="S667" s="137">
        <v>0</v>
      </c>
      <c r="T667" s="137">
        <v>8.58</v>
      </c>
      <c r="U667" s="137">
        <v>9</v>
      </c>
      <c r="V667" s="137">
        <v>9.1</v>
      </c>
      <c r="W667" s="140" t="s">
        <v>1609</v>
      </c>
      <c r="X667" s="56">
        <f t="shared" si="20"/>
        <v>1</v>
      </c>
      <c r="Y667" s="56" t="str">
        <f t="shared" si="21"/>
        <v>LOGUEO</v>
      </c>
    </row>
    <row r="668" spans="1:25" ht="15" x14ac:dyDescent="0.25">
      <c r="A668" s="136" t="s">
        <v>267</v>
      </c>
      <c r="B668" s="137">
        <v>0</v>
      </c>
      <c r="C668" s="137">
        <v>0</v>
      </c>
      <c r="D668" s="137">
        <v>4.8998999999999997</v>
      </c>
      <c r="E668" s="137">
        <v>6.92</v>
      </c>
      <c r="F668" s="137">
        <v>3.98</v>
      </c>
      <c r="G668" s="137">
        <v>5</v>
      </c>
      <c r="H668" s="137">
        <v>6.75</v>
      </c>
      <c r="I668" s="137">
        <v>5.2698999999999998</v>
      </c>
      <c r="J668" s="137">
        <v>0</v>
      </c>
      <c r="K668" s="137">
        <v>3.05</v>
      </c>
      <c r="L668" s="137">
        <v>10.049899999999999</v>
      </c>
      <c r="M668" s="137">
        <v>8.16</v>
      </c>
      <c r="N668" s="137">
        <v>7.19</v>
      </c>
      <c r="O668" s="137">
        <v>5.4</v>
      </c>
      <c r="P668" s="137">
        <v>7.71</v>
      </c>
      <c r="Q668" s="137">
        <v>0</v>
      </c>
      <c r="R668" s="137">
        <v>2.4</v>
      </c>
      <c r="S668" s="137">
        <v>0</v>
      </c>
      <c r="T668" s="137">
        <v>5.82</v>
      </c>
      <c r="U668" s="137">
        <v>3.21</v>
      </c>
      <c r="V668" s="137">
        <v>10.31</v>
      </c>
      <c r="W668" s="140">
        <v>14119890</v>
      </c>
      <c r="X668" s="56">
        <f t="shared" si="20"/>
        <v>2</v>
      </c>
      <c r="Y668" s="56" t="str">
        <f t="shared" si="21"/>
        <v>NO LOGUEO</v>
      </c>
    </row>
    <row r="669" spans="1:25" ht="15" x14ac:dyDescent="0.25">
      <c r="A669" s="136" t="s">
        <v>950</v>
      </c>
      <c r="B669" s="137">
        <v>0</v>
      </c>
      <c r="C669" s="137">
        <v>0</v>
      </c>
      <c r="D669" s="137">
        <v>0</v>
      </c>
      <c r="E669" s="137">
        <v>0</v>
      </c>
      <c r="F669" s="137">
        <v>0</v>
      </c>
      <c r="G669" s="137">
        <v>0</v>
      </c>
      <c r="H669" s="137">
        <v>0</v>
      </c>
      <c r="I669" s="137">
        <v>0</v>
      </c>
      <c r="J669" s="137">
        <v>0</v>
      </c>
      <c r="K669" s="137">
        <v>0</v>
      </c>
      <c r="L669" s="137">
        <v>0</v>
      </c>
      <c r="M669" s="137">
        <v>0</v>
      </c>
      <c r="N669" s="137">
        <v>0</v>
      </c>
      <c r="O669" s="137">
        <v>0</v>
      </c>
      <c r="P669" s="137">
        <v>0</v>
      </c>
      <c r="Q669" s="137">
        <v>0</v>
      </c>
      <c r="R669" s="137">
        <v>0</v>
      </c>
      <c r="S669" s="137">
        <v>0</v>
      </c>
      <c r="T669" s="137">
        <v>0</v>
      </c>
      <c r="U669" s="137">
        <v>0</v>
      </c>
      <c r="V669" s="137">
        <v>0</v>
      </c>
      <c r="W669" s="140" t="s">
        <v>1609</v>
      </c>
      <c r="X669" s="56">
        <f t="shared" si="20"/>
        <v>7</v>
      </c>
      <c r="Y669" s="56" t="str">
        <f t="shared" si="21"/>
        <v>NO LOGUEO</v>
      </c>
    </row>
    <row r="670" spans="1:25" ht="15" x14ac:dyDescent="0.25">
      <c r="A670" s="136" t="s">
        <v>99</v>
      </c>
      <c r="B670" s="137">
        <v>2.1</v>
      </c>
      <c r="C670" s="137">
        <v>0</v>
      </c>
      <c r="D670" s="137">
        <v>0</v>
      </c>
      <c r="E670" s="137">
        <v>0</v>
      </c>
      <c r="F670" s="137">
        <v>0</v>
      </c>
      <c r="G670" s="137">
        <v>0</v>
      </c>
      <c r="H670" s="137">
        <v>0</v>
      </c>
      <c r="I670" s="137">
        <v>0</v>
      </c>
      <c r="J670" s="137">
        <v>0</v>
      </c>
      <c r="K670" s="137">
        <v>0</v>
      </c>
      <c r="L670" s="137">
        <v>0</v>
      </c>
      <c r="M670" s="137">
        <v>0</v>
      </c>
      <c r="N670" s="137">
        <v>0</v>
      </c>
      <c r="O670" s="137">
        <v>0</v>
      </c>
      <c r="P670" s="137">
        <v>0</v>
      </c>
      <c r="Q670" s="137">
        <v>0</v>
      </c>
      <c r="R670" s="137">
        <v>0</v>
      </c>
      <c r="S670" s="137">
        <v>0</v>
      </c>
      <c r="T670" s="137">
        <v>0</v>
      </c>
      <c r="U670" s="137">
        <v>0</v>
      </c>
      <c r="V670" s="137">
        <v>0</v>
      </c>
      <c r="W670" s="140">
        <v>14110039</v>
      </c>
      <c r="X670" s="56">
        <f t="shared" si="20"/>
        <v>7</v>
      </c>
      <c r="Y670" s="56" t="str">
        <f t="shared" si="21"/>
        <v>NO LOGUEO</v>
      </c>
    </row>
    <row r="671" spans="1:25" ht="15" x14ac:dyDescent="0.25">
      <c r="A671" s="136" t="s">
        <v>911</v>
      </c>
      <c r="B671" s="137">
        <v>7.34</v>
      </c>
      <c r="C671" s="137">
        <v>0</v>
      </c>
      <c r="D671" s="137">
        <v>9.11</v>
      </c>
      <c r="E671" s="137">
        <v>8.32</v>
      </c>
      <c r="F671" s="137">
        <v>6.5499000000000001</v>
      </c>
      <c r="G671" s="137">
        <v>9.44</v>
      </c>
      <c r="H671" s="137">
        <v>8.5899000000000001</v>
      </c>
      <c r="I671" s="137">
        <v>7.27</v>
      </c>
      <c r="J671" s="137">
        <v>2.97</v>
      </c>
      <c r="K671" s="137">
        <v>10.55</v>
      </c>
      <c r="L671" s="137">
        <v>9.0399999999999991</v>
      </c>
      <c r="M671" s="137">
        <v>6.81</v>
      </c>
      <c r="N671" s="137">
        <v>4.42</v>
      </c>
      <c r="O671" s="137">
        <v>8.91</v>
      </c>
      <c r="P671" s="137">
        <v>7.98</v>
      </c>
      <c r="Q671" s="137">
        <v>0</v>
      </c>
      <c r="R671" s="137">
        <v>9.65</v>
      </c>
      <c r="S671" s="137">
        <v>10.119999999999999</v>
      </c>
      <c r="T671" s="137">
        <v>9.86</v>
      </c>
      <c r="U671" s="137">
        <v>9.35</v>
      </c>
      <c r="V671" s="137">
        <v>8.08</v>
      </c>
      <c r="W671" s="140">
        <v>14101142</v>
      </c>
      <c r="X671" s="56">
        <f t="shared" si="20"/>
        <v>1</v>
      </c>
      <c r="Y671" s="56" t="str">
        <f t="shared" si="21"/>
        <v>LOGUEO</v>
      </c>
    </row>
    <row r="672" spans="1:25" ht="15" x14ac:dyDescent="0.25">
      <c r="A672" s="136" t="s">
        <v>83</v>
      </c>
      <c r="B672" s="137">
        <v>7.28</v>
      </c>
      <c r="C672" s="137">
        <v>7.78</v>
      </c>
      <c r="D672" s="137">
        <v>8.51</v>
      </c>
      <c r="E672" s="137">
        <v>8.0399999999999991</v>
      </c>
      <c r="F672" s="137">
        <v>6.7899000000000003</v>
      </c>
      <c r="G672" s="137">
        <v>5.17</v>
      </c>
      <c r="H672" s="137">
        <v>1.17</v>
      </c>
      <c r="I672" s="137">
        <v>7.04</v>
      </c>
      <c r="J672" s="137">
        <v>7.55</v>
      </c>
      <c r="K672" s="137">
        <v>8.3699999999999992</v>
      </c>
      <c r="L672" s="137">
        <v>10.029999999999999</v>
      </c>
      <c r="M672" s="137">
        <v>10.74</v>
      </c>
      <c r="N672" s="137">
        <v>8.3699999999999992</v>
      </c>
      <c r="O672" s="137">
        <v>8.86</v>
      </c>
      <c r="P672" s="137">
        <v>6.8699000000000003</v>
      </c>
      <c r="Q672" s="137">
        <v>8.35</v>
      </c>
      <c r="R672" s="137">
        <v>8.67</v>
      </c>
      <c r="S672" s="137">
        <v>0</v>
      </c>
      <c r="T672" s="137">
        <v>6.3</v>
      </c>
      <c r="U672" s="137">
        <v>8.44</v>
      </c>
      <c r="V672" s="137">
        <v>8.2199000000000009</v>
      </c>
      <c r="W672" s="140">
        <v>14109131</v>
      </c>
      <c r="X672" s="56">
        <f t="shared" si="20"/>
        <v>1</v>
      </c>
      <c r="Y672" s="56" t="str">
        <f t="shared" si="21"/>
        <v>LOGUEO</v>
      </c>
    </row>
    <row r="673" spans="1:25" ht="15" x14ac:dyDescent="0.25">
      <c r="A673" s="136" t="s">
        <v>419</v>
      </c>
      <c r="B673" s="137">
        <v>1.5299</v>
      </c>
      <c r="C673" s="137">
        <v>1.5</v>
      </c>
      <c r="D673" s="137">
        <v>9.66</v>
      </c>
      <c r="E673" s="137">
        <v>7.36</v>
      </c>
      <c r="F673" s="137">
        <v>1.45</v>
      </c>
      <c r="G673" s="137">
        <v>9.0398999999999994</v>
      </c>
      <c r="H673" s="137">
        <v>6.4999000000000002</v>
      </c>
      <c r="I673" s="137">
        <v>6.29</v>
      </c>
      <c r="J673" s="137">
        <v>5.1098999999999997</v>
      </c>
      <c r="K673" s="137">
        <v>8.4600000000000009</v>
      </c>
      <c r="L673" s="137">
        <v>9.23</v>
      </c>
      <c r="M673" s="137">
        <v>9.14</v>
      </c>
      <c r="N673" s="137">
        <v>8.58</v>
      </c>
      <c r="O673" s="137">
        <v>4.93</v>
      </c>
      <c r="P673" s="137">
        <v>1.56</v>
      </c>
      <c r="Q673" s="137">
        <v>6.41</v>
      </c>
      <c r="R673" s="137">
        <v>5.4499000000000004</v>
      </c>
      <c r="S673" s="137">
        <v>5.46</v>
      </c>
      <c r="T673" s="137">
        <v>3.08</v>
      </c>
      <c r="U673" s="137">
        <v>4.6399999999999997</v>
      </c>
      <c r="V673" s="137">
        <v>2.15</v>
      </c>
      <c r="W673" s="140">
        <v>14122394</v>
      </c>
      <c r="X673" s="56">
        <f t="shared" si="20"/>
        <v>0</v>
      </c>
      <c r="Y673" s="56" t="str">
        <f t="shared" si="21"/>
        <v>LOGUEO</v>
      </c>
    </row>
    <row r="674" spans="1:25" ht="15" x14ac:dyDescent="0.25">
      <c r="A674" s="136" t="s">
        <v>409</v>
      </c>
      <c r="B674" s="137">
        <v>0</v>
      </c>
      <c r="C674" s="137">
        <v>0</v>
      </c>
      <c r="D674" s="137">
        <v>0</v>
      </c>
      <c r="E674" s="137">
        <v>0</v>
      </c>
      <c r="F674" s="137">
        <v>0</v>
      </c>
      <c r="G674" s="137">
        <v>0</v>
      </c>
      <c r="H674" s="137">
        <v>5.59</v>
      </c>
      <c r="I674" s="137">
        <v>0</v>
      </c>
      <c r="J674" s="137">
        <v>4.1500000000000004</v>
      </c>
      <c r="K674" s="137">
        <v>5.31</v>
      </c>
      <c r="L674" s="137">
        <v>3.55</v>
      </c>
      <c r="M674" s="137">
        <v>4.46</v>
      </c>
      <c r="N674" s="137">
        <v>2.5</v>
      </c>
      <c r="O674" s="137">
        <v>5.84</v>
      </c>
      <c r="P674" s="137">
        <v>0</v>
      </c>
      <c r="Q674" s="137">
        <v>5.04</v>
      </c>
      <c r="R674" s="137">
        <v>7.15</v>
      </c>
      <c r="S674" s="137">
        <v>7.08</v>
      </c>
      <c r="T674" s="137">
        <v>6.0198999999999998</v>
      </c>
      <c r="U674" s="137">
        <v>5.38</v>
      </c>
      <c r="V674" s="137">
        <v>2.59</v>
      </c>
      <c r="W674" s="140">
        <v>14122293</v>
      </c>
      <c r="X674" s="56">
        <f t="shared" si="20"/>
        <v>1</v>
      </c>
      <c r="Y674" s="56" t="str">
        <f t="shared" si="21"/>
        <v>LOGUEO</v>
      </c>
    </row>
    <row r="675" spans="1:25" ht="15" x14ac:dyDescent="0.25">
      <c r="A675" s="136" t="s">
        <v>262</v>
      </c>
      <c r="B675" s="137">
        <v>2.57</v>
      </c>
      <c r="C675" s="137">
        <v>0</v>
      </c>
      <c r="D675" s="137">
        <v>5.79</v>
      </c>
      <c r="E675" s="137">
        <v>6.85</v>
      </c>
      <c r="F675" s="137">
        <v>4.78</v>
      </c>
      <c r="G675" s="137">
        <v>7.17</v>
      </c>
      <c r="H675" s="137">
        <v>7.64</v>
      </c>
      <c r="I675" s="137">
        <v>0</v>
      </c>
      <c r="J675" s="137">
        <v>5.2899000000000003</v>
      </c>
      <c r="K675" s="137">
        <v>9.81</v>
      </c>
      <c r="L675" s="137">
        <v>7.01</v>
      </c>
      <c r="M675" s="137">
        <v>9.98</v>
      </c>
      <c r="N675" s="137">
        <v>7.44</v>
      </c>
      <c r="O675" s="137">
        <v>9.06</v>
      </c>
      <c r="P675" s="137">
        <v>5.72</v>
      </c>
      <c r="Q675" s="137">
        <v>6.82</v>
      </c>
      <c r="R675" s="137">
        <v>3.51</v>
      </c>
      <c r="S675" s="137">
        <v>0</v>
      </c>
      <c r="T675" s="137">
        <v>5.67</v>
      </c>
      <c r="U675" s="137">
        <v>5.6</v>
      </c>
      <c r="V675" s="137">
        <v>9.68</v>
      </c>
      <c r="W675" s="140">
        <v>14100858</v>
      </c>
      <c r="X675" s="56">
        <f t="shared" si="20"/>
        <v>1</v>
      </c>
      <c r="Y675" s="56" t="str">
        <f t="shared" si="21"/>
        <v>LOGUEO</v>
      </c>
    </row>
    <row r="676" spans="1:25" ht="15" x14ac:dyDescent="0.25">
      <c r="A676" s="136" t="s">
        <v>77</v>
      </c>
      <c r="B676" s="137">
        <v>0</v>
      </c>
      <c r="C676" s="137">
        <v>2.65</v>
      </c>
      <c r="D676" s="137">
        <v>5.14</v>
      </c>
      <c r="E676" s="137">
        <v>6.22</v>
      </c>
      <c r="F676" s="137">
        <v>0.57999999999999996</v>
      </c>
      <c r="G676" s="137">
        <v>4.2798999999999996</v>
      </c>
      <c r="H676" s="137">
        <v>2.8</v>
      </c>
      <c r="I676" s="137">
        <v>0</v>
      </c>
      <c r="J676" s="137">
        <v>2.8</v>
      </c>
      <c r="K676" s="137">
        <v>5.5198999999999998</v>
      </c>
      <c r="L676" s="137">
        <v>5.94</v>
      </c>
      <c r="M676" s="137">
        <v>2.38</v>
      </c>
      <c r="N676" s="137">
        <v>4.47</v>
      </c>
      <c r="O676" s="137">
        <v>2.9</v>
      </c>
      <c r="P676" s="137">
        <v>0</v>
      </c>
      <c r="Q676" s="137">
        <v>0.85</v>
      </c>
      <c r="R676" s="137">
        <v>7.7899000000000003</v>
      </c>
      <c r="S676" s="137">
        <v>5.7</v>
      </c>
      <c r="T676" s="137">
        <v>4.37</v>
      </c>
      <c r="U676" s="137">
        <v>0</v>
      </c>
      <c r="V676" s="137">
        <v>2.66</v>
      </c>
      <c r="W676" s="140">
        <v>14108483</v>
      </c>
      <c r="X676" s="56">
        <f t="shared" si="20"/>
        <v>2</v>
      </c>
      <c r="Y676" s="56" t="str">
        <f t="shared" si="21"/>
        <v>NO LOGUEO</v>
      </c>
    </row>
    <row r="677" spans="1:25" ht="15" x14ac:dyDescent="0.25">
      <c r="A677" s="136" t="s">
        <v>2000</v>
      </c>
      <c r="B677" s="137">
        <v>0</v>
      </c>
      <c r="C677" s="137">
        <v>7.85</v>
      </c>
      <c r="D677" s="137">
        <v>10.51</v>
      </c>
      <c r="E677" s="137">
        <v>4.3098999999999998</v>
      </c>
      <c r="F677" s="137">
        <v>9.52</v>
      </c>
      <c r="G677" s="137">
        <v>10.53</v>
      </c>
      <c r="H677" s="137">
        <v>14.04</v>
      </c>
      <c r="I677" s="137">
        <v>3.15</v>
      </c>
      <c r="J677" s="137">
        <v>11.72</v>
      </c>
      <c r="K677" s="137">
        <v>8.84</v>
      </c>
      <c r="L677" s="137">
        <v>7.25</v>
      </c>
      <c r="M677" s="137">
        <v>8.8798999999999992</v>
      </c>
      <c r="N677" s="137">
        <v>8.99</v>
      </c>
      <c r="O677" s="137">
        <v>5.15</v>
      </c>
      <c r="P677" s="137">
        <v>7.6299000000000001</v>
      </c>
      <c r="Q677" s="137">
        <v>7</v>
      </c>
      <c r="R677" s="137">
        <v>6.46</v>
      </c>
      <c r="S677" s="137">
        <v>5.98</v>
      </c>
      <c r="T677" s="137">
        <v>4.93</v>
      </c>
      <c r="U677" s="137">
        <v>7.7099000000000002</v>
      </c>
      <c r="V677" s="137">
        <v>7.8299000000000003</v>
      </c>
      <c r="W677" s="140">
        <v>14122133</v>
      </c>
      <c r="X677" s="56">
        <f t="shared" si="20"/>
        <v>0</v>
      </c>
      <c r="Y677" s="56" t="str">
        <f t="shared" si="21"/>
        <v>LOGUEO</v>
      </c>
    </row>
    <row r="678" spans="1:25" ht="15" x14ac:dyDescent="0.25">
      <c r="A678" s="136" t="s">
        <v>1864</v>
      </c>
      <c r="B678" s="137">
        <v>1.25</v>
      </c>
      <c r="C678" s="137">
        <v>5.2698999999999998</v>
      </c>
      <c r="D678" s="137">
        <v>4.88</v>
      </c>
      <c r="E678" s="137">
        <v>5.0999999999999996</v>
      </c>
      <c r="F678" s="137">
        <v>2.88</v>
      </c>
      <c r="G678" s="137">
        <v>5.23</v>
      </c>
      <c r="H678" s="137">
        <v>4.2899000000000003</v>
      </c>
      <c r="I678" s="137">
        <v>3.92</v>
      </c>
      <c r="J678" s="137">
        <v>1.35</v>
      </c>
      <c r="K678" s="137">
        <v>4.4800000000000004</v>
      </c>
      <c r="L678" s="137">
        <v>5.26</v>
      </c>
      <c r="M678" s="137">
        <v>4.58</v>
      </c>
      <c r="N678" s="137">
        <v>4.6900000000000004</v>
      </c>
      <c r="O678" s="137">
        <v>0</v>
      </c>
      <c r="P678" s="137">
        <v>3.45</v>
      </c>
      <c r="Q678" s="137">
        <v>0.33</v>
      </c>
      <c r="R678" s="137">
        <v>3.02</v>
      </c>
      <c r="S678" s="137">
        <v>4.5198999999999998</v>
      </c>
      <c r="T678" s="137">
        <v>5.0198999999999998</v>
      </c>
      <c r="U678" s="137">
        <v>4.83</v>
      </c>
      <c r="V678" s="137">
        <v>4.5999999999999996</v>
      </c>
      <c r="W678" s="140">
        <v>14122429</v>
      </c>
      <c r="X678" s="56">
        <f t="shared" si="20"/>
        <v>0</v>
      </c>
      <c r="Y678" s="56" t="str">
        <f t="shared" si="21"/>
        <v>LOGUEO</v>
      </c>
    </row>
    <row r="679" spans="1:25" ht="15" x14ac:dyDescent="0.25">
      <c r="A679" s="136" t="s">
        <v>69</v>
      </c>
      <c r="B679" s="137">
        <v>0</v>
      </c>
      <c r="C679" s="137">
        <v>8.39</v>
      </c>
      <c r="D679" s="137">
        <v>10.73</v>
      </c>
      <c r="E679" s="137">
        <v>9.6</v>
      </c>
      <c r="F679" s="137">
        <v>6.74</v>
      </c>
      <c r="G679" s="137">
        <v>11.049899999999999</v>
      </c>
      <c r="H679" s="137">
        <v>10.58</v>
      </c>
      <c r="I679" s="137">
        <v>0</v>
      </c>
      <c r="J679" s="137">
        <v>6.95</v>
      </c>
      <c r="K679" s="137">
        <v>12</v>
      </c>
      <c r="L679" s="137">
        <v>9.6999999999999993</v>
      </c>
      <c r="M679" s="137">
        <v>12.01</v>
      </c>
      <c r="N679" s="137">
        <v>9.64</v>
      </c>
      <c r="O679" s="137">
        <v>12.13</v>
      </c>
      <c r="P679" s="137">
        <v>0</v>
      </c>
      <c r="Q679" s="137">
        <v>9.4499999999999993</v>
      </c>
      <c r="R679" s="137">
        <v>8.4699000000000009</v>
      </c>
      <c r="S679" s="137">
        <v>12.209899999999999</v>
      </c>
      <c r="T679" s="137">
        <v>9.11</v>
      </c>
      <c r="U679" s="137">
        <v>11.96</v>
      </c>
      <c r="V679" s="137">
        <v>8.91</v>
      </c>
      <c r="W679" s="140">
        <v>14107978</v>
      </c>
      <c r="X679" s="56">
        <f t="shared" si="20"/>
        <v>1</v>
      </c>
      <c r="Y679" s="56" t="str">
        <f t="shared" si="21"/>
        <v>LOGUEO</v>
      </c>
    </row>
    <row r="680" spans="1:25" ht="15" x14ac:dyDescent="0.25">
      <c r="A680" s="136" t="s">
        <v>474</v>
      </c>
      <c r="B680" s="137">
        <v>0</v>
      </c>
      <c r="C680" s="137">
        <v>0</v>
      </c>
      <c r="D680" s="137">
        <v>0</v>
      </c>
      <c r="E680" s="137">
        <v>0</v>
      </c>
      <c r="F680" s="137">
        <v>0</v>
      </c>
      <c r="G680" s="137">
        <v>0</v>
      </c>
      <c r="H680" s="137">
        <v>0</v>
      </c>
      <c r="I680" s="137">
        <v>0</v>
      </c>
      <c r="J680" s="137">
        <v>0</v>
      </c>
      <c r="K680" s="137">
        <v>0</v>
      </c>
      <c r="L680" s="137">
        <v>0</v>
      </c>
      <c r="M680" s="137">
        <v>0</v>
      </c>
      <c r="N680" s="137">
        <v>0</v>
      </c>
      <c r="O680" s="137">
        <v>0</v>
      </c>
      <c r="P680" s="137">
        <v>0</v>
      </c>
      <c r="Q680" s="137">
        <v>0</v>
      </c>
      <c r="R680" s="137">
        <v>0</v>
      </c>
      <c r="S680" s="137">
        <v>0</v>
      </c>
      <c r="T680" s="137">
        <v>0</v>
      </c>
      <c r="U680" s="137">
        <v>2.4499</v>
      </c>
      <c r="V680" s="137">
        <v>7.68</v>
      </c>
      <c r="W680" s="140">
        <v>14122994</v>
      </c>
      <c r="X680" s="56">
        <f t="shared" si="20"/>
        <v>5</v>
      </c>
      <c r="Y680" s="56" t="str">
        <f t="shared" si="21"/>
        <v>NO LOGUEO</v>
      </c>
    </row>
    <row r="681" spans="1:25" ht="15" x14ac:dyDescent="0.25">
      <c r="A681" s="136" t="s">
        <v>1421</v>
      </c>
      <c r="B681" s="137">
        <v>7.7</v>
      </c>
      <c r="C681" s="137">
        <v>9.8698999999999995</v>
      </c>
      <c r="D681" s="137">
        <v>10.479900000000001</v>
      </c>
      <c r="E681" s="137">
        <v>10.4999</v>
      </c>
      <c r="F681" s="137">
        <v>9.7799999999999994</v>
      </c>
      <c r="G681" s="137">
        <v>11.309900000000001</v>
      </c>
      <c r="H681" s="137">
        <v>0</v>
      </c>
      <c r="I681" s="137">
        <v>7.63</v>
      </c>
      <c r="J681" s="137">
        <v>10.879899999999999</v>
      </c>
      <c r="K681" s="137">
        <v>10.14</v>
      </c>
      <c r="L681" s="137">
        <v>12.43</v>
      </c>
      <c r="M681" s="137">
        <v>10.79</v>
      </c>
      <c r="N681" s="137">
        <v>1.77</v>
      </c>
      <c r="O681" s="137">
        <v>4.8</v>
      </c>
      <c r="P681" s="137">
        <v>9.5599000000000007</v>
      </c>
      <c r="Q681" s="137">
        <v>11.67</v>
      </c>
      <c r="R681" s="137">
        <v>11.2499</v>
      </c>
      <c r="S681" s="137">
        <v>11.43</v>
      </c>
      <c r="T681" s="137">
        <v>9.1199999999999992</v>
      </c>
      <c r="U681" s="137">
        <v>11.2499</v>
      </c>
      <c r="V681" s="137">
        <v>4.53</v>
      </c>
      <c r="W681" s="140">
        <v>14109134</v>
      </c>
      <c r="X681" s="56">
        <f t="shared" si="20"/>
        <v>0</v>
      </c>
      <c r="Y681" s="56" t="str">
        <f t="shared" si="21"/>
        <v>LOGUEO</v>
      </c>
    </row>
    <row r="682" spans="1:25" ht="15" x14ac:dyDescent="0.25">
      <c r="A682" s="136" t="s">
        <v>2001</v>
      </c>
      <c r="B682" s="137">
        <v>0</v>
      </c>
      <c r="C682" s="137">
        <v>0</v>
      </c>
      <c r="D682" s="137">
        <v>0</v>
      </c>
      <c r="E682" s="137">
        <v>2.1800000000000002</v>
      </c>
      <c r="F682" s="137">
        <v>0</v>
      </c>
      <c r="G682" s="137">
        <v>1.73</v>
      </c>
      <c r="H682" s="137">
        <v>2.92</v>
      </c>
      <c r="I682" s="137">
        <v>0</v>
      </c>
      <c r="J682" s="137">
        <v>0</v>
      </c>
      <c r="K682" s="137">
        <v>0</v>
      </c>
      <c r="L682" s="137">
        <v>0</v>
      </c>
      <c r="M682" s="137">
        <v>0</v>
      </c>
      <c r="N682" s="137">
        <v>0</v>
      </c>
      <c r="O682" s="137">
        <v>0.6</v>
      </c>
      <c r="P682" s="137">
        <v>0</v>
      </c>
      <c r="Q682" s="137">
        <v>0</v>
      </c>
      <c r="R682" s="137">
        <v>0</v>
      </c>
      <c r="S682" s="137">
        <v>0</v>
      </c>
      <c r="T682" s="137">
        <v>0</v>
      </c>
      <c r="U682" s="137">
        <v>0</v>
      </c>
      <c r="V682" s="137">
        <v>0</v>
      </c>
      <c r="W682" s="140">
        <v>14101149</v>
      </c>
      <c r="X682" s="56">
        <f t="shared" si="20"/>
        <v>7</v>
      </c>
      <c r="Y682" s="56" t="str">
        <f t="shared" si="21"/>
        <v>NO LOGUEO</v>
      </c>
    </row>
    <row r="683" spans="1:25" ht="15" x14ac:dyDescent="0.25">
      <c r="A683" s="136" t="s">
        <v>386</v>
      </c>
      <c r="B683" s="137">
        <v>3.63</v>
      </c>
      <c r="C683" s="137">
        <v>4.1399999999999997</v>
      </c>
      <c r="D683" s="137">
        <v>5.23</v>
      </c>
      <c r="E683" s="137">
        <v>5.0999999999999996</v>
      </c>
      <c r="F683" s="137">
        <v>5.9398999999999997</v>
      </c>
      <c r="G683" s="137">
        <v>0.42</v>
      </c>
      <c r="H683" s="137">
        <v>4.43</v>
      </c>
      <c r="I683" s="137">
        <v>3.6999</v>
      </c>
      <c r="J683" s="137">
        <v>4.42</v>
      </c>
      <c r="K683" s="137">
        <v>5.96</v>
      </c>
      <c r="L683" s="137">
        <v>5.39</v>
      </c>
      <c r="M683" s="137">
        <v>5.28</v>
      </c>
      <c r="N683" s="137">
        <v>5.91</v>
      </c>
      <c r="O683" s="137">
        <v>5.0598999999999998</v>
      </c>
      <c r="P683" s="137">
        <v>0</v>
      </c>
      <c r="Q683" s="137">
        <v>5.46</v>
      </c>
      <c r="R683" s="137">
        <v>5.93</v>
      </c>
      <c r="S683" s="137">
        <v>8.39</v>
      </c>
      <c r="T683" s="137">
        <v>6.3</v>
      </c>
      <c r="U683" s="137">
        <v>5.59</v>
      </c>
      <c r="V683" s="137">
        <v>5.56</v>
      </c>
      <c r="W683" s="140">
        <v>14122094</v>
      </c>
      <c r="X683" s="56">
        <f t="shared" si="20"/>
        <v>1</v>
      </c>
      <c r="Y683" s="56" t="str">
        <f t="shared" si="21"/>
        <v>LOGUEO</v>
      </c>
    </row>
    <row r="684" spans="1:25" ht="15" x14ac:dyDescent="0.25">
      <c r="A684" s="136" t="s">
        <v>1814</v>
      </c>
      <c r="B684" s="137">
        <v>0</v>
      </c>
      <c r="C684" s="137">
        <v>0</v>
      </c>
      <c r="D684" s="137">
        <v>0</v>
      </c>
      <c r="E684" s="137">
        <v>0</v>
      </c>
      <c r="F684" s="137">
        <v>0</v>
      </c>
      <c r="G684" s="137">
        <v>0</v>
      </c>
      <c r="H684" s="137">
        <v>0</v>
      </c>
      <c r="I684" s="137">
        <v>0</v>
      </c>
      <c r="J684" s="137">
        <v>0</v>
      </c>
      <c r="K684" s="137">
        <v>0</v>
      </c>
      <c r="L684" s="137">
        <v>0</v>
      </c>
      <c r="M684" s="137">
        <v>0</v>
      </c>
      <c r="N684" s="137">
        <v>0</v>
      </c>
      <c r="O684" s="137">
        <v>0</v>
      </c>
      <c r="P684" s="137">
        <v>0</v>
      </c>
      <c r="Q684" s="137">
        <v>0</v>
      </c>
      <c r="R684" s="137">
        <v>0</v>
      </c>
      <c r="S684" s="137">
        <v>0</v>
      </c>
      <c r="T684" s="137">
        <v>0</v>
      </c>
      <c r="U684" s="137">
        <v>0</v>
      </c>
      <c r="V684" s="137">
        <v>0</v>
      </c>
      <c r="W684" s="140" t="s">
        <v>1609</v>
      </c>
      <c r="X684" s="56">
        <f t="shared" si="20"/>
        <v>7</v>
      </c>
      <c r="Y684" s="56" t="str">
        <f t="shared" si="21"/>
        <v>NO LOGUEO</v>
      </c>
    </row>
    <row r="685" spans="1:25" ht="15" x14ac:dyDescent="0.25">
      <c r="A685" s="136" t="s">
        <v>21</v>
      </c>
      <c r="B685" s="137">
        <v>5.09</v>
      </c>
      <c r="C685" s="137">
        <v>6.95</v>
      </c>
      <c r="D685" s="137">
        <v>7.5</v>
      </c>
      <c r="E685" s="137">
        <v>7.4599000000000002</v>
      </c>
      <c r="F685" s="137">
        <v>6.1699000000000002</v>
      </c>
      <c r="G685" s="137">
        <v>7.32</v>
      </c>
      <c r="H685" s="137">
        <v>7.44</v>
      </c>
      <c r="I685" s="137">
        <v>5.34</v>
      </c>
      <c r="J685" s="137">
        <v>6.7899000000000003</v>
      </c>
      <c r="K685" s="137">
        <v>7.86</v>
      </c>
      <c r="L685" s="137">
        <v>7.83</v>
      </c>
      <c r="M685" s="137">
        <v>7.2</v>
      </c>
      <c r="N685" s="137">
        <v>1.22</v>
      </c>
      <c r="O685" s="137">
        <v>4.18</v>
      </c>
      <c r="P685" s="137">
        <v>5.9398999999999997</v>
      </c>
      <c r="Q685" s="137">
        <v>6.88</v>
      </c>
      <c r="R685" s="137">
        <v>7.05</v>
      </c>
      <c r="S685" s="137">
        <v>7.85</v>
      </c>
      <c r="T685" s="137">
        <v>7.32</v>
      </c>
      <c r="U685" s="137">
        <v>7.52</v>
      </c>
      <c r="V685" s="137">
        <v>6.89</v>
      </c>
      <c r="W685" s="140">
        <v>14100787</v>
      </c>
      <c r="X685" s="56">
        <f t="shared" si="20"/>
        <v>0</v>
      </c>
      <c r="Y685" s="56" t="str">
        <f t="shared" si="21"/>
        <v>LOGUEO</v>
      </c>
    </row>
    <row r="686" spans="1:25" ht="15" x14ac:dyDescent="0.25">
      <c r="A686" s="136" t="s">
        <v>1847</v>
      </c>
      <c r="B686" s="137">
        <v>0</v>
      </c>
      <c r="C686" s="137">
        <v>1.1499999999999999</v>
      </c>
      <c r="D686" s="137">
        <v>7.52</v>
      </c>
      <c r="E686" s="137">
        <v>3.47</v>
      </c>
      <c r="F686" s="137">
        <v>0</v>
      </c>
      <c r="G686" s="137">
        <v>0</v>
      </c>
      <c r="H686" s="137">
        <v>0.98</v>
      </c>
      <c r="I686" s="137">
        <v>4.3600000000000003</v>
      </c>
      <c r="J686" s="137">
        <v>4.82</v>
      </c>
      <c r="K686" s="137">
        <v>1.4</v>
      </c>
      <c r="L686" s="137">
        <v>1.07</v>
      </c>
      <c r="M686" s="137">
        <v>6.66</v>
      </c>
      <c r="N686" s="137">
        <v>7.79</v>
      </c>
      <c r="O686" s="137">
        <v>5.2499000000000002</v>
      </c>
      <c r="P686" s="137">
        <v>4.6999000000000004</v>
      </c>
      <c r="Q686" s="137">
        <v>4.07</v>
      </c>
      <c r="R686" s="137">
        <v>5.45</v>
      </c>
      <c r="S686" s="137">
        <v>8.31</v>
      </c>
      <c r="T686" s="137">
        <v>3.69</v>
      </c>
      <c r="U686" s="137">
        <v>1.9</v>
      </c>
      <c r="V686" s="137">
        <v>0</v>
      </c>
      <c r="W686" s="140">
        <v>14108271</v>
      </c>
      <c r="X686" s="56">
        <f t="shared" si="20"/>
        <v>1</v>
      </c>
      <c r="Y686" s="56" t="str">
        <f t="shared" si="21"/>
        <v>LOGUEO</v>
      </c>
    </row>
    <row r="687" spans="1:25" ht="15" x14ac:dyDescent="0.25">
      <c r="A687" s="136" t="s">
        <v>426</v>
      </c>
      <c r="B687" s="137">
        <v>0</v>
      </c>
      <c r="C687" s="137">
        <v>6.79</v>
      </c>
      <c r="D687" s="137">
        <v>7.49</v>
      </c>
      <c r="E687" s="137">
        <v>7.1</v>
      </c>
      <c r="F687" s="137">
        <v>4.4000000000000004</v>
      </c>
      <c r="G687" s="137">
        <v>9.06</v>
      </c>
      <c r="H687" s="137">
        <v>7.31</v>
      </c>
      <c r="I687" s="137">
        <v>4</v>
      </c>
      <c r="J687" s="137">
        <v>5.37</v>
      </c>
      <c r="K687" s="137">
        <v>6.19</v>
      </c>
      <c r="L687" s="137">
        <v>6.94</v>
      </c>
      <c r="M687" s="137">
        <v>4.8499999999999996</v>
      </c>
      <c r="N687" s="137">
        <v>6.42</v>
      </c>
      <c r="O687" s="137">
        <v>5.15</v>
      </c>
      <c r="P687" s="137">
        <v>0.38</v>
      </c>
      <c r="Q687" s="137">
        <v>6.03</v>
      </c>
      <c r="R687" s="137">
        <v>4.13</v>
      </c>
      <c r="S687" s="137">
        <v>2.35</v>
      </c>
      <c r="T687" s="137">
        <v>8.0299999999999994</v>
      </c>
      <c r="U687" s="137">
        <v>7.7499000000000002</v>
      </c>
      <c r="V687" s="137">
        <v>7.39</v>
      </c>
      <c r="W687" s="140">
        <v>14122481</v>
      </c>
      <c r="X687" s="56">
        <f t="shared" si="20"/>
        <v>0</v>
      </c>
      <c r="Y687" s="56" t="str">
        <f t="shared" si="21"/>
        <v>LOGUEO</v>
      </c>
    </row>
    <row r="688" spans="1:25" ht="15" x14ac:dyDescent="0.25">
      <c r="A688" s="136" t="s">
        <v>2391</v>
      </c>
      <c r="B688" s="137">
        <v>3.62</v>
      </c>
      <c r="C688" s="137">
        <v>6.85</v>
      </c>
      <c r="D688" s="137">
        <v>6.64</v>
      </c>
      <c r="E688" s="137">
        <v>6.8299000000000003</v>
      </c>
      <c r="F688" s="137">
        <v>1.6</v>
      </c>
      <c r="G688" s="137">
        <v>6.94</v>
      </c>
      <c r="H688" s="137">
        <v>6.23</v>
      </c>
      <c r="I688" s="137">
        <v>5.7199</v>
      </c>
      <c r="J688" s="137">
        <v>7.4</v>
      </c>
      <c r="K688" s="137">
        <v>7.45</v>
      </c>
      <c r="L688" s="137">
        <v>7.74</v>
      </c>
      <c r="M688" s="137">
        <v>7.1</v>
      </c>
      <c r="N688" s="137">
        <v>7.74</v>
      </c>
      <c r="O688" s="137">
        <v>1.83</v>
      </c>
      <c r="P688" s="137">
        <v>4.5298999999999996</v>
      </c>
      <c r="Q688" s="137">
        <v>7.83</v>
      </c>
      <c r="R688" s="137">
        <v>7.68</v>
      </c>
      <c r="S688" s="137">
        <v>7.53</v>
      </c>
      <c r="T688" s="137">
        <v>8.1298999999999992</v>
      </c>
      <c r="U688" s="137">
        <v>7.21</v>
      </c>
      <c r="V688" s="137">
        <v>7.18</v>
      </c>
      <c r="W688" s="140" t="s">
        <v>1609</v>
      </c>
      <c r="X688" s="56">
        <f t="shared" si="20"/>
        <v>0</v>
      </c>
      <c r="Y688" s="56" t="str">
        <f t="shared" si="21"/>
        <v>LOGUEO</v>
      </c>
    </row>
    <row r="689" spans="1:25" ht="15" x14ac:dyDescent="0.25">
      <c r="A689" s="136" t="s">
        <v>2002</v>
      </c>
      <c r="B689" s="137">
        <v>0</v>
      </c>
      <c r="C689" s="137">
        <v>0</v>
      </c>
      <c r="D689" s="137">
        <v>0</v>
      </c>
      <c r="E689" s="137">
        <v>0</v>
      </c>
      <c r="F689" s="137">
        <v>0</v>
      </c>
      <c r="G689" s="137">
        <v>0</v>
      </c>
      <c r="H689" s="137">
        <v>0</v>
      </c>
      <c r="I689" s="137">
        <v>0</v>
      </c>
      <c r="J689" s="137">
        <v>0</v>
      </c>
      <c r="K689" s="137">
        <v>0</v>
      </c>
      <c r="L689" s="137">
        <v>0</v>
      </c>
      <c r="M689" s="137">
        <v>0</v>
      </c>
      <c r="N689" s="137">
        <v>0</v>
      </c>
      <c r="O689" s="137">
        <v>0</v>
      </c>
      <c r="P689" s="137">
        <v>0</v>
      </c>
      <c r="Q689" s="137">
        <v>0</v>
      </c>
      <c r="R689" s="137">
        <v>0</v>
      </c>
      <c r="S689" s="137">
        <v>0</v>
      </c>
      <c r="T689" s="137">
        <v>0</v>
      </c>
      <c r="U689" s="137">
        <v>0</v>
      </c>
      <c r="V689" s="137">
        <v>0</v>
      </c>
      <c r="W689" s="140" t="s">
        <v>1609</v>
      </c>
      <c r="X689" s="56">
        <f t="shared" si="20"/>
        <v>7</v>
      </c>
      <c r="Y689" s="56" t="str">
        <f t="shared" si="21"/>
        <v>NO LOGUEO</v>
      </c>
    </row>
    <row r="690" spans="1:25" ht="15" x14ac:dyDescent="0.25">
      <c r="A690" s="136" t="s">
        <v>1897</v>
      </c>
      <c r="B690" s="137">
        <v>0</v>
      </c>
      <c r="C690" s="137">
        <v>2.13</v>
      </c>
      <c r="D690" s="137">
        <v>8.4600000000000009</v>
      </c>
      <c r="E690" s="137">
        <v>2.58</v>
      </c>
      <c r="F690" s="137">
        <v>1.73</v>
      </c>
      <c r="G690" s="137">
        <v>12.74</v>
      </c>
      <c r="H690" s="137">
        <v>10.9</v>
      </c>
      <c r="I690" s="137">
        <v>3.67</v>
      </c>
      <c r="J690" s="137">
        <v>7.45</v>
      </c>
      <c r="K690" s="137">
        <v>9.9099000000000004</v>
      </c>
      <c r="L690" s="137">
        <v>3.2199</v>
      </c>
      <c r="M690" s="137">
        <v>4.71</v>
      </c>
      <c r="N690" s="137">
        <v>5.7798999999999996</v>
      </c>
      <c r="O690" s="137">
        <v>12.58</v>
      </c>
      <c r="P690" s="137">
        <v>5.12</v>
      </c>
      <c r="Q690" s="137">
        <v>7.2899000000000003</v>
      </c>
      <c r="R690" s="137">
        <v>5.5598999999999998</v>
      </c>
      <c r="S690" s="137">
        <v>0</v>
      </c>
      <c r="T690" s="137">
        <v>0</v>
      </c>
      <c r="U690" s="137">
        <v>2.21</v>
      </c>
      <c r="V690" s="137">
        <v>3.26</v>
      </c>
      <c r="W690" s="140" t="s">
        <v>1609</v>
      </c>
      <c r="X690" s="56">
        <f t="shared" si="20"/>
        <v>2</v>
      </c>
      <c r="Y690" s="56" t="str">
        <f t="shared" si="21"/>
        <v>NO LOGUEO</v>
      </c>
    </row>
    <row r="691" spans="1:25" ht="15" x14ac:dyDescent="0.25">
      <c r="A691" s="136" t="s">
        <v>1871</v>
      </c>
      <c r="B691" s="137">
        <v>0</v>
      </c>
      <c r="C691" s="137">
        <v>0</v>
      </c>
      <c r="D691" s="137">
        <v>0</v>
      </c>
      <c r="E691" s="137">
        <v>0</v>
      </c>
      <c r="F691" s="137">
        <v>0</v>
      </c>
      <c r="G691" s="137">
        <v>0</v>
      </c>
      <c r="H691" s="137">
        <v>0</v>
      </c>
      <c r="I691" s="137">
        <v>0</v>
      </c>
      <c r="J691" s="137">
        <v>0</v>
      </c>
      <c r="K691" s="137">
        <v>0</v>
      </c>
      <c r="L691" s="137">
        <v>0</v>
      </c>
      <c r="M691" s="137">
        <v>0</v>
      </c>
      <c r="N691" s="137">
        <v>0</v>
      </c>
      <c r="O691" s="137">
        <v>0</v>
      </c>
      <c r="P691" s="137">
        <v>0</v>
      </c>
      <c r="Q691" s="137">
        <v>0</v>
      </c>
      <c r="R691" s="137">
        <v>0</v>
      </c>
      <c r="S691" s="137">
        <v>0</v>
      </c>
      <c r="T691" s="137">
        <v>0</v>
      </c>
      <c r="U691" s="137">
        <v>0</v>
      </c>
      <c r="V691" s="137">
        <v>0</v>
      </c>
      <c r="W691" s="140" t="s">
        <v>1609</v>
      </c>
      <c r="X691" s="56">
        <f t="shared" si="20"/>
        <v>7</v>
      </c>
      <c r="Y691" s="56" t="str">
        <f t="shared" si="21"/>
        <v>NO LOGUEO</v>
      </c>
    </row>
    <row r="692" spans="1:25" ht="15" x14ac:dyDescent="0.25">
      <c r="A692" s="136" t="s">
        <v>263</v>
      </c>
      <c r="B692" s="137">
        <v>0</v>
      </c>
      <c r="C692" s="137">
        <v>0</v>
      </c>
      <c r="D692" s="137">
        <v>0</v>
      </c>
      <c r="E692" s="137">
        <v>0</v>
      </c>
      <c r="F692" s="137">
        <v>0</v>
      </c>
      <c r="G692" s="137">
        <v>0</v>
      </c>
      <c r="H692" s="137">
        <v>0</v>
      </c>
      <c r="I692" s="137">
        <v>0</v>
      </c>
      <c r="J692" s="137">
        <v>0</v>
      </c>
      <c r="K692" s="137">
        <v>0</v>
      </c>
      <c r="L692" s="137">
        <v>0</v>
      </c>
      <c r="M692" s="137">
        <v>10.629899999999999</v>
      </c>
      <c r="N692" s="137">
        <v>1.27</v>
      </c>
      <c r="O692" s="137">
        <v>5.85</v>
      </c>
      <c r="P692" s="137">
        <v>8</v>
      </c>
      <c r="Q692" s="137">
        <v>10.36</v>
      </c>
      <c r="R692" s="137">
        <v>9.14</v>
      </c>
      <c r="S692" s="137">
        <v>9.8699999999999992</v>
      </c>
      <c r="T692" s="137">
        <v>8.73</v>
      </c>
      <c r="U692" s="137">
        <v>9.1</v>
      </c>
      <c r="V692" s="137">
        <v>0</v>
      </c>
      <c r="W692" s="140">
        <v>14119825</v>
      </c>
      <c r="X692" s="56">
        <f t="shared" si="20"/>
        <v>1</v>
      </c>
      <c r="Y692" s="56" t="str">
        <f t="shared" si="21"/>
        <v>LOGUEO</v>
      </c>
    </row>
    <row r="693" spans="1:25" ht="15" x14ac:dyDescent="0.25">
      <c r="A693" s="136" t="s">
        <v>532</v>
      </c>
      <c r="B693" s="137">
        <v>0</v>
      </c>
      <c r="C693" s="137">
        <v>0</v>
      </c>
      <c r="D693" s="137">
        <v>0</v>
      </c>
      <c r="E693" s="137">
        <v>0</v>
      </c>
      <c r="F693" s="137">
        <v>0</v>
      </c>
      <c r="G693" s="137">
        <v>0</v>
      </c>
      <c r="H693" s="137">
        <v>0</v>
      </c>
      <c r="I693" s="137">
        <v>0</v>
      </c>
      <c r="J693" s="137">
        <v>0</v>
      </c>
      <c r="K693" s="137">
        <v>0</v>
      </c>
      <c r="L693" s="137">
        <v>0</v>
      </c>
      <c r="M693" s="137">
        <v>0</v>
      </c>
      <c r="N693" s="137">
        <v>0</v>
      </c>
      <c r="O693" s="137">
        <v>0</v>
      </c>
      <c r="P693" s="137">
        <v>0</v>
      </c>
      <c r="Q693" s="137">
        <v>0</v>
      </c>
      <c r="R693" s="137">
        <v>0</v>
      </c>
      <c r="S693" s="137">
        <v>0</v>
      </c>
      <c r="T693" s="137">
        <v>0</v>
      </c>
      <c r="U693" s="137">
        <v>0</v>
      </c>
      <c r="V693" s="137">
        <v>0</v>
      </c>
      <c r="W693" s="140" t="s">
        <v>1609</v>
      </c>
      <c r="X693" s="56">
        <f t="shared" si="20"/>
        <v>7</v>
      </c>
      <c r="Y693" s="56" t="str">
        <f t="shared" si="21"/>
        <v>NO LOGUEO</v>
      </c>
    </row>
    <row r="694" spans="1:25" ht="15" x14ac:dyDescent="0.25">
      <c r="A694" s="136" t="s">
        <v>2003</v>
      </c>
      <c r="B694" s="137">
        <v>0</v>
      </c>
      <c r="C694" s="137">
        <v>0</v>
      </c>
      <c r="D694" s="137">
        <v>0</v>
      </c>
      <c r="E694" s="137">
        <v>0</v>
      </c>
      <c r="F694" s="137">
        <v>0</v>
      </c>
      <c r="G694" s="137">
        <v>0</v>
      </c>
      <c r="H694" s="137">
        <v>0</v>
      </c>
      <c r="I694" s="137">
        <v>0</v>
      </c>
      <c r="J694" s="137">
        <v>2.8</v>
      </c>
      <c r="K694" s="137">
        <v>6.57</v>
      </c>
      <c r="L694" s="137">
        <v>9.81</v>
      </c>
      <c r="M694" s="137">
        <v>10.39</v>
      </c>
      <c r="N694" s="137">
        <v>2.86</v>
      </c>
      <c r="O694" s="137">
        <v>9.27</v>
      </c>
      <c r="P694" s="137">
        <v>5.88</v>
      </c>
      <c r="Q694" s="137">
        <v>9.93</v>
      </c>
      <c r="R694" s="137">
        <v>9.7799999999999994</v>
      </c>
      <c r="S694" s="137">
        <v>10.11</v>
      </c>
      <c r="T694" s="137">
        <v>9.8000000000000007</v>
      </c>
      <c r="U694" s="137">
        <v>0</v>
      </c>
      <c r="V694" s="137">
        <v>8.27</v>
      </c>
      <c r="W694" s="140" t="s">
        <v>1609</v>
      </c>
      <c r="X694" s="56">
        <f t="shared" si="20"/>
        <v>1</v>
      </c>
      <c r="Y694" s="56" t="str">
        <f t="shared" si="21"/>
        <v>LOGUEO</v>
      </c>
    </row>
    <row r="695" spans="1:25" ht="15" x14ac:dyDescent="0.25">
      <c r="A695" s="136" t="s">
        <v>1885</v>
      </c>
      <c r="B695" s="137">
        <v>0</v>
      </c>
      <c r="C695" s="137">
        <v>0</v>
      </c>
      <c r="D695" s="137">
        <v>0</v>
      </c>
      <c r="E695" s="137">
        <v>0</v>
      </c>
      <c r="F695" s="137">
        <v>0</v>
      </c>
      <c r="G695" s="137">
        <v>0</v>
      </c>
      <c r="H695" s="137">
        <v>0</v>
      </c>
      <c r="I695" s="137">
        <v>0</v>
      </c>
      <c r="J695" s="137">
        <v>0</v>
      </c>
      <c r="K695" s="137">
        <v>0</v>
      </c>
      <c r="L695" s="137">
        <v>0</v>
      </c>
      <c r="M695" s="137">
        <v>0</v>
      </c>
      <c r="N695" s="137">
        <v>0</v>
      </c>
      <c r="O695" s="137">
        <v>0</v>
      </c>
      <c r="P695" s="137">
        <v>0</v>
      </c>
      <c r="Q695" s="137">
        <v>0</v>
      </c>
      <c r="R695" s="137">
        <v>0</v>
      </c>
      <c r="S695" s="137">
        <v>0</v>
      </c>
      <c r="T695" s="137">
        <v>0</v>
      </c>
      <c r="U695" s="137">
        <v>0</v>
      </c>
      <c r="V695" s="137">
        <v>0</v>
      </c>
      <c r="W695" s="140" t="s">
        <v>1609</v>
      </c>
      <c r="X695" s="56">
        <f t="shared" si="20"/>
        <v>7</v>
      </c>
      <c r="Y695" s="56" t="str">
        <f t="shared" si="21"/>
        <v>NO LOGUEO</v>
      </c>
    </row>
    <row r="696" spans="1:25" ht="15" x14ac:dyDescent="0.25">
      <c r="A696" s="136" t="s">
        <v>2569</v>
      </c>
      <c r="B696" s="137">
        <v>9.52</v>
      </c>
      <c r="C696" s="137">
        <v>0</v>
      </c>
      <c r="D696" s="137">
        <v>0</v>
      </c>
      <c r="E696" s="137">
        <v>0</v>
      </c>
      <c r="F696" s="137">
        <v>0</v>
      </c>
      <c r="G696" s="137">
        <v>0</v>
      </c>
      <c r="H696" s="137">
        <v>0</v>
      </c>
      <c r="I696" s="137">
        <v>0</v>
      </c>
      <c r="J696" s="137">
        <v>0</v>
      </c>
      <c r="K696" s="137">
        <v>0</v>
      </c>
      <c r="L696" s="137">
        <v>2.2999999999999998</v>
      </c>
      <c r="M696" s="137">
        <v>0</v>
      </c>
      <c r="N696" s="137">
        <v>0</v>
      </c>
      <c r="O696" s="137">
        <v>0</v>
      </c>
      <c r="P696" s="137">
        <v>0</v>
      </c>
      <c r="Q696" s="137">
        <v>0</v>
      </c>
      <c r="R696" s="137">
        <v>0</v>
      </c>
      <c r="S696" s="137">
        <v>0</v>
      </c>
      <c r="T696" s="137">
        <v>0</v>
      </c>
      <c r="U696" s="137">
        <v>0</v>
      </c>
      <c r="V696" s="137">
        <v>0</v>
      </c>
      <c r="W696" s="140" t="s">
        <v>1609</v>
      </c>
      <c r="X696" s="56">
        <f t="shared" si="20"/>
        <v>7</v>
      </c>
      <c r="Y696" s="56" t="str">
        <f t="shared" si="21"/>
        <v>NO LOGUEO</v>
      </c>
    </row>
    <row r="697" spans="1:25" ht="15" x14ac:dyDescent="0.25">
      <c r="A697" s="136" t="s">
        <v>975</v>
      </c>
      <c r="B697" s="137">
        <v>0</v>
      </c>
      <c r="C697" s="137">
        <v>13.11</v>
      </c>
      <c r="D697" s="137">
        <v>3.91</v>
      </c>
      <c r="E697" s="137">
        <v>8.1</v>
      </c>
      <c r="F697" s="137">
        <v>3.75</v>
      </c>
      <c r="G697" s="137">
        <v>8.1</v>
      </c>
      <c r="H697" s="137">
        <v>4.92</v>
      </c>
      <c r="I697" s="137">
        <v>9.91</v>
      </c>
      <c r="J697" s="137">
        <v>0</v>
      </c>
      <c r="K697" s="137">
        <v>8.49</v>
      </c>
      <c r="L697" s="137">
        <v>4.18</v>
      </c>
      <c r="M697" s="137">
        <v>8.26</v>
      </c>
      <c r="N697" s="137">
        <v>4.0999999999999996</v>
      </c>
      <c r="O697" s="137">
        <v>9.49</v>
      </c>
      <c r="P697" s="137">
        <v>0</v>
      </c>
      <c r="Q697" s="137">
        <v>11.83</v>
      </c>
      <c r="R697" s="137">
        <v>3.79</v>
      </c>
      <c r="S697" s="137">
        <v>4.12</v>
      </c>
      <c r="T697" s="137">
        <v>8.5599000000000007</v>
      </c>
      <c r="U697" s="137">
        <v>4.21</v>
      </c>
      <c r="V697" s="137">
        <v>7.32</v>
      </c>
      <c r="W697" s="140" t="s">
        <v>1609</v>
      </c>
      <c r="X697" s="56">
        <f t="shared" si="20"/>
        <v>1</v>
      </c>
      <c r="Y697" s="56" t="str">
        <f t="shared" si="21"/>
        <v>LOGUEO</v>
      </c>
    </row>
    <row r="698" spans="1:25" ht="15" x14ac:dyDescent="0.25">
      <c r="A698" s="136" t="s">
        <v>987</v>
      </c>
      <c r="B698" s="137">
        <v>0</v>
      </c>
      <c r="C698" s="137">
        <v>0</v>
      </c>
      <c r="D698" s="137">
        <v>0</v>
      </c>
      <c r="E698" s="137">
        <v>0</v>
      </c>
      <c r="F698" s="137">
        <v>0</v>
      </c>
      <c r="G698" s="137">
        <v>0</v>
      </c>
      <c r="H698" s="137">
        <v>0</v>
      </c>
      <c r="I698" s="137">
        <v>0</v>
      </c>
      <c r="J698" s="137">
        <v>0</v>
      </c>
      <c r="K698" s="137">
        <v>0</v>
      </c>
      <c r="L698" s="137">
        <v>0</v>
      </c>
      <c r="M698" s="137">
        <v>0</v>
      </c>
      <c r="N698" s="137">
        <v>0</v>
      </c>
      <c r="O698" s="137">
        <v>0</v>
      </c>
      <c r="P698" s="137">
        <v>0</v>
      </c>
      <c r="Q698" s="137">
        <v>0</v>
      </c>
      <c r="R698" s="137">
        <v>0</v>
      </c>
      <c r="S698" s="137">
        <v>0</v>
      </c>
      <c r="T698" s="137">
        <v>0</v>
      </c>
      <c r="U698" s="137">
        <v>0</v>
      </c>
      <c r="V698" s="137">
        <v>0</v>
      </c>
      <c r="W698" s="140" t="s">
        <v>1609</v>
      </c>
      <c r="X698" s="56">
        <f t="shared" si="20"/>
        <v>7</v>
      </c>
      <c r="Y698" s="56" t="str">
        <f t="shared" si="21"/>
        <v>NO LOGUEO</v>
      </c>
    </row>
    <row r="699" spans="1:25" ht="15" x14ac:dyDescent="0.25">
      <c r="A699" s="136" t="s">
        <v>2004</v>
      </c>
      <c r="B699" s="137">
        <v>0</v>
      </c>
      <c r="C699" s="137">
        <v>0</v>
      </c>
      <c r="D699" s="137">
        <v>0</v>
      </c>
      <c r="E699" s="137">
        <v>0</v>
      </c>
      <c r="F699" s="137">
        <v>0</v>
      </c>
      <c r="G699" s="137">
        <v>0</v>
      </c>
      <c r="H699" s="137">
        <v>0</v>
      </c>
      <c r="I699" s="137">
        <v>0</v>
      </c>
      <c r="J699" s="137">
        <v>0</v>
      </c>
      <c r="K699" s="137">
        <v>0</v>
      </c>
      <c r="L699" s="137">
        <v>0</v>
      </c>
      <c r="M699" s="137">
        <v>0</v>
      </c>
      <c r="N699" s="137">
        <v>0</v>
      </c>
      <c r="O699" s="137">
        <v>0</v>
      </c>
      <c r="P699" s="137">
        <v>0</v>
      </c>
      <c r="Q699" s="137">
        <v>0</v>
      </c>
      <c r="R699" s="137">
        <v>0</v>
      </c>
      <c r="S699" s="137">
        <v>0</v>
      </c>
      <c r="T699" s="137">
        <v>0</v>
      </c>
      <c r="U699" s="137">
        <v>0</v>
      </c>
      <c r="V699" s="137">
        <v>0</v>
      </c>
      <c r="W699" s="140" t="s">
        <v>1609</v>
      </c>
      <c r="X699" s="56">
        <f t="shared" si="20"/>
        <v>7</v>
      </c>
      <c r="Y699" s="56" t="str">
        <f t="shared" si="21"/>
        <v>NO LOGUEO</v>
      </c>
    </row>
    <row r="700" spans="1:25" ht="15" x14ac:dyDescent="0.25">
      <c r="A700" s="136" t="s">
        <v>271</v>
      </c>
      <c r="B700" s="137">
        <v>6.35</v>
      </c>
      <c r="C700" s="137">
        <v>10.06</v>
      </c>
      <c r="D700" s="137">
        <v>8.36</v>
      </c>
      <c r="E700" s="137">
        <v>9.08</v>
      </c>
      <c r="F700" s="137">
        <v>0</v>
      </c>
      <c r="G700" s="137">
        <v>0</v>
      </c>
      <c r="H700" s="137">
        <v>0</v>
      </c>
      <c r="I700" s="137">
        <v>0</v>
      </c>
      <c r="J700" s="137">
        <v>0</v>
      </c>
      <c r="K700" s="137">
        <v>7.66</v>
      </c>
      <c r="L700" s="137">
        <v>8.64</v>
      </c>
      <c r="M700" s="137">
        <v>7.86</v>
      </c>
      <c r="N700" s="137">
        <v>8.8999000000000006</v>
      </c>
      <c r="O700" s="137">
        <v>0</v>
      </c>
      <c r="P700" s="137">
        <v>6.36</v>
      </c>
      <c r="Q700" s="137">
        <v>10.24</v>
      </c>
      <c r="R700" s="137">
        <v>8.92</v>
      </c>
      <c r="S700" s="137">
        <v>9.82</v>
      </c>
      <c r="T700" s="137">
        <v>8.65</v>
      </c>
      <c r="U700" s="137">
        <v>8.86</v>
      </c>
      <c r="V700" s="137">
        <v>0</v>
      </c>
      <c r="W700" s="140">
        <v>14119958</v>
      </c>
      <c r="X700" s="56">
        <f t="shared" si="20"/>
        <v>1</v>
      </c>
      <c r="Y700" s="56" t="str">
        <f t="shared" si="21"/>
        <v>LOGUEO</v>
      </c>
    </row>
    <row r="701" spans="1:25" ht="15" x14ac:dyDescent="0.25">
      <c r="A701" s="136" t="s">
        <v>3722</v>
      </c>
      <c r="B701" s="137">
        <v>0</v>
      </c>
      <c r="C701" s="137">
        <v>1.27</v>
      </c>
      <c r="D701" s="137">
        <v>7.17</v>
      </c>
      <c r="E701" s="137">
        <v>0</v>
      </c>
      <c r="F701" s="137">
        <v>0</v>
      </c>
      <c r="G701" s="137">
        <v>0</v>
      </c>
      <c r="H701" s="137">
        <v>2.8</v>
      </c>
      <c r="I701" s="137">
        <v>0</v>
      </c>
      <c r="J701" s="137">
        <v>0</v>
      </c>
      <c r="K701" s="137">
        <v>0</v>
      </c>
      <c r="L701" s="137">
        <v>0</v>
      </c>
      <c r="M701" s="137">
        <v>0</v>
      </c>
      <c r="N701" s="137">
        <v>0</v>
      </c>
      <c r="O701" s="137">
        <v>0</v>
      </c>
      <c r="P701" s="137">
        <v>0</v>
      </c>
      <c r="Q701" s="137">
        <v>0</v>
      </c>
      <c r="R701" s="137">
        <v>0</v>
      </c>
      <c r="S701" s="137">
        <v>0</v>
      </c>
      <c r="T701" s="137">
        <v>0</v>
      </c>
      <c r="U701" s="137">
        <v>0</v>
      </c>
      <c r="V701" s="137">
        <v>0</v>
      </c>
      <c r="W701" s="140" t="s">
        <v>1609</v>
      </c>
      <c r="X701" s="56">
        <f t="shared" si="20"/>
        <v>7</v>
      </c>
      <c r="Y701" s="56" t="str">
        <f t="shared" si="21"/>
        <v>NO LOGUEO</v>
      </c>
    </row>
    <row r="702" spans="1:25" ht="15" x14ac:dyDescent="0.25">
      <c r="A702" s="136" t="s">
        <v>124</v>
      </c>
      <c r="B702" s="137">
        <v>0</v>
      </c>
      <c r="C702" s="137">
        <v>11.65</v>
      </c>
      <c r="D702" s="137">
        <v>11.1</v>
      </c>
      <c r="E702" s="137">
        <v>10.68</v>
      </c>
      <c r="F702" s="137">
        <v>8.11</v>
      </c>
      <c r="G702" s="137">
        <v>10.72</v>
      </c>
      <c r="H702" s="137">
        <v>10.5899</v>
      </c>
      <c r="I702" s="137">
        <v>7.29</v>
      </c>
      <c r="J702" s="137">
        <v>0</v>
      </c>
      <c r="K702" s="137">
        <v>8.7799999999999994</v>
      </c>
      <c r="L702" s="137">
        <v>8.6999999999999993</v>
      </c>
      <c r="M702" s="137">
        <v>11.049899999999999</v>
      </c>
      <c r="N702" s="137">
        <v>5.75</v>
      </c>
      <c r="O702" s="137">
        <v>10.289899999999999</v>
      </c>
      <c r="P702" s="137">
        <v>0</v>
      </c>
      <c r="Q702" s="137">
        <v>10.3399</v>
      </c>
      <c r="R702" s="137">
        <v>11.79</v>
      </c>
      <c r="S702" s="137">
        <v>10.76</v>
      </c>
      <c r="T702" s="137">
        <v>10.719900000000001</v>
      </c>
      <c r="U702" s="137">
        <v>10.7</v>
      </c>
      <c r="V702" s="137">
        <v>9.27</v>
      </c>
      <c r="W702" s="140">
        <v>14113140</v>
      </c>
      <c r="X702" s="56">
        <f t="shared" si="20"/>
        <v>1</v>
      </c>
      <c r="Y702" s="56" t="str">
        <f t="shared" si="21"/>
        <v>LOGUEO</v>
      </c>
    </row>
    <row r="703" spans="1:25" ht="15" x14ac:dyDescent="0.25">
      <c r="A703" s="136" t="s">
        <v>1848</v>
      </c>
      <c r="B703" s="137">
        <v>14.15</v>
      </c>
      <c r="C703" s="137">
        <v>0</v>
      </c>
      <c r="D703" s="137">
        <v>6.98</v>
      </c>
      <c r="E703" s="137">
        <v>4.01</v>
      </c>
      <c r="F703" s="137">
        <v>4.8598999999999997</v>
      </c>
      <c r="G703" s="137">
        <v>8.1499000000000006</v>
      </c>
      <c r="H703" s="137">
        <v>8.24</v>
      </c>
      <c r="I703" s="137">
        <v>5.74</v>
      </c>
      <c r="J703" s="137">
        <v>9.4499999999999993</v>
      </c>
      <c r="K703" s="137">
        <v>5.83</v>
      </c>
      <c r="L703" s="137">
        <v>5.7398999999999996</v>
      </c>
      <c r="M703" s="137">
        <v>7.17</v>
      </c>
      <c r="N703" s="137">
        <v>1.35</v>
      </c>
      <c r="O703" s="137">
        <v>4.6399999999999997</v>
      </c>
      <c r="P703" s="137">
        <v>12.649900000000001</v>
      </c>
      <c r="Q703" s="137">
        <v>11.24</v>
      </c>
      <c r="R703" s="137">
        <v>7.9599000000000002</v>
      </c>
      <c r="S703" s="137">
        <v>5.8598999999999997</v>
      </c>
      <c r="T703" s="137">
        <v>6.3098999999999998</v>
      </c>
      <c r="U703" s="137">
        <v>7.48</v>
      </c>
      <c r="V703" s="137">
        <v>10.53</v>
      </c>
      <c r="W703" s="140" t="s">
        <v>1609</v>
      </c>
      <c r="X703" s="56">
        <f t="shared" si="20"/>
        <v>0</v>
      </c>
      <c r="Y703" s="56" t="str">
        <f t="shared" si="21"/>
        <v>LOGUEO</v>
      </c>
    </row>
    <row r="704" spans="1:25" ht="15" x14ac:dyDescent="0.25">
      <c r="A704" s="136" t="s">
        <v>1849</v>
      </c>
      <c r="B704" s="137">
        <v>7.13</v>
      </c>
      <c r="C704" s="137">
        <v>0.9</v>
      </c>
      <c r="D704" s="137">
        <v>0</v>
      </c>
      <c r="E704" s="137">
        <v>3.42</v>
      </c>
      <c r="F704" s="137">
        <v>3.75</v>
      </c>
      <c r="G704" s="137">
        <v>8.1999999999999993</v>
      </c>
      <c r="H704" s="137">
        <v>3.5</v>
      </c>
      <c r="I704" s="137">
        <v>2.29</v>
      </c>
      <c r="J704" s="137">
        <v>1.35</v>
      </c>
      <c r="K704" s="137">
        <v>1.1499999999999999</v>
      </c>
      <c r="L704" s="137">
        <v>8.3999000000000006</v>
      </c>
      <c r="M704" s="137">
        <v>0</v>
      </c>
      <c r="N704" s="137">
        <v>5.05</v>
      </c>
      <c r="O704" s="137">
        <v>6.49</v>
      </c>
      <c r="P704" s="137">
        <v>5.71</v>
      </c>
      <c r="Q704" s="137">
        <v>7.17</v>
      </c>
      <c r="R704" s="137">
        <v>6.1</v>
      </c>
      <c r="S704" s="137">
        <v>5.09</v>
      </c>
      <c r="T704" s="137">
        <v>7.88</v>
      </c>
      <c r="U704" s="137">
        <v>8.06</v>
      </c>
      <c r="V704" s="137">
        <v>3.85</v>
      </c>
      <c r="W704" s="140" t="s">
        <v>1609</v>
      </c>
      <c r="X704" s="56">
        <f t="shared" si="20"/>
        <v>0</v>
      </c>
      <c r="Y704" s="56" t="str">
        <f t="shared" si="21"/>
        <v>LOGUEO</v>
      </c>
    </row>
    <row r="705" spans="1:25" ht="15" x14ac:dyDescent="0.25">
      <c r="A705" s="136" t="s">
        <v>259</v>
      </c>
      <c r="B705" s="137">
        <v>7.06</v>
      </c>
      <c r="C705" s="137">
        <v>8.67</v>
      </c>
      <c r="D705" s="137">
        <v>9.3999000000000006</v>
      </c>
      <c r="E705" s="137">
        <v>9.02</v>
      </c>
      <c r="F705" s="137">
        <v>1.85</v>
      </c>
      <c r="G705" s="137">
        <v>9.1999999999999993</v>
      </c>
      <c r="H705" s="137">
        <v>8.73</v>
      </c>
      <c r="I705" s="137">
        <v>4.6500000000000004</v>
      </c>
      <c r="J705" s="137">
        <v>8.11</v>
      </c>
      <c r="K705" s="137">
        <v>10.55</v>
      </c>
      <c r="L705" s="137">
        <v>9.3000000000000007</v>
      </c>
      <c r="M705" s="137">
        <v>9.5398999999999994</v>
      </c>
      <c r="N705" s="137">
        <v>8.9499999999999993</v>
      </c>
      <c r="O705" s="137">
        <v>8.77</v>
      </c>
      <c r="P705" s="137">
        <v>5.18</v>
      </c>
      <c r="Q705" s="137">
        <v>8.61</v>
      </c>
      <c r="R705" s="137">
        <v>9.92</v>
      </c>
      <c r="S705" s="137">
        <v>9.4499999999999993</v>
      </c>
      <c r="T705" s="137">
        <v>11.16</v>
      </c>
      <c r="U705" s="137">
        <v>9.42</v>
      </c>
      <c r="V705" s="137">
        <v>8.4700000000000006</v>
      </c>
      <c r="W705" s="140">
        <v>14119785</v>
      </c>
      <c r="X705" s="56">
        <f t="shared" si="20"/>
        <v>0</v>
      </c>
      <c r="Y705" s="56" t="str">
        <f t="shared" si="21"/>
        <v>LOGUEO</v>
      </c>
    </row>
    <row r="706" spans="1:25" ht="15" x14ac:dyDescent="0.25">
      <c r="A706" s="136" t="s">
        <v>52</v>
      </c>
      <c r="B706" s="137">
        <v>0</v>
      </c>
      <c r="C706" s="137">
        <v>7.4</v>
      </c>
      <c r="D706" s="137">
        <v>6.78</v>
      </c>
      <c r="E706" s="137">
        <v>5.18</v>
      </c>
      <c r="F706" s="137">
        <v>2.91</v>
      </c>
      <c r="G706" s="137">
        <v>5.9798999999999998</v>
      </c>
      <c r="H706" s="137">
        <v>5.9499000000000004</v>
      </c>
      <c r="I706" s="137">
        <v>7.07</v>
      </c>
      <c r="J706" s="137">
        <v>9.5099</v>
      </c>
      <c r="K706" s="137">
        <v>11.479900000000001</v>
      </c>
      <c r="L706" s="137">
        <v>9.07</v>
      </c>
      <c r="M706" s="137">
        <v>8.8698999999999995</v>
      </c>
      <c r="N706" s="137">
        <v>8.4600000000000009</v>
      </c>
      <c r="O706" s="137">
        <v>8.6399000000000008</v>
      </c>
      <c r="P706" s="137">
        <v>0</v>
      </c>
      <c r="Q706" s="137">
        <v>7.88</v>
      </c>
      <c r="R706" s="137">
        <v>7.72</v>
      </c>
      <c r="S706" s="137">
        <v>8.8099000000000007</v>
      </c>
      <c r="T706" s="137">
        <v>6.2398999999999996</v>
      </c>
      <c r="U706" s="137">
        <v>7.77</v>
      </c>
      <c r="V706" s="137">
        <v>6.3198999999999996</v>
      </c>
      <c r="W706" s="140">
        <v>14106438</v>
      </c>
      <c r="X706" s="56">
        <f t="shared" si="20"/>
        <v>1</v>
      </c>
      <c r="Y706" s="56" t="str">
        <f t="shared" si="21"/>
        <v>LOGUEO</v>
      </c>
    </row>
    <row r="707" spans="1:25" ht="15" x14ac:dyDescent="0.25">
      <c r="A707" s="136" t="s">
        <v>56</v>
      </c>
      <c r="B707" s="137">
        <v>0</v>
      </c>
      <c r="C707" s="137">
        <v>12.09</v>
      </c>
      <c r="D707" s="137">
        <v>8.23</v>
      </c>
      <c r="E707" s="137">
        <v>9.8798999999999992</v>
      </c>
      <c r="F707" s="137">
        <v>7.52</v>
      </c>
      <c r="G707" s="137">
        <v>9.2200000000000006</v>
      </c>
      <c r="H707" s="137">
        <v>10.029999999999999</v>
      </c>
      <c r="I707" s="137">
        <v>0</v>
      </c>
      <c r="J707" s="137">
        <v>10.5</v>
      </c>
      <c r="K707" s="137">
        <v>9.5399999999999991</v>
      </c>
      <c r="L707" s="137">
        <v>9.9600000000000009</v>
      </c>
      <c r="M707" s="137">
        <v>10.27</v>
      </c>
      <c r="N707" s="137">
        <v>8.17</v>
      </c>
      <c r="O707" s="137">
        <v>10.789899999999999</v>
      </c>
      <c r="P707" s="137">
        <v>9.7998999999999992</v>
      </c>
      <c r="Q707" s="137">
        <v>10.23</v>
      </c>
      <c r="R707" s="137">
        <v>0</v>
      </c>
      <c r="S707" s="137">
        <v>0</v>
      </c>
      <c r="T707" s="137">
        <v>0</v>
      </c>
      <c r="U707" s="137">
        <v>0</v>
      </c>
      <c r="V707" s="137">
        <v>0</v>
      </c>
      <c r="W707" s="140">
        <v>14107081</v>
      </c>
      <c r="X707" s="56">
        <f t="shared" ref="X707:X770" si="22">COUNTIF(P707:V707,0)</f>
        <v>5</v>
      </c>
      <c r="Y707" s="56" t="str">
        <f t="shared" ref="Y707:Y770" si="23">IF(X707&gt;1,"NO LOGUEO","LOGUEO")</f>
        <v>NO LOGUEO</v>
      </c>
    </row>
    <row r="708" spans="1:25" ht="15" x14ac:dyDescent="0.25">
      <c r="A708" s="136" t="s">
        <v>915</v>
      </c>
      <c r="B708" s="137">
        <v>1.46</v>
      </c>
      <c r="C708" s="137">
        <v>5.5399000000000003</v>
      </c>
      <c r="D708" s="137">
        <v>5.47</v>
      </c>
      <c r="E708" s="137">
        <v>5.51</v>
      </c>
      <c r="F708" s="137">
        <v>2.19</v>
      </c>
      <c r="G708" s="137">
        <v>5.58</v>
      </c>
      <c r="H708" s="137">
        <v>6.33</v>
      </c>
      <c r="I708" s="137">
        <v>0</v>
      </c>
      <c r="J708" s="137">
        <v>8.23</v>
      </c>
      <c r="K708" s="137">
        <v>6.05</v>
      </c>
      <c r="L708" s="137">
        <v>5.45</v>
      </c>
      <c r="M708" s="137">
        <v>5.54</v>
      </c>
      <c r="N708" s="137">
        <v>5.89</v>
      </c>
      <c r="O708" s="137">
        <v>8</v>
      </c>
      <c r="P708" s="137">
        <v>0</v>
      </c>
      <c r="Q708" s="137">
        <v>5.85</v>
      </c>
      <c r="R708" s="137">
        <v>5.74</v>
      </c>
      <c r="S708" s="137">
        <v>6.22</v>
      </c>
      <c r="T708" s="137">
        <v>5.73</v>
      </c>
      <c r="U708" s="137">
        <v>5.66</v>
      </c>
      <c r="V708" s="137">
        <v>5.49</v>
      </c>
      <c r="W708" s="140">
        <v>14103700</v>
      </c>
      <c r="X708" s="56">
        <f t="shared" si="22"/>
        <v>1</v>
      </c>
      <c r="Y708" s="56" t="str">
        <f t="shared" si="23"/>
        <v>LOGUEO</v>
      </c>
    </row>
    <row r="709" spans="1:25" ht="15" x14ac:dyDescent="0.25">
      <c r="A709" s="136" t="s">
        <v>10</v>
      </c>
      <c r="B709" s="137">
        <v>6.94</v>
      </c>
      <c r="C709" s="137">
        <v>0.22</v>
      </c>
      <c r="D709" s="137">
        <v>9.19</v>
      </c>
      <c r="E709" s="137">
        <v>9.26</v>
      </c>
      <c r="F709" s="137">
        <v>6.54</v>
      </c>
      <c r="G709" s="137">
        <v>9.7799999999999994</v>
      </c>
      <c r="H709" s="137">
        <v>10.99</v>
      </c>
      <c r="I709" s="137">
        <v>0.22</v>
      </c>
      <c r="J709" s="137">
        <v>8.59</v>
      </c>
      <c r="K709" s="137">
        <v>9.0500000000000007</v>
      </c>
      <c r="L709" s="137">
        <v>12.96</v>
      </c>
      <c r="M709" s="137">
        <v>7.69</v>
      </c>
      <c r="N709" s="137">
        <v>10.26</v>
      </c>
      <c r="O709" s="137">
        <v>8.85</v>
      </c>
      <c r="P709" s="137">
        <v>7.41</v>
      </c>
      <c r="Q709" s="137">
        <v>8.86</v>
      </c>
      <c r="R709" s="137">
        <v>11.16</v>
      </c>
      <c r="S709" s="137">
        <v>7.61</v>
      </c>
      <c r="T709" s="137">
        <v>11.629899999999999</v>
      </c>
      <c r="U709" s="137">
        <v>8.58</v>
      </c>
      <c r="V709" s="137">
        <v>10.899900000000001</v>
      </c>
      <c r="W709" s="140">
        <v>14100721</v>
      </c>
      <c r="X709" s="56">
        <f t="shared" si="22"/>
        <v>0</v>
      </c>
      <c r="Y709" s="56" t="str">
        <f t="shared" si="23"/>
        <v>LOGUEO</v>
      </c>
    </row>
    <row r="710" spans="1:25" ht="15" x14ac:dyDescent="0.25">
      <c r="A710" s="136" t="s">
        <v>1815</v>
      </c>
      <c r="B710" s="137">
        <v>5.17</v>
      </c>
      <c r="C710" s="137">
        <v>0</v>
      </c>
      <c r="D710" s="137">
        <v>5.05</v>
      </c>
      <c r="E710" s="137">
        <v>6.61</v>
      </c>
      <c r="F710" s="137">
        <v>3.4</v>
      </c>
      <c r="G710" s="137">
        <v>7.25</v>
      </c>
      <c r="H710" s="137">
        <v>6.41</v>
      </c>
      <c r="I710" s="137">
        <v>6.92</v>
      </c>
      <c r="J710" s="137">
        <v>4.03</v>
      </c>
      <c r="K710" s="137">
        <v>5.21</v>
      </c>
      <c r="L710" s="137">
        <v>7.01</v>
      </c>
      <c r="M710" s="137">
        <v>7.05</v>
      </c>
      <c r="N710" s="137">
        <v>6.1</v>
      </c>
      <c r="O710" s="137">
        <v>6.78</v>
      </c>
      <c r="P710" s="137">
        <v>1.62</v>
      </c>
      <c r="Q710" s="137">
        <v>6.95</v>
      </c>
      <c r="R710" s="137">
        <v>7.19</v>
      </c>
      <c r="S710" s="137">
        <v>6.47</v>
      </c>
      <c r="T710" s="137">
        <v>6.1</v>
      </c>
      <c r="U710" s="137">
        <v>7.24</v>
      </c>
      <c r="V710" s="137">
        <v>6.46</v>
      </c>
      <c r="W710" s="140" t="s">
        <v>1609</v>
      </c>
      <c r="X710" s="56">
        <f t="shared" si="22"/>
        <v>0</v>
      </c>
      <c r="Y710" s="56" t="str">
        <f t="shared" si="23"/>
        <v>LOGUEO</v>
      </c>
    </row>
    <row r="711" spans="1:25" ht="15" x14ac:dyDescent="0.25">
      <c r="A711" s="136" t="s">
        <v>530</v>
      </c>
      <c r="B711" s="137">
        <v>0</v>
      </c>
      <c r="C711" s="137">
        <v>0</v>
      </c>
      <c r="D711" s="137">
        <v>0</v>
      </c>
      <c r="E711" s="137">
        <v>0</v>
      </c>
      <c r="F711" s="137">
        <v>0</v>
      </c>
      <c r="G711" s="137">
        <v>0</v>
      </c>
      <c r="H711" s="137">
        <v>0</v>
      </c>
      <c r="I711" s="137">
        <v>0</v>
      </c>
      <c r="J711" s="137">
        <v>0</v>
      </c>
      <c r="K711" s="137">
        <v>0</v>
      </c>
      <c r="L711" s="137">
        <v>0</v>
      </c>
      <c r="M711" s="137">
        <v>0</v>
      </c>
      <c r="N711" s="137">
        <v>0</v>
      </c>
      <c r="O711" s="137">
        <v>0</v>
      </c>
      <c r="P711" s="137">
        <v>0</v>
      </c>
      <c r="Q711" s="137">
        <v>0</v>
      </c>
      <c r="R711" s="137">
        <v>0</v>
      </c>
      <c r="S711" s="137">
        <v>0</v>
      </c>
      <c r="T711" s="137">
        <v>0</v>
      </c>
      <c r="U711" s="137">
        <v>0</v>
      </c>
      <c r="V711" s="137">
        <v>3.32</v>
      </c>
      <c r="W711" s="140" t="s">
        <v>1609</v>
      </c>
      <c r="X711" s="56">
        <f t="shared" si="22"/>
        <v>6</v>
      </c>
      <c r="Y711" s="56" t="str">
        <f t="shared" si="23"/>
        <v>NO LOGUEO</v>
      </c>
    </row>
    <row r="712" spans="1:25" ht="15" x14ac:dyDescent="0.25">
      <c r="A712" s="136" t="s">
        <v>448</v>
      </c>
      <c r="B712" s="137">
        <v>4.75</v>
      </c>
      <c r="C712" s="137">
        <v>4.25</v>
      </c>
      <c r="D712" s="137">
        <v>4.92</v>
      </c>
      <c r="E712" s="137">
        <v>4.8699000000000003</v>
      </c>
      <c r="F712" s="137">
        <v>2.77</v>
      </c>
      <c r="G712" s="137">
        <v>5.1098999999999997</v>
      </c>
      <c r="H712" s="137">
        <v>2.6</v>
      </c>
      <c r="I712" s="137">
        <v>2.2999999999999998</v>
      </c>
      <c r="J712" s="137">
        <v>6.96</v>
      </c>
      <c r="K712" s="137">
        <v>2.62</v>
      </c>
      <c r="L712" s="137">
        <v>5.5</v>
      </c>
      <c r="M712" s="137">
        <v>0.98</v>
      </c>
      <c r="N712" s="137">
        <v>2.4500000000000002</v>
      </c>
      <c r="O712" s="137">
        <v>0.88</v>
      </c>
      <c r="P712" s="137">
        <v>0</v>
      </c>
      <c r="Q712" s="137">
        <v>2.0699999999999998</v>
      </c>
      <c r="R712" s="137">
        <v>3.72</v>
      </c>
      <c r="S712" s="137">
        <v>1.1298999999999999</v>
      </c>
      <c r="T712" s="137">
        <v>3.3298999999999999</v>
      </c>
      <c r="U712" s="137">
        <v>3.45</v>
      </c>
      <c r="V712" s="137">
        <v>6.2099000000000002</v>
      </c>
      <c r="W712" s="140">
        <v>14122772</v>
      </c>
      <c r="X712" s="56">
        <f t="shared" si="22"/>
        <v>1</v>
      </c>
      <c r="Y712" s="56" t="str">
        <f t="shared" si="23"/>
        <v>LOGUEO</v>
      </c>
    </row>
    <row r="713" spans="1:25" ht="15" x14ac:dyDescent="0.25">
      <c r="A713" s="136" t="s">
        <v>50</v>
      </c>
      <c r="B713" s="137">
        <v>0</v>
      </c>
      <c r="C713" s="137">
        <v>5.35</v>
      </c>
      <c r="D713" s="137">
        <v>9.51</v>
      </c>
      <c r="E713" s="137">
        <v>9.0299999999999994</v>
      </c>
      <c r="F713" s="137">
        <v>8.1499000000000006</v>
      </c>
      <c r="G713" s="137">
        <v>8.9999000000000002</v>
      </c>
      <c r="H713" s="137">
        <v>8.8699999999999992</v>
      </c>
      <c r="I713" s="137">
        <v>0</v>
      </c>
      <c r="J713" s="137">
        <v>8.7199000000000009</v>
      </c>
      <c r="K713" s="137">
        <v>9.15</v>
      </c>
      <c r="L713" s="137">
        <v>9.42</v>
      </c>
      <c r="M713" s="137">
        <v>8.94</v>
      </c>
      <c r="N713" s="137">
        <v>9.5299999999999994</v>
      </c>
      <c r="O713" s="137">
        <v>9.4699000000000009</v>
      </c>
      <c r="P713" s="137">
        <v>0</v>
      </c>
      <c r="Q713" s="137">
        <v>8.5500000000000007</v>
      </c>
      <c r="R713" s="137">
        <v>10.01</v>
      </c>
      <c r="S713" s="137">
        <v>10.41</v>
      </c>
      <c r="T713" s="137">
        <v>10.53</v>
      </c>
      <c r="U713" s="137">
        <v>9.01</v>
      </c>
      <c r="V713" s="137">
        <v>8.7799999999999994</v>
      </c>
      <c r="W713" s="140">
        <v>14106066</v>
      </c>
      <c r="X713" s="56">
        <f t="shared" si="22"/>
        <v>1</v>
      </c>
      <c r="Y713" s="56" t="str">
        <f t="shared" si="23"/>
        <v>LOGUEO</v>
      </c>
    </row>
    <row r="714" spans="1:25" ht="15" x14ac:dyDescent="0.25">
      <c r="A714" s="136" t="s">
        <v>17</v>
      </c>
      <c r="B714" s="137">
        <v>4.8499999999999996</v>
      </c>
      <c r="C714" s="137">
        <v>2.5099</v>
      </c>
      <c r="D714" s="137">
        <v>2.58</v>
      </c>
      <c r="E714" s="137">
        <v>7.01</v>
      </c>
      <c r="F714" s="137">
        <v>2.3898999999999999</v>
      </c>
      <c r="G714" s="137">
        <v>5.37</v>
      </c>
      <c r="H714" s="137">
        <v>2.88</v>
      </c>
      <c r="I714" s="137">
        <v>4.8099999999999996</v>
      </c>
      <c r="J714" s="137">
        <v>2.72</v>
      </c>
      <c r="K714" s="137">
        <v>5.84</v>
      </c>
      <c r="L714" s="137">
        <v>2.6398999999999999</v>
      </c>
      <c r="M714" s="137">
        <v>5.21</v>
      </c>
      <c r="N714" s="137">
        <v>3.5699000000000001</v>
      </c>
      <c r="O714" s="137">
        <v>4.21</v>
      </c>
      <c r="P714" s="137">
        <v>2.4700000000000002</v>
      </c>
      <c r="Q714" s="137">
        <v>5.99</v>
      </c>
      <c r="R714" s="137">
        <v>3.36</v>
      </c>
      <c r="S714" s="137">
        <v>5.3598999999999997</v>
      </c>
      <c r="T714" s="137">
        <v>2.7199</v>
      </c>
      <c r="U714" s="137">
        <v>6.18</v>
      </c>
      <c r="V714" s="137">
        <v>0</v>
      </c>
      <c r="W714" s="140">
        <v>14100732</v>
      </c>
      <c r="X714" s="56">
        <f t="shared" si="22"/>
        <v>1</v>
      </c>
      <c r="Y714" s="56" t="str">
        <f t="shared" si="23"/>
        <v>LOGUEO</v>
      </c>
    </row>
    <row r="715" spans="1:25" ht="15" x14ac:dyDescent="0.25">
      <c r="A715" s="136" t="s">
        <v>37</v>
      </c>
      <c r="B715" s="137">
        <v>5.37</v>
      </c>
      <c r="C715" s="137">
        <v>6.18</v>
      </c>
      <c r="D715" s="137">
        <v>3.92</v>
      </c>
      <c r="E715" s="137">
        <v>0</v>
      </c>
      <c r="F715" s="137">
        <v>4.95</v>
      </c>
      <c r="G715" s="137">
        <v>10.09</v>
      </c>
      <c r="H715" s="137">
        <v>6.59</v>
      </c>
      <c r="I715" s="137">
        <v>4.47</v>
      </c>
      <c r="J715" s="137">
        <v>8.8099000000000007</v>
      </c>
      <c r="K715" s="137">
        <v>9.82</v>
      </c>
      <c r="L715" s="137">
        <v>8.2200000000000006</v>
      </c>
      <c r="M715" s="137">
        <v>1.1000000000000001</v>
      </c>
      <c r="N715" s="137">
        <v>5.47</v>
      </c>
      <c r="O715" s="137">
        <v>10.51</v>
      </c>
      <c r="P715" s="137">
        <v>7.95</v>
      </c>
      <c r="Q715" s="137">
        <v>3.55</v>
      </c>
      <c r="R715" s="137">
        <v>0</v>
      </c>
      <c r="S715" s="137">
        <v>10.35</v>
      </c>
      <c r="T715" s="137">
        <v>7.42</v>
      </c>
      <c r="U715" s="137">
        <v>10.02</v>
      </c>
      <c r="V715" s="137">
        <v>7.29</v>
      </c>
      <c r="W715" s="140">
        <v>14103335</v>
      </c>
      <c r="X715" s="56">
        <f t="shared" si="22"/>
        <v>1</v>
      </c>
      <c r="Y715" s="56" t="str">
        <f t="shared" si="23"/>
        <v>LOGUEO</v>
      </c>
    </row>
    <row r="716" spans="1:25" ht="15" x14ac:dyDescent="0.25">
      <c r="A716" s="136" t="s">
        <v>112</v>
      </c>
      <c r="B716" s="137">
        <v>0</v>
      </c>
      <c r="C716" s="137">
        <v>6.4398999999999997</v>
      </c>
      <c r="D716" s="137">
        <v>9.6399000000000008</v>
      </c>
      <c r="E716" s="137">
        <v>8.85</v>
      </c>
      <c r="F716" s="137">
        <v>8.1</v>
      </c>
      <c r="G716" s="137">
        <v>9.17</v>
      </c>
      <c r="H716" s="137">
        <v>8.68</v>
      </c>
      <c r="I716" s="137">
        <v>8.39</v>
      </c>
      <c r="J716" s="137">
        <v>5.74</v>
      </c>
      <c r="K716" s="137">
        <v>10.39</v>
      </c>
      <c r="L716" s="137">
        <v>10.199999999999999</v>
      </c>
      <c r="M716" s="137">
        <v>9.8699999999999992</v>
      </c>
      <c r="N716" s="137">
        <v>9.9499999999999993</v>
      </c>
      <c r="O716" s="137">
        <v>10.14</v>
      </c>
      <c r="P716" s="137">
        <v>0</v>
      </c>
      <c r="Q716" s="137">
        <v>8.76</v>
      </c>
      <c r="R716" s="137">
        <v>9.7799999999999994</v>
      </c>
      <c r="S716" s="137">
        <v>10.46</v>
      </c>
      <c r="T716" s="137">
        <v>10.2599</v>
      </c>
      <c r="U716" s="137">
        <v>9.01</v>
      </c>
      <c r="V716" s="137">
        <v>9.59</v>
      </c>
      <c r="W716" s="140">
        <v>14111557</v>
      </c>
      <c r="X716" s="56">
        <f t="shared" si="22"/>
        <v>1</v>
      </c>
      <c r="Y716" s="56" t="str">
        <f t="shared" si="23"/>
        <v>LOGUEO</v>
      </c>
    </row>
    <row r="717" spans="1:25" ht="15" x14ac:dyDescent="0.25">
      <c r="A717" s="136" t="s">
        <v>1850</v>
      </c>
      <c r="B717" s="137">
        <v>0</v>
      </c>
      <c r="C717" s="137">
        <v>4.67</v>
      </c>
      <c r="D717" s="137">
        <v>7.45</v>
      </c>
      <c r="E717" s="137">
        <v>6.2698999999999998</v>
      </c>
      <c r="F717" s="137">
        <v>7.19</v>
      </c>
      <c r="G717" s="137">
        <v>7.77</v>
      </c>
      <c r="H717" s="137">
        <v>8.44</v>
      </c>
      <c r="I717" s="137">
        <v>0</v>
      </c>
      <c r="J717" s="137">
        <v>5.83</v>
      </c>
      <c r="K717" s="137">
        <v>7.2</v>
      </c>
      <c r="L717" s="137">
        <v>8.4699000000000009</v>
      </c>
      <c r="M717" s="137">
        <v>8.41</v>
      </c>
      <c r="N717" s="137">
        <v>7.78</v>
      </c>
      <c r="O717" s="137">
        <v>7.66</v>
      </c>
      <c r="P717" s="137">
        <v>0</v>
      </c>
      <c r="Q717" s="137">
        <v>5.8098999999999998</v>
      </c>
      <c r="R717" s="137">
        <v>9.1</v>
      </c>
      <c r="S717" s="137">
        <v>7.46</v>
      </c>
      <c r="T717" s="137">
        <v>8.61</v>
      </c>
      <c r="U717" s="137">
        <v>7.99</v>
      </c>
      <c r="V717" s="137">
        <v>7.13</v>
      </c>
      <c r="W717" s="140">
        <v>14122543</v>
      </c>
      <c r="X717" s="56">
        <f t="shared" si="22"/>
        <v>1</v>
      </c>
      <c r="Y717" s="56" t="str">
        <f t="shared" si="23"/>
        <v>LOGUEO</v>
      </c>
    </row>
    <row r="718" spans="1:25" ht="15" x14ac:dyDescent="0.25">
      <c r="A718" s="136" t="s">
        <v>1886</v>
      </c>
      <c r="B718" s="137">
        <v>0.33</v>
      </c>
      <c r="C718" s="137">
        <v>1.92</v>
      </c>
      <c r="D718" s="137">
        <v>2.1800000000000002</v>
      </c>
      <c r="E718" s="137">
        <v>1.42</v>
      </c>
      <c r="F718" s="137">
        <v>0</v>
      </c>
      <c r="G718" s="137">
        <v>2.9098999999999999</v>
      </c>
      <c r="H718" s="137">
        <v>4.22</v>
      </c>
      <c r="I718" s="137">
        <v>1.41</v>
      </c>
      <c r="J718" s="137">
        <v>2.3498999999999999</v>
      </c>
      <c r="K718" s="137">
        <v>2.8</v>
      </c>
      <c r="L718" s="137">
        <v>6.3198999999999996</v>
      </c>
      <c r="M718" s="137">
        <v>5</v>
      </c>
      <c r="N718" s="137">
        <v>4.12</v>
      </c>
      <c r="O718" s="137">
        <v>4.62</v>
      </c>
      <c r="P718" s="137">
        <v>0</v>
      </c>
      <c r="Q718" s="137">
        <v>3.49</v>
      </c>
      <c r="R718" s="137">
        <v>5.49</v>
      </c>
      <c r="S718" s="137">
        <v>2.6899000000000002</v>
      </c>
      <c r="T718" s="137">
        <v>2.21</v>
      </c>
      <c r="U718" s="137">
        <v>0</v>
      </c>
      <c r="V718" s="137">
        <v>3.41</v>
      </c>
      <c r="W718" s="140">
        <v>14219362</v>
      </c>
      <c r="X718" s="56">
        <f t="shared" si="22"/>
        <v>2</v>
      </c>
      <c r="Y718" s="56" t="str">
        <f t="shared" si="23"/>
        <v>NO LOGUEO</v>
      </c>
    </row>
    <row r="719" spans="1:25" ht="15" x14ac:dyDescent="0.25">
      <c r="A719" s="136" t="s">
        <v>30</v>
      </c>
      <c r="B719" s="137">
        <v>0</v>
      </c>
      <c r="C719" s="137">
        <v>7.65</v>
      </c>
      <c r="D719" s="137">
        <v>7.66</v>
      </c>
      <c r="E719" s="137">
        <v>7.5598999999999998</v>
      </c>
      <c r="F719" s="137">
        <v>7.18</v>
      </c>
      <c r="G719" s="137">
        <v>7.56</v>
      </c>
      <c r="H719" s="137">
        <v>7.25</v>
      </c>
      <c r="I719" s="137">
        <v>3.75</v>
      </c>
      <c r="J719" s="137">
        <v>7.34</v>
      </c>
      <c r="K719" s="137">
        <v>6.2698999999999998</v>
      </c>
      <c r="L719" s="137">
        <v>7.98</v>
      </c>
      <c r="M719" s="137">
        <v>8.14</v>
      </c>
      <c r="N719" s="137">
        <v>8.2799999999999994</v>
      </c>
      <c r="O719" s="137">
        <v>8.2898999999999994</v>
      </c>
      <c r="P719" s="137">
        <v>8.02</v>
      </c>
      <c r="Q719" s="137">
        <v>3.97</v>
      </c>
      <c r="R719" s="137">
        <v>8.1999999999999993</v>
      </c>
      <c r="S719" s="137">
        <v>7.72</v>
      </c>
      <c r="T719" s="137">
        <v>0</v>
      </c>
      <c r="U719" s="137">
        <v>8.18</v>
      </c>
      <c r="V719" s="137">
        <v>7.39</v>
      </c>
      <c r="W719" s="140">
        <v>14102288</v>
      </c>
      <c r="X719" s="56">
        <f t="shared" si="22"/>
        <v>1</v>
      </c>
      <c r="Y719" s="56" t="str">
        <f t="shared" si="23"/>
        <v>LOGUEO</v>
      </c>
    </row>
    <row r="720" spans="1:25" ht="15" x14ac:dyDescent="0.25">
      <c r="A720" s="136" t="s">
        <v>1898</v>
      </c>
      <c r="B720" s="137">
        <v>0</v>
      </c>
      <c r="C720" s="137">
        <v>0</v>
      </c>
      <c r="D720" s="137">
        <v>0</v>
      </c>
      <c r="E720" s="137">
        <v>0</v>
      </c>
      <c r="F720" s="137">
        <v>0</v>
      </c>
      <c r="G720" s="137">
        <v>0</v>
      </c>
      <c r="H720" s="137">
        <v>0</v>
      </c>
      <c r="I720" s="137">
        <v>0</v>
      </c>
      <c r="J720" s="137">
        <v>0</v>
      </c>
      <c r="K720" s="137">
        <v>0</v>
      </c>
      <c r="L720" s="137">
        <v>0</v>
      </c>
      <c r="M720" s="137">
        <v>0</v>
      </c>
      <c r="N720" s="137">
        <v>0</v>
      </c>
      <c r="O720" s="137">
        <v>0</v>
      </c>
      <c r="P720" s="137">
        <v>0</v>
      </c>
      <c r="Q720" s="137">
        <v>0</v>
      </c>
      <c r="R720" s="137">
        <v>0</v>
      </c>
      <c r="S720" s="137">
        <v>0</v>
      </c>
      <c r="T720" s="137">
        <v>0</v>
      </c>
      <c r="U720" s="137">
        <v>0</v>
      </c>
      <c r="V720" s="137">
        <v>0</v>
      </c>
      <c r="W720" s="140" t="s">
        <v>1609</v>
      </c>
      <c r="X720" s="56">
        <f t="shared" si="22"/>
        <v>7</v>
      </c>
      <c r="Y720" s="56" t="str">
        <f t="shared" si="23"/>
        <v>NO LOGUEO</v>
      </c>
    </row>
    <row r="721" spans="1:25" ht="15" x14ac:dyDescent="0.25">
      <c r="A721" s="136" t="s">
        <v>515</v>
      </c>
      <c r="B721" s="137">
        <v>0</v>
      </c>
      <c r="C721" s="137">
        <v>0</v>
      </c>
      <c r="D721" s="137">
        <v>0</v>
      </c>
      <c r="E721" s="137">
        <v>0</v>
      </c>
      <c r="F721" s="137">
        <v>0</v>
      </c>
      <c r="G721" s="137">
        <v>6.04</v>
      </c>
      <c r="H721" s="137">
        <v>3.21</v>
      </c>
      <c r="I721" s="137">
        <v>0</v>
      </c>
      <c r="J721" s="137">
        <v>5.0598999999999998</v>
      </c>
      <c r="K721" s="137">
        <v>8.02</v>
      </c>
      <c r="L721" s="137">
        <v>7.66</v>
      </c>
      <c r="M721" s="137">
        <v>6.9099000000000004</v>
      </c>
      <c r="N721" s="137">
        <v>6.03</v>
      </c>
      <c r="O721" s="137">
        <v>6.0598999999999998</v>
      </c>
      <c r="P721" s="137">
        <v>4.7699999999999996</v>
      </c>
      <c r="Q721" s="137">
        <v>6.77</v>
      </c>
      <c r="R721" s="137">
        <v>2.6798999999999999</v>
      </c>
      <c r="S721" s="137">
        <v>6.97</v>
      </c>
      <c r="T721" s="137">
        <v>5.42</v>
      </c>
      <c r="U721" s="137">
        <v>1.3798999999999999</v>
      </c>
      <c r="V721" s="137">
        <v>1.67</v>
      </c>
      <c r="W721" s="140">
        <v>14123375</v>
      </c>
      <c r="X721" s="56">
        <f t="shared" si="22"/>
        <v>0</v>
      </c>
      <c r="Y721" s="56" t="str">
        <f t="shared" si="23"/>
        <v>LOGUEO</v>
      </c>
    </row>
    <row r="722" spans="1:25" ht="15" x14ac:dyDescent="0.25">
      <c r="A722" s="136" t="s">
        <v>526</v>
      </c>
      <c r="B722" s="137">
        <v>0</v>
      </c>
      <c r="C722" s="137">
        <v>0</v>
      </c>
      <c r="D722" s="137">
        <v>0</v>
      </c>
      <c r="E722" s="137">
        <v>0</v>
      </c>
      <c r="F722" s="137">
        <v>0</v>
      </c>
      <c r="G722" s="137">
        <v>0</v>
      </c>
      <c r="H722" s="137">
        <v>0</v>
      </c>
      <c r="I722" s="137">
        <v>0</v>
      </c>
      <c r="J722" s="137">
        <v>0</v>
      </c>
      <c r="K722" s="137">
        <v>3.1</v>
      </c>
      <c r="L722" s="137">
        <v>6.91</v>
      </c>
      <c r="M722" s="137">
        <v>6.29</v>
      </c>
      <c r="N722" s="137">
        <v>6.4798999999999998</v>
      </c>
      <c r="O722" s="137">
        <v>0</v>
      </c>
      <c r="P722" s="137">
        <v>2.44</v>
      </c>
      <c r="Q722" s="137">
        <v>10.11</v>
      </c>
      <c r="R722" s="137">
        <v>3.77</v>
      </c>
      <c r="S722" s="137">
        <v>6.14</v>
      </c>
      <c r="T722" s="137">
        <v>0</v>
      </c>
      <c r="U722" s="137">
        <v>6.7</v>
      </c>
      <c r="V722" s="137">
        <v>7.5499000000000001</v>
      </c>
      <c r="W722" s="140" t="s">
        <v>1609</v>
      </c>
      <c r="X722" s="56">
        <f t="shared" si="22"/>
        <v>1</v>
      </c>
      <c r="Y722" s="56" t="str">
        <f t="shared" si="23"/>
        <v>LOGUEO</v>
      </c>
    </row>
    <row r="723" spans="1:25" ht="15" x14ac:dyDescent="0.25">
      <c r="A723" s="136" t="s">
        <v>169</v>
      </c>
      <c r="B723" s="137">
        <v>0</v>
      </c>
      <c r="C723" s="137">
        <v>0</v>
      </c>
      <c r="D723" s="137">
        <v>0</v>
      </c>
      <c r="E723" s="137">
        <v>0</v>
      </c>
      <c r="F723" s="137">
        <v>0</v>
      </c>
      <c r="G723" s="137">
        <v>0</v>
      </c>
      <c r="H723" s="137">
        <v>0</v>
      </c>
      <c r="I723" s="137">
        <v>0</v>
      </c>
      <c r="J723" s="137">
        <v>0</v>
      </c>
      <c r="K723" s="137">
        <v>0</v>
      </c>
      <c r="L723" s="137">
        <v>0</v>
      </c>
      <c r="M723" s="137">
        <v>0</v>
      </c>
      <c r="N723" s="137">
        <v>0</v>
      </c>
      <c r="O723" s="137">
        <v>0</v>
      </c>
      <c r="P723" s="137">
        <v>0</v>
      </c>
      <c r="Q723" s="137">
        <v>0</v>
      </c>
      <c r="R723" s="137">
        <v>0</v>
      </c>
      <c r="S723" s="137">
        <v>0</v>
      </c>
      <c r="T723" s="137">
        <v>0</v>
      </c>
      <c r="U723" s="137">
        <v>0</v>
      </c>
      <c r="V723" s="137">
        <v>0</v>
      </c>
      <c r="W723" s="140">
        <v>14116600</v>
      </c>
      <c r="X723" s="56">
        <f t="shared" si="22"/>
        <v>7</v>
      </c>
      <c r="Y723" s="56" t="str">
        <f t="shared" si="23"/>
        <v>NO LOGUEO</v>
      </c>
    </row>
    <row r="724" spans="1:25" ht="15" x14ac:dyDescent="0.25">
      <c r="A724" s="136" t="s">
        <v>403</v>
      </c>
      <c r="B724" s="137">
        <v>0</v>
      </c>
      <c r="C724" s="137">
        <v>9.73</v>
      </c>
      <c r="D724" s="137">
        <v>7.31</v>
      </c>
      <c r="E724" s="137">
        <v>6.77</v>
      </c>
      <c r="F724" s="137">
        <v>5.3598999999999997</v>
      </c>
      <c r="G724" s="137">
        <v>7.32</v>
      </c>
      <c r="H724" s="137">
        <v>6.7</v>
      </c>
      <c r="I724" s="137">
        <v>7.46</v>
      </c>
      <c r="J724" s="137">
        <v>2.8</v>
      </c>
      <c r="K724" s="137">
        <v>5.76</v>
      </c>
      <c r="L724" s="137">
        <v>7.01</v>
      </c>
      <c r="M724" s="137">
        <v>6.75</v>
      </c>
      <c r="N724" s="137">
        <v>6.23</v>
      </c>
      <c r="O724" s="137">
        <v>6.85</v>
      </c>
      <c r="P724" s="137">
        <v>0</v>
      </c>
      <c r="Q724" s="137">
        <v>10.119999999999999</v>
      </c>
      <c r="R724" s="137">
        <v>6.6</v>
      </c>
      <c r="S724" s="137">
        <v>6.7</v>
      </c>
      <c r="T724" s="137">
        <v>7.15</v>
      </c>
      <c r="U724" s="137">
        <v>7.13</v>
      </c>
      <c r="V724" s="137">
        <v>9.0599000000000007</v>
      </c>
      <c r="W724" s="140">
        <v>14122230</v>
      </c>
      <c r="X724" s="56">
        <f t="shared" si="22"/>
        <v>1</v>
      </c>
      <c r="Y724" s="56" t="str">
        <f t="shared" si="23"/>
        <v>LOGUEO</v>
      </c>
    </row>
    <row r="725" spans="1:25" ht="15" x14ac:dyDescent="0.25">
      <c r="A725" s="136" t="s">
        <v>129</v>
      </c>
      <c r="B725" s="137">
        <v>7.74</v>
      </c>
      <c r="C725" s="137">
        <v>0</v>
      </c>
      <c r="D725" s="137">
        <v>7.45</v>
      </c>
      <c r="E725" s="137">
        <v>8.5299999999999994</v>
      </c>
      <c r="F725" s="137">
        <v>4.46</v>
      </c>
      <c r="G725" s="137">
        <v>8.6999999999999993</v>
      </c>
      <c r="H725" s="137">
        <v>8</v>
      </c>
      <c r="I725" s="137">
        <v>6.4</v>
      </c>
      <c r="J725" s="137">
        <v>8.7898999999999994</v>
      </c>
      <c r="K725" s="137">
        <v>8.2100000000000009</v>
      </c>
      <c r="L725" s="137">
        <v>7.43</v>
      </c>
      <c r="M725" s="137">
        <v>7.61</v>
      </c>
      <c r="N725" s="137">
        <v>0</v>
      </c>
      <c r="O725" s="137">
        <v>8.93</v>
      </c>
      <c r="P725" s="137">
        <v>7.25</v>
      </c>
      <c r="Q725" s="137">
        <v>9.86</v>
      </c>
      <c r="R725" s="137">
        <v>7.01</v>
      </c>
      <c r="S725" s="137">
        <v>7.24</v>
      </c>
      <c r="T725" s="137">
        <v>9.0299999999999994</v>
      </c>
      <c r="U725" s="137">
        <v>8.73</v>
      </c>
      <c r="V725" s="137">
        <v>8.3099000000000007</v>
      </c>
      <c r="W725" s="140">
        <v>14113349</v>
      </c>
      <c r="X725" s="56">
        <f t="shared" si="22"/>
        <v>0</v>
      </c>
      <c r="Y725" s="56" t="str">
        <f t="shared" si="23"/>
        <v>LOGUEO</v>
      </c>
    </row>
    <row r="726" spans="1:25" ht="15" x14ac:dyDescent="0.25">
      <c r="A726" s="136" t="s">
        <v>394</v>
      </c>
      <c r="B726" s="137">
        <v>5.3699000000000003</v>
      </c>
      <c r="C726" s="137">
        <v>8.2799999999999994</v>
      </c>
      <c r="D726" s="137">
        <v>5.81</v>
      </c>
      <c r="E726" s="137">
        <v>8.23</v>
      </c>
      <c r="F726" s="137">
        <v>0</v>
      </c>
      <c r="G726" s="137">
        <v>5.64</v>
      </c>
      <c r="H726" s="137">
        <v>7.96</v>
      </c>
      <c r="I726" s="137">
        <v>7.42</v>
      </c>
      <c r="J726" s="137">
        <v>6.73</v>
      </c>
      <c r="K726" s="137">
        <v>0</v>
      </c>
      <c r="L726" s="137">
        <v>7.27</v>
      </c>
      <c r="M726" s="137">
        <v>6.1498999999999997</v>
      </c>
      <c r="N726" s="137">
        <v>7.55</v>
      </c>
      <c r="O726" s="137">
        <v>6.93</v>
      </c>
      <c r="P726" s="137">
        <v>8.09</v>
      </c>
      <c r="Q726" s="137">
        <v>3.97</v>
      </c>
      <c r="R726" s="137">
        <v>9.2898999999999994</v>
      </c>
      <c r="S726" s="137">
        <v>0</v>
      </c>
      <c r="T726" s="137">
        <v>9.36</v>
      </c>
      <c r="U726" s="137">
        <v>7.72</v>
      </c>
      <c r="V726" s="137">
        <v>6.58</v>
      </c>
      <c r="W726" s="140">
        <v>14122148</v>
      </c>
      <c r="X726" s="56">
        <f t="shared" si="22"/>
        <v>1</v>
      </c>
      <c r="Y726" s="56" t="str">
        <f t="shared" si="23"/>
        <v>LOGUEO</v>
      </c>
    </row>
    <row r="727" spans="1:25" ht="15" x14ac:dyDescent="0.25">
      <c r="A727" s="136" t="s">
        <v>1816</v>
      </c>
      <c r="B727" s="137">
        <v>0</v>
      </c>
      <c r="C727" s="137">
        <v>0.83</v>
      </c>
      <c r="D727" s="137">
        <v>1.72</v>
      </c>
      <c r="E727" s="137">
        <v>0.8</v>
      </c>
      <c r="F727" s="137">
        <v>0.57999999999999996</v>
      </c>
      <c r="G727" s="137">
        <v>0.82</v>
      </c>
      <c r="H727" s="137">
        <v>2.0299</v>
      </c>
      <c r="I727" s="137">
        <v>0.85</v>
      </c>
      <c r="J727" s="137">
        <v>0.72</v>
      </c>
      <c r="K727" s="137">
        <v>5.01</v>
      </c>
      <c r="L727" s="137">
        <v>5.8098999999999998</v>
      </c>
      <c r="M727" s="137">
        <v>4.67</v>
      </c>
      <c r="N727" s="137">
        <v>2.15</v>
      </c>
      <c r="O727" s="137">
        <v>1.18</v>
      </c>
      <c r="P727" s="137">
        <v>0.52</v>
      </c>
      <c r="Q727" s="137">
        <v>4.12</v>
      </c>
      <c r="R727" s="137">
        <v>1.1499999999999999</v>
      </c>
      <c r="S727" s="137">
        <v>0.65</v>
      </c>
      <c r="T727" s="137">
        <v>1.85</v>
      </c>
      <c r="U727" s="137">
        <v>1.08</v>
      </c>
      <c r="V727" s="137">
        <v>2.08</v>
      </c>
      <c r="W727" s="140">
        <v>14103206</v>
      </c>
      <c r="X727" s="56">
        <f t="shared" si="22"/>
        <v>0</v>
      </c>
      <c r="Y727" s="56" t="str">
        <f t="shared" si="23"/>
        <v>LOGUEO</v>
      </c>
    </row>
    <row r="728" spans="1:25" ht="15" x14ac:dyDescent="0.25">
      <c r="A728" s="136" t="s">
        <v>70</v>
      </c>
      <c r="B728" s="137">
        <v>0</v>
      </c>
      <c r="C728" s="137">
        <v>5.69</v>
      </c>
      <c r="D728" s="137">
        <v>11.709899999999999</v>
      </c>
      <c r="E728" s="137">
        <v>9.11</v>
      </c>
      <c r="F728" s="137">
        <v>6.02</v>
      </c>
      <c r="G728" s="137">
        <v>8.3000000000000007</v>
      </c>
      <c r="H728" s="137">
        <v>8.3800000000000008</v>
      </c>
      <c r="I728" s="137">
        <v>0</v>
      </c>
      <c r="J728" s="137">
        <v>7.75</v>
      </c>
      <c r="K728" s="137">
        <v>6.75</v>
      </c>
      <c r="L728" s="137">
        <v>9.1999999999999993</v>
      </c>
      <c r="M728" s="137">
        <v>8.49</v>
      </c>
      <c r="N728" s="137">
        <v>11.81</v>
      </c>
      <c r="O728" s="137">
        <v>7.35</v>
      </c>
      <c r="P728" s="137">
        <v>4.28</v>
      </c>
      <c r="Q728" s="137">
        <v>5.09</v>
      </c>
      <c r="R728" s="137">
        <v>9.8699999999999992</v>
      </c>
      <c r="S728" s="137">
        <v>0</v>
      </c>
      <c r="T728" s="137">
        <v>10.17</v>
      </c>
      <c r="U728" s="137">
        <v>6.62</v>
      </c>
      <c r="V728" s="137">
        <v>11.069900000000001</v>
      </c>
      <c r="W728" s="140">
        <v>14108111</v>
      </c>
      <c r="X728" s="56">
        <f t="shared" si="22"/>
        <v>1</v>
      </c>
      <c r="Y728" s="56" t="str">
        <f t="shared" si="23"/>
        <v>LOGUEO</v>
      </c>
    </row>
    <row r="729" spans="1:25" ht="15" x14ac:dyDescent="0.25">
      <c r="A729" s="136" t="s">
        <v>113</v>
      </c>
      <c r="B729" s="137">
        <v>1.7</v>
      </c>
      <c r="C729" s="137">
        <v>4.2</v>
      </c>
      <c r="D729" s="137">
        <v>5.35</v>
      </c>
      <c r="E729" s="137">
        <v>2.63</v>
      </c>
      <c r="F729" s="137">
        <v>1.73</v>
      </c>
      <c r="G729" s="137">
        <v>7.11</v>
      </c>
      <c r="H729" s="137">
        <v>6.7</v>
      </c>
      <c r="I729" s="137">
        <v>1.8</v>
      </c>
      <c r="J729" s="137">
        <v>4.8899999999999997</v>
      </c>
      <c r="K729" s="137">
        <v>2.2000000000000002</v>
      </c>
      <c r="L729" s="137">
        <v>4.42</v>
      </c>
      <c r="M729" s="137">
        <v>4.3899999999999997</v>
      </c>
      <c r="N729" s="137">
        <v>9.5498999999999992</v>
      </c>
      <c r="O729" s="137">
        <v>5.42</v>
      </c>
      <c r="P729" s="137">
        <v>1.8</v>
      </c>
      <c r="Q729" s="137">
        <v>10.08</v>
      </c>
      <c r="R729" s="137">
        <v>8.7799999999999994</v>
      </c>
      <c r="S729" s="137">
        <v>4.79</v>
      </c>
      <c r="T729" s="137">
        <v>6.98</v>
      </c>
      <c r="U729" s="137">
        <v>3.23</v>
      </c>
      <c r="V729" s="137">
        <v>8.8798999999999992</v>
      </c>
      <c r="W729" s="140">
        <v>14111675</v>
      </c>
      <c r="X729" s="56">
        <f t="shared" si="22"/>
        <v>0</v>
      </c>
      <c r="Y729" s="56" t="str">
        <f t="shared" si="23"/>
        <v>LOGUEO</v>
      </c>
    </row>
    <row r="730" spans="1:25" ht="15" x14ac:dyDescent="0.25">
      <c r="A730" s="136" t="s">
        <v>2570</v>
      </c>
      <c r="B730" s="137">
        <v>3.15</v>
      </c>
      <c r="C730" s="137">
        <v>7.71</v>
      </c>
      <c r="D730" s="137">
        <v>6.49</v>
      </c>
      <c r="E730" s="137">
        <v>3.89</v>
      </c>
      <c r="F730" s="137">
        <v>2.82</v>
      </c>
      <c r="G730" s="137">
        <v>10.059900000000001</v>
      </c>
      <c r="H730" s="137">
        <v>5.2698999999999998</v>
      </c>
      <c r="I730" s="137">
        <v>0</v>
      </c>
      <c r="J730" s="137">
        <v>0</v>
      </c>
      <c r="K730" s="137">
        <v>0</v>
      </c>
      <c r="L730" s="137">
        <v>0</v>
      </c>
      <c r="M730" s="137">
        <v>0</v>
      </c>
      <c r="N730" s="137">
        <v>0</v>
      </c>
      <c r="O730" s="137">
        <v>1.62</v>
      </c>
      <c r="P730" s="137">
        <v>0</v>
      </c>
      <c r="Q730" s="137">
        <v>0.47</v>
      </c>
      <c r="R730" s="137">
        <v>0</v>
      </c>
      <c r="S730" s="137">
        <v>0</v>
      </c>
      <c r="T730" s="137">
        <v>0</v>
      </c>
      <c r="U730" s="137">
        <v>0</v>
      </c>
      <c r="V730" s="137">
        <v>0</v>
      </c>
      <c r="W730" s="140" t="s">
        <v>1609</v>
      </c>
      <c r="X730" s="56">
        <f t="shared" si="22"/>
        <v>6</v>
      </c>
      <c r="Y730" s="56" t="str">
        <f t="shared" si="23"/>
        <v>NO LOGUEO</v>
      </c>
    </row>
    <row r="731" spans="1:25" ht="15" x14ac:dyDescent="0.25">
      <c r="A731" s="136" t="s">
        <v>2535</v>
      </c>
      <c r="B731" s="137">
        <v>0</v>
      </c>
      <c r="C731" s="137">
        <v>0</v>
      </c>
      <c r="D731" s="137">
        <v>0</v>
      </c>
      <c r="E731" s="137">
        <v>0</v>
      </c>
      <c r="F731" s="137">
        <v>0</v>
      </c>
      <c r="G731" s="137">
        <v>0</v>
      </c>
      <c r="H731" s="137">
        <v>0</v>
      </c>
      <c r="I731" s="137">
        <v>0</v>
      </c>
      <c r="J731" s="137">
        <v>0</v>
      </c>
      <c r="K731" s="137">
        <v>0</v>
      </c>
      <c r="L731" s="137">
        <v>0</v>
      </c>
      <c r="M731" s="137">
        <v>0</v>
      </c>
      <c r="N731" s="137">
        <v>0</v>
      </c>
      <c r="O731" s="137">
        <v>0</v>
      </c>
      <c r="P731" s="137">
        <v>0</v>
      </c>
      <c r="Q731" s="137">
        <v>0</v>
      </c>
      <c r="R731" s="137">
        <v>1.38</v>
      </c>
      <c r="S731" s="137">
        <v>0</v>
      </c>
      <c r="T731" s="137">
        <v>0.95</v>
      </c>
      <c r="U731" s="137">
        <v>0</v>
      </c>
      <c r="V731" s="137">
        <v>0</v>
      </c>
      <c r="W731" s="140" t="s">
        <v>1609</v>
      </c>
      <c r="X731" s="56">
        <f t="shared" si="22"/>
        <v>5</v>
      </c>
      <c r="Y731" s="56" t="str">
        <f t="shared" si="23"/>
        <v>NO LOGUEO</v>
      </c>
    </row>
    <row r="732" spans="1:25" ht="15" x14ac:dyDescent="0.25">
      <c r="A732" s="136" t="s">
        <v>1460</v>
      </c>
      <c r="B732" s="137">
        <v>0</v>
      </c>
      <c r="C732" s="137">
        <v>15.24</v>
      </c>
      <c r="D732" s="137">
        <v>9.3199000000000005</v>
      </c>
      <c r="E732" s="137">
        <v>10.569900000000001</v>
      </c>
      <c r="F732" s="137">
        <v>9.9598999999999993</v>
      </c>
      <c r="G732" s="137">
        <v>10.65</v>
      </c>
      <c r="H732" s="137">
        <v>11.539899999999999</v>
      </c>
      <c r="I732" s="137">
        <v>0</v>
      </c>
      <c r="J732" s="137">
        <v>14.08</v>
      </c>
      <c r="K732" s="137">
        <v>14.49</v>
      </c>
      <c r="L732" s="137">
        <v>11.94</v>
      </c>
      <c r="M732" s="137">
        <v>14.94</v>
      </c>
      <c r="N732" s="137">
        <v>5.34</v>
      </c>
      <c r="O732" s="137">
        <v>9.11</v>
      </c>
      <c r="P732" s="137">
        <v>0</v>
      </c>
      <c r="Q732" s="137">
        <v>3.9</v>
      </c>
      <c r="R732" s="137">
        <v>9.06</v>
      </c>
      <c r="S732" s="137">
        <v>10.119999999999999</v>
      </c>
      <c r="T732" s="137">
        <v>15.3</v>
      </c>
      <c r="U732" s="137">
        <v>10.28</v>
      </c>
      <c r="V732" s="137">
        <v>5.75</v>
      </c>
      <c r="W732" s="140">
        <v>14122035</v>
      </c>
      <c r="X732" s="56">
        <f t="shared" si="22"/>
        <v>1</v>
      </c>
      <c r="Y732" s="56" t="str">
        <f t="shared" si="23"/>
        <v>LOGUEO</v>
      </c>
    </row>
    <row r="733" spans="1:25" ht="15" x14ac:dyDescent="0.25">
      <c r="A733" s="136" t="s">
        <v>1562</v>
      </c>
      <c r="B733" s="137">
        <v>4.68</v>
      </c>
      <c r="C733" s="137">
        <v>5.58</v>
      </c>
      <c r="D733" s="137">
        <v>5.5198999999999998</v>
      </c>
      <c r="E733" s="137">
        <v>5.61</v>
      </c>
      <c r="F733" s="137">
        <v>0</v>
      </c>
      <c r="G733" s="137">
        <v>6</v>
      </c>
      <c r="H733" s="137">
        <v>1.65</v>
      </c>
      <c r="I733" s="137">
        <v>4.3099999999999996</v>
      </c>
      <c r="J733" s="137">
        <v>0</v>
      </c>
      <c r="K733" s="137">
        <v>0</v>
      </c>
      <c r="L733" s="137">
        <v>0</v>
      </c>
      <c r="M733" s="137">
        <v>5.46</v>
      </c>
      <c r="N733" s="137">
        <v>5.35</v>
      </c>
      <c r="O733" s="137">
        <v>5.61</v>
      </c>
      <c r="P733" s="137">
        <v>4.8099999999999996</v>
      </c>
      <c r="Q733" s="137">
        <v>5.2698999999999998</v>
      </c>
      <c r="R733" s="137">
        <v>5.7</v>
      </c>
      <c r="S733" s="137">
        <v>4.3</v>
      </c>
      <c r="T733" s="137">
        <v>6.57</v>
      </c>
      <c r="U733" s="137">
        <v>5.3598999999999997</v>
      </c>
      <c r="V733" s="137">
        <v>5.0298999999999996</v>
      </c>
      <c r="W733" s="140">
        <v>14102701</v>
      </c>
      <c r="X733" s="56">
        <f t="shared" si="22"/>
        <v>0</v>
      </c>
      <c r="Y733" s="56" t="str">
        <f t="shared" si="23"/>
        <v>LOGUEO</v>
      </c>
    </row>
    <row r="734" spans="1:25" ht="15" x14ac:dyDescent="0.25">
      <c r="A734" s="136" t="s">
        <v>11</v>
      </c>
      <c r="B734" s="137">
        <v>0.35</v>
      </c>
      <c r="C734" s="137">
        <v>6.99</v>
      </c>
      <c r="D734" s="137">
        <v>12.07</v>
      </c>
      <c r="E734" s="137">
        <v>8.0500000000000007</v>
      </c>
      <c r="F734" s="137">
        <v>8.1999999999999993</v>
      </c>
      <c r="G734" s="137">
        <v>9.1</v>
      </c>
      <c r="H734" s="137">
        <v>11.14</v>
      </c>
      <c r="I734" s="137">
        <v>0.55000000000000004</v>
      </c>
      <c r="J734" s="137">
        <v>7.8799000000000001</v>
      </c>
      <c r="K734" s="137">
        <v>10.15</v>
      </c>
      <c r="L734" s="137">
        <v>10.399900000000001</v>
      </c>
      <c r="M734" s="137">
        <v>10.32</v>
      </c>
      <c r="N734" s="137">
        <v>11.52</v>
      </c>
      <c r="O734" s="137">
        <v>9.91</v>
      </c>
      <c r="P734" s="137">
        <v>0</v>
      </c>
      <c r="Q734" s="137">
        <v>8.64</v>
      </c>
      <c r="R734" s="137">
        <v>10.79</v>
      </c>
      <c r="S734" s="137">
        <v>9.8000000000000007</v>
      </c>
      <c r="T734" s="137">
        <v>11.24</v>
      </c>
      <c r="U734" s="137">
        <v>9.18</v>
      </c>
      <c r="V734" s="137">
        <v>11.219900000000001</v>
      </c>
      <c r="W734" s="140">
        <v>14100724</v>
      </c>
      <c r="X734" s="56">
        <f t="shared" si="22"/>
        <v>1</v>
      </c>
      <c r="Y734" s="56" t="str">
        <f t="shared" si="23"/>
        <v>LOGUEO</v>
      </c>
    </row>
    <row r="735" spans="1:25" ht="15" x14ac:dyDescent="0.25">
      <c r="A735" s="136" t="s">
        <v>40</v>
      </c>
      <c r="B735" s="137">
        <v>6.26</v>
      </c>
      <c r="C735" s="137">
        <v>7.41</v>
      </c>
      <c r="D735" s="137">
        <v>0.88</v>
      </c>
      <c r="E735" s="137">
        <v>1.1298999999999999</v>
      </c>
      <c r="F735" s="137">
        <v>6.33</v>
      </c>
      <c r="G735" s="137">
        <v>7.0099</v>
      </c>
      <c r="H735" s="137">
        <v>6.38</v>
      </c>
      <c r="I735" s="137">
        <v>6.08</v>
      </c>
      <c r="J735" s="137">
        <v>6.69</v>
      </c>
      <c r="K735" s="137">
        <v>6.57</v>
      </c>
      <c r="L735" s="137">
        <v>10.96</v>
      </c>
      <c r="M735" s="137">
        <v>7.2</v>
      </c>
      <c r="N735" s="137">
        <v>6.85</v>
      </c>
      <c r="O735" s="137">
        <v>6.59</v>
      </c>
      <c r="P735" s="137">
        <v>6.44</v>
      </c>
      <c r="Q735" s="137">
        <v>7.07</v>
      </c>
      <c r="R735" s="137">
        <v>0</v>
      </c>
      <c r="S735" s="137">
        <v>0</v>
      </c>
      <c r="T735" s="137">
        <v>0</v>
      </c>
      <c r="U735" s="137">
        <v>0</v>
      </c>
      <c r="V735" s="137">
        <v>0</v>
      </c>
      <c r="W735" s="140">
        <v>14104316</v>
      </c>
      <c r="X735" s="56">
        <f t="shared" si="22"/>
        <v>5</v>
      </c>
      <c r="Y735" s="56" t="str">
        <f t="shared" si="23"/>
        <v>NO LOGUEO</v>
      </c>
    </row>
    <row r="736" spans="1:25" ht="15" x14ac:dyDescent="0.25">
      <c r="A736" s="136" t="s">
        <v>29</v>
      </c>
      <c r="B736" s="137">
        <v>2.8498999999999999</v>
      </c>
      <c r="C736" s="137">
        <v>0</v>
      </c>
      <c r="D736" s="137">
        <v>5.01</v>
      </c>
      <c r="E736" s="137">
        <v>9.5398999999999994</v>
      </c>
      <c r="F736" s="137">
        <v>3.4</v>
      </c>
      <c r="G736" s="137">
        <v>0</v>
      </c>
      <c r="H736" s="137">
        <v>6.63</v>
      </c>
      <c r="I736" s="137">
        <v>4.22</v>
      </c>
      <c r="J736" s="137">
        <v>5.39</v>
      </c>
      <c r="K736" s="137">
        <v>4.6900000000000004</v>
      </c>
      <c r="L736" s="137">
        <v>7.47</v>
      </c>
      <c r="M736" s="137">
        <v>5.69</v>
      </c>
      <c r="N736" s="137">
        <v>5.34</v>
      </c>
      <c r="O736" s="137">
        <v>4.93</v>
      </c>
      <c r="P736" s="137">
        <v>2.95</v>
      </c>
      <c r="Q736" s="137">
        <v>0</v>
      </c>
      <c r="R736" s="137">
        <v>8.3199000000000005</v>
      </c>
      <c r="S736" s="137">
        <v>5.2099000000000002</v>
      </c>
      <c r="T736" s="137">
        <v>6.36</v>
      </c>
      <c r="U736" s="137">
        <v>4.95</v>
      </c>
      <c r="V736" s="137">
        <v>0.93</v>
      </c>
      <c r="W736" s="140">
        <v>14102081</v>
      </c>
      <c r="X736" s="56">
        <f t="shared" si="22"/>
        <v>1</v>
      </c>
      <c r="Y736" s="56" t="str">
        <f t="shared" si="23"/>
        <v>LOGUEO</v>
      </c>
    </row>
    <row r="737" spans="1:25" ht="15" x14ac:dyDescent="0.25">
      <c r="A737" s="136" t="s">
        <v>12</v>
      </c>
      <c r="B737" s="137">
        <v>0</v>
      </c>
      <c r="C737" s="137">
        <v>0</v>
      </c>
      <c r="D737" s="137">
        <v>0</v>
      </c>
      <c r="E737" s="137">
        <v>0</v>
      </c>
      <c r="F737" s="137">
        <v>0</v>
      </c>
      <c r="G737" s="137">
        <v>0</v>
      </c>
      <c r="H737" s="137">
        <v>0</v>
      </c>
      <c r="I737" s="137">
        <v>0</v>
      </c>
      <c r="J737" s="137">
        <v>0</v>
      </c>
      <c r="K737" s="137">
        <v>0</v>
      </c>
      <c r="L737" s="137">
        <v>0</v>
      </c>
      <c r="M737" s="137">
        <v>0</v>
      </c>
      <c r="N737" s="137">
        <v>0</v>
      </c>
      <c r="O737" s="137">
        <v>0</v>
      </c>
      <c r="P737" s="137">
        <v>0</v>
      </c>
      <c r="Q737" s="137">
        <v>0</v>
      </c>
      <c r="R737" s="137">
        <v>0</v>
      </c>
      <c r="S737" s="137">
        <v>0</v>
      </c>
      <c r="T737" s="137">
        <v>0</v>
      </c>
      <c r="U737" s="137">
        <v>0</v>
      </c>
      <c r="V737" s="137">
        <v>0</v>
      </c>
      <c r="W737" s="140">
        <v>14100725</v>
      </c>
      <c r="X737" s="56">
        <f t="shared" si="22"/>
        <v>7</v>
      </c>
      <c r="Y737" s="56" t="str">
        <f t="shared" si="23"/>
        <v>NO LOGUEO</v>
      </c>
    </row>
    <row r="738" spans="1:25" ht="15" x14ac:dyDescent="0.25">
      <c r="A738" s="136" t="s">
        <v>161</v>
      </c>
      <c r="B738" s="137">
        <v>0</v>
      </c>
      <c r="C738" s="137">
        <v>7.06</v>
      </c>
      <c r="D738" s="137">
        <v>3.91</v>
      </c>
      <c r="E738" s="137">
        <v>2.9</v>
      </c>
      <c r="F738" s="137">
        <v>3.57</v>
      </c>
      <c r="G738" s="137">
        <v>9.44</v>
      </c>
      <c r="H738" s="137">
        <v>8.44</v>
      </c>
      <c r="I738" s="137">
        <v>4.4000000000000004</v>
      </c>
      <c r="J738" s="137">
        <v>8.2299000000000007</v>
      </c>
      <c r="K738" s="137">
        <v>7.7</v>
      </c>
      <c r="L738" s="137">
        <v>7.27</v>
      </c>
      <c r="M738" s="137">
        <v>6.65</v>
      </c>
      <c r="N738" s="137">
        <v>8.3999000000000006</v>
      </c>
      <c r="O738" s="137">
        <v>4.3</v>
      </c>
      <c r="P738" s="137">
        <v>0</v>
      </c>
      <c r="Q738" s="137">
        <v>9.3099000000000007</v>
      </c>
      <c r="R738" s="137">
        <v>9.52</v>
      </c>
      <c r="S738" s="137">
        <v>7.23</v>
      </c>
      <c r="T738" s="137">
        <v>8.07</v>
      </c>
      <c r="U738" s="137">
        <v>6.34</v>
      </c>
      <c r="V738" s="137">
        <v>5.33</v>
      </c>
      <c r="W738" s="140">
        <v>14105645</v>
      </c>
      <c r="X738" s="56">
        <f t="shared" si="22"/>
        <v>1</v>
      </c>
      <c r="Y738" s="56" t="str">
        <f t="shared" si="23"/>
        <v>LOGUEO</v>
      </c>
    </row>
    <row r="739" spans="1:25" ht="15" x14ac:dyDescent="0.25">
      <c r="A739" s="136" t="s">
        <v>75</v>
      </c>
      <c r="B739" s="137">
        <v>0</v>
      </c>
      <c r="C739" s="137">
        <v>0</v>
      </c>
      <c r="D739" s="137">
        <v>1.1499999999999999</v>
      </c>
      <c r="E739" s="137">
        <v>2.5099999999999998</v>
      </c>
      <c r="F739" s="137">
        <v>0</v>
      </c>
      <c r="G739" s="137">
        <v>0</v>
      </c>
      <c r="H739" s="137">
        <v>3.43</v>
      </c>
      <c r="I739" s="137">
        <v>0</v>
      </c>
      <c r="J739" s="137">
        <v>0.2</v>
      </c>
      <c r="K739" s="137">
        <v>3.0198999999999998</v>
      </c>
      <c r="L739" s="137">
        <v>2.5299</v>
      </c>
      <c r="M739" s="137">
        <v>2.25</v>
      </c>
      <c r="N739" s="137">
        <v>2.88</v>
      </c>
      <c r="O739" s="137">
        <v>2.76</v>
      </c>
      <c r="P739" s="137">
        <v>0</v>
      </c>
      <c r="Q739" s="137">
        <v>0</v>
      </c>
      <c r="R739" s="137">
        <v>2.8898999999999999</v>
      </c>
      <c r="S739" s="137">
        <v>2.4500000000000002</v>
      </c>
      <c r="T739" s="137">
        <v>0</v>
      </c>
      <c r="U739" s="137">
        <v>2.4300000000000002</v>
      </c>
      <c r="V739" s="137">
        <v>2.2000000000000002</v>
      </c>
      <c r="W739" s="140">
        <v>14108361</v>
      </c>
      <c r="X739" s="56">
        <f t="shared" si="22"/>
        <v>3</v>
      </c>
      <c r="Y739" s="56" t="str">
        <f t="shared" si="23"/>
        <v>NO LOGUEO</v>
      </c>
    </row>
    <row r="740" spans="1:25" ht="15" x14ac:dyDescent="0.25">
      <c r="A740" s="136" t="s">
        <v>120</v>
      </c>
      <c r="B740" s="137">
        <v>5.5198999999999998</v>
      </c>
      <c r="C740" s="137">
        <v>6.59</v>
      </c>
      <c r="D740" s="137">
        <v>6.12</v>
      </c>
      <c r="E740" s="137">
        <v>6.24</v>
      </c>
      <c r="F740" s="137">
        <v>4.2798999999999996</v>
      </c>
      <c r="G740" s="137">
        <v>5.7798999999999996</v>
      </c>
      <c r="H740" s="137">
        <v>5.53</v>
      </c>
      <c r="I740" s="137">
        <v>5.32</v>
      </c>
      <c r="J740" s="137">
        <v>3.32</v>
      </c>
      <c r="K740" s="137">
        <v>3.44</v>
      </c>
      <c r="L740" s="137">
        <v>5.1498999999999997</v>
      </c>
      <c r="M740" s="137">
        <v>5.77</v>
      </c>
      <c r="N740" s="137">
        <v>1.2</v>
      </c>
      <c r="O740" s="137">
        <v>2.59</v>
      </c>
      <c r="P740" s="137">
        <v>6.1398999999999999</v>
      </c>
      <c r="Q740" s="137">
        <v>6.38</v>
      </c>
      <c r="R740" s="137">
        <v>5.46</v>
      </c>
      <c r="S740" s="137">
        <v>5.66</v>
      </c>
      <c r="T740" s="137">
        <v>3.54</v>
      </c>
      <c r="U740" s="137">
        <v>5.7298999999999998</v>
      </c>
      <c r="V740" s="137">
        <v>6.08</v>
      </c>
      <c r="W740" s="140">
        <v>14112603</v>
      </c>
      <c r="X740" s="56">
        <f t="shared" si="22"/>
        <v>0</v>
      </c>
      <c r="Y740" s="56" t="str">
        <f t="shared" si="23"/>
        <v>LOGUEO</v>
      </c>
    </row>
    <row r="741" spans="1:25" ht="15" x14ac:dyDescent="0.25">
      <c r="A741" s="136" t="s">
        <v>27</v>
      </c>
      <c r="B741" s="137">
        <v>2.93</v>
      </c>
      <c r="C741" s="137">
        <v>7.3299000000000003</v>
      </c>
      <c r="D741" s="137">
        <v>5.3198999999999996</v>
      </c>
      <c r="E741" s="137">
        <v>8.86</v>
      </c>
      <c r="F741" s="137">
        <v>1.55</v>
      </c>
      <c r="G741" s="137">
        <v>8.42</v>
      </c>
      <c r="H741" s="137">
        <v>7.61</v>
      </c>
      <c r="I741" s="137">
        <v>4.62</v>
      </c>
      <c r="J741" s="137">
        <v>7.7</v>
      </c>
      <c r="K741" s="137">
        <v>2.98</v>
      </c>
      <c r="L741" s="137">
        <v>9.81</v>
      </c>
      <c r="M741" s="137">
        <v>9.4700000000000006</v>
      </c>
      <c r="N741" s="137">
        <v>10.199999999999999</v>
      </c>
      <c r="O741" s="137">
        <v>8.4499999999999993</v>
      </c>
      <c r="P741" s="137">
        <v>5.99</v>
      </c>
      <c r="Q741" s="137">
        <v>8.0398999999999994</v>
      </c>
      <c r="R741" s="137">
        <v>8.09</v>
      </c>
      <c r="S741" s="137">
        <v>8.25</v>
      </c>
      <c r="T741" s="137">
        <v>8.76</v>
      </c>
      <c r="U741" s="137">
        <v>9</v>
      </c>
      <c r="V741" s="137">
        <v>7.16</v>
      </c>
      <c r="W741" s="140">
        <v>14101881</v>
      </c>
      <c r="X741" s="56">
        <f t="shared" si="22"/>
        <v>0</v>
      </c>
      <c r="Y741" s="56" t="str">
        <f t="shared" si="23"/>
        <v>LOGUEO</v>
      </c>
    </row>
    <row r="742" spans="1:25" ht="15" x14ac:dyDescent="0.25">
      <c r="A742" s="136" t="s">
        <v>555</v>
      </c>
      <c r="B742" s="137">
        <v>0</v>
      </c>
      <c r="C742" s="137">
        <v>2.65</v>
      </c>
      <c r="D742" s="137">
        <v>3.2599</v>
      </c>
      <c r="E742" s="137">
        <v>8.0500000000000007</v>
      </c>
      <c r="F742" s="137">
        <v>1.08</v>
      </c>
      <c r="G742" s="137">
        <v>1.8</v>
      </c>
      <c r="H742" s="137">
        <v>5.97</v>
      </c>
      <c r="I742" s="137">
        <v>4.38</v>
      </c>
      <c r="J742" s="137">
        <v>9.7299000000000007</v>
      </c>
      <c r="K742" s="137">
        <v>10.18</v>
      </c>
      <c r="L742" s="137">
        <v>9.68</v>
      </c>
      <c r="M742" s="137">
        <v>7.13</v>
      </c>
      <c r="N742" s="137">
        <v>0</v>
      </c>
      <c r="O742" s="137">
        <v>9.0399999999999991</v>
      </c>
      <c r="P742" s="137">
        <v>5.4</v>
      </c>
      <c r="Q742" s="137">
        <v>8.49</v>
      </c>
      <c r="R742" s="137">
        <v>7.26</v>
      </c>
      <c r="S742" s="137">
        <v>7.91</v>
      </c>
      <c r="T742" s="137">
        <v>8.18</v>
      </c>
      <c r="U742" s="137">
        <v>6.81</v>
      </c>
      <c r="V742" s="137">
        <v>8.39</v>
      </c>
      <c r="W742" s="140" t="s">
        <v>1609</v>
      </c>
      <c r="X742" s="56">
        <f t="shared" si="22"/>
        <v>0</v>
      </c>
      <c r="Y742" s="56" t="str">
        <f t="shared" si="23"/>
        <v>LOGUEO</v>
      </c>
    </row>
    <row r="743" spans="1:25" ht="15" x14ac:dyDescent="0.25">
      <c r="A743" s="136" t="s">
        <v>24</v>
      </c>
      <c r="B743" s="137">
        <v>12.13</v>
      </c>
      <c r="C743" s="137">
        <v>1.1499999999999999</v>
      </c>
      <c r="D743" s="137">
        <v>7.63</v>
      </c>
      <c r="E743" s="137">
        <v>10.45</v>
      </c>
      <c r="F743" s="137">
        <v>12</v>
      </c>
      <c r="G743" s="137">
        <v>11.969900000000001</v>
      </c>
      <c r="H743" s="137">
        <v>12.28</v>
      </c>
      <c r="I743" s="137">
        <v>1.02</v>
      </c>
      <c r="J743" s="137">
        <v>13.059900000000001</v>
      </c>
      <c r="K743" s="137">
        <v>12.02</v>
      </c>
      <c r="L743" s="137">
        <v>13.9</v>
      </c>
      <c r="M743" s="137">
        <v>16.11</v>
      </c>
      <c r="N743" s="137">
        <v>13.79</v>
      </c>
      <c r="O743" s="137">
        <v>1.08</v>
      </c>
      <c r="P743" s="137">
        <v>7.28</v>
      </c>
      <c r="Q743" s="137">
        <v>12.8</v>
      </c>
      <c r="R743" s="137">
        <v>13.43</v>
      </c>
      <c r="S743" s="137">
        <v>12.58</v>
      </c>
      <c r="T743" s="137">
        <v>14.37</v>
      </c>
      <c r="U743" s="137">
        <v>12.43</v>
      </c>
      <c r="V743" s="137">
        <v>12.039899999999999</v>
      </c>
      <c r="W743" s="140">
        <v>14100807</v>
      </c>
      <c r="X743" s="56">
        <f t="shared" si="22"/>
        <v>0</v>
      </c>
      <c r="Y743" s="56" t="str">
        <f t="shared" si="23"/>
        <v>LOGUEO</v>
      </c>
    </row>
    <row r="744" spans="1:25" ht="15" x14ac:dyDescent="0.25">
      <c r="A744" s="136" t="s">
        <v>1851</v>
      </c>
      <c r="B744" s="137">
        <v>9.98</v>
      </c>
      <c r="C744" s="137">
        <v>0</v>
      </c>
      <c r="D744" s="137">
        <v>9.9598999999999993</v>
      </c>
      <c r="E744" s="137">
        <v>10.6599</v>
      </c>
      <c r="F744" s="137">
        <v>7.53</v>
      </c>
      <c r="G744" s="137">
        <v>8.4</v>
      </c>
      <c r="H744" s="137">
        <v>8.6198999999999995</v>
      </c>
      <c r="I744" s="137">
        <v>9.3800000000000008</v>
      </c>
      <c r="J744" s="137">
        <v>9.4600000000000009</v>
      </c>
      <c r="K744" s="137">
        <v>10.799899999999999</v>
      </c>
      <c r="L744" s="137">
        <v>10.83</v>
      </c>
      <c r="M744" s="137">
        <v>9.65</v>
      </c>
      <c r="N744" s="137">
        <v>10.72</v>
      </c>
      <c r="O744" s="137">
        <v>7.95</v>
      </c>
      <c r="P744" s="137">
        <v>10</v>
      </c>
      <c r="Q744" s="137">
        <v>6.59</v>
      </c>
      <c r="R744" s="137">
        <v>10.38</v>
      </c>
      <c r="S744" s="137">
        <v>9.2200000000000006</v>
      </c>
      <c r="T744" s="137">
        <v>10.68</v>
      </c>
      <c r="U744" s="137">
        <v>7.35</v>
      </c>
      <c r="V744" s="137">
        <v>7.86</v>
      </c>
      <c r="W744" s="140">
        <v>14100863</v>
      </c>
      <c r="X744" s="56">
        <f t="shared" si="22"/>
        <v>0</v>
      </c>
      <c r="Y744" s="56" t="str">
        <f t="shared" si="23"/>
        <v>LOGUEO</v>
      </c>
    </row>
    <row r="745" spans="1:25" ht="15" x14ac:dyDescent="0.25">
      <c r="A745" s="136" t="s">
        <v>977</v>
      </c>
      <c r="B745" s="137">
        <v>8.76</v>
      </c>
      <c r="C745" s="137">
        <v>8.02</v>
      </c>
      <c r="D745" s="137">
        <v>3.47</v>
      </c>
      <c r="E745" s="137">
        <v>9.66</v>
      </c>
      <c r="F745" s="137">
        <v>1.43</v>
      </c>
      <c r="G745" s="137">
        <v>10.15</v>
      </c>
      <c r="H745" s="137">
        <v>9.11</v>
      </c>
      <c r="I745" s="137">
        <v>0.37</v>
      </c>
      <c r="J745" s="137">
        <v>7.95</v>
      </c>
      <c r="K745" s="137">
        <v>10.65</v>
      </c>
      <c r="L745" s="137">
        <v>10.469900000000001</v>
      </c>
      <c r="M745" s="137">
        <v>10.43</v>
      </c>
      <c r="N745" s="137">
        <v>9.64</v>
      </c>
      <c r="O745" s="137">
        <v>7.48</v>
      </c>
      <c r="P745" s="137">
        <v>7.21</v>
      </c>
      <c r="Q745" s="137">
        <v>7.74</v>
      </c>
      <c r="R745" s="137">
        <v>8.98</v>
      </c>
      <c r="S745" s="137">
        <v>9.3099000000000007</v>
      </c>
      <c r="T745" s="137">
        <v>10.82</v>
      </c>
      <c r="U745" s="137">
        <v>9.3698999999999995</v>
      </c>
      <c r="V745" s="137">
        <v>8.9499999999999993</v>
      </c>
      <c r="W745" s="140" t="s">
        <v>1609</v>
      </c>
      <c r="X745" s="56">
        <f t="shared" si="22"/>
        <v>0</v>
      </c>
      <c r="Y745" s="56" t="str">
        <f t="shared" si="23"/>
        <v>LOGUEO</v>
      </c>
    </row>
    <row r="746" spans="1:25" ht="15" x14ac:dyDescent="0.25">
      <c r="A746" s="136" t="s">
        <v>9</v>
      </c>
      <c r="B746" s="137">
        <v>8.0398999999999994</v>
      </c>
      <c r="C746" s="137">
        <v>0</v>
      </c>
      <c r="D746" s="137">
        <v>9.27</v>
      </c>
      <c r="E746" s="137">
        <v>7.98</v>
      </c>
      <c r="F746" s="137">
        <v>6.2298999999999998</v>
      </c>
      <c r="G746" s="137">
        <v>7.66</v>
      </c>
      <c r="H746" s="137">
        <v>7.95</v>
      </c>
      <c r="I746" s="137">
        <v>7.39</v>
      </c>
      <c r="J746" s="137">
        <v>1.2</v>
      </c>
      <c r="K746" s="137">
        <v>7.89</v>
      </c>
      <c r="L746" s="137">
        <v>8.36</v>
      </c>
      <c r="M746" s="137">
        <v>8.76</v>
      </c>
      <c r="N746" s="137">
        <v>7.68</v>
      </c>
      <c r="O746" s="137">
        <v>8.3099000000000007</v>
      </c>
      <c r="P746" s="137">
        <v>8.2799999999999994</v>
      </c>
      <c r="Q746" s="137">
        <v>7.78</v>
      </c>
      <c r="R746" s="137">
        <v>8.36</v>
      </c>
      <c r="S746" s="137">
        <v>0.73</v>
      </c>
      <c r="T746" s="137">
        <v>9.23</v>
      </c>
      <c r="U746" s="137">
        <v>7.17</v>
      </c>
      <c r="V746" s="137">
        <v>7.74</v>
      </c>
      <c r="W746" s="140">
        <v>14100718</v>
      </c>
      <c r="X746" s="56">
        <f t="shared" si="22"/>
        <v>0</v>
      </c>
      <c r="Y746" s="56" t="str">
        <f t="shared" si="23"/>
        <v>LOGUEO</v>
      </c>
    </row>
    <row r="747" spans="1:25" ht="15" x14ac:dyDescent="0.25">
      <c r="A747" s="136" t="s">
        <v>378</v>
      </c>
      <c r="B747" s="137">
        <v>0</v>
      </c>
      <c r="C747" s="137">
        <v>1.82</v>
      </c>
      <c r="D747" s="137">
        <v>3.85</v>
      </c>
      <c r="E747" s="137">
        <v>2.65</v>
      </c>
      <c r="F747" s="137">
        <v>1.72</v>
      </c>
      <c r="G747" s="137">
        <v>5.91</v>
      </c>
      <c r="H747" s="137">
        <v>2.23</v>
      </c>
      <c r="I747" s="137">
        <v>0</v>
      </c>
      <c r="J747" s="137">
        <v>6.11</v>
      </c>
      <c r="K747" s="137">
        <v>6.34</v>
      </c>
      <c r="L747" s="137">
        <v>6.17</v>
      </c>
      <c r="M747" s="137">
        <v>6.41</v>
      </c>
      <c r="N747" s="137">
        <v>6.58</v>
      </c>
      <c r="O747" s="137">
        <v>5.18</v>
      </c>
      <c r="P747" s="137">
        <v>2.08</v>
      </c>
      <c r="Q747" s="137">
        <v>7.02</v>
      </c>
      <c r="R747" s="137">
        <v>5.22</v>
      </c>
      <c r="S747" s="137">
        <v>6.44</v>
      </c>
      <c r="T747" s="137">
        <v>4.3099999999999996</v>
      </c>
      <c r="U747" s="137">
        <v>6.21</v>
      </c>
      <c r="V747" s="137">
        <v>0</v>
      </c>
      <c r="W747" s="140">
        <v>14122033</v>
      </c>
      <c r="X747" s="56">
        <f t="shared" si="22"/>
        <v>1</v>
      </c>
      <c r="Y747" s="56" t="str">
        <f t="shared" si="23"/>
        <v>LOGUEO</v>
      </c>
    </row>
    <row r="748" spans="1:25" ht="15" x14ac:dyDescent="0.25">
      <c r="A748" s="136" t="s">
        <v>1008</v>
      </c>
      <c r="B748" s="137">
        <v>0</v>
      </c>
      <c r="C748" s="137">
        <v>0</v>
      </c>
      <c r="D748" s="137">
        <v>0</v>
      </c>
      <c r="E748" s="137">
        <v>41.52</v>
      </c>
      <c r="F748" s="137">
        <v>0</v>
      </c>
      <c r="G748" s="137">
        <v>0</v>
      </c>
      <c r="H748" s="137">
        <v>0</v>
      </c>
      <c r="I748" s="137">
        <v>0</v>
      </c>
      <c r="J748" s="137">
        <v>0</v>
      </c>
      <c r="K748" s="137">
        <v>0</v>
      </c>
      <c r="L748" s="137">
        <v>0</v>
      </c>
      <c r="M748" s="137">
        <v>0</v>
      </c>
      <c r="N748" s="137">
        <v>0</v>
      </c>
      <c r="O748" s="137">
        <v>0</v>
      </c>
      <c r="P748" s="137">
        <v>0</v>
      </c>
      <c r="Q748" s="137">
        <v>2.82</v>
      </c>
      <c r="R748" s="137">
        <v>10.32</v>
      </c>
      <c r="S748" s="137">
        <v>9.33</v>
      </c>
      <c r="T748" s="137">
        <v>9.9499999999999993</v>
      </c>
      <c r="U748" s="137">
        <v>8.1198999999999995</v>
      </c>
      <c r="V748" s="137">
        <v>10</v>
      </c>
      <c r="W748" s="140" t="s">
        <v>1609</v>
      </c>
      <c r="X748" s="56">
        <f t="shared" si="22"/>
        <v>1</v>
      </c>
      <c r="Y748" s="56" t="str">
        <f t="shared" si="23"/>
        <v>LOGUEO</v>
      </c>
    </row>
    <row r="749" spans="1:25" ht="15" x14ac:dyDescent="0.25">
      <c r="A749" s="136" t="s">
        <v>1768</v>
      </c>
      <c r="B749" s="137">
        <v>0</v>
      </c>
      <c r="C749" s="137">
        <v>0</v>
      </c>
      <c r="D749" s="137">
        <v>0</v>
      </c>
      <c r="E749" s="137">
        <v>0</v>
      </c>
      <c r="F749" s="137">
        <v>0</v>
      </c>
      <c r="G749" s="137">
        <v>0</v>
      </c>
      <c r="H749" s="137">
        <v>0</v>
      </c>
      <c r="I749" s="137">
        <v>0</v>
      </c>
      <c r="J749" s="137">
        <v>0</v>
      </c>
      <c r="K749" s="137">
        <v>0</v>
      </c>
      <c r="L749" s="137">
        <v>0</v>
      </c>
      <c r="M749" s="137">
        <v>0</v>
      </c>
      <c r="N749" s="137">
        <v>0</v>
      </c>
      <c r="O749" s="137">
        <v>0</v>
      </c>
      <c r="P749" s="137">
        <v>0</v>
      </c>
      <c r="Q749" s="137">
        <v>0</v>
      </c>
      <c r="R749" s="137">
        <v>0</v>
      </c>
      <c r="S749" s="137">
        <v>0</v>
      </c>
      <c r="T749" s="137">
        <v>0</v>
      </c>
      <c r="U749" s="137">
        <v>0</v>
      </c>
      <c r="V749" s="137">
        <v>0</v>
      </c>
      <c r="W749" s="140" t="s">
        <v>1609</v>
      </c>
      <c r="X749" s="56">
        <f t="shared" si="22"/>
        <v>7</v>
      </c>
      <c r="Y749" s="56" t="str">
        <f t="shared" si="23"/>
        <v>NO LOGUEO</v>
      </c>
    </row>
    <row r="750" spans="1:25" ht="15" x14ac:dyDescent="0.25">
      <c r="A750" s="136" t="s">
        <v>1852</v>
      </c>
      <c r="B750" s="137">
        <v>0</v>
      </c>
      <c r="C750" s="137">
        <v>5.83</v>
      </c>
      <c r="D750" s="137">
        <v>8.5299999999999994</v>
      </c>
      <c r="E750" s="137">
        <v>9.19</v>
      </c>
      <c r="F750" s="137">
        <v>6.3</v>
      </c>
      <c r="G750" s="137">
        <v>8.39</v>
      </c>
      <c r="H750" s="137">
        <v>7.37</v>
      </c>
      <c r="I750" s="137">
        <v>0</v>
      </c>
      <c r="J750" s="137">
        <v>6.9699</v>
      </c>
      <c r="K750" s="137">
        <v>8.56</v>
      </c>
      <c r="L750" s="137">
        <v>8.73</v>
      </c>
      <c r="M750" s="137">
        <v>7.84</v>
      </c>
      <c r="N750" s="137">
        <v>8.3199000000000005</v>
      </c>
      <c r="O750" s="137">
        <v>8.01</v>
      </c>
      <c r="P750" s="137">
        <v>0</v>
      </c>
      <c r="Q750" s="137">
        <v>5.2298999999999998</v>
      </c>
      <c r="R750" s="137">
        <v>10.98</v>
      </c>
      <c r="S750" s="137">
        <v>8.36</v>
      </c>
      <c r="T750" s="137">
        <v>8.3699999999999992</v>
      </c>
      <c r="U750" s="137">
        <v>8.24</v>
      </c>
      <c r="V750" s="137">
        <v>5.16</v>
      </c>
      <c r="W750" s="140">
        <v>14120104</v>
      </c>
      <c r="X750" s="56">
        <f t="shared" si="22"/>
        <v>1</v>
      </c>
      <c r="Y750" s="56" t="str">
        <f t="shared" si="23"/>
        <v>LOGUEO</v>
      </c>
    </row>
    <row r="751" spans="1:25" ht="15" x14ac:dyDescent="0.25">
      <c r="A751" s="136" t="s">
        <v>476</v>
      </c>
      <c r="B751" s="137">
        <v>5.1100000000000003</v>
      </c>
      <c r="C751" s="137">
        <v>4.45</v>
      </c>
      <c r="D751" s="137">
        <v>3.5</v>
      </c>
      <c r="E751" s="137">
        <v>2.27</v>
      </c>
      <c r="F751" s="137">
        <v>4.3</v>
      </c>
      <c r="G751" s="137">
        <v>9.26</v>
      </c>
      <c r="H751" s="137">
        <v>7.66</v>
      </c>
      <c r="I751" s="137">
        <v>0.33</v>
      </c>
      <c r="J751" s="137">
        <v>3.5</v>
      </c>
      <c r="K751" s="137">
        <v>3.4</v>
      </c>
      <c r="L751" s="137">
        <v>3.71</v>
      </c>
      <c r="M751" s="137">
        <v>9.4499999999999993</v>
      </c>
      <c r="N751" s="137">
        <v>10.459899999999999</v>
      </c>
      <c r="O751" s="137">
        <v>7.39</v>
      </c>
      <c r="P751" s="137">
        <v>0.27</v>
      </c>
      <c r="Q751" s="137">
        <v>3.21</v>
      </c>
      <c r="R751" s="137">
        <v>2.31</v>
      </c>
      <c r="S751" s="137">
        <v>3.2599</v>
      </c>
      <c r="T751" s="137">
        <v>6.0198999999999998</v>
      </c>
      <c r="U751" s="137">
        <v>3.42</v>
      </c>
      <c r="V751" s="137">
        <v>3.12</v>
      </c>
      <c r="W751" s="140">
        <v>14123008</v>
      </c>
      <c r="X751" s="56">
        <f t="shared" si="22"/>
        <v>0</v>
      </c>
      <c r="Y751" s="56" t="str">
        <f t="shared" si="23"/>
        <v>LOGUEO</v>
      </c>
    </row>
    <row r="752" spans="1:25" ht="15" x14ac:dyDescent="0.25">
      <c r="A752" s="136" t="s">
        <v>2005</v>
      </c>
      <c r="B752" s="137">
        <v>0</v>
      </c>
      <c r="C752" s="137">
        <v>0</v>
      </c>
      <c r="D752" s="137">
        <v>0</v>
      </c>
      <c r="E752" s="137">
        <v>0</v>
      </c>
      <c r="F752" s="137">
        <v>0</v>
      </c>
      <c r="G752" s="137">
        <v>0</v>
      </c>
      <c r="H752" s="137">
        <v>0</v>
      </c>
      <c r="I752" s="137">
        <v>0</v>
      </c>
      <c r="J752" s="137">
        <v>0</v>
      </c>
      <c r="K752" s="137">
        <v>0</v>
      </c>
      <c r="L752" s="137">
        <v>0</v>
      </c>
      <c r="M752" s="137">
        <v>0</v>
      </c>
      <c r="N752" s="137">
        <v>0</v>
      </c>
      <c r="O752" s="137">
        <v>0</v>
      </c>
      <c r="P752" s="137">
        <v>0</v>
      </c>
      <c r="Q752" s="137">
        <v>0</v>
      </c>
      <c r="R752" s="137">
        <v>0</v>
      </c>
      <c r="S752" s="137">
        <v>0</v>
      </c>
      <c r="T752" s="137">
        <v>0</v>
      </c>
      <c r="U752" s="137">
        <v>0</v>
      </c>
      <c r="V752" s="137">
        <v>0</v>
      </c>
      <c r="W752" s="140" t="s">
        <v>1609</v>
      </c>
      <c r="X752" s="56">
        <f t="shared" si="22"/>
        <v>7</v>
      </c>
      <c r="Y752" s="56" t="str">
        <f t="shared" si="23"/>
        <v>NO LOGUEO</v>
      </c>
    </row>
    <row r="753" spans="1:25" ht="15" x14ac:dyDescent="0.25">
      <c r="A753" s="136" t="s">
        <v>484</v>
      </c>
      <c r="B753" s="137">
        <v>2.79</v>
      </c>
      <c r="C753" s="137">
        <v>0</v>
      </c>
      <c r="D753" s="137">
        <v>8.18</v>
      </c>
      <c r="E753" s="137">
        <v>7.72</v>
      </c>
      <c r="F753" s="137">
        <v>0</v>
      </c>
      <c r="G753" s="137">
        <v>5.83</v>
      </c>
      <c r="H753" s="137">
        <v>6.1898999999999997</v>
      </c>
      <c r="I753" s="137">
        <v>2.46</v>
      </c>
      <c r="J753" s="137">
        <v>0.23</v>
      </c>
      <c r="K753" s="137">
        <v>0</v>
      </c>
      <c r="L753" s="137">
        <v>7.13</v>
      </c>
      <c r="M753" s="137">
        <v>6.3699000000000003</v>
      </c>
      <c r="N753" s="137">
        <v>5.35</v>
      </c>
      <c r="O753" s="137">
        <v>6.3</v>
      </c>
      <c r="P753" s="137">
        <v>0</v>
      </c>
      <c r="Q753" s="137">
        <v>0</v>
      </c>
      <c r="R753" s="137">
        <v>4.3600000000000003</v>
      </c>
      <c r="S753" s="137">
        <v>8.23</v>
      </c>
      <c r="T753" s="137">
        <v>7.07</v>
      </c>
      <c r="U753" s="137">
        <v>6.51</v>
      </c>
      <c r="V753" s="137">
        <v>5.9099000000000004</v>
      </c>
      <c r="W753" s="140">
        <v>14123082</v>
      </c>
      <c r="X753" s="56">
        <f t="shared" si="22"/>
        <v>2</v>
      </c>
      <c r="Y753" s="56" t="str">
        <f t="shared" si="23"/>
        <v>NO LOGUEO</v>
      </c>
    </row>
    <row r="754" spans="1:25" ht="15" x14ac:dyDescent="0.25">
      <c r="A754" s="136" t="s">
        <v>1853</v>
      </c>
      <c r="B754" s="137">
        <v>3.55</v>
      </c>
      <c r="C754" s="137">
        <v>10.129899999999999</v>
      </c>
      <c r="D754" s="137">
        <v>6.51</v>
      </c>
      <c r="E754" s="137">
        <v>7.94</v>
      </c>
      <c r="F754" s="137">
        <v>1.5299</v>
      </c>
      <c r="G754" s="137">
        <v>6.93</v>
      </c>
      <c r="H754" s="137">
        <v>4.54</v>
      </c>
      <c r="I754" s="137">
        <v>0</v>
      </c>
      <c r="J754" s="137">
        <v>6.53</v>
      </c>
      <c r="K754" s="137">
        <v>10.130000000000001</v>
      </c>
      <c r="L754" s="137">
        <v>8.9499999999999993</v>
      </c>
      <c r="M754" s="137">
        <v>2.09</v>
      </c>
      <c r="N754" s="137">
        <v>7.09</v>
      </c>
      <c r="O754" s="137">
        <v>7.1</v>
      </c>
      <c r="P754" s="137">
        <v>3.08</v>
      </c>
      <c r="Q754" s="137">
        <v>8.19</v>
      </c>
      <c r="R754" s="137">
        <v>8.06</v>
      </c>
      <c r="S754" s="137">
        <v>6.4398999999999997</v>
      </c>
      <c r="T754" s="137">
        <v>6</v>
      </c>
      <c r="U754" s="137">
        <v>4.21</v>
      </c>
      <c r="V754" s="137">
        <v>1.57</v>
      </c>
      <c r="W754" s="140" t="s">
        <v>1609</v>
      </c>
      <c r="X754" s="56">
        <f t="shared" si="22"/>
        <v>0</v>
      </c>
      <c r="Y754" s="56" t="str">
        <f t="shared" si="23"/>
        <v>LOGUEO</v>
      </c>
    </row>
    <row r="755" spans="1:25" ht="15" x14ac:dyDescent="0.25">
      <c r="A755" s="136" t="s">
        <v>412</v>
      </c>
      <c r="B755" s="137">
        <v>0</v>
      </c>
      <c r="C755" s="137">
        <v>0</v>
      </c>
      <c r="D755" s="137">
        <v>0</v>
      </c>
      <c r="E755" s="137">
        <v>0</v>
      </c>
      <c r="F755" s="137">
        <v>0</v>
      </c>
      <c r="G755" s="137">
        <v>0</v>
      </c>
      <c r="H755" s="137">
        <v>0</v>
      </c>
      <c r="I755" s="137">
        <v>0</v>
      </c>
      <c r="J755" s="137">
        <v>0</v>
      </c>
      <c r="K755" s="137">
        <v>0</v>
      </c>
      <c r="L755" s="137">
        <v>3.75</v>
      </c>
      <c r="M755" s="137">
        <v>10.299899999999999</v>
      </c>
      <c r="N755" s="137">
        <v>8.9598999999999993</v>
      </c>
      <c r="O755" s="137">
        <v>7.76</v>
      </c>
      <c r="P755" s="137">
        <v>7.53</v>
      </c>
      <c r="Q755" s="137">
        <v>7.68</v>
      </c>
      <c r="R755" s="137">
        <v>1.23</v>
      </c>
      <c r="S755" s="137">
        <v>9.15</v>
      </c>
      <c r="T755" s="137">
        <v>11.69</v>
      </c>
      <c r="U755" s="137">
        <v>9.6699000000000002</v>
      </c>
      <c r="V755" s="137">
        <v>8.2799999999999994</v>
      </c>
      <c r="W755" s="140">
        <v>14122329</v>
      </c>
      <c r="X755" s="56">
        <f t="shared" si="22"/>
        <v>0</v>
      </c>
      <c r="Y755" s="56" t="str">
        <f t="shared" si="23"/>
        <v>LOGUEO</v>
      </c>
    </row>
    <row r="756" spans="1:25" ht="15" x14ac:dyDescent="0.25">
      <c r="A756" s="136" t="s">
        <v>254</v>
      </c>
      <c r="B756" s="137">
        <v>0</v>
      </c>
      <c r="C756" s="137">
        <v>9.31</v>
      </c>
      <c r="D756" s="137">
        <v>7.22</v>
      </c>
      <c r="E756" s="137">
        <v>1.62</v>
      </c>
      <c r="F756" s="137">
        <v>0</v>
      </c>
      <c r="G756" s="137">
        <v>0</v>
      </c>
      <c r="H756" s="137">
        <v>2.4</v>
      </c>
      <c r="I756" s="137">
        <v>4.4800000000000004</v>
      </c>
      <c r="J756" s="137">
        <v>1.85</v>
      </c>
      <c r="K756" s="137">
        <v>4.5</v>
      </c>
      <c r="L756" s="137">
        <v>0.72</v>
      </c>
      <c r="M756" s="137">
        <v>3.8098999999999998</v>
      </c>
      <c r="N756" s="137">
        <v>10.649900000000001</v>
      </c>
      <c r="O756" s="137">
        <v>7.78</v>
      </c>
      <c r="P756" s="137">
        <v>0.33</v>
      </c>
      <c r="Q756" s="137">
        <v>0</v>
      </c>
      <c r="R756" s="137">
        <v>0</v>
      </c>
      <c r="S756" s="137">
        <v>0</v>
      </c>
      <c r="T756" s="137">
        <v>7.26</v>
      </c>
      <c r="U756" s="137">
        <v>8.39</v>
      </c>
      <c r="V756" s="137">
        <v>6.95</v>
      </c>
      <c r="W756" s="140">
        <v>14119540</v>
      </c>
      <c r="X756" s="56">
        <f t="shared" si="22"/>
        <v>3</v>
      </c>
      <c r="Y756" s="56" t="str">
        <f t="shared" si="23"/>
        <v>NO LOGUEO</v>
      </c>
    </row>
    <row r="757" spans="1:25" ht="15" x14ac:dyDescent="0.25">
      <c r="A757" s="136" t="s">
        <v>255</v>
      </c>
      <c r="B757" s="137">
        <v>2.5598999999999998</v>
      </c>
      <c r="C757" s="137">
        <v>5.43</v>
      </c>
      <c r="D757" s="137">
        <v>1.22</v>
      </c>
      <c r="E757" s="137">
        <v>4.18</v>
      </c>
      <c r="F757" s="137">
        <v>2.2000000000000002</v>
      </c>
      <c r="G757" s="137">
        <v>5.4</v>
      </c>
      <c r="H757" s="137">
        <v>2.9</v>
      </c>
      <c r="I757" s="137">
        <v>3.96</v>
      </c>
      <c r="J757" s="137">
        <v>1.17</v>
      </c>
      <c r="K757" s="137">
        <v>3.05</v>
      </c>
      <c r="L757" s="137">
        <v>1.27</v>
      </c>
      <c r="M757" s="137">
        <v>3.93</v>
      </c>
      <c r="N757" s="137">
        <v>1.08</v>
      </c>
      <c r="O757" s="137">
        <v>4.22</v>
      </c>
      <c r="P757" s="137">
        <v>1.18</v>
      </c>
      <c r="Q757" s="137">
        <v>5.05</v>
      </c>
      <c r="R757" s="137">
        <v>0</v>
      </c>
      <c r="S757" s="137">
        <v>2.93</v>
      </c>
      <c r="T757" s="137">
        <v>1.02</v>
      </c>
      <c r="U757" s="137">
        <v>4.49</v>
      </c>
      <c r="V757" s="137">
        <v>0</v>
      </c>
      <c r="W757" s="140">
        <v>14119598</v>
      </c>
      <c r="X757" s="56">
        <f t="shared" si="22"/>
        <v>2</v>
      </c>
      <c r="Y757" s="56" t="str">
        <f t="shared" si="23"/>
        <v>NO LOGUEO</v>
      </c>
    </row>
    <row r="758" spans="1:25" ht="15" x14ac:dyDescent="0.25">
      <c r="A758" s="136" t="s">
        <v>438</v>
      </c>
      <c r="B758" s="137">
        <v>0</v>
      </c>
      <c r="C758" s="137">
        <v>0</v>
      </c>
      <c r="D758" s="137">
        <v>0</v>
      </c>
      <c r="E758" s="137">
        <v>0</v>
      </c>
      <c r="F758" s="137">
        <v>0</v>
      </c>
      <c r="G758" s="137">
        <v>0</v>
      </c>
      <c r="H758" s="137">
        <v>0</v>
      </c>
      <c r="I758" s="137">
        <v>0</v>
      </c>
      <c r="J758" s="137">
        <v>0</v>
      </c>
      <c r="K758" s="137">
        <v>0</v>
      </c>
      <c r="L758" s="137">
        <v>0</v>
      </c>
      <c r="M758" s="137">
        <v>0</v>
      </c>
      <c r="N758" s="137">
        <v>0</v>
      </c>
      <c r="O758" s="137">
        <v>0</v>
      </c>
      <c r="P758" s="137">
        <v>0</v>
      </c>
      <c r="Q758" s="137">
        <v>0</v>
      </c>
      <c r="R758" s="137">
        <v>0</v>
      </c>
      <c r="S758" s="137">
        <v>0</v>
      </c>
      <c r="T758" s="137">
        <v>0</v>
      </c>
      <c r="U758" s="137">
        <v>0</v>
      </c>
      <c r="V758" s="137">
        <v>0</v>
      </c>
      <c r="W758" s="140">
        <v>14122673</v>
      </c>
      <c r="X758" s="56">
        <f t="shared" si="22"/>
        <v>7</v>
      </c>
      <c r="Y758" s="56" t="str">
        <f t="shared" si="23"/>
        <v>NO LOGUEO</v>
      </c>
    </row>
    <row r="759" spans="1:25" ht="15" x14ac:dyDescent="0.25">
      <c r="A759" s="136" t="s">
        <v>2571</v>
      </c>
      <c r="B759" s="137">
        <v>0</v>
      </c>
      <c r="C759" s="137">
        <v>0</v>
      </c>
      <c r="D759" s="137">
        <v>0</v>
      </c>
      <c r="E759" s="137">
        <v>0</v>
      </c>
      <c r="F759" s="137">
        <v>0</v>
      </c>
      <c r="G759" s="137">
        <v>0</v>
      </c>
      <c r="H759" s="137">
        <v>0</v>
      </c>
      <c r="I759" s="137">
        <v>0</v>
      </c>
      <c r="J759" s="137">
        <v>0</v>
      </c>
      <c r="K759" s="137">
        <v>0</v>
      </c>
      <c r="L759" s="137">
        <v>0.83</v>
      </c>
      <c r="M759" s="137">
        <v>0</v>
      </c>
      <c r="N759" s="137">
        <v>0</v>
      </c>
      <c r="O759" s="137">
        <v>1.4</v>
      </c>
      <c r="P759" s="137">
        <v>0</v>
      </c>
      <c r="Q759" s="137">
        <v>0</v>
      </c>
      <c r="R759" s="137">
        <v>0</v>
      </c>
      <c r="S759" s="137">
        <v>0</v>
      </c>
      <c r="T759" s="137">
        <v>0</v>
      </c>
      <c r="U759" s="137">
        <v>0</v>
      </c>
      <c r="V759" s="137">
        <v>0</v>
      </c>
      <c r="W759" s="140" t="s">
        <v>1609</v>
      </c>
      <c r="X759" s="56">
        <f t="shared" si="22"/>
        <v>7</v>
      </c>
      <c r="Y759" s="56" t="str">
        <f t="shared" si="23"/>
        <v>NO LOGUEO</v>
      </c>
    </row>
    <row r="760" spans="1:25" ht="15" x14ac:dyDescent="0.25">
      <c r="A760" s="136" t="s">
        <v>18</v>
      </c>
      <c r="B760" s="137">
        <v>4.67</v>
      </c>
      <c r="C760" s="137">
        <v>5.89</v>
      </c>
      <c r="D760" s="137">
        <v>5.9699</v>
      </c>
      <c r="E760" s="137">
        <v>7.5</v>
      </c>
      <c r="F760" s="137">
        <v>3.1</v>
      </c>
      <c r="G760" s="137">
        <v>0</v>
      </c>
      <c r="H760" s="137">
        <v>4.1599000000000004</v>
      </c>
      <c r="I760" s="137">
        <v>0</v>
      </c>
      <c r="J760" s="137">
        <v>6.08</v>
      </c>
      <c r="K760" s="137">
        <v>8.99</v>
      </c>
      <c r="L760" s="137">
        <v>5.92</v>
      </c>
      <c r="M760" s="137">
        <v>9.58</v>
      </c>
      <c r="N760" s="137">
        <v>6.5198999999999998</v>
      </c>
      <c r="O760" s="137">
        <v>9.68</v>
      </c>
      <c r="P760" s="137">
        <v>5.37</v>
      </c>
      <c r="Q760" s="137">
        <v>5.0799000000000003</v>
      </c>
      <c r="R760" s="137">
        <v>6.13</v>
      </c>
      <c r="S760" s="137">
        <v>8.39</v>
      </c>
      <c r="T760" s="137">
        <v>0.78</v>
      </c>
      <c r="U760" s="137">
        <v>3.23</v>
      </c>
      <c r="V760" s="137">
        <v>5.5</v>
      </c>
      <c r="W760" s="140">
        <v>14100733</v>
      </c>
      <c r="X760" s="56">
        <f t="shared" si="22"/>
        <v>0</v>
      </c>
      <c r="Y760" s="56" t="str">
        <f t="shared" si="23"/>
        <v>LOGUEO</v>
      </c>
    </row>
    <row r="761" spans="1:25" ht="15" x14ac:dyDescent="0.25">
      <c r="A761" s="136" t="s">
        <v>65</v>
      </c>
      <c r="B761" s="137">
        <v>2.56</v>
      </c>
      <c r="C761" s="137">
        <v>6.26</v>
      </c>
      <c r="D761" s="137">
        <v>5.42</v>
      </c>
      <c r="E761" s="137">
        <v>3.14</v>
      </c>
      <c r="F761" s="137">
        <v>5.2698999999999998</v>
      </c>
      <c r="G761" s="137">
        <v>0</v>
      </c>
      <c r="H761" s="137">
        <v>5.66</v>
      </c>
      <c r="I761" s="137">
        <v>2.59</v>
      </c>
      <c r="J761" s="137">
        <v>5.4</v>
      </c>
      <c r="K761" s="137">
        <v>3.29</v>
      </c>
      <c r="L761" s="137">
        <v>5.64</v>
      </c>
      <c r="M761" s="137">
        <v>2.68</v>
      </c>
      <c r="N761" s="137">
        <v>5.35</v>
      </c>
      <c r="O761" s="137">
        <v>0</v>
      </c>
      <c r="P761" s="137">
        <v>2.5</v>
      </c>
      <c r="Q761" s="137">
        <v>0</v>
      </c>
      <c r="R761" s="137">
        <v>5.84</v>
      </c>
      <c r="S761" s="137">
        <v>2.8</v>
      </c>
      <c r="T761" s="137">
        <v>5.3699000000000003</v>
      </c>
      <c r="U761" s="137">
        <v>2.63</v>
      </c>
      <c r="V761" s="137">
        <v>5.3</v>
      </c>
      <c r="W761" s="140">
        <v>14107735</v>
      </c>
      <c r="X761" s="56">
        <f t="shared" si="22"/>
        <v>1</v>
      </c>
      <c r="Y761" s="56" t="str">
        <f t="shared" si="23"/>
        <v>LOGUEO</v>
      </c>
    </row>
    <row r="762" spans="1:25" ht="15" x14ac:dyDescent="0.25">
      <c r="A762" s="136" t="s">
        <v>1149</v>
      </c>
      <c r="B762" s="137">
        <v>0</v>
      </c>
      <c r="C762" s="137">
        <v>8.19</v>
      </c>
      <c r="D762" s="137">
        <v>4.33</v>
      </c>
      <c r="E762" s="137">
        <v>2.62</v>
      </c>
      <c r="F762" s="137">
        <v>6.47</v>
      </c>
      <c r="G762" s="137">
        <v>8.6999999999999993</v>
      </c>
      <c r="H762" s="137">
        <v>6.54</v>
      </c>
      <c r="I762" s="137">
        <v>9.36</v>
      </c>
      <c r="J762" s="137">
        <v>10.71</v>
      </c>
      <c r="K762" s="137">
        <v>9.26</v>
      </c>
      <c r="L762" s="137">
        <v>7.01</v>
      </c>
      <c r="M762" s="137">
        <v>5.29</v>
      </c>
      <c r="N762" s="137">
        <v>9.07</v>
      </c>
      <c r="O762" s="137">
        <v>9.42</v>
      </c>
      <c r="P762" s="137">
        <v>0</v>
      </c>
      <c r="Q762" s="137">
        <v>10.3</v>
      </c>
      <c r="R762" s="137">
        <v>4.5</v>
      </c>
      <c r="S762" s="137">
        <v>4.8499999999999996</v>
      </c>
      <c r="T762" s="137">
        <v>8.56</v>
      </c>
      <c r="U762" s="137">
        <v>4.5599999999999996</v>
      </c>
      <c r="V762" s="137">
        <v>10.75</v>
      </c>
      <c r="W762" s="140">
        <v>14102875</v>
      </c>
      <c r="X762" s="56">
        <f t="shared" si="22"/>
        <v>1</v>
      </c>
      <c r="Y762" s="56" t="str">
        <f t="shared" si="23"/>
        <v>LOGUEO</v>
      </c>
    </row>
    <row r="763" spans="1:25" ht="15" x14ac:dyDescent="0.25">
      <c r="A763" s="136" t="s">
        <v>2006</v>
      </c>
      <c r="B763" s="137">
        <v>0</v>
      </c>
      <c r="C763" s="137">
        <v>0</v>
      </c>
      <c r="D763" s="137">
        <v>0</v>
      </c>
      <c r="E763" s="137">
        <v>0</v>
      </c>
      <c r="F763" s="137">
        <v>0</v>
      </c>
      <c r="G763" s="137">
        <v>0</v>
      </c>
      <c r="H763" s="137">
        <v>0</v>
      </c>
      <c r="I763" s="137">
        <v>0</v>
      </c>
      <c r="J763" s="137">
        <v>0</v>
      </c>
      <c r="K763" s="137">
        <v>0</v>
      </c>
      <c r="L763" s="137">
        <v>0</v>
      </c>
      <c r="M763" s="137">
        <v>0</v>
      </c>
      <c r="N763" s="137">
        <v>0</v>
      </c>
      <c r="O763" s="137">
        <v>0</v>
      </c>
      <c r="P763" s="137">
        <v>0</v>
      </c>
      <c r="Q763" s="137">
        <v>0</v>
      </c>
      <c r="R763" s="137">
        <v>0</v>
      </c>
      <c r="S763" s="137">
        <v>0</v>
      </c>
      <c r="T763" s="137">
        <v>0</v>
      </c>
      <c r="U763" s="137">
        <v>0</v>
      </c>
      <c r="V763" s="137">
        <v>0</v>
      </c>
      <c r="W763" s="140">
        <v>14122353</v>
      </c>
      <c r="X763" s="56">
        <f t="shared" si="22"/>
        <v>7</v>
      </c>
      <c r="Y763" s="56" t="str">
        <f t="shared" si="23"/>
        <v>NO LOGUEO</v>
      </c>
    </row>
    <row r="764" spans="1:25" ht="15" x14ac:dyDescent="0.25">
      <c r="A764" s="136" t="s">
        <v>453</v>
      </c>
      <c r="B764" s="137">
        <v>0</v>
      </c>
      <c r="C764" s="137">
        <v>0</v>
      </c>
      <c r="D764" s="137">
        <v>0</v>
      </c>
      <c r="E764" s="137">
        <v>0</v>
      </c>
      <c r="F764" s="137">
        <v>0</v>
      </c>
      <c r="G764" s="137">
        <v>0</v>
      </c>
      <c r="H764" s="137">
        <v>0</v>
      </c>
      <c r="I764" s="137">
        <v>0</v>
      </c>
      <c r="J764" s="137">
        <v>0</v>
      </c>
      <c r="K764" s="137">
        <v>0</v>
      </c>
      <c r="L764" s="137">
        <v>0</v>
      </c>
      <c r="M764" s="137">
        <v>0</v>
      </c>
      <c r="N764" s="137">
        <v>0</v>
      </c>
      <c r="O764" s="137">
        <v>0</v>
      </c>
      <c r="P764" s="137">
        <v>0</v>
      </c>
      <c r="Q764" s="137">
        <v>9.26</v>
      </c>
      <c r="R764" s="137">
        <v>8.9499999999999993</v>
      </c>
      <c r="S764" s="137">
        <v>8.3000000000000007</v>
      </c>
      <c r="T764" s="137">
        <v>6.9699</v>
      </c>
      <c r="U764" s="137">
        <v>7.39</v>
      </c>
      <c r="V764" s="137">
        <v>9.44</v>
      </c>
      <c r="W764" s="140">
        <v>14122832</v>
      </c>
      <c r="X764" s="56">
        <f t="shared" si="22"/>
        <v>1</v>
      </c>
      <c r="Y764" s="56" t="str">
        <f t="shared" si="23"/>
        <v>LOGUEO</v>
      </c>
    </row>
    <row r="765" spans="1:25" ht="15" x14ac:dyDescent="0.25">
      <c r="A765" s="136" t="s">
        <v>15</v>
      </c>
      <c r="B765" s="137">
        <v>0</v>
      </c>
      <c r="C765" s="137">
        <v>3.64</v>
      </c>
      <c r="D765" s="137">
        <v>10.210000000000001</v>
      </c>
      <c r="E765" s="137">
        <v>3.0998999999999999</v>
      </c>
      <c r="F765" s="137">
        <v>2.9899</v>
      </c>
      <c r="G765" s="137">
        <v>7.0399000000000003</v>
      </c>
      <c r="H765" s="137">
        <v>10.52</v>
      </c>
      <c r="I765" s="137">
        <v>0</v>
      </c>
      <c r="J765" s="137">
        <v>4.29</v>
      </c>
      <c r="K765" s="137">
        <v>7.87</v>
      </c>
      <c r="L765" s="137">
        <v>10.35</v>
      </c>
      <c r="M765" s="137">
        <v>9.3299000000000003</v>
      </c>
      <c r="N765" s="137">
        <v>9.68</v>
      </c>
      <c r="O765" s="137">
        <v>8.25</v>
      </c>
      <c r="P765" s="137">
        <v>0</v>
      </c>
      <c r="Q765" s="137">
        <v>5.81</v>
      </c>
      <c r="R765" s="137">
        <v>9.18</v>
      </c>
      <c r="S765" s="137">
        <v>6.47</v>
      </c>
      <c r="T765" s="137">
        <v>9.64</v>
      </c>
      <c r="U765" s="137">
        <v>9.9799000000000007</v>
      </c>
      <c r="V765" s="137">
        <v>7.8</v>
      </c>
      <c r="W765" s="140">
        <v>14100729</v>
      </c>
      <c r="X765" s="56">
        <f t="shared" si="22"/>
        <v>1</v>
      </c>
      <c r="Y765" s="56" t="str">
        <f t="shared" si="23"/>
        <v>LOGUEO</v>
      </c>
    </row>
    <row r="766" spans="1:25" ht="15" x14ac:dyDescent="0.25">
      <c r="A766" s="136" t="s">
        <v>67</v>
      </c>
      <c r="B766" s="137">
        <v>7.84</v>
      </c>
      <c r="C766" s="137">
        <v>6.95</v>
      </c>
      <c r="D766" s="137">
        <v>0</v>
      </c>
      <c r="E766" s="137">
        <v>8.5299999999999994</v>
      </c>
      <c r="F766" s="137">
        <v>7.24</v>
      </c>
      <c r="G766" s="137">
        <v>0</v>
      </c>
      <c r="H766" s="137">
        <v>0</v>
      </c>
      <c r="I766" s="137">
        <v>7.85</v>
      </c>
      <c r="J766" s="137">
        <v>9.08</v>
      </c>
      <c r="K766" s="137">
        <v>0</v>
      </c>
      <c r="L766" s="137">
        <v>0</v>
      </c>
      <c r="M766" s="137">
        <v>8.11</v>
      </c>
      <c r="N766" s="137">
        <v>8.42</v>
      </c>
      <c r="O766" s="137">
        <v>0</v>
      </c>
      <c r="P766" s="137">
        <v>0</v>
      </c>
      <c r="Q766" s="137">
        <v>8.69</v>
      </c>
      <c r="R766" s="137">
        <v>7.94</v>
      </c>
      <c r="S766" s="137">
        <v>0</v>
      </c>
      <c r="T766" s="137">
        <v>0</v>
      </c>
      <c r="U766" s="137">
        <v>8.2200000000000006</v>
      </c>
      <c r="V766" s="137">
        <v>7.42</v>
      </c>
      <c r="W766" s="140">
        <v>14107840</v>
      </c>
      <c r="X766" s="56">
        <f t="shared" si="22"/>
        <v>3</v>
      </c>
      <c r="Y766" s="56" t="str">
        <f t="shared" si="23"/>
        <v>NO LOGUEO</v>
      </c>
    </row>
    <row r="767" spans="1:25" ht="15" x14ac:dyDescent="0.25">
      <c r="A767" s="136" t="s">
        <v>2397</v>
      </c>
      <c r="B767" s="137">
        <v>4.8998999999999997</v>
      </c>
      <c r="C767" s="137">
        <v>7.05</v>
      </c>
      <c r="D767" s="137">
        <v>2.37</v>
      </c>
      <c r="E767" s="137">
        <v>0</v>
      </c>
      <c r="F767" s="137">
        <v>1.26</v>
      </c>
      <c r="G767" s="137">
        <v>6.37</v>
      </c>
      <c r="H767" s="137">
        <v>4.8600000000000003</v>
      </c>
      <c r="I767" s="137">
        <v>8.5399999999999991</v>
      </c>
      <c r="J767" s="137">
        <v>5.13</v>
      </c>
      <c r="K767" s="137">
        <v>5.4</v>
      </c>
      <c r="L767" s="137">
        <v>3.17</v>
      </c>
      <c r="M767" s="137">
        <v>8.25</v>
      </c>
      <c r="N767" s="137">
        <v>7.43</v>
      </c>
      <c r="O767" s="137">
        <v>7.73</v>
      </c>
      <c r="P767" s="137">
        <v>8.18</v>
      </c>
      <c r="Q767" s="137">
        <v>5.44</v>
      </c>
      <c r="R767" s="137">
        <v>7.83</v>
      </c>
      <c r="S767" s="137">
        <v>4.78</v>
      </c>
      <c r="T767" s="137">
        <v>7.09</v>
      </c>
      <c r="U767" s="137">
        <v>0.55000000000000004</v>
      </c>
      <c r="V767" s="137">
        <v>8.85</v>
      </c>
      <c r="W767" s="140" t="s">
        <v>1609</v>
      </c>
      <c r="X767" s="56">
        <f t="shared" si="22"/>
        <v>0</v>
      </c>
      <c r="Y767" s="56" t="str">
        <f t="shared" si="23"/>
        <v>LOGUEO</v>
      </c>
    </row>
    <row r="768" spans="1:25" ht="15" x14ac:dyDescent="0.25">
      <c r="A768" s="136" t="s">
        <v>1914</v>
      </c>
      <c r="B768" s="137">
        <v>0</v>
      </c>
      <c r="C768" s="137">
        <v>0</v>
      </c>
      <c r="D768" s="137">
        <v>0</v>
      </c>
      <c r="E768" s="137">
        <v>0</v>
      </c>
      <c r="F768" s="137">
        <v>0</v>
      </c>
      <c r="G768" s="137">
        <v>0</v>
      </c>
      <c r="H768" s="137">
        <v>0</v>
      </c>
      <c r="I768" s="137">
        <v>0</v>
      </c>
      <c r="J768" s="137">
        <v>0</v>
      </c>
      <c r="K768" s="137">
        <v>0</v>
      </c>
      <c r="L768" s="137">
        <v>0</v>
      </c>
      <c r="M768" s="137">
        <v>0</v>
      </c>
      <c r="N768" s="137">
        <v>0</v>
      </c>
      <c r="O768" s="137">
        <v>0</v>
      </c>
      <c r="P768" s="137">
        <v>0</v>
      </c>
      <c r="Q768" s="137">
        <v>0</v>
      </c>
      <c r="R768" s="137">
        <v>0</v>
      </c>
      <c r="S768" s="137">
        <v>0</v>
      </c>
      <c r="T768" s="137">
        <v>0</v>
      </c>
      <c r="U768" s="137">
        <v>0</v>
      </c>
      <c r="V768" s="137">
        <v>0</v>
      </c>
      <c r="W768" s="140" t="s">
        <v>1609</v>
      </c>
      <c r="X768" s="56">
        <f t="shared" si="22"/>
        <v>7</v>
      </c>
      <c r="Y768" s="56" t="str">
        <f t="shared" si="23"/>
        <v>NO LOGUEO</v>
      </c>
    </row>
    <row r="769" spans="1:25" ht="15" x14ac:dyDescent="0.25">
      <c r="A769" s="136" t="s">
        <v>2007</v>
      </c>
      <c r="B769" s="137">
        <v>0</v>
      </c>
      <c r="C769" s="137">
        <v>0</v>
      </c>
      <c r="D769" s="137">
        <v>0</v>
      </c>
      <c r="E769" s="137">
        <v>0</v>
      </c>
      <c r="F769" s="137">
        <v>0</v>
      </c>
      <c r="G769" s="137">
        <v>0</v>
      </c>
      <c r="H769" s="137">
        <v>0</v>
      </c>
      <c r="I769" s="137">
        <v>0</v>
      </c>
      <c r="J769" s="137">
        <v>0</v>
      </c>
      <c r="K769" s="137">
        <v>0</v>
      </c>
      <c r="L769" s="137">
        <v>0</v>
      </c>
      <c r="M769" s="137">
        <v>0</v>
      </c>
      <c r="N769" s="137">
        <v>0</v>
      </c>
      <c r="O769" s="137">
        <v>0</v>
      </c>
      <c r="P769" s="137">
        <v>0</v>
      </c>
      <c r="Q769" s="137">
        <v>0</v>
      </c>
      <c r="R769" s="137">
        <v>0</v>
      </c>
      <c r="S769" s="137">
        <v>0</v>
      </c>
      <c r="T769" s="137">
        <v>0</v>
      </c>
      <c r="U769" s="137">
        <v>0</v>
      </c>
      <c r="V769" s="137">
        <v>0</v>
      </c>
      <c r="W769" s="140" t="s">
        <v>1609</v>
      </c>
      <c r="X769" s="56">
        <f t="shared" si="22"/>
        <v>7</v>
      </c>
      <c r="Y769" s="56" t="str">
        <f t="shared" si="23"/>
        <v>NO LOGUEO</v>
      </c>
    </row>
    <row r="770" spans="1:25" ht="15" x14ac:dyDescent="0.25">
      <c r="A770" s="136" t="s">
        <v>274</v>
      </c>
      <c r="B770" s="137">
        <v>4.76</v>
      </c>
      <c r="C770" s="137">
        <v>6.81</v>
      </c>
      <c r="D770" s="137">
        <v>6.9099000000000004</v>
      </c>
      <c r="E770" s="137">
        <v>6.2298999999999998</v>
      </c>
      <c r="F770" s="137">
        <v>1.56</v>
      </c>
      <c r="G770" s="137">
        <v>6.87</v>
      </c>
      <c r="H770" s="137">
        <v>0</v>
      </c>
      <c r="I770" s="137">
        <v>0</v>
      </c>
      <c r="J770" s="137">
        <v>0</v>
      </c>
      <c r="K770" s="137">
        <v>0</v>
      </c>
      <c r="L770" s="137">
        <v>0</v>
      </c>
      <c r="M770" s="137">
        <v>0</v>
      </c>
      <c r="N770" s="137">
        <v>0</v>
      </c>
      <c r="O770" s="137">
        <v>0</v>
      </c>
      <c r="P770" s="137">
        <v>4.71</v>
      </c>
      <c r="Q770" s="137">
        <v>6.2</v>
      </c>
      <c r="R770" s="137">
        <v>6.24</v>
      </c>
      <c r="S770" s="137">
        <v>7.28</v>
      </c>
      <c r="T770" s="137">
        <v>8.24</v>
      </c>
      <c r="U770" s="137">
        <v>7.1</v>
      </c>
      <c r="V770" s="137">
        <v>6.9</v>
      </c>
      <c r="W770" s="140">
        <v>14120044</v>
      </c>
      <c r="X770" s="56">
        <f t="shared" si="22"/>
        <v>0</v>
      </c>
      <c r="Y770" s="56" t="str">
        <f t="shared" si="23"/>
        <v>LOGUEO</v>
      </c>
    </row>
    <row r="771" spans="1:25" ht="15" x14ac:dyDescent="0.25">
      <c r="A771" s="136" t="s">
        <v>1887</v>
      </c>
      <c r="B771" s="137">
        <v>0</v>
      </c>
      <c r="C771" s="137">
        <v>0</v>
      </c>
      <c r="D771" s="137">
        <v>0</v>
      </c>
      <c r="E771" s="137">
        <v>0</v>
      </c>
      <c r="F771" s="137">
        <v>0</v>
      </c>
      <c r="G771" s="137">
        <v>0</v>
      </c>
      <c r="H771" s="137">
        <v>0</v>
      </c>
      <c r="I771" s="137">
        <v>0</v>
      </c>
      <c r="J771" s="137">
        <v>0</v>
      </c>
      <c r="K771" s="137">
        <v>0</v>
      </c>
      <c r="L771" s="137">
        <v>0</v>
      </c>
      <c r="M771" s="137">
        <v>0</v>
      </c>
      <c r="N771" s="137">
        <v>0</v>
      </c>
      <c r="O771" s="137">
        <v>0</v>
      </c>
      <c r="P771" s="137">
        <v>0</v>
      </c>
      <c r="Q771" s="137">
        <v>0</v>
      </c>
      <c r="R771" s="137">
        <v>0</v>
      </c>
      <c r="S771" s="137">
        <v>0</v>
      </c>
      <c r="T771" s="137">
        <v>0</v>
      </c>
      <c r="U771" s="137">
        <v>0</v>
      </c>
      <c r="V771" s="137">
        <v>0</v>
      </c>
      <c r="W771" s="140" t="s">
        <v>1609</v>
      </c>
      <c r="X771" s="56">
        <f t="shared" ref="X771:X834" si="24">COUNTIF(P771:V771,0)</f>
        <v>7</v>
      </c>
      <c r="Y771" s="56" t="str">
        <f t="shared" ref="Y771:Y834" si="25">IF(X771&gt;1,"NO LOGUEO","LOGUEO")</f>
        <v>NO LOGUEO</v>
      </c>
    </row>
    <row r="772" spans="1:25" ht="15" x14ac:dyDescent="0.25">
      <c r="A772" s="136" t="s">
        <v>1854</v>
      </c>
      <c r="B772" s="137">
        <v>4.84</v>
      </c>
      <c r="C772" s="137">
        <v>7.2099000000000002</v>
      </c>
      <c r="D772" s="137">
        <v>9.5</v>
      </c>
      <c r="E772" s="137">
        <v>7.5</v>
      </c>
      <c r="F772" s="137">
        <v>1.44</v>
      </c>
      <c r="G772" s="137">
        <v>8.9499999999999993</v>
      </c>
      <c r="H772" s="137">
        <v>8.51</v>
      </c>
      <c r="I772" s="137">
        <v>1.88</v>
      </c>
      <c r="J772" s="137">
        <v>7.47</v>
      </c>
      <c r="K772" s="137">
        <v>9.02</v>
      </c>
      <c r="L772" s="137">
        <v>8.68</v>
      </c>
      <c r="M772" s="137">
        <v>7.61</v>
      </c>
      <c r="N772" s="137">
        <v>7.73</v>
      </c>
      <c r="O772" s="137">
        <v>6.35</v>
      </c>
      <c r="P772" s="137">
        <v>5.12</v>
      </c>
      <c r="Q772" s="137">
        <v>6.5298999999999996</v>
      </c>
      <c r="R772" s="137">
        <v>5.83</v>
      </c>
      <c r="S772" s="137">
        <v>4.47</v>
      </c>
      <c r="T772" s="137">
        <v>7.11</v>
      </c>
      <c r="U772" s="137">
        <v>5.42</v>
      </c>
      <c r="V772" s="137">
        <v>6.24</v>
      </c>
      <c r="W772" s="140" t="s">
        <v>1609</v>
      </c>
      <c r="X772" s="56">
        <f t="shared" si="24"/>
        <v>0</v>
      </c>
      <c r="Y772" s="56" t="str">
        <f t="shared" si="25"/>
        <v>LOGUEO</v>
      </c>
    </row>
    <row r="773" spans="1:25" ht="15" x14ac:dyDescent="0.25">
      <c r="A773" s="136" t="s">
        <v>471</v>
      </c>
      <c r="B773" s="137">
        <v>0</v>
      </c>
      <c r="C773" s="137">
        <v>0</v>
      </c>
      <c r="D773" s="137">
        <v>3.2</v>
      </c>
      <c r="E773" s="137">
        <v>7.3699000000000003</v>
      </c>
      <c r="F773" s="137">
        <v>2.9</v>
      </c>
      <c r="G773" s="137">
        <v>8.0299999999999994</v>
      </c>
      <c r="H773" s="137">
        <v>6.7899000000000003</v>
      </c>
      <c r="I773" s="137">
        <v>2.4500000000000002</v>
      </c>
      <c r="J773" s="137">
        <v>5.9499000000000004</v>
      </c>
      <c r="K773" s="137">
        <v>8.24</v>
      </c>
      <c r="L773" s="137">
        <v>7.45</v>
      </c>
      <c r="M773" s="137">
        <v>6.85</v>
      </c>
      <c r="N773" s="137">
        <v>7.98</v>
      </c>
      <c r="O773" s="137">
        <v>6.5799000000000003</v>
      </c>
      <c r="P773" s="137">
        <v>2.98</v>
      </c>
      <c r="Q773" s="137">
        <v>0</v>
      </c>
      <c r="R773" s="137">
        <v>7.16</v>
      </c>
      <c r="S773" s="137">
        <v>7.11</v>
      </c>
      <c r="T773" s="137">
        <v>6.95</v>
      </c>
      <c r="U773" s="137">
        <v>7.02</v>
      </c>
      <c r="V773" s="137">
        <v>7.61</v>
      </c>
      <c r="W773" s="140">
        <v>14118579</v>
      </c>
      <c r="X773" s="56">
        <f t="shared" si="24"/>
        <v>1</v>
      </c>
      <c r="Y773" s="56" t="str">
        <f t="shared" si="25"/>
        <v>LOGUEO</v>
      </c>
    </row>
    <row r="774" spans="1:25" ht="15" x14ac:dyDescent="0.25">
      <c r="A774" s="136" t="s">
        <v>3723</v>
      </c>
      <c r="B774" s="137">
        <v>0</v>
      </c>
      <c r="C774" s="137">
        <v>0.88</v>
      </c>
      <c r="D774" s="137">
        <v>0</v>
      </c>
      <c r="E774" s="137">
        <v>0</v>
      </c>
      <c r="F774" s="137">
        <v>0</v>
      </c>
      <c r="G774" s="137">
        <v>0</v>
      </c>
      <c r="H774" s="137">
        <v>3.8</v>
      </c>
      <c r="I774" s="137">
        <v>0</v>
      </c>
      <c r="J774" s="137">
        <v>0</v>
      </c>
      <c r="K774" s="137">
        <v>0</v>
      </c>
      <c r="L774" s="137">
        <v>0</v>
      </c>
      <c r="M774" s="137">
        <v>0</v>
      </c>
      <c r="N774" s="137">
        <v>0</v>
      </c>
      <c r="O774" s="137">
        <v>0</v>
      </c>
      <c r="P774" s="137">
        <v>0</v>
      </c>
      <c r="Q774" s="137">
        <v>0</v>
      </c>
      <c r="R774" s="137">
        <v>0</v>
      </c>
      <c r="S774" s="137">
        <v>0</v>
      </c>
      <c r="T774" s="137">
        <v>0</v>
      </c>
      <c r="U774" s="137">
        <v>0</v>
      </c>
      <c r="V774" s="137">
        <v>0</v>
      </c>
      <c r="W774" s="140" t="s">
        <v>1609</v>
      </c>
      <c r="X774" s="56">
        <f t="shared" si="24"/>
        <v>7</v>
      </c>
      <c r="Y774" s="56" t="str">
        <f t="shared" si="25"/>
        <v>NO LOGUEO</v>
      </c>
    </row>
    <row r="775" spans="1:25" ht="15" x14ac:dyDescent="0.25">
      <c r="A775" s="136" t="s">
        <v>502</v>
      </c>
      <c r="B775" s="137">
        <v>0</v>
      </c>
      <c r="C775" s="137">
        <v>0</v>
      </c>
      <c r="D775" s="137">
        <v>0</v>
      </c>
      <c r="E775" s="137">
        <v>0</v>
      </c>
      <c r="F775" s="137">
        <v>0</v>
      </c>
      <c r="G775" s="137">
        <v>0</v>
      </c>
      <c r="H775" s="137">
        <v>0</v>
      </c>
      <c r="I775" s="137">
        <v>0</v>
      </c>
      <c r="J775" s="137">
        <v>0</v>
      </c>
      <c r="K775" s="137">
        <v>0</v>
      </c>
      <c r="L775" s="137">
        <v>0</v>
      </c>
      <c r="M775" s="137">
        <v>0</v>
      </c>
      <c r="N775" s="137">
        <v>0</v>
      </c>
      <c r="O775" s="137">
        <v>0</v>
      </c>
      <c r="P775" s="137">
        <v>0</v>
      </c>
      <c r="Q775" s="137">
        <v>0</v>
      </c>
      <c r="R775" s="137">
        <v>0</v>
      </c>
      <c r="S775" s="137">
        <v>0</v>
      </c>
      <c r="T775" s="137">
        <v>0</v>
      </c>
      <c r="U775" s="137">
        <v>0</v>
      </c>
      <c r="V775" s="137">
        <v>0</v>
      </c>
      <c r="W775" s="140">
        <v>14123274</v>
      </c>
      <c r="X775" s="56">
        <f t="shared" si="24"/>
        <v>7</v>
      </c>
      <c r="Y775" s="56" t="str">
        <f t="shared" si="25"/>
        <v>NO LOGUEO</v>
      </c>
    </row>
    <row r="776" spans="1:25" ht="15" x14ac:dyDescent="0.25">
      <c r="A776" s="136" t="s">
        <v>2008</v>
      </c>
      <c r="B776" s="137">
        <v>0</v>
      </c>
      <c r="C776" s="137">
        <v>0</v>
      </c>
      <c r="D776" s="137">
        <v>0</v>
      </c>
      <c r="E776" s="137">
        <v>0</v>
      </c>
      <c r="F776" s="137">
        <v>0</v>
      </c>
      <c r="G776" s="137">
        <v>0</v>
      </c>
      <c r="H776" s="137">
        <v>0</v>
      </c>
      <c r="I776" s="137">
        <v>0</v>
      </c>
      <c r="J776" s="137">
        <v>0</v>
      </c>
      <c r="K776" s="137">
        <v>0</v>
      </c>
      <c r="L776" s="137">
        <v>0</v>
      </c>
      <c r="M776" s="137">
        <v>0</v>
      </c>
      <c r="N776" s="137">
        <v>0</v>
      </c>
      <c r="O776" s="137">
        <v>0</v>
      </c>
      <c r="P776" s="137">
        <v>0</v>
      </c>
      <c r="Q776" s="137">
        <v>0</v>
      </c>
      <c r="R776" s="137">
        <v>0</v>
      </c>
      <c r="S776" s="137">
        <v>0</v>
      </c>
      <c r="T776" s="137">
        <v>0</v>
      </c>
      <c r="U776" s="137">
        <v>0</v>
      </c>
      <c r="V776" s="137">
        <v>0</v>
      </c>
      <c r="W776" s="140" t="s">
        <v>1609</v>
      </c>
      <c r="X776" s="56">
        <f t="shared" si="24"/>
        <v>7</v>
      </c>
      <c r="Y776" s="56" t="str">
        <f t="shared" si="25"/>
        <v>NO LOGUEO</v>
      </c>
    </row>
    <row r="777" spans="1:25" ht="15" x14ac:dyDescent="0.25">
      <c r="A777" s="136" t="s">
        <v>962</v>
      </c>
      <c r="B777" s="137">
        <v>4.91</v>
      </c>
      <c r="C777" s="137">
        <v>4.9800000000000004</v>
      </c>
      <c r="D777" s="137">
        <v>5.22</v>
      </c>
      <c r="E777" s="137">
        <v>5.12</v>
      </c>
      <c r="F777" s="137">
        <v>2.4</v>
      </c>
      <c r="G777" s="137">
        <v>4.76</v>
      </c>
      <c r="H777" s="137">
        <v>4.83</v>
      </c>
      <c r="I777" s="137">
        <v>5.5598999999999998</v>
      </c>
      <c r="J777" s="137">
        <v>5.1199000000000003</v>
      </c>
      <c r="K777" s="137">
        <v>2.65</v>
      </c>
      <c r="L777" s="137">
        <v>0</v>
      </c>
      <c r="M777" s="137">
        <v>5.29</v>
      </c>
      <c r="N777" s="137">
        <v>5.2398999999999996</v>
      </c>
      <c r="O777" s="137">
        <v>5.01</v>
      </c>
      <c r="P777" s="137">
        <v>4.7298999999999998</v>
      </c>
      <c r="Q777" s="137">
        <v>7.28</v>
      </c>
      <c r="R777" s="137">
        <v>6.8</v>
      </c>
      <c r="S777" s="137">
        <v>5.2</v>
      </c>
      <c r="T777" s="137">
        <v>5.35</v>
      </c>
      <c r="U777" s="137">
        <v>5.04</v>
      </c>
      <c r="V777" s="137">
        <v>4.8499999999999996</v>
      </c>
      <c r="W777" s="140" t="s">
        <v>1609</v>
      </c>
      <c r="X777" s="56">
        <f t="shared" si="24"/>
        <v>0</v>
      </c>
      <c r="Y777" s="56" t="str">
        <f t="shared" si="25"/>
        <v>LOGUEO</v>
      </c>
    </row>
    <row r="778" spans="1:25" ht="15" x14ac:dyDescent="0.25">
      <c r="A778" s="136" t="s">
        <v>36</v>
      </c>
      <c r="B778" s="137">
        <v>3.38</v>
      </c>
      <c r="C778" s="137">
        <v>3.12</v>
      </c>
      <c r="D778" s="137">
        <v>3.78</v>
      </c>
      <c r="E778" s="137">
        <v>3.69</v>
      </c>
      <c r="F778" s="137">
        <v>0</v>
      </c>
      <c r="G778" s="137">
        <v>0</v>
      </c>
      <c r="H778" s="137">
        <v>0</v>
      </c>
      <c r="I778" s="137">
        <v>0</v>
      </c>
      <c r="J778" s="137">
        <v>3.87</v>
      </c>
      <c r="K778" s="137">
        <v>4.22</v>
      </c>
      <c r="L778" s="137">
        <v>3.67</v>
      </c>
      <c r="M778" s="137">
        <v>3.56</v>
      </c>
      <c r="N778" s="137">
        <v>3.71</v>
      </c>
      <c r="O778" s="137">
        <v>3.45</v>
      </c>
      <c r="P778" s="137">
        <v>3.88</v>
      </c>
      <c r="Q778" s="137">
        <v>3.89</v>
      </c>
      <c r="R778" s="137">
        <v>4</v>
      </c>
      <c r="S778" s="137">
        <v>0</v>
      </c>
      <c r="T778" s="137">
        <v>3.86</v>
      </c>
      <c r="U778" s="137">
        <v>2.88</v>
      </c>
      <c r="V778" s="137">
        <v>0.9</v>
      </c>
      <c r="W778" s="140">
        <v>14103183</v>
      </c>
      <c r="X778" s="56">
        <f t="shared" si="24"/>
        <v>1</v>
      </c>
      <c r="Y778" s="56" t="str">
        <f t="shared" si="25"/>
        <v>LOGUEO</v>
      </c>
    </row>
    <row r="779" spans="1:25" ht="15" x14ac:dyDescent="0.25">
      <c r="A779" s="136" t="s">
        <v>303</v>
      </c>
      <c r="B779" s="137">
        <v>3.3</v>
      </c>
      <c r="C779" s="137">
        <v>6.0598999999999998</v>
      </c>
      <c r="D779" s="137">
        <v>4.83</v>
      </c>
      <c r="E779" s="137">
        <v>6.04</v>
      </c>
      <c r="F779" s="137">
        <v>4.47</v>
      </c>
      <c r="G779" s="137">
        <v>5.29</v>
      </c>
      <c r="H779" s="137">
        <v>5.27</v>
      </c>
      <c r="I779" s="137">
        <v>4.3899999999999997</v>
      </c>
      <c r="J779" s="137">
        <v>0</v>
      </c>
      <c r="K779" s="137">
        <v>6.96</v>
      </c>
      <c r="L779" s="137">
        <v>3.56</v>
      </c>
      <c r="M779" s="137">
        <v>5.82</v>
      </c>
      <c r="N779" s="137">
        <v>5.08</v>
      </c>
      <c r="O779" s="137">
        <v>4.5298999999999996</v>
      </c>
      <c r="P779" s="137">
        <v>2.1800000000000002</v>
      </c>
      <c r="Q779" s="137">
        <v>5.3598999999999997</v>
      </c>
      <c r="R779" s="137">
        <v>4.6898999999999997</v>
      </c>
      <c r="S779" s="137">
        <v>4.84</v>
      </c>
      <c r="T779" s="137">
        <v>4.8</v>
      </c>
      <c r="U779" s="137">
        <v>4.4000000000000004</v>
      </c>
      <c r="V779" s="137">
        <v>4.46</v>
      </c>
      <c r="W779" s="140">
        <v>14120806</v>
      </c>
      <c r="X779" s="56">
        <f t="shared" si="24"/>
        <v>0</v>
      </c>
      <c r="Y779" s="56" t="str">
        <f t="shared" si="25"/>
        <v>LOGUEO</v>
      </c>
    </row>
    <row r="780" spans="1:25" ht="15" x14ac:dyDescent="0.25">
      <c r="A780" s="136" t="s">
        <v>1855</v>
      </c>
      <c r="B780" s="137">
        <v>3.23</v>
      </c>
      <c r="C780" s="137">
        <v>9.86</v>
      </c>
      <c r="D780" s="137">
        <v>6.2099000000000002</v>
      </c>
      <c r="E780" s="137">
        <v>10.2499</v>
      </c>
      <c r="F780" s="137">
        <v>8.33</v>
      </c>
      <c r="G780" s="137">
        <v>8.24</v>
      </c>
      <c r="H780" s="137">
        <v>6.35</v>
      </c>
      <c r="I780" s="137">
        <v>0</v>
      </c>
      <c r="J780" s="137">
        <v>8.75</v>
      </c>
      <c r="K780" s="137">
        <v>7.9</v>
      </c>
      <c r="L780" s="137">
        <v>6.21</v>
      </c>
      <c r="M780" s="137">
        <v>9.3000000000000007</v>
      </c>
      <c r="N780" s="137">
        <v>6.19</v>
      </c>
      <c r="O780" s="137">
        <v>9.5299999999999994</v>
      </c>
      <c r="P780" s="137">
        <v>3</v>
      </c>
      <c r="Q780" s="137">
        <v>8.67</v>
      </c>
      <c r="R780" s="137">
        <v>3.18</v>
      </c>
      <c r="S780" s="137">
        <v>9.41</v>
      </c>
      <c r="T780" s="137">
        <v>7.47</v>
      </c>
      <c r="U780" s="137">
        <v>9.9</v>
      </c>
      <c r="V780" s="137">
        <v>6.53</v>
      </c>
      <c r="W780" s="140" t="s">
        <v>1609</v>
      </c>
      <c r="X780" s="56">
        <f t="shared" si="24"/>
        <v>0</v>
      </c>
      <c r="Y780" s="56" t="str">
        <f t="shared" si="25"/>
        <v>LOGUEO</v>
      </c>
    </row>
    <row r="781" spans="1:25" ht="15" x14ac:dyDescent="0.25">
      <c r="A781" s="136" t="s">
        <v>463</v>
      </c>
      <c r="B781" s="137">
        <v>7.13</v>
      </c>
      <c r="C781" s="137">
        <v>0</v>
      </c>
      <c r="D781" s="137">
        <v>9.33</v>
      </c>
      <c r="E781" s="137">
        <v>7.15</v>
      </c>
      <c r="F781" s="137">
        <v>4.62</v>
      </c>
      <c r="G781" s="137">
        <v>6.5198999999999998</v>
      </c>
      <c r="H781" s="137">
        <v>7.76</v>
      </c>
      <c r="I781" s="137">
        <v>5.54</v>
      </c>
      <c r="J781" s="137">
        <v>6.46</v>
      </c>
      <c r="K781" s="137">
        <v>7.4</v>
      </c>
      <c r="L781" s="137">
        <v>0</v>
      </c>
      <c r="M781" s="137">
        <v>7.59</v>
      </c>
      <c r="N781" s="137">
        <v>7.85</v>
      </c>
      <c r="O781" s="137">
        <v>6.3098999999999998</v>
      </c>
      <c r="P781" s="137">
        <v>6.47</v>
      </c>
      <c r="Q781" s="137">
        <v>10.66</v>
      </c>
      <c r="R781" s="137">
        <v>6.7</v>
      </c>
      <c r="S781" s="137">
        <v>8.1</v>
      </c>
      <c r="T781" s="137">
        <v>8.5299999999999994</v>
      </c>
      <c r="U781" s="137">
        <v>7.15</v>
      </c>
      <c r="V781" s="137">
        <v>7.65</v>
      </c>
      <c r="W781" s="140">
        <v>14116565</v>
      </c>
      <c r="X781" s="56">
        <f t="shared" si="24"/>
        <v>0</v>
      </c>
      <c r="Y781" s="56" t="str">
        <f t="shared" si="25"/>
        <v>LOGUEO</v>
      </c>
    </row>
    <row r="782" spans="1:25" ht="15" x14ac:dyDescent="0.25">
      <c r="A782" s="136" t="s">
        <v>1915</v>
      </c>
      <c r="B782" s="137">
        <v>0</v>
      </c>
      <c r="C782" s="137">
        <v>0</v>
      </c>
      <c r="D782" s="137">
        <v>0</v>
      </c>
      <c r="E782" s="137">
        <v>0</v>
      </c>
      <c r="F782" s="137">
        <v>0</v>
      </c>
      <c r="G782" s="137">
        <v>0</v>
      </c>
      <c r="H782" s="137">
        <v>0</v>
      </c>
      <c r="I782" s="137">
        <v>0</v>
      </c>
      <c r="J782" s="137">
        <v>0</v>
      </c>
      <c r="K782" s="137">
        <v>0</v>
      </c>
      <c r="L782" s="137">
        <v>0</v>
      </c>
      <c r="M782" s="137">
        <v>0</v>
      </c>
      <c r="N782" s="137">
        <v>0</v>
      </c>
      <c r="O782" s="137">
        <v>0</v>
      </c>
      <c r="P782" s="137">
        <v>0</v>
      </c>
      <c r="Q782" s="137">
        <v>0</v>
      </c>
      <c r="R782" s="137">
        <v>0</v>
      </c>
      <c r="S782" s="137">
        <v>0</v>
      </c>
      <c r="T782" s="137">
        <v>0</v>
      </c>
      <c r="U782" s="137">
        <v>0</v>
      </c>
      <c r="V782" s="137">
        <v>0</v>
      </c>
      <c r="W782" s="140" t="s">
        <v>1609</v>
      </c>
      <c r="X782" s="56">
        <f t="shared" si="24"/>
        <v>7</v>
      </c>
      <c r="Y782" s="56" t="str">
        <f t="shared" si="25"/>
        <v>NO LOGUEO</v>
      </c>
    </row>
    <row r="783" spans="1:25" ht="15" x14ac:dyDescent="0.25">
      <c r="A783" s="136" t="s">
        <v>2536</v>
      </c>
      <c r="B783" s="137">
        <v>0</v>
      </c>
      <c r="C783" s="137">
        <v>0</v>
      </c>
      <c r="D783" s="137">
        <v>0</v>
      </c>
      <c r="E783" s="137">
        <v>0</v>
      </c>
      <c r="F783" s="137">
        <v>0</v>
      </c>
      <c r="G783" s="137">
        <v>0</v>
      </c>
      <c r="H783" s="137">
        <v>0</v>
      </c>
      <c r="I783" s="137">
        <v>0</v>
      </c>
      <c r="J783" s="137">
        <v>0</v>
      </c>
      <c r="K783" s="137">
        <v>0</v>
      </c>
      <c r="L783" s="137">
        <v>0</v>
      </c>
      <c r="M783" s="137">
        <v>0</v>
      </c>
      <c r="N783" s="137">
        <v>0</v>
      </c>
      <c r="O783" s="137">
        <v>0.78</v>
      </c>
      <c r="P783" s="137">
        <v>0</v>
      </c>
      <c r="Q783" s="137">
        <v>0</v>
      </c>
      <c r="R783" s="137">
        <v>0</v>
      </c>
      <c r="S783" s="137">
        <v>1.88</v>
      </c>
      <c r="T783" s="137">
        <v>3.15</v>
      </c>
      <c r="U783" s="137">
        <v>0</v>
      </c>
      <c r="V783" s="137">
        <v>3.31</v>
      </c>
      <c r="W783" s="140" t="s">
        <v>1609</v>
      </c>
      <c r="X783" s="56">
        <f t="shared" si="24"/>
        <v>4</v>
      </c>
      <c r="Y783" s="56" t="str">
        <f t="shared" si="25"/>
        <v>NO LOGUEO</v>
      </c>
    </row>
    <row r="784" spans="1:25" ht="15" x14ac:dyDescent="0.25">
      <c r="A784" s="136" t="s">
        <v>2009</v>
      </c>
      <c r="B784" s="137">
        <v>0</v>
      </c>
      <c r="C784" s="137">
        <v>0</v>
      </c>
      <c r="D784" s="137">
        <v>0</v>
      </c>
      <c r="E784" s="137">
        <v>0</v>
      </c>
      <c r="F784" s="137">
        <v>0</v>
      </c>
      <c r="G784" s="137">
        <v>0</v>
      </c>
      <c r="H784" s="137">
        <v>0</v>
      </c>
      <c r="I784" s="137">
        <v>0</v>
      </c>
      <c r="J784" s="137">
        <v>0</v>
      </c>
      <c r="K784" s="137">
        <v>0</v>
      </c>
      <c r="L784" s="137">
        <v>0</v>
      </c>
      <c r="M784" s="137">
        <v>0</v>
      </c>
      <c r="N784" s="137">
        <v>0</v>
      </c>
      <c r="O784" s="137">
        <v>0</v>
      </c>
      <c r="P784" s="137">
        <v>0</v>
      </c>
      <c r="Q784" s="137">
        <v>0</v>
      </c>
      <c r="R784" s="137">
        <v>0</v>
      </c>
      <c r="S784" s="137">
        <v>0</v>
      </c>
      <c r="T784" s="137">
        <v>0</v>
      </c>
      <c r="U784" s="137">
        <v>0</v>
      </c>
      <c r="V784" s="137">
        <v>0</v>
      </c>
      <c r="W784" s="140" t="s">
        <v>1609</v>
      </c>
      <c r="X784" s="56">
        <f t="shared" si="24"/>
        <v>7</v>
      </c>
      <c r="Y784" s="56" t="str">
        <f t="shared" si="25"/>
        <v>NO LOGUEO</v>
      </c>
    </row>
    <row r="785" spans="1:25" ht="15" x14ac:dyDescent="0.25">
      <c r="A785" s="136" t="s">
        <v>2010</v>
      </c>
      <c r="B785" s="137">
        <v>0</v>
      </c>
      <c r="C785" s="137">
        <v>0</v>
      </c>
      <c r="D785" s="137">
        <v>0</v>
      </c>
      <c r="E785" s="137">
        <v>0</v>
      </c>
      <c r="F785" s="137">
        <v>0</v>
      </c>
      <c r="G785" s="137">
        <v>0</v>
      </c>
      <c r="H785" s="137">
        <v>0</v>
      </c>
      <c r="I785" s="137">
        <v>0</v>
      </c>
      <c r="J785" s="137">
        <v>0</v>
      </c>
      <c r="K785" s="137">
        <v>0</v>
      </c>
      <c r="L785" s="137">
        <v>0</v>
      </c>
      <c r="M785" s="137">
        <v>0</v>
      </c>
      <c r="N785" s="137">
        <v>0</v>
      </c>
      <c r="O785" s="137">
        <v>0</v>
      </c>
      <c r="P785" s="137">
        <v>0</v>
      </c>
      <c r="Q785" s="137">
        <v>0</v>
      </c>
      <c r="R785" s="137">
        <v>0</v>
      </c>
      <c r="S785" s="137">
        <v>0</v>
      </c>
      <c r="T785" s="137">
        <v>0</v>
      </c>
      <c r="U785" s="137">
        <v>0</v>
      </c>
      <c r="V785" s="137">
        <v>0</v>
      </c>
      <c r="W785" s="140" t="s">
        <v>1609</v>
      </c>
      <c r="X785" s="56">
        <f t="shared" si="24"/>
        <v>7</v>
      </c>
      <c r="Y785" s="56" t="str">
        <f t="shared" si="25"/>
        <v>NO LOGUEO</v>
      </c>
    </row>
    <row r="786" spans="1:25" ht="15" x14ac:dyDescent="0.25">
      <c r="A786" s="136" t="s">
        <v>2545</v>
      </c>
      <c r="B786" s="137">
        <v>0</v>
      </c>
      <c r="C786" s="137">
        <v>0</v>
      </c>
      <c r="D786" s="137">
        <v>0</v>
      </c>
      <c r="E786" s="137">
        <v>0</v>
      </c>
      <c r="F786" s="137">
        <v>0</v>
      </c>
      <c r="G786" s="137">
        <v>0</v>
      </c>
      <c r="H786" s="137">
        <v>0</v>
      </c>
      <c r="I786" s="137">
        <v>0</v>
      </c>
      <c r="J786" s="137">
        <v>0</v>
      </c>
      <c r="K786" s="137">
        <v>0</v>
      </c>
      <c r="L786" s="137">
        <v>0</v>
      </c>
      <c r="M786" s="137">
        <v>0</v>
      </c>
      <c r="N786" s="137">
        <v>0</v>
      </c>
      <c r="O786" s="137">
        <v>0</v>
      </c>
      <c r="P786" s="137">
        <v>0</v>
      </c>
      <c r="Q786" s="137">
        <v>0.27</v>
      </c>
      <c r="R786" s="137">
        <v>0</v>
      </c>
      <c r="S786" s="137">
        <v>0</v>
      </c>
      <c r="T786" s="137">
        <v>0</v>
      </c>
      <c r="U786" s="137">
        <v>0</v>
      </c>
      <c r="V786" s="137">
        <v>0</v>
      </c>
      <c r="W786" s="140" t="s">
        <v>1609</v>
      </c>
      <c r="X786" s="56">
        <f t="shared" si="24"/>
        <v>6</v>
      </c>
      <c r="Y786" s="56" t="str">
        <f t="shared" si="25"/>
        <v>NO LOGUEO</v>
      </c>
    </row>
    <row r="787" spans="1:25" ht="15" x14ac:dyDescent="0.25">
      <c r="A787" s="136" t="s">
        <v>34</v>
      </c>
      <c r="B787" s="137">
        <v>10.619899999999999</v>
      </c>
      <c r="C787" s="137">
        <v>13.51</v>
      </c>
      <c r="D787" s="137">
        <v>14.52</v>
      </c>
      <c r="E787" s="137">
        <v>12.2</v>
      </c>
      <c r="F787" s="137">
        <v>11.209899999999999</v>
      </c>
      <c r="G787" s="137">
        <v>8.33</v>
      </c>
      <c r="H787" s="137">
        <v>2.3199999999999998</v>
      </c>
      <c r="I787" s="137">
        <v>11.119899999999999</v>
      </c>
      <c r="J787" s="137">
        <v>11.8499</v>
      </c>
      <c r="K787" s="137">
        <v>9.7799999999999994</v>
      </c>
      <c r="L787" s="137">
        <v>0</v>
      </c>
      <c r="M787" s="137">
        <v>0</v>
      </c>
      <c r="N787" s="137">
        <v>0</v>
      </c>
      <c r="O787" s="137">
        <v>0</v>
      </c>
      <c r="P787" s="137">
        <v>0</v>
      </c>
      <c r="Q787" s="137">
        <v>0</v>
      </c>
      <c r="R787" s="137">
        <v>0</v>
      </c>
      <c r="S787" s="137">
        <v>0</v>
      </c>
      <c r="T787" s="137">
        <v>0</v>
      </c>
      <c r="U787" s="137">
        <v>0</v>
      </c>
      <c r="V787" s="137">
        <v>0</v>
      </c>
      <c r="W787" s="140">
        <v>14102890</v>
      </c>
      <c r="X787" s="56">
        <f t="shared" si="24"/>
        <v>7</v>
      </c>
      <c r="Y787" s="56" t="str">
        <f t="shared" si="25"/>
        <v>NO LOGUEO</v>
      </c>
    </row>
    <row r="788" spans="1:25" ht="15" x14ac:dyDescent="0.25">
      <c r="A788" s="136" t="s">
        <v>906</v>
      </c>
      <c r="B788" s="137">
        <v>4.7699999999999996</v>
      </c>
      <c r="C788" s="137">
        <v>6.2099000000000002</v>
      </c>
      <c r="D788" s="137">
        <v>5.0698999999999996</v>
      </c>
      <c r="E788" s="137">
        <v>6.51</v>
      </c>
      <c r="F788" s="137">
        <v>3.61</v>
      </c>
      <c r="G788" s="137">
        <v>0</v>
      </c>
      <c r="H788" s="137">
        <v>4.7398999999999996</v>
      </c>
      <c r="I788" s="137">
        <v>4.8098999999999998</v>
      </c>
      <c r="J788" s="137">
        <v>6.29</v>
      </c>
      <c r="K788" s="137">
        <v>5.09</v>
      </c>
      <c r="L788" s="137">
        <v>5.21</v>
      </c>
      <c r="M788" s="137">
        <v>5.48</v>
      </c>
      <c r="N788" s="137">
        <v>5.62</v>
      </c>
      <c r="O788" s="137">
        <v>4.5999999999999996</v>
      </c>
      <c r="P788" s="137">
        <v>4.67</v>
      </c>
      <c r="Q788" s="137">
        <v>0</v>
      </c>
      <c r="R788" s="137">
        <v>5.29</v>
      </c>
      <c r="S788" s="137">
        <v>5.5698999999999996</v>
      </c>
      <c r="T788" s="137">
        <v>5.24</v>
      </c>
      <c r="U788" s="137">
        <v>5.56</v>
      </c>
      <c r="V788" s="137">
        <v>4.7499000000000002</v>
      </c>
      <c r="W788" s="140" t="s">
        <v>1609</v>
      </c>
      <c r="X788" s="56">
        <f t="shared" si="24"/>
        <v>1</v>
      </c>
      <c r="Y788" s="56" t="str">
        <f t="shared" si="25"/>
        <v>LOGUEO</v>
      </c>
    </row>
    <row r="789" spans="1:25" ht="15" x14ac:dyDescent="0.25">
      <c r="A789" s="136" t="s">
        <v>317</v>
      </c>
      <c r="B789" s="137">
        <v>0</v>
      </c>
      <c r="C789" s="137">
        <v>1.2</v>
      </c>
      <c r="D789" s="137">
        <v>9.82</v>
      </c>
      <c r="E789" s="137">
        <v>11.4999</v>
      </c>
      <c r="F789" s="137">
        <v>6.2398999999999996</v>
      </c>
      <c r="G789" s="137">
        <v>11.94</v>
      </c>
      <c r="H789" s="137">
        <v>11.06</v>
      </c>
      <c r="I789" s="137">
        <v>0</v>
      </c>
      <c r="J789" s="137">
        <v>7.18</v>
      </c>
      <c r="K789" s="137">
        <v>10.67</v>
      </c>
      <c r="L789" s="137">
        <v>9.1</v>
      </c>
      <c r="M789" s="137">
        <v>12.0799</v>
      </c>
      <c r="N789" s="137">
        <v>8.2098999999999993</v>
      </c>
      <c r="O789" s="137">
        <v>7.92</v>
      </c>
      <c r="P789" s="137">
        <v>0</v>
      </c>
      <c r="Q789" s="137">
        <v>7.13</v>
      </c>
      <c r="R789" s="137">
        <v>9.9499999999999993</v>
      </c>
      <c r="S789" s="137">
        <v>9.85</v>
      </c>
      <c r="T789" s="137">
        <v>6.6</v>
      </c>
      <c r="U789" s="137">
        <v>11.18</v>
      </c>
      <c r="V789" s="137">
        <v>5.95</v>
      </c>
      <c r="W789" s="140">
        <v>14114320</v>
      </c>
      <c r="X789" s="56">
        <f t="shared" si="24"/>
        <v>1</v>
      </c>
      <c r="Y789" s="56" t="str">
        <f t="shared" si="25"/>
        <v>LOGUEO</v>
      </c>
    </row>
    <row r="790" spans="1:25" ht="15" x14ac:dyDescent="0.25">
      <c r="A790" s="136" t="s">
        <v>475</v>
      </c>
      <c r="B790" s="137">
        <v>0</v>
      </c>
      <c r="C790" s="137">
        <v>0</v>
      </c>
      <c r="D790" s="137">
        <v>0</v>
      </c>
      <c r="E790" s="137">
        <v>0</v>
      </c>
      <c r="F790" s="137">
        <v>0</v>
      </c>
      <c r="G790" s="137">
        <v>0</v>
      </c>
      <c r="H790" s="137">
        <v>0</v>
      </c>
      <c r="I790" s="137">
        <v>0</v>
      </c>
      <c r="J790" s="137">
        <v>0</v>
      </c>
      <c r="K790" s="137">
        <v>0</v>
      </c>
      <c r="L790" s="137">
        <v>0</v>
      </c>
      <c r="M790" s="137">
        <v>0</v>
      </c>
      <c r="N790" s="137">
        <v>0</v>
      </c>
      <c r="O790" s="137">
        <v>0</v>
      </c>
      <c r="P790" s="137">
        <v>0</v>
      </c>
      <c r="Q790" s="137">
        <v>0</v>
      </c>
      <c r="R790" s="137">
        <v>0</v>
      </c>
      <c r="S790" s="137">
        <v>0</v>
      </c>
      <c r="T790" s="137">
        <v>0</v>
      </c>
      <c r="U790" s="137">
        <v>0</v>
      </c>
      <c r="V790" s="137">
        <v>0</v>
      </c>
      <c r="W790" s="140">
        <v>14123004</v>
      </c>
      <c r="X790" s="56">
        <f t="shared" si="24"/>
        <v>7</v>
      </c>
      <c r="Y790" s="56" t="str">
        <f t="shared" si="25"/>
        <v>NO LOGUEO</v>
      </c>
    </row>
    <row r="791" spans="1:25" ht="15" x14ac:dyDescent="0.25">
      <c r="A791" s="136" t="s">
        <v>344</v>
      </c>
      <c r="B791" s="137">
        <v>0</v>
      </c>
      <c r="C791" s="137">
        <v>0</v>
      </c>
      <c r="D791" s="137">
        <v>0</v>
      </c>
      <c r="E791" s="137">
        <v>0</v>
      </c>
      <c r="F791" s="137">
        <v>0</v>
      </c>
      <c r="G791" s="137">
        <v>0</v>
      </c>
      <c r="H791" s="137">
        <v>0</v>
      </c>
      <c r="I791" s="137">
        <v>0</v>
      </c>
      <c r="J791" s="137">
        <v>0</v>
      </c>
      <c r="K791" s="137">
        <v>0</v>
      </c>
      <c r="L791" s="137">
        <v>0</v>
      </c>
      <c r="M791" s="137">
        <v>0</v>
      </c>
      <c r="N791" s="137">
        <v>0</v>
      </c>
      <c r="O791" s="137">
        <v>0</v>
      </c>
      <c r="P791" s="137">
        <v>0</v>
      </c>
      <c r="Q791" s="137">
        <v>0</v>
      </c>
      <c r="R791" s="137">
        <v>0</v>
      </c>
      <c r="S791" s="137">
        <v>0</v>
      </c>
      <c r="T791" s="137">
        <v>0</v>
      </c>
      <c r="U791" s="137">
        <v>0</v>
      </c>
      <c r="V791" s="137">
        <v>0</v>
      </c>
      <c r="W791" s="140">
        <v>14121596</v>
      </c>
      <c r="X791" s="56">
        <f t="shared" si="24"/>
        <v>7</v>
      </c>
      <c r="Y791" s="56" t="str">
        <f t="shared" si="25"/>
        <v>NO LOGUEO</v>
      </c>
    </row>
    <row r="792" spans="1:25" ht="15" x14ac:dyDescent="0.25">
      <c r="A792" s="136" t="s">
        <v>2395</v>
      </c>
      <c r="B792" s="137">
        <v>0</v>
      </c>
      <c r="C792" s="137">
        <v>0</v>
      </c>
      <c r="D792" s="137">
        <v>0</v>
      </c>
      <c r="E792" s="137">
        <v>0</v>
      </c>
      <c r="F792" s="137">
        <v>0</v>
      </c>
      <c r="G792" s="137">
        <v>0</v>
      </c>
      <c r="H792" s="137">
        <v>0</v>
      </c>
      <c r="I792" s="137">
        <v>0</v>
      </c>
      <c r="J792" s="137">
        <v>0</v>
      </c>
      <c r="K792" s="137">
        <v>0</v>
      </c>
      <c r="L792" s="137">
        <v>0</v>
      </c>
      <c r="M792" s="137">
        <v>0</v>
      </c>
      <c r="N792" s="137">
        <v>0</v>
      </c>
      <c r="O792" s="137">
        <v>0</v>
      </c>
      <c r="P792" s="137">
        <v>0</v>
      </c>
      <c r="Q792" s="137">
        <v>0</v>
      </c>
      <c r="R792" s="137">
        <v>0</v>
      </c>
      <c r="S792" s="137">
        <v>0</v>
      </c>
      <c r="T792" s="137">
        <v>0</v>
      </c>
      <c r="U792" s="137">
        <v>0</v>
      </c>
      <c r="V792" s="137">
        <v>10.37</v>
      </c>
      <c r="W792" s="140" t="s">
        <v>1609</v>
      </c>
      <c r="X792" s="56">
        <f t="shared" si="24"/>
        <v>6</v>
      </c>
      <c r="Y792" s="56" t="str">
        <f t="shared" si="25"/>
        <v>NO LOGUEO</v>
      </c>
    </row>
    <row r="793" spans="1:25" ht="15" x14ac:dyDescent="0.25">
      <c r="A793" s="136" t="s">
        <v>1899</v>
      </c>
      <c r="B793" s="137">
        <v>0</v>
      </c>
      <c r="C793" s="137">
        <v>0</v>
      </c>
      <c r="D793" s="137">
        <v>0</v>
      </c>
      <c r="E793" s="137">
        <v>0</v>
      </c>
      <c r="F793" s="137">
        <v>0</v>
      </c>
      <c r="G793" s="137">
        <v>0</v>
      </c>
      <c r="H793" s="137">
        <v>0</v>
      </c>
      <c r="I793" s="137">
        <v>0</v>
      </c>
      <c r="J793" s="137">
        <v>0</v>
      </c>
      <c r="K793" s="137">
        <v>0</v>
      </c>
      <c r="L793" s="137">
        <v>0</v>
      </c>
      <c r="M793" s="137">
        <v>0</v>
      </c>
      <c r="N793" s="137">
        <v>0</v>
      </c>
      <c r="O793" s="137">
        <v>0</v>
      </c>
      <c r="P793" s="137">
        <v>0</v>
      </c>
      <c r="Q793" s="137">
        <v>0</v>
      </c>
      <c r="R793" s="137">
        <v>0</v>
      </c>
      <c r="S793" s="137">
        <v>0</v>
      </c>
      <c r="T793" s="137">
        <v>0</v>
      </c>
      <c r="U793" s="137">
        <v>0</v>
      </c>
      <c r="V793" s="137">
        <v>0</v>
      </c>
      <c r="W793" s="140" t="s">
        <v>1609</v>
      </c>
      <c r="X793" s="56">
        <f t="shared" si="24"/>
        <v>7</v>
      </c>
      <c r="Y793" s="56" t="str">
        <f t="shared" si="25"/>
        <v>NO LOGUEO</v>
      </c>
    </row>
    <row r="794" spans="1:25" ht="15" x14ac:dyDescent="0.25">
      <c r="A794" s="136" t="s">
        <v>1621</v>
      </c>
      <c r="B794" s="137">
        <v>5.69</v>
      </c>
      <c r="C794" s="137">
        <v>5.82</v>
      </c>
      <c r="D794" s="137">
        <v>5.8598999999999997</v>
      </c>
      <c r="E794" s="137">
        <v>9.7998999999999992</v>
      </c>
      <c r="F794" s="137">
        <v>0</v>
      </c>
      <c r="G794" s="137">
        <v>4.4798999999999998</v>
      </c>
      <c r="H794" s="137">
        <v>6.03</v>
      </c>
      <c r="I794" s="137">
        <v>9.0299999999999994</v>
      </c>
      <c r="J794" s="137">
        <v>1.67</v>
      </c>
      <c r="K794" s="137">
        <v>0</v>
      </c>
      <c r="L794" s="137">
        <v>1.78</v>
      </c>
      <c r="M794" s="137">
        <v>10.86</v>
      </c>
      <c r="N794" s="137">
        <v>9.9700000000000006</v>
      </c>
      <c r="O794" s="137">
        <v>11.2399</v>
      </c>
      <c r="P794" s="137">
        <v>9.6999999999999993</v>
      </c>
      <c r="Q794" s="137">
        <v>9.02</v>
      </c>
      <c r="R794" s="137">
        <v>12.14</v>
      </c>
      <c r="S794" s="137">
        <v>12.1</v>
      </c>
      <c r="T794" s="137">
        <v>4.37</v>
      </c>
      <c r="U794" s="137">
        <v>1.4</v>
      </c>
      <c r="V794" s="137">
        <v>10.39</v>
      </c>
      <c r="W794" s="140" t="s">
        <v>1609</v>
      </c>
      <c r="X794" s="56">
        <f t="shared" si="24"/>
        <v>0</v>
      </c>
      <c r="Y794" s="56" t="str">
        <f t="shared" si="25"/>
        <v>LOGUEO</v>
      </c>
    </row>
    <row r="795" spans="1:25" ht="15" x14ac:dyDescent="0.25">
      <c r="A795" s="136" t="s">
        <v>2011</v>
      </c>
      <c r="B795" s="137">
        <v>0</v>
      </c>
      <c r="C795" s="137">
        <v>0</v>
      </c>
      <c r="D795" s="137">
        <v>0</v>
      </c>
      <c r="E795" s="137">
        <v>0</v>
      </c>
      <c r="F795" s="137">
        <v>0</v>
      </c>
      <c r="G795" s="137">
        <v>0</v>
      </c>
      <c r="H795" s="137">
        <v>0</v>
      </c>
      <c r="I795" s="137">
        <v>0</v>
      </c>
      <c r="J795" s="137">
        <v>0</v>
      </c>
      <c r="K795" s="137">
        <v>0</v>
      </c>
      <c r="L795" s="137">
        <v>0</v>
      </c>
      <c r="M795" s="137">
        <v>0</v>
      </c>
      <c r="N795" s="137">
        <v>0</v>
      </c>
      <c r="O795" s="137">
        <v>0</v>
      </c>
      <c r="P795" s="137">
        <v>0</v>
      </c>
      <c r="Q795" s="137">
        <v>0</v>
      </c>
      <c r="R795" s="137">
        <v>0</v>
      </c>
      <c r="S795" s="137">
        <v>0</v>
      </c>
      <c r="T795" s="137">
        <v>0</v>
      </c>
      <c r="U795" s="137">
        <v>0</v>
      </c>
      <c r="V795" s="137">
        <v>0</v>
      </c>
      <c r="W795" s="140" t="s">
        <v>1609</v>
      </c>
      <c r="X795" s="56">
        <f t="shared" si="24"/>
        <v>7</v>
      </c>
      <c r="Y795" s="56" t="str">
        <f t="shared" si="25"/>
        <v>NO LOGUEO</v>
      </c>
    </row>
    <row r="796" spans="1:25" ht="15" x14ac:dyDescent="0.25">
      <c r="A796" s="136" t="s">
        <v>316</v>
      </c>
      <c r="B796" s="137">
        <v>5.36</v>
      </c>
      <c r="C796" s="137">
        <v>6.59</v>
      </c>
      <c r="D796" s="137">
        <v>8.2799999999999994</v>
      </c>
      <c r="E796" s="137">
        <v>6.2298999999999998</v>
      </c>
      <c r="F796" s="137">
        <v>1.7</v>
      </c>
      <c r="G796" s="137">
        <v>2.8</v>
      </c>
      <c r="H796" s="137">
        <v>4.18</v>
      </c>
      <c r="I796" s="137">
        <v>3.59</v>
      </c>
      <c r="J796" s="137">
        <v>6.01</v>
      </c>
      <c r="K796" s="137">
        <v>8.3800000000000008</v>
      </c>
      <c r="L796" s="137">
        <v>7.14</v>
      </c>
      <c r="M796" s="137">
        <v>8.33</v>
      </c>
      <c r="N796" s="137">
        <v>8.4799000000000007</v>
      </c>
      <c r="O796" s="137">
        <v>7.85</v>
      </c>
      <c r="P796" s="137">
        <v>4.8</v>
      </c>
      <c r="Q796" s="137">
        <v>7.8</v>
      </c>
      <c r="R796" s="137">
        <v>8.65</v>
      </c>
      <c r="S796" s="137">
        <v>8.58</v>
      </c>
      <c r="T796" s="137">
        <v>8.2898999999999994</v>
      </c>
      <c r="U796" s="137">
        <v>8.7898999999999994</v>
      </c>
      <c r="V796" s="137">
        <v>4.91</v>
      </c>
      <c r="W796" s="140">
        <v>14111754</v>
      </c>
      <c r="X796" s="56">
        <f t="shared" si="24"/>
        <v>0</v>
      </c>
      <c r="Y796" s="56" t="str">
        <f t="shared" si="25"/>
        <v>LOGUEO</v>
      </c>
    </row>
    <row r="797" spans="1:25" ht="15" x14ac:dyDescent="0.25">
      <c r="A797" s="136" t="s">
        <v>206</v>
      </c>
      <c r="B797" s="137">
        <v>4.8598999999999997</v>
      </c>
      <c r="C797" s="137">
        <v>3.15</v>
      </c>
      <c r="D797" s="137">
        <v>4.17</v>
      </c>
      <c r="E797" s="137">
        <v>3.42</v>
      </c>
      <c r="F797" s="137">
        <v>5.12</v>
      </c>
      <c r="G797" s="137">
        <v>2.09</v>
      </c>
      <c r="H797" s="137">
        <v>4.9398999999999997</v>
      </c>
      <c r="I797" s="137">
        <v>2.48</v>
      </c>
      <c r="J797" s="137">
        <v>5.22</v>
      </c>
      <c r="K797" s="137">
        <v>3.12</v>
      </c>
      <c r="L797" s="137">
        <v>5.3098999999999998</v>
      </c>
      <c r="M797" s="137">
        <v>2.4500000000000002</v>
      </c>
      <c r="N797" s="137">
        <v>3.25</v>
      </c>
      <c r="O797" s="137">
        <v>2.4</v>
      </c>
      <c r="P797" s="137">
        <v>4.95</v>
      </c>
      <c r="Q797" s="137">
        <v>2.35</v>
      </c>
      <c r="R797" s="137">
        <v>5.55</v>
      </c>
      <c r="S797" s="137">
        <v>2.38</v>
      </c>
      <c r="T797" s="137">
        <v>5.26</v>
      </c>
      <c r="U797" s="137">
        <v>0</v>
      </c>
      <c r="V797" s="137">
        <v>5.09</v>
      </c>
      <c r="W797" s="140">
        <v>14118621</v>
      </c>
      <c r="X797" s="56">
        <f t="shared" si="24"/>
        <v>1</v>
      </c>
      <c r="Y797" s="56" t="str">
        <f t="shared" si="25"/>
        <v>LOGUEO</v>
      </c>
    </row>
    <row r="798" spans="1:25" ht="15" x14ac:dyDescent="0.25">
      <c r="A798" s="136" t="s">
        <v>327</v>
      </c>
      <c r="B798" s="137">
        <v>0</v>
      </c>
      <c r="C798" s="137">
        <v>8.1</v>
      </c>
      <c r="D798" s="137">
        <v>8.6999999999999993</v>
      </c>
      <c r="E798" s="137">
        <v>7.81</v>
      </c>
      <c r="F798" s="137">
        <v>4.7698999999999998</v>
      </c>
      <c r="G798" s="137">
        <v>8.23</v>
      </c>
      <c r="H798" s="137">
        <v>8.25</v>
      </c>
      <c r="I798" s="137">
        <v>6.97</v>
      </c>
      <c r="J798" s="137">
        <v>5.59</v>
      </c>
      <c r="K798" s="137">
        <v>5.18</v>
      </c>
      <c r="L798" s="137">
        <v>6.28</v>
      </c>
      <c r="M798" s="137">
        <v>4.96</v>
      </c>
      <c r="N798" s="137">
        <v>6.07</v>
      </c>
      <c r="O798" s="137">
        <v>5.54</v>
      </c>
      <c r="P798" s="137">
        <v>0.55000000000000004</v>
      </c>
      <c r="Q798" s="137">
        <v>0</v>
      </c>
      <c r="R798" s="137">
        <v>4.95</v>
      </c>
      <c r="S798" s="137">
        <v>6.67</v>
      </c>
      <c r="T798" s="137">
        <v>3.27</v>
      </c>
      <c r="U798" s="137">
        <v>4.6898999999999997</v>
      </c>
      <c r="V798" s="137">
        <v>4.97</v>
      </c>
      <c r="W798" s="140">
        <v>14121238</v>
      </c>
      <c r="X798" s="56">
        <f t="shared" si="24"/>
        <v>1</v>
      </c>
      <c r="Y798" s="56" t="str">
        <f t="shared" si="25"/>
        <v>LOGUEO</v>
      </c>
    </row>
    <row r="799" spans="1:25" ht="15" x14ac:dyDescent="0.25">
      <c r="A799" s="136" t="s">
        <v>1369</v>
      </c>
      <c r="B799" s="137">
        <v>9.33</v>
      </c>
      <c r="C799" s="137">
        <v>10.32</v>
      </c>
      <c r="D799" s="137">
        <v>12.569900000000001</v>
      </c>
      <c r="E799" s="137">
        <v>12.13</v>
      </c>
      <c r="F799" s="137">
        <v>7.88</v>
      </c>
      <c r="G799" s="137">
        <v>10.83</v>
      </c>
      <c r="H799" s="137">
        <v>5.67</v>
      </c>
      <c r="I799" s="137">
        <v>8.94</v>
      </c>
      <c r="J799" s="137">
        <v>11.46</v>
      </c>
      <c r="K799" s="137">
        <v>7.96</v>
      </c>
      <c r="L799" s="137">
        <v>0</v>
      </c>
      <c r="M799" s="137">
        <v>11.73</v>
      </c>
      <c r="N799" s="137">
        <v>7.06</v>
      </c>
      <c r="O799" s="137">
        <v>9.4699000000000009</v>
      </c>
      <c r="P799" s="137">
        <v>9.34</v>
      </c>
      <c r="Q799" s="137">
        <v>4.8600000000000003</v>
      </c>
      <c r="R799" s="137">
        <v>11.32</v>
      </c>
      <c r="S799" s="137">
        <v>14.02</v>
      </c>
      <c r="T799" s="137">
        <v>13.16</v>
      </c>
      <c r="U799" s="137">
        <v>0</v>
      </c>
      <c r="V799" s="137">
        <v>12.02</v>
      </c>
      <c r="W799" s="140">
        <v>14119271</v>
      </c>
      <c r="X799" s="56">
        <f t="shared" si="24"/>
        <v>1</v>
      </c>
      <c r="Y799" s="56" t="str">
        <f t="shared" si="25"/>
        <v>LOGUEO</v>
      </c>
    </row>
    <row r="800" spans="1:25" ht="15" x14ac:dyDescent="0.25">
      <c r="A800" s="136" t="s">
        <v>1225</v>
      </c>
      <c r="B800" s="137">
        <v>2.65</v>
      </c>
      <c r="C800" s="137">
        <v>4.75</v>
      </c>
      <c r="D800" s="137">
        <v>5.47</v>
      </c>
      <c r="E800" s="137">
        <v>8.7799999999999994</v>
      </c>
      <c r="F800" s="137">
        <v>2.0699999999999998</v>
      </c>
      <c r="G800" s="137">
        <v>2.75</v>
      </c>
      <c r="H800" s="137">
        <v>6.43</v>
      </c>
      <c r="I800" s="137">
        <v>0.9</v>
      </c>
      <c r="J800" s="137">
        <v>7.02</v>
      </c>
      <c r="K800" s="137">
        <v>8.7100000000000009</v>
      </c>
      <c r="L800" s="137">
        <v>6.96</v>
      </c>
      <c r="M800" s="137">
        <v>5.53</v>
      </c>
      <c r="N800" s="137">
        <v>6.33</v>
      </c>
      <c r="O800" s="137">
        <v>8.58</v>
      </c>
      <c r="P800" s="137">
        <v>5.3598999999999997</v>
      </c>
      <c r="Q800" s="137">
        <v>7.81</v>
      </c>
      <c r="R800" s="137">
        <v>9.74</v>
      </c>
      <c r="S800" s="137">
        <v>9.73</v>
      </c>
      <c r="T800" s="137">
        <v>6.6</v>
      </c>
      <c r="U800" s="137">
        <v>7.7599</v>
      </c>
      <c r="V800" s="137">
        <v>4.42</v>
      </c>
      <c r="W800" s="140">
        <v>14122419</v>
      </c>
      <c r="X800" s="56">
        <f t="shared" si="24"/>
        <v>0</v>
      </c>
      <c r="Y800" s="56" t="str">
        <f t="shared" si="25"/>
        <v>LOGUEO</v>
      </c>
    </row>
    <row r="801" spans="1:25" ht="15" x14ac:dyDescent="0.25">
      <c r="A801" s="136" t="s">
        <v>243</v>
      </c>
      <c r="B801" s="137">
        <v>0</v>
      </c>
      <c r="C801" s="137">
        <v>0</v>
      </c>
      <c r="D801" s="137">
        <v>0</v>
      </c>
      <c r="E801" s="137">
        <v>0</v>
      </c>
      <c r="F801" s="137">
        <v>0</v>
      </c>
      <c r="G801" s="137">
        <v>0</v>
      </c>
      <c r="H801" s="137">
        <v>1.1298999999999999</v>
      </c>
      <c r="I801" s="137">
        <v>2.85</v>
      </c>
      <c r="J801" s="137">
        <v>4.74</v>
      </c>
      <c r="K801" s="137">
        <v>8.31</v>
      </c>
      <c r="L801" s="137">
        <v>6.89</v>
      </c>
      <c r="M801" s="137">
        <v>4.9599000000000002</v>
      </c>
      <c r="N801" s="137">
        <v>0</v>
      </c>
      <c r="O801" s="137">
        <v>3.07</v>
      </c>
      <c r="P801" s="137">
        <v>4.34</v>
      </c>
      <c r="Q801" s="137">
        <v>7.43</v>
      </c>
      <c r="R801" s="137">
        <v>5.49</v>
      </c>
      <c r="S801" s="137">
        <v>6</v>
      </c>
      <c r="T801" s="137">
        <v>7.26</v>
      </c>
      <c r="U801" s="137">
        <v>5.3</v>
      </c>
      <c r="V801" s="137">
        <v>0</v>
      </c>
      <c r="W801" s="140">
        <v>14119324</v>
      </c>
      <c r="X801" s="56">
        <f t="shared" si="24"/>
        <v>1</v>
      </c>
      <c r="Y801" s="56" t="str">
        <f t="shared" si="25"/>
        <v>LOGUEO</v>
      </c>
    </row>
    <row r="802" spans="1:25" ht="15" x14ac:dyDescent="0.25">
      <c r="A802" s="136" t="s">
        <v>1817</v>
      </c>
      <c r="B802" s="137">
        <v>1.42</v>
      </c>
      <c r="C802" s="137">
        <v>6.77</v>
      </c>
      <c r="D802" s="137">
        <v>3.12</v>
      </c>
      <c r="E802" s="137">
        <v>5.5198999999999998</v>
      </c>
      <c r="F802" s="137">
        <v>1.45</v>
      </c>
      <c r="G802" s="137">
        <v>4.91</v>
      </c>
      <c r="H802" s="137">
        <v>3.49</v>
      </c>
      <c r="I802" s="137">
        <v>0</v>
      </c>
      <c r="J802" s="137">
        <v>3.08</v>
      </c>
      <c r="K802" s="137">
        <v>7.36</v>
      </c>
      <c r="L802" s="137">
        <v>5.3</v>
      </c>
      <c r="M802" s="137">
        <v>7.98</v>
      </c>
      <c r="N802" s="137">
        <v>5.62</v>
      </c>
      <c r="O802" s="137">
        <v>3.5</v>
      </c>
      <c r="P802" s="137">
        <v>1.65</v>
      </c>
      <c r="Q802" s="137">
        <v>11.59</v>
      </c>
      <c r="R802" s="137">
        <v>3.1</v>
      </c>
      <c r="S802" s="137">
        <v>3.65</v>
      </c>
      <c r="T802" s="137">
        <v>3.47</v>
      </c>
      <c r="U802" s="137">
        <v>8.25</v>
      </c>
      <c r="V802" s="137">
        <v>1.6298999999999999</v>
      </c>
      <c r="W802" s="140" t="s">
        <v>1609</v>
      </c>
      <c r="X802" s="56">
        <f t="shared" si="24"/>
        <v>0</v>
      </c>
      <c r="Y802" s="56" t="str">
        <f t="shared" si="25"/>
        <v>LOGUEO</v>
      </c>
    </row>
    <row r="803" spans="1:25" ht="15" x14ac:dyDescent="0.25">
      <c r="A803" s="136" t="s">
        <v>487</v>
      </c>
      <c r="B803" s="137">
        <v>0</v>
      </c>
      <c r="C803" s="137">
        <v>2.81</v>
      </c>
      <c r="D803" s="137">
        <v>0</v>
      </c>
      <c r="E803" s="137">
        <v>5.39</v>
      </c>
      <c r="F803" s="137">
        <v>5.67</v>
      </c>
      <c r="G803" s="137">
        <v>6.92</v>
      </c>
      <c r="H803" s="137">
        <v>7.4099000000000004</v>
      </c>
      <c r="I803" s="137">
        <v>7.55</v>
      </c>
      <c r="J803" s="137">
        <v>7.57</v>
      </c>
      <c r="K803" s="137">
        <v>10.87</v>
      </c>
      <c r="L803" s="137">
        <v>12.7</v>
      </c>
      <c r="M803" s="137">
        <v>0.48</v>
      </c>
      <c r="N803" s="137">
        <v>9.15</v>
      </c>
      <c r="O803" s="137">
        <v>0.63</v>
      </c>
      <c r="P803" s="137">
        <v>8.4699000000000009</v>
      </c>
      <c r="Q803" s="137">
        <v>0.63</v>
      </c>
      <c r="R803" s="137">
        <v>9.76</v>
      </c>
      <c r="S803" s="137">
        <v>0</v>
      </c>
      <c r="T803" s="137">
        <v>9.44</v>
      </c>
      <c r="U803" s="137">
        <v>0.65</v>
      </c>
      <c r="V803" s="137">
        <v>9.7799999999999994</v>
      </c>
      <c r="W803" s="140">
        <v>14123107</v>
      </c>
      <c r="X803" s="56">
        <f t="shared" si="24"/>
        <v>1</v>
      </c>
      <c r="Y803" s="56" t="str">
        <f t="shared" si="25"/>
        <v>LOGUEO</v>
      </c>
    </row>
    <row r="804" spans="1:25" ht="15" x14ac:dyDescent="0.25">
      <c r="A804" s="136" t="s">
        <v>2012</v>
      </c>
      <c r="B804" s="137">
        <v>0</v>
      </c>
      <c r="C804" s="137">
        <v>0</v>
      </c>
      <c r="D804" s="137">
        <v>0</v>
      </c>
      <c r="E804" s="137">
        <v>0</v>
      </c>
      <c r="F804" s="137">
        <v>0</v>
      </c>
      <c r="G804" s="137">
        <v>0</v>
      </c>
      <c r="H804" s="137">
        <v>0</v>
      </c>
      <c r="I804" s="137">
        <v>0</v>
      </c>
      <c r="J804" s="137">
        <v>0</v>
      </c>
      <c r="K804" s="137">
        <v>0</v>
      </c>
      <c r="L804" s="137">
        <v>0</v>
      </c>
      <c r="M804" s="137">
        <v>0</v>
      </c>
      <c r="N804" s="137">
        <v>0</v>
      </c>
      <c r="O804" s="137">
        <v>0</v>
      </c>
      <c r="P804" s="137">
        <v>0</v>
      </c>
      <c r="Q804" s="137">
        <v>0</v>
      </c>
      <c r="R804" s="137">
        <v>0</v>
      </c>
      <c r="S804" s="137">
        <v>0</v>
      </c>
      <c r="T804" s="137">
        <v>0</v>
      </c>
      <c r="U804" s="137">
        <v>0</v>
      </c>
      <c r="V804" s="137">
        <v>0</v>
      </c>
      <c r="W804" s="140" t="s">
        <v>1609</v>
      </c>
      <c r="X804" s="56">
        <f t="shared" si="24"/>
        <v>7</v>
      </c>
      <c r="Y804" s="56" t="str">
        <f t="shared" si="25"/>
        <v>NO LOGUEO</v>
      </c>
    </row>
    <row r="805" spans="1:25" ht="15" x14ac:dyDescent="0.25">
      <c r="A805" s="136" t="s">
        <v>2013</v>
      </c>
      <c r="B805" s="137">
        <v>0</v>
      </c>
      <c r="C805" s="137">
        <v>0</v>
      </c>
      <c r="D805" s="137">
        <v>0</v>
      </c>
      <c r="E805" s="137">
        <v>0</v>
      </c>
      <c r="F805" s="137">
        <v>0</v>
      </c>
      <c r="G805" s="137">
        <v>0</v>
      </c>
      <c r="H805" s="137">
        <v>0</v>
      </c>
      <c r="I805" s="137">
        <v>0</v>
      </c>
      <c r="J805" s="137">
        <v>0</v>
      </c>
      <c r="K805" s="137">
        <v>0</v>
      </c>
      <c r="L805" s="137">
        <v>0</v>
      </c>
      <c r="M805" s="137">
        <v>0</v>
      </c>
      <c r="N805" s="137">
        <v>0</v>
      </c>
      <c r="O805" s="137">
        <v>0</v>
      </c>
      <c r="P805" s="137">
        <v>0</v>
      </c>
      <c r="Q805" s="137">
        <v>0</v>
      </c>
      <c r="R805" s="137">
        <v>0</v>
      </c>
      <c r="S805" s="137">
        <v>0</v>
      </c>
      <c r="T805" s="137">
        <v>0</v>
      </c>
      <c r="U805" s="137">
        <v>0</v>
      </c>
      <c r="V805" s="137">
        <v>0</v>
      </c>
      <c r="W805" s="140" t="s">
        <v>1609</v>
      </c>
      <c r="X805" s="56">
        <f t="shared" si="24"/>
        <v>7</v>
      </c>
      <c r="Y805" s="56" t="str">
        <f t="shared" si="25"/>
        <v>NO LOGUEO</v>
      </c>
    </row>
    <row r="806" spans="1:25" ht="15" x14ac:dyDescent="0.25">
      <c r="A806" s="136" t="s">
        <v>446</v>
      </c>
      <c r="B806" s="137">
        <v>9.7799999999999994</v>
      </c>
      <c r="C806" s="137">
        <v>11.14</v>
      </c>
      <c r="D806" s="137">
        <v>11.55</v>
      </c>
      <c r="E806" s="137">
        <v>10.539899999999999</v>
      </c>
      <c r="F806" s="137">
        <v>5.87</v>
      </c>
      <c r="G806" s="137">
        <v>9.58</v>
      </c>
      <c r="H806" s="137">
        <v>9.76</v>
      </c>
      <c r="I806" s="137">
        <v>1.03</v>
      </c>
      <c r="J806" s="137">
        <v>11.46</v>
      </c>
      <c r="K806" s="137">
        <v>11.28</v>
      </c>
      <c r="L806" s="137">
        <v>10.549899999999999</v>
      </c>
      <c r="M806" s="137">
        <v>9.74</v>
      </c>
      <c r="N806" s="137">
        <v>10.89</v>
      </c>
      <c r="O806" s="137">
        <v>9.7098999999999993</v>
      </c>
      <c r="P806" s="137">
        <v>10.029999999999999</v>
      </c>
      <c r="Q806" s="137">
        <v>10.55</v>
      </c>
      <c r="R806" s="137">
        <v>9.7998999999999992</v>
      </c>
      <c r="S806" s="137">
        <v>6.11</v>
      </c>
      <c r="T806" s="137">
        <v>9.02</v>
      </c>
      <c r="U806" s="137">
        <v>9.2200000000000006</v>
      </c>
      <c r="V806" s="137">
        <v>8.43</v>
      </c>
      <c r="W806" s="140">
        <v>14122709</v>
      </c>
      <c r="X806" s="56">
        <f t="shared" si="24"/>
        <v>0</v>
      </c>
      <c r="Y806" s="56" t="str">
        <f t="shared" si="25"/>
        <v>LOGUEO</v>
      </c>
    </row>
    <row r="807" spans="1:25" ht="15" x14ac:dyDescent="0.25">
      <c r="A807" s="136" t="s">
        <v>178</v>
      </c>
      <c r="B807" s="137">
        <v>6.18</v>
      </c>
      <c r="C807" s="137">
        <v>0</v>
      </c>
      <c r="D807" s="137">
        <v>9.0398999999999994</v>
      </c>
      <c r="E807" s="137">
        <v>7.8699000000000003</v>
      </c>
      <c r="F807" s="137">
        <v>5.73</v>
      </c>
      <c r="G807" s="137">
        <v>8.02</v>
      </c>
      <c r="H807" s="137">
        <v>9.92</v>
      </c>
      <c r="I807" s="137">
        <v>1.34</v>
      </c>
      <c r="J807" s="137">
        <v>5.39</v>
      </c>
      <c r="K807" s="137">
        <v>7.66</v>
      </c>
      <c r="L807" s="137">
        <v>11.149900000000001</v>
      </c>
      <c r="M807" s="137">
        <v>0.82</v>
      </c>
      <c r="N807" s="137">
        <v>4.8998999999999997</v>
      </c>
      <c r="O807" s="137">
        <v>8.52</v>
      </c>
      <c r="P807" s="137">
        <v>6.93</v>
      </c>
      <c r="Q807" s="137">
        <v>6.3998999999999997</v>
      </c>
      <c r="R807" s="137">
        <v>10.4</v>
      </c>
      <c r="S807" s="137">
        <v>8.23</v>
      </c>
      <c r="T807" s="137">
        <v>10.94</v>
      </c>
      <c r="U807" s="137">
        <v>6.92</v>
      </c>
      <c r="V807" s="137">
        <v>0</v>
      </c>
      <c r="W807" s="140">
        <v>14117297</v>
      </c>
      <c r="X807" s="56">
        <f t="shared" si="24"/>
        <v>1</v>
      </c>
      <c r="Y807" s="56" t="str">
        <f t="shared" si="25"/>
        <v>LOGUEO</v>
      </c>
    </row>
    <row r="808" spans="1:25" ht="15" x14ac:dyDescent="0.25">
      <c r="A808" s="136" t="s">
        <v>482</v>
      </c>
      <c r="B808" s="137">
        <v>4.9000000000000004</v>
      </c>
      <c r="C808" s="137">
        <v>3.48</v>
      </c>
      <c r="D808" s="137">
        <v>0</v>
      </c>
      <c r="E808" s="137">
        <v>3.51</v>
      </c>
      <c r="F808" s="137">
        <v>3.87</v>
      </c>
      <c r="G808" s="137">
        <v>5.7698999999999998</v>
      </c>
      <c r="H808" s="137">
        <v>4.82</v>
      </c>
      <c r="I808" s="137">
        <v>3.02</v>
      </c>
      <c r="J808" s="137">
        <v>4.9798999999999998</v>
      </c>
      <c r="K808" s="137">
        <v>3.49</v>
      </c>
      <c r="L808" s="137">
        <v>5.8</v>
      </c>
      <c r="M808" s="137">
        <v>4.87</v>
      </c>
      <c r="N808" s="137">
        <v>4.0198999999999998</v>
      </c>
      <c r="O808" s="137">
        <v>0</v>
      </c>
      <c r="P808" s="137">
        <v>2.4</v>
      </c>
      <c r="Q808" s="137">
        <v>4.0599999999999996</v>
      </c>
      <c r="R808" s="137">
        <v>4.29</v>
      </c>
      <c r="S808" s="137">
        <v>6.21</v>
      </c>
      <c r="T808" s="137">
        <v>0</v>
      </c>
      <c r="U808" s="137">
        <v>5.42</v>
      </c>
      <c r="V808" s="137">
        <v>5.48</v>
      </c>
      <c r="W808" s="140">
        <v>14123080</v>
      </c>
      <c r="X808" s="56">
        <f t="shared" si="24"/>
        <v>1</v>
      </c>
      <c r="Y808" s="56" t="str">
        <f t="shared" si="25"/>
        <v>LOGUEO</v>
      </c>
    </row>
    <row r="809" spans="1:25" ht="15" x14ac:dyDescent="0.25">
      <c r="A809" s="136" t="s">
        <v>383</v>
      </c>
      <c r="B809" s="137">
        <v>4.2300000000000004</v>
      </c>
      <c r="C809" s="137">
        <v>4.21</v>
      </c>
      <c r="D809" s="137">
        <v>4.12</v>
      </c>
      <c r="E809" s="137">
        <v>4.43</v>
      </c>
      <c r="F809" s="137">
        <v>2.7</v>
      </c>
      <c r="G809" s="137">
        <v>4.25</v>
      </c>
      <c r="H809" s="137">
        <v>3.41</v>
      </c>
      <c r="I809" s="137">
        <v>0</v>
      </c>
      <c r="J809" s="137">
        <v>4.63</v>
      </c>
      <c r="K809" s="137">
        <v>5.14</v>
      </c>
      <c r="L809" s="137">
        <v>4.2300000000000004</v>
      </c>
      <c r="M809" s="137">
        <v>4.2300000000000004</v>
      </c>
      <c r="N809" s="137">
        <v>4.03</v>
      </c>
      <c r="O809" s="137">
        <v>2.1</v>
      </c>
      <c r="P809" s="137">
        <v>0</v>
      </c>
      <c r="Q809" s="137">
        <v>0.65</v>
      </c>
      <c r="R809" s="137">
        <v>3.66</v>
      </c>
      <c r="S809" s="137">
        <v>3.98</v>
      </c>
      <c r="T809" s="137">
        <v>1.74</v>
      </c>
      <c r="U809" s="137">
        <v>0</v>
      </c>
      <c r="V809" s="137">
        <v>2.69</v>
      </c>
      <c r="W809" s="140">
        <v>14122073</v>
      </c>
      <c r="X809" s="56">
        <f t="shared" si="24"/>
        <v>2</v>
      </c>
      <c r="Y809" s="56" t="str">
        <f t="shared" si="25"/>
        <v>NO LOGUEO</v>
      </c>
    </row>
    <row r="810" spans="1:25" ht="15" x14ac:dyDescent="0.25">
      <c r="A810" s="136" t="s">
        <v>86</v>
      </c>
      <c r="B810" s="137">
        <v>0</v>
      </c>
      <c r="C810" s="137">
        <v>8.1</v>
      </c>
      <c r="D810" s="137">
        <v>7.4099000000000004</v>
      </c>
      <c r="E810" s="137">
        <v>7</v>
      </c>
      <c r="F810" s="137">
        <v>6.1898999999999997</v>
      </c>
      <c r="G810" s="137">
        <v>6.9</v>
      </c>
      <c r="H810" s="137">
        <v>7.02</v>
      </c>
      <c r="I810" s="137">
        <v>0</v>
      </c>
      <c r="J810" s="137">
        <v>7.26</v>
      </c>
      <c r="K810" s="137">
        <v>7.41</v>
      </c>
      <c r="L810" s="137">
        <v>7.74</v>
      </c>
      <c r="M810" s="137">
        <v>7.76</v>
      </c>
      <c r="N810" s="137">
        <v>7.52</v>
      </c>
      <c r="O810" s="137">
        <v>7.2099000000000002</v>
      </c>
      <c r="P810" s="137">
        <v>0</v>
      </c>
      <c r="Q810" s="137">
        <v>7.5</v>
      </c>
      <c r="R810" s="137">
        <v>7.1199000000000003</v>
      </c>
      <c r="S810" s="137">
        <v>7.21</v>
      </c>
      <c r="T810" s="137">
        <v>7.6</v>
      </c>
      <c r="U810" s="137">
        <v>7.28</v>
      </c>
      <c r="V810" s="137">
        <v>7</v>
      </c>
      <c r="W810" s="140">
        <v>14109378</v>
      </c>
      <c r="X810" s="56">
        <f t="shared" si="24"/>
        <v>1</v>
      </c>
      <c r="Y810" s="56" t="str">
        <f t="shared" si="25"/>
        <v>LOGUEO</v>
      </c>
    </row>
    <row r="811" spans="1:25" ht="15" x14ac:dyDescent="0.25">
      <c r="A811" s="136" t="s">
        <v>174</v>
      </c>
      <c r="B811" s="137">
        <v>4.3598999999999997</v>
      </c>
      <c r="C811" s="137">
        <v>8.32</v>
      </c>
      <c r="D811" s="137">
        <v>9.1</v>
      </c>
      <c r="E811" s="137">
        <v>10.9</v>
      </c>
      <c r="F811" s="137">
        <v>7.7899000000000003</v>
      </c>
      <c r="G811" s="137">
        <v>10.69</v>
      </c>
      <c r="H811" s="137">
        <v>1.18</v>
      </c>
      <c r="I811" s="137">
        <v>3.2</v>
      </c>
      <c r="J811" s="137">
        <v>8.58</v>
      </c>
      <c r="K811" s="137">
        <v>11.95</v>
      </c>
      <c r="L811" s="137">
        <v>5.04</v>
      </c>
      <c r="M811" s="137">
        <v>10.86</v>
      </c>
      <c r="N811" s="137">
        <v>9.2199000000000009</v>
      </c>
      <c r="O811" s="137">
        <v>10.539899999999999</v>
      </c>
      <c r="P811" s="137">
        <v>0</v>
      </c>
      <c r="Q811" s="137">
        <v>8.0500000000000007</v>
      </c>
      <c r="R811" s="137">
        <v>8.6999999999999993</v>
      </c>
      <c r="S811" s="137">
        <v>8.6</v>
      </c>
      <c r="T811" s="137">
        <v>8.94</v>
      </c>
      <c r="U811" s="137">
        <v>10.92</v>
      </c>
      <c r="V811" s="137">
        <v>2.65</v>
      </c>
      <c r="W811" s="140">
        <v>14116917</v>
      </c>
      <c r="X811" s="56">
        <f t="shared" si="24"/>
        <v>1</v>
      </c>
      <c r="Y811" s="56" t="str">
        <f t="shared" si="25"/>
        <v>LOGUEO</v>
      </c>
    </row>
    <row r="812" spans="1:25" ht="15" x14ac:dyDescent="0.25">
      <c r="A812" s="136" t="s">
        <v>909</v>
      </c>
      <c r="B812" s="137">
        <v>8.8699999999999992</v>
      </c>
      <c r="C812" s="137">
        <v>9.7998999999999992</v>
      </c>
      <c r="D812" s="137">
        <v>9.3798999999999992</v>
      </c>
      <c r="E812" s="137">
        <v>11.1</v>
      </c>
      <c r="F812" s="137">
        <v>7</v>
      </c>
      <c r="G812" s="137">
        <v>1.05</v>
      </c>
      <c r="H812" s="137">
        <v>3.6</v>
      </c>
      <c r="I812" s="137">
        <v>4.22</v>
      </c>
      <c r="J812" s="137">
        <v>8.48</v>
      </c>
      <c r="K812" s="137">
        <v>13.81</v>
      </c>
      <c r="L812" s="137">
        <v>12.889900000000001</v>
      </c>
      <c r="M812" s="137">
        <v>15.52</v>
      </c>
      <c r="N812" s="137">
        <v>12.73</v>
      </c>
      <c r="O812" s="137">
        <v>11.889900000000001</v>
      </c>
      <c r="P812" s="137">
        <v>4.78</v>
      </c>
      <c r="Q812" s="137">
        <v>5.42</v>
      </c>
      <c r="R812" s="137">
        <v>13.4299</v>
      </c>
      <c r="S812" s="137">
        <v>11.4199</v>
      </c>
      <c r="T812" s="137">
        <v>11.52</v>
      </c>
      <c r="U812" s="137">
        <v>9.09</v>
      </c>
      <c r="V812" s="137">
        <v>9.67</v>
      </c>
      <c r="W812" s="140" t="s">
        <v>1609</v>
      </c>
      <c r="X812" s="56">
        <f t="shared" si="24"/>
        <v>0</v>
      </c>
      <c r="Y812" s="56" t="str">
        <f t="shared" si="25"/>
        <v>LOGUEO</v>
      </c>
    </row>
    <row r="813" spans="1:25" ht="15" x14ac:dyDescent="0.25">
      <c r="A813" s="136" t="s">
        <v>51</v>
      </c>
      <c r="B813" s="137">
        <v>0</v>
      </c>
      <c r="C813" s="137">
        <v>0</v>
      </c>
      <c r="D813" s="137">
        <v>0.77</v>
      </c>
      <c r="E813" s="137">
        <v>0</v>
      </c>
      <c r="F813" s="137">
        <v>0.4</v>
      </c>
      <c r="G813" s="137">
        <v>7.83</v>
      </c>
      <c r="H813" s="137">
        <v>7</v>
      </c>
      <c r="I813" s="137">
        <v>6.1498999999999997</v>
      </c>
      <c r="J813" s="137">
        <v>6.15</v>
      </c>
      <c r="K813" s="137">
        <v>13.33</v>
      </c>
      <c r="L813" s="137">
        <v>14.04</v>
      </c>
      <c r="M813" s="137">
        <v>0</v>
      </c>
      <c r="N813" s="137">
        <v>13.17</v>
      </c>
      <c r="O813" s="137">
        <v>12.79</v>
      </c>
      <c r="P813" s="137">
        <v>6.98</v>
      </c>
      <c r="Q813" s="137">
        <v>10.130000000000001</v>
      </c>
      <c r="R813" s="137">
        <v>9.3699999999999992</v>
      </c>
      <c r="S813" s="137">
        <v>13.57</v>
      </c>
      <c r="T813" s="137">
        <v>14.6099</v>
      </c>
      <c r="U813" s="137">
        <v>12.039899999999999</v>
      </c>
      <c r="V813" s="137">
        <v>11.15</v>
      </c>
      <c r="W813" s="140">
        <v>14106368</v>
      </c>
      <c r="X813" s="56">
        <f t="shared" si="24"/>
        <v>0</v>
      </c>
      <c r="Y813" s="56" t="str">
        <f t="shared" si="25"/>
        <v>LOGUEO</v>
      </c>
    </row>
    <row r="814" spans="1:25" ht="15" x14ac:dyDescent="0.25">
      <c r="A814" s="136" t="s">
        <v>57</v>
      </c>
      <c r="B814" s="137">
        <v>8.49</v>
      </c>
      <c r="C814" s="137">
        <v>10.15</v>
      </c>
      <c r="D814" s="137">
        <v>10.979900000000001</v>
      </c>
      <c r="E814" s="137">
        <v>8.98</v>
      </c>
      <c r="F814" s="137">
        <v>7.42</v>
      </c>
      <c r="G814" s="137">
        <v>10.25</v>
      </c>
      <c r="H814" s="137">
        <v>9.4799000000000007</v>
      </c>
      <c r="I814" s="137">
        <v>8.68</v>
      </c>
      <c r="J814" s="137">
        <v>0</v>
      </c>
      <c r="K814" s="137">
        <v>9.9</v>
      </c>
      <c r="L814" s="137">
        <v>10.46</v>
      </c>
      <c r="M814" s="137">
        <v>10.51</v>
      </c>
      <c r="N814" s="137">
        <v>11.24</v>
      </c>
      <c r="O814" s="137">
        <v>10.049899999999999</v>
      </c>
      <c r="P814" s="137">
        <v>8.02</v>
      </c>
      <c r="Q814" s="137">
        <v>9.09</v>
      </c>
      <c r="R814" s="137">
        <v>0</v>
      </c>
      <c r="S814" s="137">
        <v>10.37</v>
      </c>
      <c r="T814" s="137">
        <v>9.5398999999999994</v>
      </c>
      <c r="U814" s="137">
        <v>9.61</v>
      </c>
      <c r="V814" s="137">
        <v>9.3699999999999992</v>
      </c>
      <c r="W814" s="140">
        <v>14107167</v>
      </c>
      <c r="X814" s="56">
        <f t="shared" si="24"/>
        <v>1</v>
      </c>
      <c r="Y814" s="56" t="str">
        <f t="shared" si="25"/>
        <v>LOGUEO</v>
      </c>
    </row>
    <row r="815" spans="1:25" ht="15" x14ac:dyDescent="0.25">
      <c r="A815" s="136" t="s">
        <v>405</v>
      </c>
      <c r="B815" s="137">
        <v>1.69</v>
      </c>
      <c r="C815" s="137">
        <v>3.55</v>
      </c>
      <c r="D815" s="137">
        <v>3.9799000000000002</v>
      </c>
      <c r="E815" s="137">
        <v>2.0998999999999999</v>
      </c>
      <c r="F815" s="137">
        <v>29.22</v>
      </c>
      <c r="G815" s="137">
        <v>4.05</v>
      </c>
      <c r="H815" s="137">
        <v>5.5799000000000003</v>
      </c>
      <c r="I815" s="137">
        <v>1.53</v>
      </c>
      <c r="J815" s="137">
        <v>3.67</v>
      </c>
      <c r="K815" s="137">
        <v>3.79</v>
      </c>
      <c r="L815" s="137">
        <v>7.4599000000000002</v>
      </c>
      <c r="M815" s="137">
        <v>3.55</v>
      </c>
      <c r="N815" s="137">
        <v>6.0499000000000001</v>
      </c>
      <c r="O815" s="137">
        <v>2.17</v>
      </c>
      <c r="P815" s="137">
        <v>0</v>
      </c>
      <c r="Q815" s="137">
        <v>7.46</v>
      </c>
      <c r="R815" s="137">
        <v>4.3899999999999997</v>
      </c>
      <c r="S815" s="137">
        <v>2.38</v>
      </c>
      <c r="T815" s="137">
        <v>4.6900000000000004</v>
      </c>
      <c r="U815" s="137">
        <v>0</v>
      </c>
      <c r="V815" s="137">
        <v>2</v>
      </c>
      <c r="W815" s="140">
        <v>14117969</v>
      </c>
      <c r="X815" s="56">
        <f t="shared" si="24"/>
        <v>2</v>
      </c>
      <c r="Y815" s="56" t="str">
        <f t="shared" si="25"/>
        <v>NO LOGUEO</v>
      </c>
    </row>
    <row r="816" spans="1:25" ht="15" x14ac:dyDescent="0.25">
      <c r="A816" s="136" t="s">
        <v>105</v>
      </c>
      <c r="B816" s="137">
        <v>6.6</v>
      </c>
      <c r="C816" s="137">
        <v>7.07</v>
      </c>
      <c r="D816" s="137">
        <v>10.53</v>
      </c>
      <c r="E816" s="137">
        <v>8.34</v>
      </c>
      <c r="F816" s="137">
        <v>5.85</v>
      </c>
      <c r="G816" s="137">
        <v>7.68</v>
      </c>
      <c r="H816" s="137">
        <v>11.03</v>
      </c>
      <c r="I816" s="137">
        <v>0</v>
      </c>
      <c r="J816" s="137">
        <v>5.99</v>
      </c>
      <c r="K816" s="137">
        <v>9.6999999999999993</v>
      </c>
      <c r="L816" s="137">
        <v>9.11</v>
      </c>
      <c r="M816" s="137">
        <v>12.07</v>
      </c>
      <c r="N816" s="137">
        <v>8.24</v>
      </c>
      <c r="O816" s="137">
        <v>12.1</v>
      </c>
      <c r="P816" s="137">
        <v>7.46</v>
      </c>
      <c r="Q816" s="137">
        <v>7.72</v>
      </c>
      <c r="R816" s="137">
        <v>10.119899999999999</v>
      </c>
      <c r="S816" s="137">
        <v>11.46</v>
      </c>
      <c r="T816" s="137">
        <v>10.46</v>
      </c>
      <c r="U816" s="137">
        <v>10.99</v>
      </c>
      <c r="V816" s="137">
        <v>8.48</v>
      </c>
      <c r="W816" s="140">
        <v>14110761</v>
      </c>
      <c r="X816" s="56">
        <f t="shared" si="24"/>
        <v>0</v>
      </c>
      <c r="Y816" s="56" t="str">
        <f t="shared" si="25"/>
        <v>LOGUEO</v>
      </c>
    </row>
    <row r="817" spans="1:25" ht="15" x14ac:dyDescent="0.25">
      <c r="A817" s="136" t="s">
        <v>1872</v>
      </c>
      <c r="B817" s="137">
        <v>2.13</v>
      </c>
      <c r="C817" s="137">
        <v>1.93</v>
      </c>
      <c r="D817" s="137">
        <v>3.28</v>
      </c>
      <c r="E817" s="137">
        <v>3.46</v>
      </c>
      <c r="F817" s="137">
        <v>1.62</v>
      </c>
      <c r="G817" s="137">
        <v>3.31</v>
      </c>
      <c r="H817" s="137">
        <v>7.36</v>
      </c>
      <c r="I817" s="137">
        <v>0.9</v>
      </c>
      <c r="J817" s="137">
        <v>2.6</v>
      </c>
      <c r="K817" s="137">
        <v>3.2599</v>
      </c>
      <c r="L817" s="137">
        <v>3</v>
      </c>
      <c r="M817" s="137">
        <v>2.4699</v>
      </c>
      <c r="N817" s="137">
        <v>4.67</v>
      </c>
      <c r="O817" s="137">
        <v>2.0699999999999998</v>
      </c>
      <c r="P817" s="137">
        <v>3.21</v>
      </c>
      <c r="Q817" s="137">
        <v>2.6598999999999999</v>
      </c>
      <c r="R817" s="137">
        <v>1.1000000000000001</v>
      </c>
      <c r="S817" s="137">
        <v>1.7599</v>
      </c>
      <c r="T817" s="137">
        <v>3.0099</v>
      </c>
      <c r="U817" s="137">
        <v>6.4499000000000004</v>
      </c>
      <c r="V817" s="137">
        <v>0.9</v>
      </c>
      <c r="W817" s="140">
        <v>14102420</v>
      </c>
      <c r="X817" s="56">
        <f t="shared" si="24"/>
        <v>0</v>
      </c>
      <c r="Y817" s="56" t="str">
        <f t="shared" si="25"/>
        <v>LOGUEO</v>
      </c>
    </row>
    <row r="818" spans="1:25" ht="15" x14ac:dyDescent="0.25">
      <c r="A818" s="136" t="s">
        <v>996</v>
      </c>
      <c r="B818" s="137">
        <v>19.38</v>
      </c>
      <c r="C818" s="137">
        <v>8.5699000000000005</v>
      </c>
      <c r="D818" s="137">
        <v>3.66</v>
      </c>
      <c r="E818" s="137">
        <v>0</v>
      </c>
      <c r="F818" s="137">
        <v>0</v>
      </c>
      <c r="G818" s="137">
        <v>0</v>
      </c>
      <c r="H818" s="137">
        <v>0</v>
      </c>
      <c r="I818" s="137">
        <v>0</v>
      </c>
      <c r="J818" s="137">
        <v>0</v>
      </c>
      <c r="K818" s="137">
        <v>0</v>
      </c>
      <c r="L818" s="137">
        <v>0</v>
      </c>
      <c r="M818" s="137">
        <v>9.69</v>
      </c>
      <c r="N818" s="137">
        <v>0.56989999999999996</v>
      </c>
      <c r="O818" s="137">
        <v>9.69</v>
      </c>
      <c r="P818" s="137">
        <v>0.52</v>
      </c>
      <c r="Q818" s="137">
        <v>10.549899999999999</v>
      </c>
      <c r="R818" s="137">
        <v>0.95</v>
      </c>
      <c r="S818" s="137">
        <v>5.27</v>
      </c>
      <c r="T818" s="137">
        <v>0.43</v>
      </c>
      <c r="U818" s="137">
        <v>14.96</v>
      </c>
      <c r="V818" s="137">
        <v>0.42</v>
      </c>
      <c r="W818" s="140" t="s">
        <v>1609</v>
      </c>
      <c r="X818" s="56">
        <f t="shared" si="24"/>
        <v>0</v>
      </c>
      <c r="Y818" s="56" t="str">
        <f t="shared" si="25"/>
        <v>LOGUEO</v>
      </c>
    </row>
    <row r="819" spans="1:25" ht="15" x14ac:dyDescent="0.25">
      <c r="A819" s="136" t="s">
        <v>1000</v>
      </c>
      <c r="B819" s="137">
        <v>0</v>
      </c>
      <c r="C819" s="137">
        <v>0</v>
      </c>
      <c r="D819" s="137">
        <v>0</v>
      </c>
      <c r="E819" s="137">
        <v>0</v>
      </c>
      <c r="F819" s="137">
        <v>0</v>
      </c>
      <c r="G819" s="137">
        <v>0</v>
      </c>
      <c r="H819" s="137">
        <v>0</v>
      </c>
      <c r="I819" s="137">
        <v>0</v>
      </c>
      <c r="J819" s="137">
        <v>0</v>
      </c>
      <c r="K819" s="137">
        <v>0</v>
      </c>
      <c r="L819" s="137">
        <v>0</v>
      </c>
      <c r="M819" s="137">
        <v>0</v>
      </c>
      <c r="N819" s="137">
        <v>0</v>
      </c>
      <c r="O819" s="137">
        <v>0</v>
      </c>
      <c r="P819" s="137">
        <v>0</v>
      </c>
      <c r="Q819" s="137">
        <v>0</v>
      </c>
      <c r="R819" s="137">
        <v>0</v>
      </c>
      <c r="S819" s="137">
        <v>0</v>
      </c>
      <c r="T819" s="137">
        <v>4.3600000000000003</v>
      </c>
      <c r="U819" s="137">
        <v>0</v>
      </c>
      <c r="V819" s="137">
        <v>0</v>
      </c>
      <c r="W819" s="140" t="s">
        <v>1609</v>
      </c>
      <c r="X819" s="56">
        <f t="shared" si="24"/>
        <v>6</v>
      </c>
      <c r="Y819" s="56" t="str">
        <f t="shared" si="25"/>
        <v>NO LOGUEO</v>
      </c>
    </row>
    <row r="820" spans="1:25" ht="15" x14ac:dyDescent="0.25">
      <c r="A820" s="136" t="s">
        <v>2014</v>
      </c>
      <c r="B820" s="137">
        <v>0</v>
      </c>
      <c r="C820" s="137">
        <v>0</v>
      </c>
      <c r="D820" s="137">
        <v>0</v>
      </c>
      <c r="E820" s="137">
        <v>0</v>
      </c>
      <c r="F820" s="137">
        <v>0</v>
      </c>
      <c r="G820" s="137">
        <v>0</v>
      </c>
      <c r="H820" s="137">
        <v>0</v>
      </c>
      <c r="I820" s="137">
        <v>0</v>
      </c>
      <c r="J820" s="137">
        <v>0</v>
      </c>
      <c r="K820" s="137">
        <v>0</v>
      </c>
      <c r="L820" s="137">
        <v>0</v>
      </c>
      <c r="M820" s="137">
        <v>0</v>
      </c>
      <c r="N820" s="137">
        <v>0</v>
      </c>
      <c r="O820" s="137">
        <v>0</v>
      </c>
      <c r="P820" s="137">
        <v>0</v>
      </c>
      <c r="Q820" s="137">
        <v>0</v>
      </c>
      <c r="R820" s="137">
        <v>0</v>
      </c>
      <c r="S820" s="137">
        <v>0</v>
      </c>
      <c r="T820" s="137">
        <v>0</v>
      </c>
      <c r="U820" s="137">
        <v>0</v>
      </c>
      <c r="V820" s="137">
        <v>0</v>
      </c>
      <c r="W820" s="140" t="s">
        <v>1609</v>
      </c>
      <c r="X820" s="56">
        <f t="shared" si="24"/>
        <v>7</v>
      </c>
      <c r="Y820" s="56" t="str">
        <f t="shared" si="25"/>
        <v>NO LOGUEO</v>
      </c>
    </row>
    <row r="821" spans="1:25" ht="15" x14ac:dyDescent="0.25">
      <c r="A821" s="136" t="s">
        <v>32</v>
      </c>
      <c r="B821" s="137">
        <v>11.52</v>
      </c>
      <c r="C821" s="137">
        <v>1.78</v>
      </c>
      <c r="D821" s="137">
        <v>10.98</v>
      </c>
      <c r="E821" s="137">
        <v>5.63</v>
      </c>
      <c r="F821" s="137">
        <v>6.14</v>
      </c>
      <c r="G821" s="137">
        <v>2.11</v>
      </c>
      <c r="H821" s="137">
        <v>10.129899999999999</v>
      </c>
      <c r="I821" s="137">
        <v>0</v>
      </c>
      <c r="J821" s="137">
        <v>10.11</v>
      </c>
      <c r="K821" s="137">
        <v>2.99</v>
      </c>
      <c r="L821" s="137">
        <v>10.050000000000001</v>
      </c>
      <c r="M821" s="137">
        <v>2</v>
      </c>
      <c r="N821" s="137">
        <v>11.74</v>
      </c>
      <c r="O821" s="137">
        <v>1.95</v>
      </c>
      <c r="P821" s="137">
        <v>10.92</v>
      </c>
      <c r="Q821" s="137">
        <v>0.67</v>
      </c>
      <c r="R821" s="137">
        <v>9.61</v>
      </c>
      <c r="S821" s="137">
        <v>11.6</v>
      </c>
      <c r="T821" s="137">
        <v>2.23</v>
      </c>
      <c r="U821" s="137">
        <v>8.0399999999999991</v>
      </c>
      <c r="V821" s="137">
        <v>8.86</v>
      </c>
      <c r="W821" s="140">
        <v>14102730</v>
      </c>
      <c r="X821" s="56">
        <f t="shared" si="24"/>
        <v>0</v>
      </c>
      <c r="Y821" s="56" t="str">
        <f t="shared" si="25"/>
        <v>LOGUEO</v>
      </c>
    </row>
    <row r="822" spans="1:25" ht="15" x14ac:dyDescent="0.25">
      <c r="A822" s="136" t="s">
        <v>490</v>
      </c>
      <c r="B822" s="137">
        <v>7.72</v>
      </c>
      <c r="C822" s="137">
        <v>0</v>
      </c>
      <c r="D822" s="137">
        <v>9.6999999999999993</v>
      </c>
      <c r="E822" s="137">
        <v>6.38</v>
      </c>
      <c r="F822" s="137">
        <v>8.75</v>
      </c>
      <c r="G822" s="137">
        <v>10.91</v>
      </c>
      <c r="H822" s="137">
        <v>9.7199000000000009</v>
      </c>
      <c r="I822" s="137">
        <v>7.27</v>
      </c>
      <c r="J822" s="137">
        <v>10.709899999999999</v>
      </c>
      <c r="K822" s="137">
        <v>12.82</v>
      </c>
      <c r="L822" s="137">
        <v>2.14</v>
      </c>
      <c r="M822" s="137">
        <v>4.09</v>
      </c>
      <c r="N822" s="137">
        <v>7.96</v>
      </c>
      <c r="O822" s="137">
        <v>11.869899999999999</v>
      </c>
      <c r="P822" s="137">
        <v>3.09</v>
      </c>
      <c r="Q822" s="137">
        <v>10.119899999999999</v>
      </c>
      <c r="R822" s="137">
        <v>10.389900000000001</v>
      </c>
      <c r="S822" s="137">
        <v>10.85</v>
      </c>
      <c r="T822" s="137">
        <v>11.09</v>
      </c>
      <c r="U822" s="137">
        <v>11.049899999999999</v>
      </c>
      <c r="V822" s="137">
        <v>12.459899999999999</v>
      </c>
      <c r="W822" s="140">
        <v>14123145</v>
      </c>
      <c r="X822" s="56">
        <f t="shared" si="24"/>
        <v>0</v>
      </c>
      <c r="Y822" s="56" t="str">
        <f t="shared" si="25"/>
        <v>LOGUEO</v>
      </c>
    </row>
    <row r="823" spans="1:25" ht="15" x14ac:dyDescent="0.25">
      <c r="A823" s="136" t="s">
        <v>1818</v>
      </c>
      <c r="B823" s="137">
        <v>0</v>
      </c>
      <c r="C823" s="137">
        <v>5.13</v>
      </c>
      <c r="D823" s="137">
        <v>5.74</v>
      </c>
      <c r="E823" s="137">
        <v>4.92</v>
      </c>
      <c r="F823" s="137">
        <v>3</v>
      </c>
      <c r="G823" s="137">
        <v>5.0599999999999996</v>
      </c>
      <c r="H823" s="137">
        <v>5.21</v>
      </c>
      <c r="I823" s="137">
        <v>5.56</v>
      </c>
      <c r="J823" s="137">
        <v>5.0999999999999996</v>
      </c>
      <c r="K823" s="137">
        <v>5.57</v>
      </c>
      <c r="L823" s="137">
        <v>6.74</v>
      </c>
      <c r="M823" s="137">
        <v>4.75</v>
      </c>
      <c r="N823" s="137">
        <v>5.1098999999999997</v>
      </c>
      <c r="O823" s="137">
        <v>5</v>
      </c>
      <c r="P823" s="137">
        <v>0</v>
      </c>
      <c r="Q823" s="137">
        <v>3.49</v>
      </c>
      <c r="R823" s="137">
        <v>6.4099000000000004</v>
      </c>
      <c r="S823" s="137">
        <v>5.78</v>
      </c>
      <c r="T823" s="137">
        <v>6.15</v>
      </c>
      <c r="U823" s="137">
        <v>6.17</v>
      </c>
      <c r="V823" s="137">
        <v>3.19</v>
      </c>
      <c r="W823" s="140" t="s">
        <v>1609</v>
      </c>
      <c r="X823" s="56">
        <f t="shared" si="24"/>
        <v>1</v>
      </c>
      <c r="Y823" s="56" t="str">
        <f t="shared" si="25"/>
        <v>LOGUEO</v>
      </c>
    </row>
    <row r="824" spans="1:25" ht="15" x14ac:dyDescent="0.25">
      <c r="A824" s="136" t="s">
        <v>396</v>
      </c>
      <c r="B824" s="137">
        <v>3.47</v>
      </c>
      <c r="C824" s="137">
        <v>6.9</v>
      </c>
      <c r="D824" s="137">
        <v>7.4599000000000002</v>
      </c>
      <c r="E824" s="137">
        <v>7.29</v>
      </c>
      <c r="F824" s="137">
        <v>2.0299999999999998</v>
      </c>
      <c r="G824" s="137">
        <v>7.9</v>
      </c>
      <c r="H824" s="137">
        <v>6.43</v>
      </c>
      <c r="I824" s="137">
        <v>4.43</v>
      </c>
      <c r="J824" s="137">
        <v>7.98</v>
      </c>
      <c r="K824" s="137">
        <v>8.75</v>
      </c>
      <c r="L824" s="137">
        <v>8.32</v>
      </c>
      <c r="M824" s="137">
        <v>8.14</v>
      </c>
      <c r="N824" s="137">
        <v>8.8800000000000008</v>
      </c>
      <c r="O824" s="137">
        <v>5.97</v>
      </c>
      <c r="P824" s="137">
        <v>5.8098999999999998</v>
      </c>
      <c r="Q824" s="137">
        <v>7.68</v>
      </c>
      <c r="R824" s="137">
        <v>8.26</v>
      </c>
      <c r="S824" s="137">
        <v>1.25</v>
      </c>
      <c r="T824" s="137">
        <v>2.7</v>
      </c>
      <c r="U824" s="137">
        <v>8.14</v>
      </c>
      <c r="V824" s="137">
        <v>5.5</v>
      </c>
      <c r="W824" s="140">
        <v>14122158</v>
      </c>
      <c r="X824" s="56">
        <f t="shared" si="24"/>
        <v>0</v>
      </c>
      <c r="Y824" s="56" t="str">
        <f t="shared" si="25"/>
        <v>LOGUEO</v>
      </c>
    </row>
    <row r="825" spans="1:25" ht="15" x14ac:dyDescent="0.25">
      <c r="A825" s="136" t="s">
        <v>451</v>
      </c>
      <c r="B825" s="137">
        <v>0</v>
      </c>
      <c r="C825" s="137">
        <v>0</v>
      </c>
      <c r="D825" s="137">
        <v>3.1</v>
      </c>
      <c r="E825" s="137">
        <v>9.02</v>
      </c>
      <c r="F825" s="137">
        <v>0</v>
      </c>
      <c r="G825" s="137">
        <v>0</v>
      </c>
      <c r="H825" s="137">
        <v>0</v>
      </c>
      <c r="I825" s="137">
        <v>0</v>
      </c>
      <c r="J825" s="137">
        <v>0</v>
      </c>
      <c r="K825" s="137">
        <v>8.33</v>
      </c>
      <c r="L825" s="137">
        <v>4.5</v>
      </c>
      <c r="M825" s="137">
        <v>2.19</v>
      </c>
      <c r="N825" s="137">
        <v>0</v>
      </c>
      <c r="O825" s="137">
        <v>8.76</v>
      </c>
      <c r="P825" s="137">
        <v>7.11</v>
      </c>
      <c r="Q825" s="137">
        <v>9.5</v>
      </c>
      <c r="R825" s="137">
        <v>8.7998999999999992</v>
      </c>
      <c r="S825" s="137">
        <v>0</v>
      </c>
      <c r="T825" s="137">
        <v>13.39</v>
      </c>
      <c r="U825" s="137">
        <v>12.75</v>
      </c>
      <c r="V825" s="137">
        <v>4.12</v>
      </c>
      <c r="W825" s="140">
        <v>14122809</v>
      </c>
      <c r="X825" s="56">
        <f t="shared" si="24"/>
        <v>1</v>
      </c>
      <c r="Y825" s="56" t="str">
        <f t="shared" si="25"/>
        <v>LOGUEO</v>
      </c>
    </row>
    <row r="826" spans="1:25" ht="15" x14ac:dyDescent="0.25">
      <c r="A826" s="136" t="s">
        <v>410</v>
      </c>
      <c r="B826" s="137">
        <v>3.53</v>
      </c>
      <c r="C826" s="137">
        <v>7.66</v>
      </c>
      <c r="D826" s="137">
        <v>7.75</v>
      </c>
      <c r="E826" s="137">
        <v>5.6199000000000003</v>
      </c>
      <c r="F826" s="137">
        <v>1.2</v>
      </c>
      <c r="G826" s="137">
        <v>7.6299000000000001</v>
      </c>
      <c r="H826" s="137">
        <v>5.67</v>
      </c>
      <c r="I826" s="137">
        <v>4.05</v>
      </c>
      <c r="J826" s="137">
        <v>4.97</v>
      </c>
      <c r="K826" s="137">
        <v>7.5799000000000003</v>
      </c>
      <c r="L826" s="137">
        <v>7.64</v>
      </c>
      <c r="M826" s="137">
        <v>7.52</v>
      </c>
      <c r="N826" s="137">
        <v>8.57</v>
      </c>
      <c r="O826" s="137">
        <v>5.96</v>
      </c>
      <c r="P826" s="137">
        <v>4.5298999999999996</v>
      </c>
      <c r="Q826" s="137">
        <v>10.35</v>
      </c>
      <c r="R826" s="137">
        <v>7.03</v>
      </c>
      <c r="S826" s="137">
        <v>8.9</v>
      </c>
      <c r="T826" s="137">
        <v>8.4499999999999993</v>
      </c>
      <c r="U826" s="137">
        <v>6.37</v>
      </c>
      <c r="V826" s="137">
        <v>5.41</v>
      </c>
      <c r="W826" s="140">
        <v>14122294</v>
      </c>
      <c r="X826" s="56">
        <f t="shared" si="24"/>
        <v>0</v>
      </c>
      <c r="Y826" s="56" t="str">
        <f t="shared" si="25"/>
        <v>LOGUEO</v>
      </c>
    </row>
    <row r="827" spans="1:25" ht="15" x14ac:dyDescent="0.25">
      <c r="A827" s="136" t="s">
        <v>498</v>
      </c>
      <c r="B827" s="137">
        <v>0</v>
      </c>
      <c r="C827" s="137">
        <v>0</v>
      </c>
      <c r="D827" s="137">
        <v>0</v>
      </c>
      <c r="E827" s="137">
        <v>0</v>
      </c>
      <c r="F827" s="137">
        <v>0</v>
      </c>
      <c r="G827" s="137">
        <v>0</v>
      </c>
      <c r="H827" s="137">
        <v>0</v>
      </c>
      <c r="I827" s="137">
        <v>0</v>
      </c>
      <c r="J827" s="137">
        <v>0</v>
      </c>
      <c r="K827" s="137">
        <v>0</v>
      </c>
      <c r="L827" s="137">
        <v>0</v>
      </c>
      <c r="M827" s="137">
        <v>0</v>
      </c>
      <c r="N827" s="137">
        <v>0</v>
      </c>
      <c r="O827" s="137">
        <v>0</v>
      </c>
      <c r="P827" s="137">
        <v>0</v>
      </c>
      <c r="Q827" s="137">
        <v>0</v>
      </c>
      <c r="R827" s="137">
        <v>0</v>
      </c>
      <c r="S827" s="137">
        <v>0</v>
      </c>
      <c r="T827" s="137">
        <v>0</v>
      </c>
      <c r="U827" s="137">
        <v>0</v>
      </c>
      <c r="V827" s="137">
        <v>0</v>
      </c>
      <c r="W827" s="140">
        <v>14123253</v>
      </c>
      <c r="X827" s="56">
        <f t="shared" si="24"/>
        <v>7</v>
      </c>
      <c r="Y827" s="56" t="str">
        <f t="shared" si="25"/>
        <v>NO LOGUEO</v>
      </c>
    </row>
    <row r="828" spans="1:25" ht="15" x14ac:dyDescent="0.25">
      <c r="A828" s="136" t="s">
        <v>1900</v>
      </c>
      <c r="B828" s="137">
        <v>0</v>
      </c>
      <c r="C828" s="137">
        <v>0</v>
      </c>
      <c r="D828" s="137">
        <v>0</v>
      </c>
      <c r="E828" s="137">
        <v>0</v>
      </c>
      <c r="F828" s="137">
        <v>0</v>
      </c>
      <c r="G828" s="137">
        <v>0</v>
      </c>
      <c r="H828" s="137">
        <v>0</v>
      </c>
      <c r="I828" s="137">
        <v>0</v>
      </c>
      <c r="J828" s="137">
        <v>0</v>
      </c>
      <c r="K828" s="137">
        <v>0</v>
      </c>
      <c r="L828" s="137">
        <v>0</v>
      </c>
      <c r="M828" s="137">
        <v>0</v>
      </c>
      <c r="N828" s="137">
        <v>0</v>
      </c>
      <c r="O828" s="137">
        <v>0</v>
      </c>
      <c r="P828" s="137">
        <v>0</v>
      </c>
      <c r="Q828" s="137">
        <v>0</v>
      </c>
      <c r="R828" s="137">
        <v>0</v>
      </c>
      <c r="S828" s="137">
        <v>0</v>
      </c>
      <c r="T828" s="137">
        <v>0</v>
      </c>
      <c r="U828" s="137">
        <v>0</v>
      </c>
      <c r="V828" s="137">
        <v>0</v>
      </c>
      <c r="W828" s="140" t="s">
        <v>1609</v>
      </c>
      <c r="X828" s="56">
        <f t="shared" si="24"/>
        <v>7</v>
      </c>
      <c r="Y828" s="56" t="str">
        <f t="shared" si="25"/>
        <v>NO LOGUEO</v>
      </c>
    </row>
    <row r="829" spans="1:25" ht="15" x14ac:dyDescent="0.25">
      <c r="A829" s="136" t="s">
        <v>958</v>
      </c>
      <c r="B829" s="137">
        <v>6.65</v>
      </c>
      <c r="C829" s="137">
        <v>9.3099000000000007</v>
      </c>
      <c r="D829" s="137">
        <v>10</v>
      </c>
      <c r="E829" s="137">
        <v>9.44</v>
      </c>
      <c r="F829" s="137">
        <v>1.5699000000000001</v>
      </c>
      <c r="G829" s="137">
        <v>10.81</v>
      </c>
      <c r="H829" s="137">
        <v>9.48</v>
      </c>
      <c r="I829" s="137">
        <v>1.8</v>
      </c>
      <c r="J829" s="137">
        <v>11.289899999999999</v>
      </c>
      <c r="K829" s="137">
        <v>11</v>
      </c>
      <c r="L829" s="137">
        <v>11.19</v>
      </c>
      <c r="M829" s="137">
        <v>9.7299000000000007</v>
      </c>
      <c r="N829" s="137">
        <v>11.7499</v>
      </c>
      <c r="O829" s="137">
        <v>9.5998999999999999</v>
      </c>
      <c r="P829" s="137">
        <v>6</v>
      </c>
      <c r="Q829" s="137">
        <v>10.24</v>
      </c>
      <c r="R829" s="137">
        <v>10.379899999999999</v>
      </c>
      <c r="S829" s="137">
        <v>10.92</v>
      </c>
      <c r="T829" s="137">
        <v>14.99</v>
      </c>
      <c r="U829" s="137">
        <v>11.33</v>
      </c>
      <c r="V829" s="137">
        <v>11.54</v>
      </c>
      <c r="W829" s="140" t="s">
        <v>1609</v>
      </c>
      <c r="X829" s="56">
        <f t="shared" si="24"/>
        <v>0</v>
      </c>
      <c r="Y829" s="56" t="str">
        <f t="shared" si="25"/>
        <v>LOGUEO</v>
      </c>
    </row>
    <row r="830" spans="1:25" ht="15" x14ac:dyDescent="0.25">
      <c r="A830" s="136" t="s">
        <v>185</v>
      </c>
      <c r="B830" s="137">
        <v>3.57</v>
      </c>
      <c r="C830" s="137">
        <v>5.33</v>
      </c>
      <c r="D830" s="137">
        <v>8.67</v>
      </c>
      <c r="E830" s="137">
        <v>3.7299000000000002</v>
      </c>
      <c r="F830" s="137">
        <v>3.29</v>
      </c>
      <c r="G830" s="137">
        <v>3.03</v>
      </c>
      <c r="H830" s="137">
        <v>8.42</v>
      </c>
      <c r="I830" s="137">
        <v>0</v>
      </c>
      <c r="J830" s="137">
        <v>0</v>
      </c>
      <c r="K830" s="137">
        <v>3.05</v>
      </c>
      <c r="L830" s="137">
        <v>8.43</v>
      </c>
      <c r="M830" s="137">
        <v>3.2</v>
      </c>
      <c r="N830" s="137">
        <v>7.99</v>
      </c>
      <c r="O830" s="137">
        <v>2.93</v>
      </c>
      <c r="P830" s="137">
        <v>4.57</v>
      </c>
      <c r="Q830" s="137">
        <v>5.8</v>
      </c>
      <c r="R830" s="137">
        <v>9.77</v>
      </c>
      <c r="S830" s="137">
        <v>2.56</v>
      </c>
      <c r="T830" s="137">
        <v>9.0099</v>
      </c>
      <c r="U830" s="137">
        <v>2.91</v>
      </c>
      <c r="V830" s="137">
        <v>9.1999999999999993</v>
      </c>
      <c r="W830" s="140">
        <v>14104853</v>
      </c>
      <c r="X830" s="56">
        <f t="shared" si="24"/>
        <v>0</v>
      </c>
      <c r="Y830" s="56" t="str">
        <f t="shared" si="25"/>
        <v>LOGUEO</v>
      </c>
    </row>
    <row r="831" spans="1:25" ht="15" x14ac:dyDescent="0.25">
      <c r="A831" s="136" t="s">
        <v>417</v>
      </c>
      <c r="B831" s="137">
        <v>2.19</v>
      </c>
      <c r="C831" s="137">
        <v>6.21</v>
      </c>
      <c r="D831" s="137">
        <v>4.58</v>
      </c>
      <c r="E831" s="137">
        <v>0.78</v>
      </c>
      <c r="F831" s="137">
        <v>2.13</v>
      </c>
      <c r="G831" s="137">
        <v>5.0298999999999996</v>
      </c>
      <c r="H831" s="137">
        <v>6.13</v>
      </c>
      <c r="I831" s="137">
        <v>2.11</v>
      </c>
      <c r="J831" s="137">
        <v>7.64</v>
      </c>
      <c r="K831" s="137">
        <v>3</v>
      </c>
      <c r="L831" s="137">
        <v>7.59</v>
      </c>
      <c r="M831" s="137">
        <v>4.2</v>
      </c>
      <c r="N831" s="137">
        <v>6.7</v>
      </c>
      <c r="O831" s="137">
        <v>5</v>
      </c>
      <c r="P831" s="137">
        <v>0</v>
      </c>
      <c r="Q831" s="137">
        <v>3.67</v>
      </c>
      <c r="R831" s="137">
        <v>0.75</v>
      </c>
      <c r="S831" s="137">
        <v>5.25</v>
      </c>
      <c r="T831" s="137">
        <v>3.33</v>
      </c>
      <c r="U831" s="137">
        <v>1.88</v>
      </c>
      <c r="V831" s="137">
        <v>2.6</v>
      </c>
      <c r="W831" s="140">
        <v>14122355</v>
      </c>
      <c r="X831" s="56">
        <f t="shared" si="24"/>
        <v>1</v>
      </c>
      <c r="Y831" s="56" t="str">
        <f t="shared" si="25"/>
        <v>LOGUEO</v>
      </c>
    </row>
    <row r="832" spans="1:25" ht="15" x14ac:dyDescent="0.25">
      <c r="A832" s="136" t="s">
        <v>485</v>
      </c>
      <c r="B832" s="137">
        <v>0</v>
      </c>
      <c r="C832" s="137">
        <v>0</v>
      </c>
      <c r="D832" s="137">
        <v>0</v>
      </c>
      <c r="E832" s="137">
        <v>0</v>
      </c>
      <c r="F832" s="137">
        <v>0</v>
      </c>
      <c r="G832" s="137">
        <v>0</v>
      </c>
      <c r="H832" s="137">
        <v>0.93</v>
      </c>
      <c r="I832" s="137">
        <v>1.95</v>
      </c>
      <c r="J832" s="137">
        <v>10.39</v>
      </c>
      <c r="K832" s="137">
        <v>10.06</v>
      </c>
      <c r="L832" s="137">
        <v>6.8299000000000003</v>
      </c>
      <c r="M832" s="137">
        <v>11.6</v>
      </c>
      <c r="N832" s="137">
        <v>6.2798999999999996</v>
      </c>
      <c r="O832" s="137">
        <v>6.6199000000000003</v>
      </c>
      <c r="P832" s="137">
        <v>1.95</v>
      </c>
      <c r="Q832" s="137">
        <v>10.039899999999999</v>
      </c>
      <c r="R832" s="137">
        <v>11.21</v>
      </c>
      <c r="S832" s="137">
        <v>10.73</v>
      </c>
      <c r="T832" s="137">
        <v>9.86</v>
      </c>
      <c r="U832" s="137">
        <v>6.38</v>
      </c>
      <c r="V832" s="137">
        <v>6.1</v>
      </c>
      <c r="W832" s="140">
        <v>14123083</v>
      </c>
      <c r="X832" s="56">
        <f t="shared" si="24"/>
        <v>0</v>
      </c>
      <c r="Y832" s="56" t="str">
        <f t="shared" si="25"/>
        <v>LOGUEO</v>
      </c>
    </row>
    <row r="833" spans="1:25" ht="15" x14ac:dyDescent="0.25">
      <c r="A833" s="136" t="s">
        <v>35</v>
      </c>
      <c r="B833" s="137">
        <v>2.9</v>
      </c>
      <c r="C833" s="137">
        <v>10.59</v>
      </c>
      <c r="D833" s="137">
        <v>11.309900000000001</v>
      </c>
      <c r="E833" s="137">
        <v>10.46</v>
      </c>
      <c r="F833" s="137">
        <v>10.25</v>
      </c>
      <c r="G833" s="137">
        <v>13.58</v>
      </c>
      <c r="H833" s="137">
        <v>8.7100000000000009</v>
      </c>
      <c r="I833" s="137">
        <v>10.220000000000001</v>
      </c>
      <c r="J833" s="137">
        <v>1.83</v>
      </c>
      <c r="K833" s="137">
        <v>7.58</v>
      </c>
      <c r="L833" s="137">
        <v>13.08</v>
      </c>
      <c r="M833" s="137">
        <v>10.09</v>
      </c>
      <c r="N833" s="137">
        <v>11.18</v>
      </c>
      <c r="O833" s="137">
        <v>10.3</v>
      </c>
      <c r="P833" s="137">
        <v>5.15</v>
      </c>
      <c r="Q833" s="137">
        <v>3.35</v>
      </c>
      <c r="R833" s="137">
        <v>10.51</v>
      </c>
      <c r="S833" s="137">
        <v>10.6</v>
      </c>
      <c r="T833" s="137">
        <v>11.08</v>
      </c>
      <c r="U833" s="137">
        <v>10.55</v>
      </c>
      <c r="V833" s="137">
        <v>12.34</v>
      </c>
      <c r="W833" s="140">
        <v>14103106</v>
      </c>
      <c r="X833" s="56">
        <f t="shared" si="24"/>
        <v>0</v>
      </c>
      <c r="Y833" s="56" t="str">
        <f t="shared" si="25"/>
        <v>LOGUEO</v>
      </c>
    </row>
    <row r="834" spans="1:25" ht="15" x14ac:dyDescent="0.25">
      <c r="A834" s="136" t="s">
        <v>44</v>
      </c>
      <c r="B834" s="137">
        <v>0</v>
      </c>
      <c r="C834" s="137">
        <v>0</v>
      </c>
      <c r="D834" s="137">
        <v>0</v>
      </c>
      <c r="E834" s="137">
        <v>0</v>
      </c>
      <c r="F834" s="137">
        <v>0</v>
      </c>
      <c r="G834" s="137">
        <v>0</v>
      </c>
      <c r="H834" s="137">
        <v>0</v>
      </c>
      <c r="I834" s="137">
        <v>0</v>
      </c>
      <c r="J834" s="137">
        <v>0</v>
      </c>
      <c r="K834" s="137">
        <v>0</v>
      </c>
      <c r="L834" s="137">
        <v>0</v>
      </c>
      <c r="M834" s="137">
        <v>0</v>
      </c>
      <c r="N834" s="137">
        <v>0</v>
      </c>
      <c r="O834" s="137">
        <v>0</v>
      </c>
      <c r="P834" s="137">
        <v>0</v>
      </c>
      <c r="Q834" s="137">
        <v>0</v>
      </c>
      <c r="R834" s="137">
        <v>0</v>
      </c>
      <c r="S834" s="137">
        <v>0</v>
      </c>
      <c r="T834" s="137">
        <v>0</v>
      </c>
      <c r="U834" s="137">
        <v>0</v>
      </c>
      <c r="V834" s="137">
        <v>0</v>
      </c>
      <c r="W834" s="140">
        <v>14104971</v>
      </c>
      <c r="X834" s="56">
        <f t="shared" si="24"/>
        <v>7</v>
      </c>
      <c r="Y834" s="56" t="str">
        <f t="shared" si="25"/>
        <v>NO LOGUEO</v>
      </c>
    </row>
    <row r="835" spans="1:25" ht="15" x14ac:dyDescent="0.25">
      <c r="A835" s="136" t="s">
        <v>1856</v>
      </c>
      <c r="B835" s="137">
        <v>5.87</v>
      </c>
      <c r="C835" s="137">
        <v>6.21</v>
      </c>
      <c r="D835" s="137">
        <v>5.23</v>
      </c>
      <c r="E835" s="137">
        <v>5.6599000000000004</v>
      </c>
      <c r="F835" s="137">
        <v>0</v>
      </c>
      <c r="G835" s="137">
        <v>0</v>
      </c>
      <c r="H835" s="137">
        <v>5.47</v>
      </c>
      <c r="I835" s="137">
        <v>5.51</v>
      </c>
      <c r="J835" s="137">
        <v>6.24</v>
      </c>
      <c r="K835" s="137">
        <v>6.29</v>
      </c>
      <c r="L835" s="137">
        <v>0</v>
      </c>
      <c r="M835" s="137">
        <v>0</v>
      </c>
      <c r="N835" s="137">
        <v>7.32</v>
      </c>
      <c r="O835" s="137">
        <v>6.2999000000000001</v>
      </c>
      <c r="P835" s="137">
        <v>5.87</v>
      </c>
      <c r="Q835" s="137">
        <v>5.9999000000000002</v>
      </c>
      <c r="R835" s="137">
        <v>5.97</v>
      </c>
      <c r="S835" s="137">
        <v>7.09</v>
      </c>
      <c r="T835" s="137">
        <v>0</v>
      </c>
      <c r="U835" s="137">
        <v>5.96</v>
      </c>
      <c r="V835" s="137">
        <v>5.98</v>
      </c>
      <c r="W835" s="140" t="s">
        <v>1609</v>
      </c>
      <c r="X835" s="56">
        <f t="shared" ref="X835:X877" si="26">COUNTIF(P835:V835,0)</f>
        <v>1</v>
      </c>
      <c r="Y835" s="56" t="str">
        <f t="shared" ref="Y835:Y877" si="27">IF(X835&gt;1,"NO LOGUEO","LOGUEO")</f>
        <v>LOGUEO</v>
      </c>
    </row>
    <row r="836" spans="1:25" ht="15" x14ac:dyDescent="0.25">
      <c r="A836" s="136" t="s">
        <v>138</v>
      </c>
      <c r="B836" s="137">
        <v>0</v>
      </c>
      <c r="C836" s="137">
        <v>9.5599000000000007</v>
      </c>
      <c r="D836" s="137">
        <v>13.73</v>
      </c>
      <c r="E836" s="137">
        <v>9.81</v>
      </c>
      <c r="F836" s="137">
        <v>6.86</v>
      </c>
      <c r="G836" s="137">
        <v>10.44</v>
      </c>
      <c r="H836" s="137">
        <v>9.69</v>
      </c>
      <c r="I836" s="137">
        <v>8.7399000000000004</v>
      </c>
      <c r="J836" s="137">
        <v>14.25</v>
      </c>
      <c r="K836" s="137">
        <v>9.6298999999999992</v>
      </c>
      <c r="L836" s="137">
        <v>13.9099</v>
      </c>
      <c r="M836" s="137">
        <v>11.119899999999999</v>
      </c>
      <c r="N836" s="137">
        <v>13.22</v>
      </c>
      <c r="O836" s="137">
        <v>7.37</v>
      </c>
      <c r="P836" s="137">
        <v>5.49</v>
      </c>
      <c r="Q836" s="137">
        <v>8.6300000000000008</v>
      </c>
      <c r="R836" s="137">
        <v>6.35</v>
      </c>
      <c r="S836" s="137">
        <v>1.73</v>
      </c>
      <c r="T836" s="137">
        <v>9.82</v>
      </c>
      <c r="U836" s="137">
        <v>12.16</v>
      </c>
      <c r="V836" s="137">
        <v>12.1599</v>
      </c>
      <c r="W836" s="140">
        <v>14114667</v>
      </c>
      <c r="X836" s="56">
        <f t="shared" si="26"/>
        <v>0</v>
      </c>
      <c r="Y836" s="56" t="str">
        <f t="shared" si="27"/>
        <v>LOGUEO</v>
      </c>
    </row>
    <row r="837" spans="1:25" ht="15" x14ac:dyDescent="0.25">
      <c r="A837" s="136" t="s">
        <v>913</v>
      </c>
      <c r="B837" s="137">
        <v>6.07</v>
      </c>
      <c r="C837" s="137">
        <v>7.84</v>
      </c>
      <c r="D837" s="137">
        <v>6.19</v>
      </c>
      <c r="E837" s="137">
        <v>2</v>
      </c>
      <c r="F837" s="137">
        <v>2.17</v>
      </c>
      <c r="G837" s="137">
        <v>10.09</v>
      </c>
      <c r="H837" s="137">
        <v>7.54</v>
      </c>
      <c r="I837" s="137">
        <v>6.16</v>
      </c>
      <c r="J837" s="137">
        <v>8.52</v>
      </c>
      <c r="K837" s="137">
        <v>9.0398999999999994</v>
      </c>
      <c r="L837" s="137">
        <v>8.6999999999999993</v>
      </c>
      <c r="M837" s="137">
        <v>6.72</v>
      </c>
      <c r="N837" s="137">
        <v>8.75</v>
      </c>
      <c r="O837" s="137">
        <v>6.15</v>
      </c>
      <c r="P837" s="137">
        <v>0</v>
      </c>
      <c r="Q837" s="137">
        <v>0</v>
      </c>
      <c r="R837" s="137">
        <v>0</v>
      </c>
      <c r="S837" s="137">
        <v>0</v>
      </c>
      <c r="T837" s="137">
        <v>0</v>
      </c>
      <c r="U837" s="137">
        <v>0</v>
      </c>
      <c r="V837" s="137">
        <v>0</v>
      </c>
      <c r="W837" s="140">
        <v>14101145</v>
      </c>
      <c r="X837" s="56">
        <f t="shared" si="26"/>
        <v>7</v>
      </c>
      <c r="Y837" s="56" t="str">
        <f t="shared" si="27"/>
        <v>NO LOGUEO</v>
      </c>
    </row>
    <row r="838" spans="1:25" ht="15" x14ac:dyDescent="0.25">
      <c r="A838" s="136" t="s">
        <v>122</v>
      </c>
      <c r="B838" s="137">
        <v>5.33</v>
      </c>
      <c r="C838" s="137">
        <v>10.799899999999999</v>
      </c>
      <c r="D838" s="137">
        <v>9.52</v>
      </c>
      <c r="E838" s="137">
        <v>8.42</v>
      </c>
      <c r="F838" s="137">
        <v>4.43</v>
      </c>
      <c r="G838" s="137">
        <v>9.16</v>
      </c>
      <c r="H838" s="137">
        <v>9.8798999999999992</v>
      </c>
      <c r="I838" s="137">
        <v>0</v>
      </c>
      <c r="J838" s="137">
        <v>7.38</v>
      </c>
      <c r="K838" s="137">
        <v>8.6300000000000008</v>
      </c>
      <c r="L838" s="137">
        <v>11.289899999999999</v>
      </c>
      <c r="M838" s="137">
        <v>8.66</v>
      </c>
      <c r="N838" s="137">
        <v>11</v>
      </c>
      <c r="O838" s="137">
        <v>7.53</v>
      </c>
      <c r="P838" s="137">
        <v>5.34</v>
      </c>
      <c r="Q838" s="137">
        <v>8.66</v>
      </c>
      <c r="R838" s="137">
        <v>4.74</v>
      </c>
      <c r="S838" s="137">
        <v>1.52</v>
      </c>
      <c r="T838" s="137">
        <v>6.51</v>
      </c>
      <c r="U838" s="137">
        <v>9.75</v>
      </c>
      <c r="V838" s="137">
        <v>8.49</v>
      </c>
      <c r="W838" s="140">
        <v>14112630</v>
      </c>
      <c r="X838" s="56">
        <f t="shared" si="26"/>
        <v>0</v>
      </c>
      <c r="Y838" s="56" t="str">
        <f t="shared" si="27"/>
        <v>LOGUEO</v>
      </c>
    </row>
    <row r="839" spans="1:25" ht="15" x14ac:dyDescent="0.25">
      <c r="A839" s="136" t="s">
        <v>3701</v>
      </c>
      <c r="B839" s="137">
        <v>0</v>
      </c>
      <c r="C839" s="137">
        <v>4.8899999999999997</v>
      </c>
      <c r="D839" s="137">
        <v>7.52</v>
      </c>
      <c r="E839" s="137">
        <v>9.4499999999999993</v>
      </c>
      <c r="F839" s="137">
        <v>3.3098999999999998</v>
      </c>
      <c r="G839" s="137">
        <v>8.9600000000000009</v>
      </c>
      <c r="H839" s="137">
        <v>0</v>
      </c>
      <c r="I839" s="137">
        <v>0</v>
      </c>
      <c r="J839" s="137">
        <v>0</v>
      </c>
      <c r="K839" s="137">
        <v>0</v>
      </c>
      <c r="L839" s="137">
        <v>3.65</v>
      </c>
      <c r="M839" s="137">
        <v>0</v>
      </c>
      <c r="N839" s="137">
        <v>2.35</v>
      </c>
      <c r="O839" s="137">
        <v>0.43</v>
      </c>
      <c r="P839" s="137">
        <v>0</v>
      </c>
      <c r="Q839" s="137">
        <v>0</v>
      </c>
      <c r="R839" s="137">
        <v>0</v>
      </c>
      <c r="S839" s="137">
        <v>0</v>
      </c>
      <c r="T839" s="137">
        <v>0</v>
      </c>
      <c r="U839" s="137">
        <v>0</v>
      </c>
      <c r="V839" s="137">
        <v>0</v>
      </c>
      <c r="W839" s="140" t="s">
        <v>1609</v>
      </c>
      <c r="X839" s="56">
        <f t="shared" si="26"/>
        <v>7</v>
      </c>
      <c r="Y839" s="56" t="str">
        <f t="shared" si="27"/>
        <v>NO LOGUEO</v>
      </c>
    </row>
    <row r="840" spans="1:25" ht="15" x14ac:dyDescent="0.25">
      <c r="A840" s="136" t="s">
        <v>398</v>
      </c>
      <c r="B840" s="137">
        <v>6.5</v>
      </c>
      <c r="C840" s="137">
        <v>6.5</v>
      </c>
      <c r="D840" s="137">
        <v>8.19</v>
      </c>
      <c r="E840" s="137">
        <v>6.23</v>
      </c>
      <c r="F840" s="137">
        <v>2.9</v>
      </c>
      <c r="G840" s="137">
        <v>6.72</v>
      </c>
      <c r="H840" s="137">
        <v>6.68</v>
      </c>
      <c r="I840" s="137">
        <v>6.17</v>
      </c>
      <c r="J840" s="137">
        <v>6.6</v>
      </c>
      <c r="K840" s="137">
        <v>6.65</v>
      </c>
      <c r="L840" s="137">
        <v>7.27</v>
      </c>
      <c r="M840" s="137">
        <v>5.05</v>
      </c>
      <c r="N840" s="137">
        <v>0</v>
      </c>
      <c r="O840" s="137">
        <v>0</v>
      </c>
      <c r="P840" s="137">
        <v>0</v>
      </c>
      <c r="Q840" s="137">
        <v>0</v>
      </c>
      <c r="R840" s="137">
        <v>0</v>
      </c>
      <c r="S840" s="137">
        <v>3.83</v>
      </c>
      <c r="T840" s="137">
        <v>7.17</v>
      </c>
      <c r="U840" s="137">
        <v>5.25</v>
      </c>
      <c r="V840" s="137">
        <v>2.0499999999999998</v>
      </c>
      <c r="W840" s="140">
        <v>14103061</v>
      </c>
      <c r="X840" s="56">
        <f t="shared" si="26"/>
        <v>3</v>
      </c>
      <c r="Y840" s="56" t="str">
        <f t="shared" si="27"/>
        <v>NO LOGUEO</v>
      </c>
    </row>
    <row r="841" spans="1:25" ht="15" x14ac:dyDescent="0.25">
      <c r="A841" s="136" t="s">
        <v>127</v>
      </c>
      <c r="B841" s="137">
        <v>1.28</v>
      </c>
      <c r="C841" s="137">
        <v>0</v>
      </c>
      <c r="D841" s="137">
        <v>0</v>
      </c>
      <c r="E841" s="137">
        <v>0</v>
      </c>
      <c r="F841" s="137">
        <v>3.12</v>
      </c>
      <c r="G841" s="137">
        <v>0</v>
      </c>
      <c r="H841" s="137">
        <v>1.37</v>
      </c>
      <c r="I841" s="137">
        <v>0</v>
      </c>
      <c r="J841" s="137">
        <v>0</v>
      </c>
      <c r="K841" s="137">
        <v>0</v>
      </c>
      <c r="L841" s="137">
        <v>0</v>
      </c>
      <c r="M841" s="137">
        <v>0</v>
      </c>
      <c r="N841" s="137">
        <v>0.43</v>
      </c>
      <c r="O841" s="137">
        <v>0</v>
      </c>
      <c r="P841" s="137">
        <v>0</v>
      </c>
      <c r="Q841" s="137">
        <v>0</v>
      </c>
      <c r="R841" s="137">
        <v>0</v>
      </c>
      <c r="S841" s="137">
        <v>0</v>
      </c>
      <c r="T841" s="137">
        <v>0</v>
      </c>
      <c r="U841" s="137">
        <v>1.7</v>
      </c>
      <c r="V841" s="137">
        <v>0</v>
      </c>
      <c r="W841" s="140">
        <v>14113311</v>
      </c>
      <c r="X841" s="56">
        <f t="shared" si="26"/>
        <v>6</v>
      </c>
      <c r="Y841" s="56" t="str">
        <f t="shared" si="27"/>
        <v>NO LOGUEO</v>
      </c>
    </row>
    <row r="842" spans="1:25" ht="15" x14ac:dyDescent="0.25">
      <c r="A842" s="136" t="s">
        <v>1857</v>
      </c>
      <c r="B842" s="137">
        <v>0</v>
      </c>
      <c r="C842" s="137">
        <v>7.64</v>
      </c>
      <c r="D842" s="137">
        <v>8.33</v>
      </c>
      <c r="E842" s="137">
        <v>7.73</v>
      </c>
      <c r="F842" s="137">
        <v>4.3499999999999996</v>
      </c>
      <c r="G842" s="137">
        <v>8.1300000000000008</v>
      </c>
      <c r="H842" s="137">
        <v>8.34</v>
      </c>
      <c r="I842" s="137">
        <v>6.3098999999999998</v>
      </c>
      <c r="J842" s="137">
        <v>7.71</v>
      </c>
      <c r="K842" s="137">
        <v>8.17</v>
      </c>
      <c r="L842" s="137">
        <v>8.26</v>
      </c>
      <c r="M842" s="137">
        <v>7.19</v>
      </c>
      <c r="N842" s="137">
        <v>8.41</v>
      </c>
      <c r="O842" s="137">
        <v>8.5</v>
      </c>
      <c r="P842" s="137">
        <v>0</v>
      </c>
      <c r="Q842" s="137">
        <v>1.1000000000000001</v>
      </c>
      <c r="R842" s="137">
        <v>5.25</v>
      </c>
      <c r="S842" s="137">
        <v>9.4</v>
      </c>
      <c r="T842" s="137">
        <v>8.4700000000000006</v>
      </c>
      <c r="U842" s="137">
        <v>8.2100000000000009</v>
      </c>
      <c r="V842" s="137">
        <v>8.3999000000000006</v>
      </c>
      <c r="W842" s="140">
        <v>14100798</v>
      </c>
      <c r="X842" s="56">
        <f t="shared" si="26"/>
        <v>1</v>
      </c>
      <c r="Y842" s="56" t="str">
        <f t="shared" si="27"/>
        <v>LOGUEO</v>
      </c>
    </row>
    <row r="843" spans="1:25" ht="15" x14ac:dyDescent="0.25">
      <c r="A843" s="136" t="s">
        <v>45</v>
      </c>
      <c r="B843" s="137">
        <v>0</v>
      </c>
      <c r="C843" s="137">
        <v>4.05</v>
      </c>
      <c r="D843" s="137">
        <v>4.95</v>
      </c>
      <c r="E843" s="137">
        <v>3.59</v>
      </c>
      <c r="F843" s="137">
        <v>3.46</v>
      </c>
      <c r="G843" s="137">
        <v>4.4000000000000004</v>
      </c>
      <c r="H843" s="137">
        <v>3.8098999999999998</v>
      </c>
      <c r="I843" s="137">
        <v>0.2</v>
      </c>
      <c r="J843" s="137">
        <v>2.1</v>
      </c>
      <c r="K843" s="137">
        <v>4.29</v>
      </c>
      <c r="L843" s="137">
        <v>4.58</v>
      </c>
      <c r="M843" s="137">
        <v>4.26</v>
      </c>
      <c r="N843" s="137">
        <v>4.43</v>
      </c>
      <c r="O843" s="137">
        <v>4.2699999999999996</v>
      </c>
      <c r="P843" s="137">
        <v>5.33</v>
      </c>
      <c r="Q843" s="137">
        <v>5.61</v>
      </c>
      <c r="R843" s="137">
        <v>4.5799000000000003</v>
      </c>
      <c r="S843" s="137">
        <v>0</v>
      </c>
      <c r="T843" s="137">
        <v>5.27</v>
      </c>
      <c r="U843" s="137">
        <v>4.8499999999999996</v>
      </c>
      <c r="V843" s="137">
        <v>5.28</v>
      </c>
      <c r="W843" s="140">
        <v>14105437</v>
      </c>
      <c r="X843" s="56">
        <f t="shared" si="26"/>
        <v>1</v>
      </c>
      <c r="Y843" s="56" t="str">
        <f t="shared" si="27"/>
        <v>LOGUEO</v>
      </c>
    </row>
    <row r="844" spans="1:25" ht="15" x14ac:dyDescent="0.25">
      <c r="A844" s="136" t="s">
        <v>1858</v>
      </c>
      <c r="B844" s="137">
        <v>2.4500000000000002</v>
      </c>
      <c r="C844" s="137">
        <v>1.85</v>
      </c>
      <c r="D844" s="137">
        <v>1.47</v>
      </c>
      <c r="E844" s="137">
        <v>4.2300000000000004</v>
      </c>
      <c r="F844" s="137">
        <v>2.2999999999999998</v>
      </c>
      <c r="G844" s="137">
        <v>3.9998999999999998</v>
      </c>
      <c r="H844" s="137">
        <v>4.16</v>
      </c>
      <c r="I844" s="137">
        <v>0</v>
      </c>
      <c r="J844" s="137">
        <v>6.24</v>
      </c>
      <c r="K844" s="137">
        <v>5.18</v>
      </c>
      <c r="L844" s="137">
        <v>5.5298999999999996</v>
      </c>
      <c r="M844" s="137">
        <v>4.51</v>
      </c>
      <c r="N844" s="137">
        <v>6.68</v>
      </c>
      <c r="O844" s="137">
        <v>5.12</v>
      </c>
      <c r="P844" s="137">
        <v>2.27</v>
      </c>
      <c r="Q844" s="137">
        <v>6.76</v>
      </c>
      <c r="R844" s="137">
        <v>7.1299000000000001</v>
      </c>
      <c r="S844" s="137">
        <v>5.0598999999999998</v>
      </c>
      <c r="T844" s="137">
        <v>0</v>
      </c>
      <c r="U844" s="137">
        <v>3.65</v>
      </c>
      <c r="V844" s="137">
        <v>5.43</v>
      </c>
      <c r="W844" s="140">
        <v>14112591</v>
      </c>
      <c r="X844" s="56">
        <f t="shared" si="26"/>
        <v>1</v>
      </c>
      <c r="Y844" s="56" t="str">
        <f t="shared" si="27"/>
        <v>LOGUEO</v>
      </c>
    </row>
    <row r="845" spans="1:25" ht="15" x14ac:dyDescent="0.25">
      <c r="A845" s="136" t="s">
        <v>1819</v>
      </c>
      <c r="B845" s="137">
        <v>0</v>
      </c>
      <c r="C845" s="137">
        <v>8.1300000000000008</v>
      </c>
      <c r="D845" s="137">
        <v>7.83</v>
      </c>
      <c r="E845" s="137">
        <v>8.49</v>
      </c>
      <c r="F845" s="137">
        <v>1.72</v>
      </c>
      <c r="G845" s="137">
        <v>10.979900000000001</v>
      </c>
      <c r="H845" s="137">
        <v>10.07</v>
      </c>
      <c r="I845" s="137">
        <v>10.01</v>
      </c>
      <c r="J845" s="137">
        <v>8.3099000000000007</v>
      </c>
      <c r="K845" s="137">
        <v>9.66</v>
      </c>
      <c r="L845" s="137">
        <v>9.48</v>
      </c>
      <c r="M845" s="137">
        <v>9.56</v>
      </c>
      <c r="N845" s="137">
        <v>8.9699000000000009</v>
      </c>
      <c r="O845" s="137">
        <v>7.35</v>
      </c>
      <c r="P845" s="137">
        <v>0</v>
      </c>
      <c r="Q845" s="137">
        <v>8.84</v>
      </c>
      <c r="R845" s="137">
        <v>9.3798999999999992</v>
      </c>
      <c r="S845" s="137">
        <v>9.2098999999999993</v>
      </c>
      <c r="T845" s="137">
        <v>9.27</v>
      </c>
      <c r="U845" s="137">
        <v>9.4499999999999993</v>
      </c>
      <c r="V845" s="137">
        <v>9.16</v>
      </c>
      <c r="W845" s="140" t="s">
        <v>1609</v>
      </c>
      <c r="X845" s="56">
        <f t="shared" si="26"/>
        <v>1</v>
      </c>
      <c r="Y845" s="56" t="str">
        <f t="shared" si="27"/>
        <v>LOGUEO</v>
      </c>
    </row>
    <row r="846" spans="1:25" ht="15" x14ac:dyDescent="0.25">
      <c r="A846" s="136" t="s">
        <v>1916</v>
      </c>
      <c r="B846" s="137">
        <v>0</v>
      </c>
      <c r="C846" s="137">
        <v>0</v>
      </c>
      <c r="D846" s="137">
        <v>0</v>
      </c>
      <c r="E846" s="137">
        <v>0</v>
      </c>
      <c r="F846" s="137">
        <v>0</v>
      </c>
      <c r="G846" s="137">
        <v>0</v>
      </c>
      <c r="H846" s="137">
        <v>0</v>
      </c>
      <c r="I846" s="137">
        <v>0</v>
      </c>
      <c r="J846" s="137">
        <v>0</v>
      </c>
      <c r="K846" s="137">
        <v>0</v>
      </c>
      <c r="L846" s="137">
        <v>0</v>
      </c>
      <c r="M846" s="137">
        <v>0</v>
      </c>
      <c r="N846" s="137">
        <v>0</v>
      </c>
      <c r="O846" s="137">
        <v>0</v>
      </c>
      <c r="P846" s="137">
        <v>0</v>
      </c>
      <c r="Q846" s="137">
        <v>0</v>
      </c>
      <c r="R846" s="137">
        <v>0</v>
      </c>
      <c r="S846" s="137">
        <v>0</v>
      </c>
      <c r="T846" s="137">
        <v>0</v>
      </c>
      <c r="U846" s="137">
        <v>0</v>
      </c>
      <c r="V846" s="137">
        <v>0</v>
      </c>
      <c r="W846" s="140" t="s">
        <v>1609</v>
      </c>
      <c r="X846" s="56">
        <f t="shared" si="26"/>
        <v>7</v>
      </c>
      <c r="Y846" s="56" t="str">
        <f t="shared" si="27"/>
        <v>NO LOGUEO</v>
      </c>
    </row>
    <row r="847" spans="1:25" ht="15" x14ac:dyDescent="0.25">
      <c r="A847" s="136" t="s">
        <v>25</v>
      </c>
      <c r="B847" s="137">
        <v>7.69</v>
      </c>
      <c r="C847" s="137">
        <v>7.7499000000000002</v>
      </c>
      <c r="D847" s="137">
        <v>8</v>
      </c>
      <c r="E847" s="137">
        <v>7.73</v>
      </c>
      <c r="F847" s="137">
        <v>5.4</v>
      </c>
      <c r="G847" s="137">
        <v>8.1199999999999992</v>
      </c>
      <c r="H847" s="137">
        <v>7.44</v>
      </c>
      <c r="I847" s="137">
        <v>4.97</v>
      </c>
      <c r="J847" s="137">
        <v>8.2899999999999991</v>
      </c>
      <c r="K847" s="137">
        <v>8.5500000000000007</v>
      </c>
      <c r="L847" s="137">
        <v>0</v>
      </c>
      <c r="M847" s="137">
        <v>7.67</v>
      </c>
      <c r="N847" s="137">
        <v>8.41</v>
      </c>
      <c r="O847" s="137">
        <v>8.09</v>
      </c>
      <c r="P847" s="137">
        <v>7.03</v>
      </c>
      <c r="Q847" s="137">
        <v>7.65</v>
      </c>
      <c r="R847" s="137">
        <v>8.7898999999999994</v>
      </c>
      <c r="S847" s="137">
        <v>0</v>
      </c>
      <c r="T847" s="137">
        <v>8.17</v>
      </c>
      <c r="U847" s="137">
        <v>7.93</v>
      </c>
      <c r="V847" s="137">
        <v>9.0498999999999992</v>
      </c>
      <c r="W847" s="140">
        <v>14100842</v>
      </c>
      <c r="X847" s="56">
        <f t="shared" si="26"/>
        <v>1</v>
      </c>
      <c r="Y847" s="56" t="str">
        <f t="shared" si="27"/>
        <v>LOGUEO</v>
      </c>
    </row>
    <row r="848" spans="1:25" ht="15" x14ac:dyDescent="0.25">
      <c r="A848" s="136" t="s">
        <v>1859</v>
      </c>
      <c r="B848" s="137">
        <v>0</v>
      </c>
      <c r="C848" s="137">
        <v>8.6</v>
      </c>
      <c r="D848" s="137">
        <v>11.3</v>
      </c>
      <c r="E848" s="137">
        <v>11.23</v>
      </c>
      <c r="F848" s="137">
        <v>6.54</v>
      </c>
      <c r="G848" s="137">
        <v>6.85</v>
      </c>
      <c r="H848" s="137">
        <v>7.81</v>
      </c>
      <c r="I848" s="137">
        <v>0</v>
      </c>
      <c r="J848" s="137">
        <v>8.2399000000000004</v>
      </c>
      <c r="K848" s="137">
        <v>4.4800000000000004</v>
      </c>
      <c r="L848" s="137">
        <v>9.58</v>
      </c>
      <c r="M848" s="137">
        <v>10.6699</v>
      </c>
      <c r="N848" s="137">
        <v>10.55</v>
      </c>
      <c r="O848" s="137">
        <v>7.73</v>
      </c>
      <c r="P848" s="137">
        <v>0</v>
      </c>
      <c r="Q848" s="137">
        <v>13.069900000000001</v>
      </c>
      <c r="R848" s="137">
        <v>11.709899999999999</v>
      </c>
      <c r="S848" s="137">
        <v>7.87</v>
      </c>
      <c r="T848" s="137">
        <v>9.94</v>
      </c>
      <c r="U848" s="137">
        <v>7.56</v>
      </c>
      <c r="V848" s="137">
        <v>9.6198999999999995</v>
      </c>
      <c r="W848" s="140">
        <v>14113054</v>
      </c>
      <c r="X848" s="56">
        <f t="shared" si="26"/>
        <v>1</v>
      </c>
      <c r="Y848" s="56" t="str">
        <f t="shared" si="27"/>
        <v>LOGUEO</v>
      </c>
    </row>
    <row r="849" spans="1:25" ht="15" x14ac:dyDescent="0.25">
      <c r="A849" s="136" t="s">
        <v>1820</v>
      </c>
      <c r="B849" s="137">
        <v>4.25</v>
      </c>
      <c r="C849" s="137">
        <v>4.71</v>
      </c>
      <c r="D849" s="137">
        <v>4.1100000000000003</v>
      </c>
      <c r="E849" s="137">
        <v>0</v>
      </c>
      <c r="F849" s="137">
        <v>0</v>
      </c>
      <c r="G849" s="137">
        <v>0</v>
      </c>
      <c r="H849" s="137">
        <v>0</v>
      </c>
      <c r="I849" s="137">
        <v>0</v>
      </c>
      <c r="J849" s="137">
        <v>0</v>
      </c>
      <c r="K849" s="137">
        <v>2.0699999999999998</v>
      </c>
      <c r="L849" s="137">
        <v>5.64</v>
      </c>
      <c r="M849" s="137">
        <v>5.3998999999999997</v>
      </c>
      <c r="N849" s="137">
        <v>6.75</v>
      </c>
      <c r="O849" s="137">
        <v>6.02</v>
      </c>
      <c r="P849" s="137">
        <v>0</v>
      </c>
      <c r="Q849" s="137">
        <v>5.23</v>
      </c>
      <c r="R849" s="137">
        <v>6.12</v>
      </c>
      <c r="S849" s="137">
        <v>5.1498999999999997</v>
      </c>
      <c r="T849" s="137">
        <v>6.03</v>
      </c>
      <c r="U849" s="137">
        <v>5.08</v>
      </c>
      <c r="V849" s="137">
        <v>5.0999999999999996</v>
      </c>
      <c r="W849" s="140">
        <v>14122096</v>
      </c>
      <c r="X849" s="56">
        <f t="shared" si="26"/>
        <v>1</v>
      </c>
      <c r="Y849" s="56" t="str">
        <f t="shared" si="27"/>
        <v>LOGUEO</v>
      </c>
    </row>
    <row r="850" spans="1:25" ht="15" x14ac:dyDescent="0.25">
      <c r="A850" s="136" t="s">
        <v>107</v>
      </c>
      <c r="B850" s="137">
        <v>5.15</v>
      </c>
      <c r="C850" s="137">
        <v>6.2298999999999998</v>
      </c>
      <c r="D850" s="137">
        <v>7.21</v>
      </c>
      <c r="E850" s="137">
        <v>1.41</v>
      </c>
      <c r="F850" s="137">
        <v>2.75</v>
      </c>
      <c r="G850" s="137">
        <v>5.37</v>
      </c>
      <c r="H850" s="137">
        <v>8.7098999999999993</v>
      </c>
      <c r="I850" s="137">
        <v>3.16</v>
      </c>
      <c r="J850" s="137">
        <v>5.1599000000000004</v>
      </c>
      <c r="K850" s="137">
        <v>2.56</v>
      </c>
      <c r="L850" s="137">
        <v>0</v>
      </c>
      <c r="M850" s="137">
        <v>6.4</v>
      </c>
      <c r="N850" s="137">
        <v>7.72</v>
      </c>
      <c r="O850" s="137">
        <v>6.43</v>
      </c>
      <c r="P850" s="137">
        <v>2.81</v>
      </c>
      <c r="Q850" s="137">
        <v>5.62</v>
      </c>
      <c r="R850" s="137">
        <v>7.8</v>
      </c>
      <c r="S850" s="137">
        <v>6.2798999999999996</v>
      </c>
      <c r="T850" s="137">
        <v>4.9499000000000004</v>
      </c>
      <c r="U850" s="137">
        <v>2.54</v>
      </c>
      <c r="V850" s="137">
        <v>7.91</v>
      </c>
      <c r="W850" s="140">
        <v>14110973</v>
      </c>
      <c r="X850" s="56">
        <f t="shared" si="26"/>
        <v>0</v>
      </c>
      <c r="Y850" s="56" t="str">
        <f t="shared" si="27"/>
        <v>LOGUEO</v>
      </c>
    </row>
    <row r="851" spans="1:25" ht="15" x14ac:dyDescent="0.25">
      <c r="A851" s="136" t="s">
        <v>119</v>
      </c>
      <c r="B851" s="137">
        <v>5.6</v>
      </c>
      <c r="C851" s="137">
        <v>6.61</v>
      </c>
      <c r="D851" s="137">
        <v>4.9398999999999997</v>
      </c>
      <c r="E851" s="137">
        <v>3.66</v>
      </c>
      <c r="F851" s="137">
        <v>3.27</v>
      </c>
      <c r="G851" s="137">
        <v>3.68</v>
      </c>
      <c r="H851" s="137">
        <v>4.0999999999999996</v>
      </c>
      <c r="I851" s="137">
        <v>5.89</v>
      </c>
      <c r="J851" s="137">
        <v>4.6498999999999997</v>
      </c>
      <c r="K851" s="137">
        <v>3.74</v>
      </c>
      <c r="L851" s="137">
        <v>3.48</v>
      </c>
      <c r="M851" s="137">
        <v>0</v>
      </c>
      <c r="N851" s="137">
        <v>3.14</v>
      </c>
      <c r="O851" s="137">
        <v>4.7300000000000004</v>
      </c>
      <c r="P851" s="137">
        <v>5.61</v>
      </c>
      <c r="Q851" s="137">
        <v>4.3499999999999996</v>
      </c>
      <c r="R851" s="137">
        <v>4.58</v>
      </c>
      <c r="S851" s="137">
        <v>6.88</v>
      </c>
      <c r="T851" s="137">
        <v>4.4798999999999998</v>
      </c>
      <c r="U851" s="137">
        <v>4.22</v>
      </c>
      <c r="V851" s="137">
        <v>4.78</v>
      </c>
      <c r="W851" s="140">
        <v>14112602</v>
      </c>
      <c r="X851" s="56">
        <f t="shared" si="26"/>
        <v>0</v>
      </c>
      <c r="Y851" s="56" t="str">
        <f t="shared" si="27"/>
        <v>LOGUEO</v>
      </c>
    </row>
    <row r="852" spans="1:25" ht="15" x14ac:dyDescent="0.25">
      <c r="A852" s="136" t="s">
        <v>1622</v>
      </c>
      <c r="B852" s="137">
        <v>0</v>
      </c>
      <c r="C852" s="137">
        <v>5.26</v>
      </c>
      <c r="D852" s="137">
        <v>8.17</v>
      </c>
      <c r="E852" s="137">
        <v>5.79</v>
      </c>
      <c r="F852" s="137">
        <v>3.4399000000000002</v>
      </c>
      <c r="G852" s="137">
        <v>7.2</v>
      </c>
      <c r="H852" s="137">
        <v>6.89</v>
      </c>
      <c r="I852" s="137">
        <v>0</v>
      </c>
      <c r="J852" s="137">
        <v>5.96</v>
      </c>
      <c r="K852" s="137">
        <v>7.56</v>
      </c>
      <c r="L852" s="137">
        <v>5.5198999999999998</v>
      </c>
      <c r="M852" s="137">
        <v>6.6299000000000001</v>
      </c>
      <c r="N852" s="137">
        <v>8.0099</v>
      </c>
      <c r="O852" s="137">
        <v>7.61</v>
      </c>
      <c r="P852" s="137">
        <v>5.65</v>
      </c>
      <c r="Q852" s="137">
        <v>5.43</v>
      </c>
      <c r="R852" s="137">
        <v>7.77</v>
      </c>
      <c r="S852" s="137">
        <v>7.25</v>
      </c>
      <c r="T852" s="137">
        <v>9.98</v>
      </c>
      <c r="U852" s="137">
        <v>6.0198999999999998</v>
      </c>
      <c r="V852" s="137">
        <v>0.83</v>
      </c>
      <c r="W852" s="140" t="s">
        <v>1609</v>
      </c>
      <c r="X852" s="56">
        <f t="shared" si="26"/>
        <v>0</v>
      </c>
      <c r="Y852" s="56" t="str">
        <f t="shared" si="27"/>
        <v>LOGUEO</v>
      </c>
    </row>
    <row r="853" spans="1:25" ht="15" x14ac:dyDescent="0.25">
      <c r="A853" s="136" t="s">
        <v>2015</v>
      </c>
      <c r="B853" s="137">
        <v>0</v>
      </c>
      <c r="C853" s="137">
        <v>0</v>
      </c>
      <c r="D853" s="137">
        <v>0</v>
      </c>
      <c r="E853" s="137">
        <v>0</v>
      </c>
      <c r="F853" s="137">
        <v>0</v>
      </c>
      <c r="G853" s="137">
        <v>0</v>
      </c>
      <c r="H853" s="137">
        <v>0</v>
      </c>
      <c r="I853" s="137">
        <v>0</v>
      </c>
      <c r="J853" s="137">
        <v>0</v>
      </c>
      <c r="K853" s="137">
        <v>0</v>
      </c>
      <c r="L853" s="137">
        <v>0</v>
      </c>
      <c r="M853" s="137">
        <v>0</v>
      </c>
      <c r="N853" s="137">
        <v>0</v>
      </c>
      <c r="O853" s="137">
        <v>0</v>
      </c>
      <c r="P853" s="137">
        <v>0</v>
      </c>
      <c r="Q853" s="137">
        <v>0</v>
      </c>
      <c r="R853" s="137">
        <v>0</v>
      </c>
      <c r="S853" s="137">
        <v>0</v>
      </c>
      <c r="T853" s="137">
        <v>0</v>
      </c>
      <c r="U853" s="137">
        <v>0</v>
      </c>
      <c r="V853" s="137">
        <v>0</v>
      </c>
      <c r="W853" s="140" t="s">
        <v>1609</v>
      </c>
      <c r="X853" s="56">
        <f t="shared" si="26"/>
        <v>7</v>
      </c>
      <c r="Y853" s="56" t="str">
        <f t="shared" si="27"/>
        <v>NO LOGUEO</v>
      </c>
    </row>
    <row r="854" spans="1:25" ht="15" x14ac:dyDescent="0.25">
      <c r="A854" s="136" t="s">
        <v>100</v>
      </c>
      <c r="B854" s="137">
        <v>2.36</v>
      </c>
      <c r="C854" s="137">
        <v>10.9099</v>
      </c>
      <c r="D854" s="137">
        <v>8.7898999999999994</v>
      </c>
      <c r="E854" s="137">
        <v>8.6399000000000008</v>
      </c>
      <c r="F854" s="137">
        <v>4.26</v>
      </c>
      <c r="G854" s="137">
        <v>3.5198999999999998</v>
      </c>
      <c r="H854" s="137">
        <v>2.57</v>
      </c>
      <c r="I854" s="137">
        <v>0</v>
      </c>
      <c r="J854" s="137">
        <v>9.16</v>
      </c>
      <c r="K854" s="137">
        <v>6.68</v>
      </c>
      <c r="L854" s="137">
        <v>7.2</v>
      </c>
      <c r="M854" s="137">
        <v>6.05</v>
      </c>
      <c r="N854" s="137">
        <v>8.7799999999999994</v>
      </c>
      <c r="O854" s="137">
        <v>7.81</v>
      </c>
      <c r="P854" s="137">
        <v>0</v>
      </c>
      <c r="Q854" s="137">
        <v>10.65</v>
      </c>
      <c r="R854" s="137">
        <v>8.3800000000000008</v>
      </c>
      <c r="S854" s="137">
        <v>7.81</v>
      </c>
      <c r="T854" s="137">
        <v>9.09</v>
      </c>
      <c r="U854" s="137">
        <v>10.549899999999999</v>
      </c>
      <c r="V854" s="137">
        <v>7.94</v>
      </c>
      <c r="W854" s="140">
        <v>14110040</v>
      </c>
      <c r="X854" s="56">
        <f t="shared" si="26"/>
        <v>1</v>
      </c>
      <c r="Y854" s="56" t="str">
        <f t="shared" si="27"/>
        <v>LOGUEO</v>
      </c>
    </row>
    <row r="855" spans="1:25" ht="15" x14ac:dyDescent="0.25">
      <c r="A855" s="136" t="s">
        <v>14</v>
      </c>
      <c r="B855" s="137">
        <v>0</v>
      </c>
      <c r="C855" s="137">
        <v>0</v>
      </c>
      <c r="D855" s="137">
        <v>12.399900000000001</v>
      </c>
      <c r="E855" s="137">
        <v>11.09</v>
      </c>
      <c r="F855" s="137">
        <v>0</v>
      </c>
      <c r="G855" s="137">
        <v>9.52</v>
      </c>
      <c r="H855" s="137">
        <v>9</v>
      </c>
      <c r="I855" s="137">
        <v>0</v>
      </c>
      <c r="J855" s="137">
        <v>4.33</v>
      </c>
      <c r="K855" s="137">
        <v>9.2100000000000009</v>
      </c>
      <c r="L855" s="137">
        <v>13.36</v>
      </c>
      <c r="M855" s="137">
        <v>9.32</v>
      </c>
      <c r="N855" s="137">
        <v>13.7</v>
      </c>
      <c r="O855" s="137">
        <v>4.3600000000000003</v>
      </c>
      <c r="P855" s="137">
        <v>0</v>
      </c>
      <c r="Q855" s="137">
        <v>7.85</v>
      </c>
      <c r="R855" s="137">
        <v>11.31</v>
      </c>
      <c r="S855" s="137">
        <v>9.18</v>
      </c>
      <c r="T855" s="137">
        <v>11.03</v>
      </c>
      <c r="U855" s="137">
        <v>11.14</v>
      </c>
      <c r="V855" s="137">
        <v>8.32</v>
      </c>
      <c r="W855" s="140">
        <v>14100727</v>
      </c>
      <c r="X855" s="56">
        <f t="shared" si="26"/>
        <v>1</v>
      </c>
      <c r="Y855" s="56" t="str">
        <f t="shared" si="27"/>
        <v>LOGUEO</v>
      </c>
    </row>
    <row r="856" spans="1:25" ht="15" x14ac:dyDescent="0.25">
      <c r="A856" s="136" t="s">
        <v>533</v>
      </c>
      <c r="B856" s="137">
        <v>8.3800000000000008</v>
      </c>
      <c r="C856" s="137">
        <v>5.6898999999999997</v>
      </c>
      <c r="D856" s="137">
        <v>8.9799000000000007</v>
      </c>
      <c r="E856" s="137">
        <v>4.13</v>
      </c>
      <c r="F856" s="137">
        <v>0</v>
      </c>
      <c r="G856" s="137">
        <v>5.13</v>
      </c>
      <c r="H856" s="137">
        <v>9.83</v>
      </c>
      <c r="I856" s="137">
        <v>4.6500000000000004</v>
      </c>
      <c r="J856" s="137">
        <v>10.789899999999999</v>
      </c>
      <c r="K856" s="137">
        <v>0</v>
      </c>
      <c r="L856" s="137">
        <v>5.0599999999999996</v>
      </c>
      <c r="M856" s="137">
        <v>0</v>
      </c>
      <c r="N856" s="137">
        <v>17.989899999999999</v>
      </c>
      <c r="O856" s="137">
        <v>5.72</v>
      </c>
      <c r="P856" s="137">
        <v>9.93</v>
      </c>
      <c r="Q856" s="137">
        <v>5.09</v>
      </c>
      <c r="R856" s="137">
        <v>11.01</v>
      </c>
      <c r="S856" s="137">
        <v>6.18</v>
      </c>
      <c r="T856" s="137">
        <v>10.73</v>
      </c>
      <c r="U856" s="137">
        <v>5.6098999999999997</v>
      </c>
      <c r="V856" s="137">
        <v>10.46</v>
      </c>
      <c r="W856" s="140" t="s">
        <v>1609</v>
      </c>
      <c r="X856" s="56">
        <f t="shared" si="26"/>
        <v>0</v>
      </c>
      <c r="Y856" s="56" t="str">
        <f t="shared" si="27"/>
        <v>LOGUEO</v>
      </c>
    </row>
    <row r="857" spans="1:25" ht="15" x14ac:dyDescent="0.25">
      <c r="A857" s="136" t="s">
        <v>88</v>
      </c>
      <c r="B857" s="137">
        <v>0</v>
      </c>
      <c r="C857" s="137">
        <v>0</v>
      </c>
      <c r="D857" s="137">
        <v>0</v>
      </c>
      <c r="E857" s="137">
        <v>0</v>
      </c>
      <c r="F857" s="137">
        <v>0</v>
      </c>
      <c r="G857" s="137">
        <v>0</v>
      </c>
      <c r="H857" s="137">
        <v>0</v>
      </c>
      <c r="I857" s="137">
        <v>0</v>
      </c>
      <c r="J857" s="137">
        <v>0</v>
      </c>
      <c r="K857" s="137">
        <v>0</v>
      </c>
      <c r="L857" s="137">
        <v>0</v>
      </c>
      <c r="M857" s="137">
        <v>0</v>
      </c>
      <c r="N857" s="137">
        <v>0</v>
      </c>
      <c r="O857" s="137">
        <v>0</v>
      </c>
      <c r="P857" s="137">
        <v>0</v>
      </c>
      <c r="Q857" s="137">
        <v>0</v>
      </c>
      <c r="R857" s="137">
        <v>0</v>
      </c>
      <c r="S857" s="137">
        <v>0</v>
      </c>
      <c r="T857" s="137">
        <v>0</v>
      </c>
      <c r="U857" s="137">
        <v>0</v>
      </c>
      <c r="V857" s="137">
        <v>0</v>
      </c>
      <c r="W857" s="140">
        <v>14109430</v>
      </c>
      <c r="X857" s="56">
        <f t="shared" si="26"/>
        <v>7</v>
      </c>
      <c r="Y857" s="56" t="str">
        <f t="shared" si="27"/>
        <v>NO LOGUEO</v>
      </c>
    </row>
    <row r="858" spans="1:25" ht="15" x14ac:dyDescent="0.25">
      <c r="A858" s="136" t="s">
        <v>2404</v>
      </c>
      <c r="B858" s="137">
        <v>1.9499</v>
      </c>
      <c r="C858" s="137">
        <v>7.62</v>
      </c>
      <c r="D858" s="137">
        <v>1.28</v>
      </c>
      <c r="E858" s="137">
        <v>0</v>
      </c>
      <c r="F858" s="137">
        <v>2.5998999999999999</v>
      </c>
      <c r="G858" s="137">
        <v>3.23</v>
      </c>
      <c r="H858" s="137">
        <v>1.79</v>
      </c>
      <c r="I858" s="137">
        <v>2.14</v>
      </c>
      <c r="J858" s="137">
        <v>7.1</v>
      </c>
      <c r="K858" s="137">
        <v>6.27</v>
      </c>
      <c r="L858" s="137">
        <v>8.34</v>
      </c>
      <c r="M858" s="137">
        <v>7.36</v>
      </c>
      <c r="N858" s="137">
        <v>2.2399</v>
      </c>
      <c r="O858" s="137">
        <v>0.32</v>
      </c>
      <c r="P858" s="137">
        <v>0</v>
      </c>
      <c r="Q858" s="137">
        <v>9.61</v>
      </c>
      <c r="R858" s="137">
        <v>3.89</v>
      </c>
      <c r="S858" s="137">
        <v>2.19</v>
      </c>
      <c r="T858" s="137">
        <v>3.49</v>
      </c>
      <c r="U858" s="137">
        <v>1.72</v>
      </c>
      <c r="V858" s="137">
        <v>0</v>
      </c>
      <c r="W858" s="140" t="s">
        <v>1609</v>
      </c>
      <c r="X858" s="56">
        <f t="shared" si="26"/>
        <v>2</v>
      </c>
      <c r="Y858" s="56" t="str">
        <f t="shared" si="27"/>
        <v>NO LOGUEO</v>
      </c>
    </row>
    <row r="859" spans="1:25" ht="15" x14ac:dyDescent="0.25">
      <c r="A859" s="136" t="s">
        <v>2033</v>
      </c>
      <c r="B859" s="137">
        <v>0</v>
      </c>
      <c r="C859" s="137">
        <v>0</v>
      </c>
      <c r="D859" s="137">
        <v>0</v>
      </c>
      <c r="E859" s="137">
        <v>0</v>
      </c>
      <c r="F859" s="137">
        <v>0</v>
      </c>
      <c r="G859" s="137">
        <v>0</v>
      </c>
      <c r="H859" s="137">
        <v>0</v>
      </c>
      <c r="I859" s="137">
        <v>0</v>
      </c>
      <c r="J859" s="137">
        <v>0</v>
      </c>
      <c r="K859" s="137">
        <v>0</v>
      </c>
      <c r="L859" s="137">
        <v>0</v>
      </c>
      <c r="M859" s="137">
        <v>0</v>
      </c>
      <c r="N859" s="137">
        <v>0</v>
      </c>
      <c r="O859" s="137">
        <v>0</v>
      </c>
      <c r="P859" s="137">
        <v>0</v>
      </c>
      <c r="Q859" s="137">
        <v>0</v>
      </c>
      <c r="R859" s="137">
        <v>0</v>
      </c>
      <c r="S859" s="137">
        <v>0</v>
      </c>
      <c r="T859" s="137">
        <v>0</v>
      </c>
      <c r="U859" s="137">
        <v>0</v>
      </c>
      <c r="V859" s="137">
        <v>0</v>
      </c>
      <c r="W859" s="140" t="s">
        <v>1609</v>
      </c>
      <c r="X859" s="56">
        <f t="shared" si="26"/>
        <v>7</v>
      </c>
      <c r="Y859" s="56" t="str">
        <f t="shared" si="27"/>
        <v>NO LOGUEO</v>
      </c>
    </row>
    <row r="860" spans="1:25" ht="15" x14ac:dyDescent="0.25">
      <c r="A860" s="136" t="s">
        <v>1821</v>
      </c>
      <c r="B860" s="137">
        <v>8.25</v>
      </c>
      <c r="C860" s="137">
        <v>0</v>
      </c>
      <c r="D860" s="137">
        <v>9.08</v>
      </c>
      <c r="E860" s="137">
        <v>8.7898999999999994</v>
      </c>
      <c r="F860" s="137">
        <v>7.7</v>
      </c>
      <c r="G860" s="137">
        <v>9.5299999999999994</v>
      </c>
      <c r="H860" s="137">
        <v>6.4999000000000002</v>
      </c>
      <c r="I860" s="137">
        <v>7.52</v>
      </c>
      <c r="J860" s="137">
        <v>8.98</v>
      </c>
      <c r="K860" s="137">
        <v>9.67</v>
      </c>
      <c r="L860" s="137">
        <v>8.98</v>
      </c>
      <c r="M860" s="137">
        <v>8.4598999999999993</v>
      </c>
      <c r="N860" s="137">
        <v>8.6199999999999992</v>
      </c>
      <c r="O860" s="137">
        <v>0</v>
      </c>
      <c r="P860" s="137">
        <v>7.99</v>
      </c>
      <c r="Q860" s="137">
        <v>7.25</v>
      </c>
      <c r="R860" s="137">
        <v>7.17</v>
      </c>
      <c r="S860" s="137">
        <v>7.8</v>
      </c>
      <c r="T860" s="137">
        <v>8.7898999999999994</v>
      </c>
      <c r="U860" s="137">
        <v>4.13</v>
      </c>
      <c r="V860" s="137">
        <v>0</v>
      </c>
      <c r="W860" s="140" t="s">
        <v>1609</v>
      </c>
      <c r="X860" s="56">
        <f t="shared" si="26"/>
        <v>1</v>
      </c>
      <c r="Y860" s="56" t="str">
        <f t="shared" si="27"/>
        <v>LOGUEO</v>
      </c>
    </row>
    <row r="861" spans="1:25" ht="15" x14ac:dyDescent="0.25">
      <c r="A861" s="136" t="s">
        <v>1769</v>
      </c>
      <c r="B861" s="137">
        <v>4.18</v>
      </c>
      <c r="C861" s="137">
        <v>7.46</v>
      </c>
      <c r="D861" s="137">
        <v>8.5498999999999992</v>
      </c>
      <c r="E861" s="137">
        <v>8.3000000000000007</v>
      </c>
      <c r="F861" s="137">
        <v>1.5</v>
      </c>
      <c r="G861" s="137">
        <v>8.07</v>
      </c>
      <c r="H861" s="137">
        <v>6.95</v>
      </c>
      <c r="I861" s="137">
        <v>5.73</v>
      </c>
      <c r="J861" s="137">
        <v>6.6</v>
      </c>
      <c r="K861" s="137">
        <v>8.11</v>
      </c>
      <c r="L861" s="137">
        <v>2.9699</v>
      </c>
      <c r="M861" s="137">
        <v>7.63</v>
      </c>
      <c r="N861" s="137">
        <v>8.5</v>
      </c>
      <c r="O861" s="137">
        <v>7.1</v>
      </c>
      <c r="P861" s="137">
        <v>5.2698999999999998</v>
      </c>
      <c r="Q861" s="137">
        <v>5.74</v>
      </c>
      <c r="R861" s="137">
        <v>8.6499000000000006</v>
      </c>
      <c r="S861" s="137">
        <v>8.57</v>
      </c>
      <c r="T861" s="137">
        <v>8.49</v>
      </c>
      <c r="U861" s="137">
        <v>8.24</v>
      </c>
      <c r="V861" s="137">
        <v>7.7</v>
      </c>
      <c r="W861" s="140">
        <v>14121985</v>
      </c>
      <c r="X861" s="56">
        <f t="shared" si="26"/>
        <v>0</v>
      </c>
      <c r="Y861" s="56" t="str">
        <f t="shared" si="27"/>
        <v>LOGUEO</v>
      </c>
    </row>
    <row r="862" spans="1:25" ht="15" x14ac:dyDescent="0.25">
      <c r="A862" s="136" t="s">
        <v>2593</v>
      </c>
      <c r="B862" s="137">
        <v>0</v>
      </c>
      <c r="C862" s="137">
        <v>10.69</v>
      </c>
      <c r="D862" s="137">
        <v>12.08</v>
      </c>
      <c r="E862" s="137">
        <v>9.61</v>
      </c>
      <c r="F862" s="137">
        <v>0</v>
      </c>
      <c r="G862" s="137">
        <v>0</v>
      </c>
      <c r="H862" s="137">
        <v>0</v>
      </c>
      <c r="I862" s="137">
        <v>0</v>
      </c>
      <c r="J862" s="137">
        <v>3.52</v>
      </c>
      <c r="K862" s="137">
        <v>0</v>
      </c>
      <c r="L862" s="137">
        <v>0</v>
      </c>
      <c r="M862" s="137">
        <v>0</v>
      </c>
      <c r="N862" s="137">
        <v>0</v>
      </c>
      <c r="O862" s="137">
        <v>0</v>
      </c>
      <c r="P862" s="137">
        <v>0</v>
      </c>
      <c r="Q862" s="137">
        <v>0</v>
      </c>
      <c r="R862" s="137">
        <v>0</v>
      </c>
      <c r="S862" s="137">
        <v>0</v>
      </c>
      <c r="T862" s="137">
        <v>0</v>
      </c>
      <c r="U862" s="137">
        <v>0</v>
      </c>
      <c r="V862" s="137">
        <v>0</v>
      </c>
      <c r="W862" s="140" t="s">
        <v>1609</v>
      </c>
      <c r="X862" s="56">
        <f t="shared" si="26"/>
        <v>7</v>
      </c>
      <c r="Y862" s="56" t="str">
        <f t="shared" si="27"/>
        <v>NO LOGUEO</v>
      </c>
    </row>
    <row r="863" spans="1:25" ht="15" x14ac:dyDescent="0.25">
      <c r="A863" s="136" t="s">
        <v>1232</v>
      </c>
      <c r="B863" s="137">
        <v>0</v>
      </c>
      <c r="C863" s="137">
        <v>0.82</v>
      </c>
      <c r="D863" s="137">
        <v>0</v>
      </c>
      <c r="E863" s="137">
        <v>0</v>
      </c>
      <c r="F863" s="137">
        <v>0</v>
      </c>
      <c r="G863" s="137">
        <v>0</v>
      </c>
      <c r="H863" s="137">
        <v>0</v>
      </c>
      <c r="I863" s="137">
        <v>0</v>
      </c>
      <c r="J863" s="137">
        <v>0</v>
      </c>
      <c r="K863" s="137">
        <v>0.13</v>
      </c>
      <c r="L863" s="137">
        <v>0</v>
      </c>
      <c r="M863" s="137">
        <v>1.53</v>
      </c>
      <c r="N863" s="137">
        <v>2.58</v>
      </c>
      <c r="O863" s="137">
        <v>7.2</v>
      </c>
      <c r="P863" s="137">
        <v>0</v>
      </c>
      <c r="Q863" s="137">
        <v>5.99</v>
      </c>
      <c r="R863" s="137">
        <v>6.45</v>
      </c>
      <c r="S863" s="137">
        <v>7.26</v>
      </c>
      <c r="T863" s="137">
        <v>6.22</v>
      </c>
      <c r="U863" s="137">
        <v>6.7099000000000002</v>
      </c>
      <c r="V863" s="137">
        <v>6.16</v>
      </c>
      <c r="W863" s="140">
        <v>14112026</v>
      </c>
      <c r="X863" s="56">
        <f t="shared" si="26"/>
        <v>1</v>
      </c>
      <c r="Y863" s="56" t="str">
        <f t="shared" si="27"/>
        <v>LOGUEO</v>
      </c>
    </row>
    <row r="864" spans="1:25" x14ac:dyDescent="0.2">
      <c r="X864" s="56">
        <f t="shared" si="26"/>
        <v>0</v>
      </c>
      <c r="Y864" s="56" t="str">
        <f t="shared" si="27"/>
        <v>LOGUEO</v>
      </c>
    </row>
    <row r="865" spans="24:25" x14ac:dyDescent="0.2">
      <c r="X865" s="56">
        <f t="shared" si="26"/>
        <v>0</v>
      </c>
      <c r="Y865" s="56" t="str">
        <f t="shared" si="27"/>
        <v>LOGUEO</v>
      </c>
    </row>
    <row r="866" spans="24:25" x14ac:dyDescent="0.2">
      <c r="X866" s="56">
        <f t="shared" si="26"/>
        <v>0</v>
      </c>
      <c r="Y866" s="56" t="str">
        <f t="shared" si="27"/>
        <v>LOGUEO</v>
      </c>
    </row>
    <row r="867" spans="24:25" x14ac:dyDescent="0.2">
      <c r="X867" s="56">
        <f t="shared" si="26"/>
        <v>0</v>
      </c>
      <c r="Y867" s="56" t="str">
        <f t="shared" si="27"/>
        <v>LOGUEO</v>
      </c>
    </row>
    <row r="868" spans="24:25" x14ac:dyDescent="0.2">
      <c r="X868" s="56">
        <f t="shared" si="26"/>
        <v>0</v>
      </c>
      <c r="Y868" s="56" t="str">
        <f t="shared" si="27"/>
        <v>LOGUEO</v>
      </c>
    </row>
    <row r="869" spans="24:25" x14ac:dyDescent="0.2">
      <c r="X869" s="56">
        <f t="shared" si="26"/>
        <v>0</v>
      </c>
      <c r="Y869" s="56" t="str">
        <f t="shared" si="27"/>
        <v>LOGUEO</v>
      </c>
    </row>
    <row r="870" spans="24:25" x14ac:dyDescent="0.2">
      <c r="X870" s="56">
        <f t="shared" si="26"/>
        <v>0</v>
      </c>
      <c r="Y870" s="56" t="str">
        <f t="shared" si="27"/>
        <v>LOGUEO</v>
      </c>
    </row>
    <row r="871" spans="24:25" x14ac:dyDescent="0.2">
      <c r="X871" s="56">
        <f t="shared" si="26"/>
        <v>0</v>
      </c>
      <c r="Y871" s="56" t="str">
        <f t="shared" si="27"/>
        <v>LOGUEO</v>
      </c>
    </row>
    <row r="872" spans="24:25" x14ac:dyDescent="0.2">
      <c r="X872" s="56">
        <f t="shared" si="26"/>
        <v>0</v>
      </c>
      <c r="Y872" s="56" t="str">
        <f t="shared" si="27"/>
        <v>LOGUEO</v>
      </c>
    </row>
    <row r="873" spans="24:25" x14ac:dyDescent="0.2">
      <c r="X873" s="56">
        <f t="shared" si="26"/>
        <v>0</v>
      </c>
      <c r="Y873" s="56" t="str">
        <f t="shared" si="27"/>
        <v>LOGUEO</v>
      </c>
    </row>
    <row r="874" spans="24:25" x14ac:dyDescent="0.2">
      <c r="X874" s="56">
        <f t="shared" si="26"/>
        <v>0</v>
      </c>
      <c r="Y874" s="56" t="str">
        <f t="shared" si="27"/>
        <v>LOGUEO</v>
      </c>
    </row>
    <row r="875" spans="24:25" x14ac:dyDescent="0.2">
      <c r="X875" s="56">
        <f t="shared" si="26"/>
        <v>0</v>
      </c>
      <c r="Y875" s="56" t="str">
        <f t="shared" si="27"/>
        <v>LOGUEO</v>
      </c>
    </row>
    <row r="876" spans="24:25" x14ac:dyDescent="0.2">
      <c r="X876" s="56">
        <f t="shared" si="26"/>
        <v>0</v>
      </c>
      <c r="Y876" s="56" t="str">
        <f t="shared" si="27"/>
        <v>LOGUEO</v>
      </c>
    </row>
    <row r="877" spans="24:25" x14ac:dyDescent="0.2">
      <c r="X877" s="56">
        <f t="shared" si="26"/>
        <v>0</v>
      </c>
      <c r="Y877" s="56" t="str">
        <f t="shared" si="27"/>
        <v>LOGUEO</v>
      </c>
    </row>
  </sheetData>
  <conditionalFormatting sqref="B2:V863">
    <cfRule type="expression" dxfId="61" priority="1" stopIfTrue="1">
      <formula>B2&gt;=24</formula>
    </cfRule>
    <cfRule type="expression" dxfId="60" priority="2" stopIfTrue="1">
      <formula>B2&gt;=$D$2</formula>
    </cfRule>
    <cfRule type="expression" dxfId="59" priority="3" stopIfTrue="1">
      <formula>B2&gt;=$D$1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9BC0-2AF3-48DC-BE5E-E30AE9F54334}">
  <dimension ref="A1:I620"/>
  <sheetViews>
    <sheetView workbookViewId="0">
      <selection activeCell="G57" sqref="G57"/>
    </sheetView>
  </sheetViews>
  <sheetFormatPr baseColWidth="10" defaultRowHeight="15" x14ac:dyDescent="0.25"/>
  <cols>
    <col min="1" max="1" width="11.42578125" style="106"/>
    <col min="2" max="2" width="56.5703125" style="106" customWidth="1"/>
    <col min="3" max="4" width="22.42578125" style="107" customWidth="1"/>
    <col min="5" max="5" width="22.5703125" style="1" customWidth="1"/>
    <col min="6" max="7" width="22.5703125" customWidth="1"/>
    <col min="8" max="8" width="22.5703125" style="57" customWidth="1"/>
  </cols>
  <sheetData>
    <row r="1" spans="1:8" x14ac:dyDescent="0.25">
      <c r="E1"/>
    </row>
    <row r="2" spans="1:8" ht="31.5" x14ac:dyDescent="0.2">
      <c r="A2" s="37" t="s">
        <v>568</v>
      </c>
      <c r="B2" s="37" t="s">
        <v>569</v>
      </c>
      <c r="C2" s="37" t="s">
        <v>570</v>
      </c>
      <c r="D2" s="37" t="s">
        <v>571</v>
      </c>
      <c r="E2" s="37" t="s">
        <v>921</v>
      </c>
      <c r="F2" s="37" t="s">
        <v>922</v>
      </c>
      <c r="G2" s="37" t="s">
        <v>923</v>
      </c>
      <c r="H2" s="58" t="s">
        <v>924</v>
      </c>
    </row>
    <row r="3" spans="1:8" ht="17.25" x14ac:dyDescent="0.3">
      <c r="A3" s="39">
        <v>14100716</v>
      </c>
      <c r="B3" s="40" t="s">
        <v>8</v>
      </c>
      <c r="C3" s="41" t="s">
        <v>584</v>
      </c>
      <c r="D3" s="41" t="s">
        <v>3</v>
      </c>
      <c r="E3" s="59"/>
      <c r="F3" s="59" t="e">
        <v>#N/A</v>
      </c>
      <c r="G3" s="60"/>
      <c r="H3" s="61"/>
    </row>
    <row r="4" spans="1:8" ht="17.25" x14ac:dyDescent="0.3">
      <c r="A4" s="39">
        <v>14100718</v>
      </c>
      <c r="B4" s="40" t="s">
        <v>9</v>
      </c>
      <c r="C4" s="41" t="s">
        <v>584</v>
      </c>
      <c r="D4" s="41" t="s">
        <v>3</v>
      </c>
      <c r="E4" s="59">
        <v>11.418646076923077</v>
      </c>
      <c r="F4" s="59">
        <v>11.471500000000001</v>
      </c>
      <c r="G4" s="60">
        <v>355.58</v>
      </c>
      <c r="H4" s="61"/>
    </row>
    <row r="5" spans="1:8" ht="17.25" x14ac:dyDescent="0.3">
      <c r="A5" s="39">
        <v>14100721</v>
      </c>
      <c r="B5" s="40" t="s">
        <v>10</v>
      </c>
      <c r="C5" s="41" t="s">
        <v>586</v>
      </c>
      <c r="D5" s="41" t="s">
        <v>3</v>
      </c>
      <c r="E5" s="59">
        <v>4.3532521638888904</v>
      </c>
      <c r="F5" s="59">
        <v>4.1853333333333333</v>
      </c>
      <c r="G5" s="60">
        <v>0</v>
      </c>
      <c r="H5" s="61"/>
    </row>
    <row r="6" spans="1:8" ht="17.25" x14ac:dyDescent="0.3">
      <c r="A6" s="39">
        <v>14100724</v>
      </c>
      <c r="B6" s="40" t="s">
        <v>11</v>
      </c>
      <c r="C6" s="41" t="s">
        <v>584</v>
      </c>
      <c r="D6" s="41" t="s">
        <v>3</v>
      </c>
      <c r="E6" s="59">
        <v>3.55</v>
      </c>
      <c r="F6" s="59">
        <v>3.7374999999999998</v>
      </c>
      <c r="G6" s="60">
        <v>355.58</v>
      </c>
      <c r="H6" s="61"/>
    </row>
    <row r="7" spans="1:8" ht="17.25" x14ac:dyDescent="0.3">
      <c r="A7" s="39">
        <v>14100725</v>
      </c>
      <c r="B7" s="40" t="s">
        <v>12</v>
      </c>
      <c r="C7" s="41" t="s">
        <v>584</v>
      </c>
      <c r="D7" s="41" t="s">
        <v>3</v>
      </c>
      <c r="E7" s="59"/>
      <c r="F7" s="59" t="e">
        <v>#N/A</v>
      </c>
      <c r="G7" s="60"/>
      <c r="H7" s="61"/>
    </row>
    <row r="8" spans="1:8" ht="17.25" x14ac:dyDescent="0.3">
      <c r="A8" s="39">
        <v>14100726</v>
      </c>
      <c r="B8" s="40" t="s">
        <v>13</v>
      </c>
      <c r="C8" s="41" t="s">
        <v>584</v>
      </c>
      <c r="D8" s="41" t="s">
        <v>3</v>
      </c>
      <c r="E8" s="59">
        <v>3.9618199888888888</v>
      </c>
      <c r="F8" s="59">
        <v>4.2240000000000002</v>
      </c>
      <c r="G8" s="60">
        <v>355.58</v>
      </c>
      <c r="H8" s="61"/>
    </row>
    <row r="9" spans="1:8" ht="17.25" x14ac:dyDescent="0.3">
      <c r="A9" s="39">
        <v>14100727</v>
      </c>
      <c r="B9" s="40" t="s">
        <v>14</v>
      </c>
      <c r="C9" s="41" t="s">
        <v>584</v>
      </c>
      <c r="D9" s="41" t="s">
        <v>3</v>
      </c>
      <c r="E9" s="59">
        <v>3.55</v>
      </c>
      <c r="F9" s="59">
        <v>3.9963333333333337</v>
      </c>
      <c r="G9" s="60">
        <v>355.58</v>
      </c>
      <c r="H9" s="61"/>
    </row>
    <row r="10" spans="1:8" ht="17.25" x14ac:dyDescent="0.3">
      <c r="A10" s="39">
        <v>14100729</v>
      </c>
      <c r="B10" s="40" t="s">
        <v>15</v>
      </c>
      <c r="C10" s="41" t="s">
        <v>584</v>
      </c>
      <c r="D10" s="41" t="s">
        <v>3</v>
      </c>
      <c r="E10" s="59">
        <v>4.6324259499999991</v>
      </c>
      <c r="F10" s="59">
        <v>4.4440000000000008</v>
      </c>
      <c r="G10" s="60">
        <v>0</v>
      </c>
      <c r="H10" s="61"/>
    </row>
    <row r="11" spans="1:8" ht="17.25" x14ac:dyDescent="0.3">
      <c r="A11" s="39">
        <v>14100731</v>
      </c>
      <c r="B11" s="40" t="s">
        <v>16</v>
      </c>
      <c r="C11" s="41" t="s">
        <v>588</v>
      </c>
      <c r="D11" s="41" t="s">
        <v>3</v>
      </c>
      <c r="E11" s="59">
        <v>4.4326521230769229</v>
      </c>
      <c r="F11" s="59">
        <v>4.66</v>
      </c>
      <c r="G11" s="60">
        <v>355.58</v>
      </c>
      <c r="H11" s="61"/>
    </row>
    <row r="12" spans="1:8" ht="17.25" x14ac:dyDescent="0.3">
      <c r="A12" s="39">
        <v>14100732</v>
      </c>
      <c r="B12" s="40" t="s">
        <v>17</v>
      </c>
      <c r="C12" s="41" t="s">
        <v>584</v>
      </c>
      <c r="D12" s="41" t="s">
        <v>3</v>
      </c>
      <c r="E12" s="59">
        <v>3.7835575192307687</v>
      </c>
      <c r="F12" s="59">
        <v>3.8039999999999998</v>
      </c>
      <c r="G12" s="60">
        <v>355.58</v>
      </c>
      <c r="H12" s="61"/>
    </row>
    <row r="13" spans="1:8" ht="17.25" x14ac:dyDescent="0.3">
      <c r="A13" s="39">
        <v>14100733</v>
      </c>
      <c r="B13" s="40" t="s">
        <v>18</v>
      </c>
      <c r="C13" s="41" t="s">
        <v>584</v>
      </c>
      <c r="D13" s="41" t="s">
        <v>3</v>
      </c>
      <c r="E13" s="59"/>
      <c r="F13" s="59" t="e">
        <v>#N/A</v>
      </c>
      <c r="G13" s="60"/>
      <c r="H13" s="61"/>
    </row>
    <row r="14" spans="1:8" ht="17.25" x14ac:dyDescent="0.3">
      <c r="A14" s="39">
        <v>14100740</v>
      </c>
      <c r="B14" s="40" t="s">
        <v>19</v>
      </c>
      <c r="C14" s="41" t="s">
        <v>589</v>
      </c>
      <c r="D14" s="41" t="s">
        <v>3</v>
      </c>
      <c r="E14" s="59">
        <v>4.4923786083333335</v>
      </c>
      <c r="F14" s="59">
        <v>4.6564999999999994</v>
      </c>
      <c r="G14" s="60">
        <v>355.58</v>
      </c>
      <c r="H14" s="61"/>
    </row>
    <row r="15" spans="1:8" ht="17.25" x14ac:dyDescent="0.3">
      <c r="A15" s="39">
        <v>14100751</v>
      </c>
      <c r="B15" s="40" t="s">
        <v>325</v>
      </c>
      <c r="C15" s="41" t="s">
        <v>590</v>
      </c>
      <c r="D15" s="41" t="s">
        <v>3</v>
      </c>
      <c r="E15" s="59">
        <v>3.9643827961538465</v>
      </c>
      <c r="F15" s="59">
        <v>3.8515000000000001</v>
      </c>
      <c r="G15" s="60">
        <v>0</v>
      </c>
      <c r="H15" s="61"/>
    </row>
    <row r="16" spans="1:8" ht="17.25" x14ac:dyDescent="0.3">
      <c r="A16" s="39">
        <v>14100777</v>
      </c>
      <c r="B16" s="40" t="s">
        <v>20</v>
      </c>
      <c r="C16" s="41" t="s">
        <v>584</v>
      </c>
      <c r="D16" s="41" t="s">
        <v>3</v>
      </c>
      <c r="E16" s="59"/>
      <c r="F16" s="59" t="e">
        <v>#N/A</v>
      </c>
      <c r="G16" s="60"/>
      <c r="H16" s="61"/>
    </row>
    <row r="17" spans="1:8" ht="17.25" x14ac:dyDescent="0.3">
      <c r="A17" s="39">
        <v>14100787</v>
      </c>
      <c r="B17" s="40" t="s">
        <v>21</v>
      </c>
      <c r="C17" s="41" t="s">
        <v>584</v>
      </c>
      <c r="D17" s="41" t="s">
        <v>3</v>
      </c>
      <c r="E17" s="59">
        <v>3.7922536062500005</v>
      </c>
      <c r="F17" s="59">
        <v>4.3079999999999998</v>
      </c>
      <c r="G17" s="60">
        <v>355.58</v>
      </c>
      <c r="H17" s="61"/>
    </row>
    <row r="18" spans="1:8" ht="17.25" x14ac:dyDescent="0.3">
      <c r="A18" s="39">
        <v>14100795</v>
      </c>
      <c r="B18" s="40" t="s">
        <v>22</v>
      </c>
      <c r="C18" s="41" t="s">
        <v>584</v>
      </c>
      <c r="D18" s="41" t="s">
        <v>3</v>
      </c>
      <c r="E18" s="59">
        <v>4.6622509958333334</v>
      </c>
      <c r="F18" s="59">
        <v>4.7065000000000001</v>
      </c>
      <c r="G18" s="60">
        <v>355.58</v>
      </c>
      <c r="H18" s="61"/>
    </row>
    <row r="19" spans="1:8" ht="17.25" x14ac:dyDescent="0.3">
      <c r="A19" s="39">
        <v>14100798</v>
      </c>
      <c r="B19" s="40" t="s">
        <v>23</v>
      </c>
      <c r="C19" s="41" t="s">
        <v>584</v>
      </c>
      <c r="D19" s="41" t="s">
        <v>3</v>
      </c>
      <c r="E19" s="59">
        <v>4.0644461916666659</v>
      </c>
      <c r="F19" s="59">
        <v>4.3164999999999996</v>
      </c>
      <c r="G19" s="60">
        <v>355.58</v>
      </c>
      <c r="H19" s="61"/>
    </row>
    <row r="20" spans="1:8" ht="17.25" x14ac:dyDescent="0.3">
      <c r="A20" s="39">
        <v>14100807</v>
      </c>
      <c r="B20" s="40" t="s">
        <v>24</v>
      </c>
      <c r="C20" s="41" t="s">
        <v>591</v>
      </c>
      <c r="D20" s="41" t="s">
        <v>3</v>
      </c>
      <c r="E20" s="59">
        <v>4.7317431055555561</v>
      </c>
      <c r="F20" s="59">
        <v>4.8062500000000004</v>
      </c>
      <c r="G20" s="60">
        <v>355.58</v>
      </c>
      <c r="H20" s="61"/>
    </row>
    <row r="21" spans="1:8" ht="17.25" x14ac:dyDescent="0.3">
      <c r="A21" s="39">
        <v>14100823</v>
      </c>
      <c r="B21" s="40" t="s">
        <v>275</v>
      </c>
      <c r="C21" s="41" t="s">
        <v>592</v>
      </c>
      <c r="D21" s="41" t="s">
        <v>3</v>
      </c>
      <c r="E21" s="59">
        <v>4.1399999999999997</v>
      </c>
      <c r="F21" s="59">
        <v>4.0935000000000006</v>
      </c>
      <c r="G21" s="60">
        <v>355.58</v>
      </c>
      <c r="H21" s="61"/>
    </row>
    <row r="22" spans="1:8" ht="17.25" x14ac:dyDescent="0.3">
      <c r="A22" s="40">
        <v>14100842</v>
      </c>
      <c r="B22" s="40" t="s">
        <v>25</v>
      </c>
      <c r="C22" s="41" t="s">
        <v>584</v>
      </c>
      <c r="D22" s="41" t="s">
        <v>3</v>
      </c>
      <c r="E22" s="59">
        <v>4.1595999653846158</v>
      </c>
      <c r="F22" s="59">
        <v>4.101</v>
      </c>
      <c r="G22" s="60">
        <v>355.58</v>
      </c>
      <c r="H22" s="61"/>
    </row>
    <row r="23" spans="1:8" ht="17.25" x14ac:dyDescent="0.3">
      <c r="A23" s="39">
        <v>14100843</v>
      </c>
      <c r="B23" s="40" t="s">
        <v>223</v>
      </c>
      <c r="C23" s="41" t="s">
        <v>593</v>
      </c>
      <c r="D23" s="41" t="s">
        <v>3</v>
      </c>
      <c r="E23" s="59">
        <v>3.5970917333333334</v>
      </c>
      <c r="F23" s="59">
        <v>3.7029999999999998</v>
      </c>
      <c r="G23" s="60">
        <v>355.58</v>
      </c>
      <c r="H23" s="61"/>
    </row>
    <row r="24" spans="1:8" ht="17.25" x14ac:dyDescent="0.3">
      <c r="A24" s="39">
        <v>14100858</v>
      </c>
      <c r="B24" s="40" t="s">
        <v>262</v>
      </c>
      <c r="C24" s="41" t="s">
        <v>594</v>
      </c>
      <c r="D24" s="41" t="s">
        <v>3</v>
      </c>
      <c r="E24" s="59">
        <v>3.7394145703846151</v>
      </c>
      <c r="F24" s="59">
        <v>3.8660000000000001</v>
      </c>
      <c r="G24" s="60">
        <v>355.58</v>
      </c>
      <c r="H24" s="61"/>
    </row>
    <row r="25" spans="1:8" ht="17.25" x14ac:dyDescent="0.3">
      <c r="A25" s="39">
        <v>14100863</v>
      </c>
      <c r="B25" s="40" t="s">
        <v>26</v>
      </c>
      <c r="C25" s="41" t="s">
        <v>584</v>
      </c>
      <c r="D25" s="41" t="s">
        <v>3</v>
      </c>
      <c r="E25" s="59">
        <v>4.2266718346153844</v>
      </c>
      <c r="F25" s="59">
        <v>4.27325</v>
      </c>
      <c r="G25" s="60">
        <v>355.58</v>
      </c>
      <c r="H25" s="61"/>
    </row>
    <row r="26" spans="1:8" ht="17.25" x14ac:dyDescent="0.3">
      <c r="A26" s="39">
        <v>14100902</v>
      </c>
      <c r="B26" s="40" t="s">
        <v>354</v>
      </c>
      <c r="C26" s="41" t="s">
        <v>596</v>
      </c>
      <c r="D26" s="41" t="s">
        <v>3</v>
      </c>
      <c r="E26" s="59" t="s">
        <v>925</v>
      </c>
      <c r="F26" s="59" t="s">
        <v>925</v>
      </c>
      <c r="G26" s="60">
        <v>355.58</v>
      </c>
      <c r="H26" s="61"/>
    </row>
    <row r="27" spans="1:8" ht="17.25" x14ac:dyDescent="0.3">
      <c r="A27" s="39">
        <v>14101881</v>
      </c>
      <c r="B27" s="40" t="s">
        <v>27</v>
      </c>
      <c r="C27" s="41" t="s">
        <v>597</v>
      </c>
      <c r="D27" s="41" t="s">
        <v>3</v>
      </c>
      <c r="E27" s="59">
        <v>3.9</v>
      </c>
      <c r="F27" s="59">
        <v>4.2349999999999994</v>
      </c>
      <c r="G27" s="60">
        <v>355.58</v>
      </c>
      <c r="H27" s="61"/>
    </row>
    <row r="28" spans="1:8" ht="17.25" x14ac:dyDescent="0.3">
      <c r="A28" s="40">
        <v>14101984</v>
      </c>
      <c r="B28" s="40" t="s">
        <v>28</v>
      </c>
      <c r="C28" s="41" t="s">
        <v>598</v>
      </c>
      <c r="D28" s="41" t="s">
        <v>3</v>
      </c>
      <c r="E28" s="59" t="s">
        <v>925</v>
      </c>
      <c r="F28" s="59" t="s">
        <v>925</v>
      </c>
      <c r="G28" s="60">
        <v>355.58</v>
      </c>
      <c r="H28" s="61"/>
    </row>
    <row r="29" spans="1:8" ht="17.25" x14ac:dyDescent="0.3">
      <c r="A29" s="40">
        <v>14102081</v>
      </c>
      <c r="B29" s="48" t="s">
        <v>29</v>
      </c>
      <c r="C29" s="41" t="s">
        <v>599</v>
      </c>
      <c r="D29" s="41" t="s">
        <v>3</v>
      </c>
      <c r="E29" s="59">
        <v>8.4446761513888884</v>
      </c>
      <c r="F29" s="59">
        <v>7.2439999999999998</v>
      </c>
      <c r="G29" s="60">
        <v>0</v>
      </c>
      <c r="H29" s="61"/>
    </row>
    <row r="30" spans="1:8" ht="17.25" x14ac:dyDescent="0.3">
      <c r="A30" s="40">
        <v>14102288</v>
      </c>
      <c r="B30" s="40" t="s">
        <v>30</v>
      </c>
      <c r="C30" s="41" t="s">
        <v>600</v>
      </c>
      <c r="D30" s="41" t="s">
        <v>3</v>
      </c>
      <c r="E30" s="59">
        <v>3.9448622149999997</v>
      </c>
      <c r="F30" s="59">
        <v>4.3516666666666666</v>
      </c>
      <c r="G30" s="60">
        <v>355.58</v>
      </c>
      <c r="H30" s="61"/>
    </row>
    <row r="31" spans="1:8" ht="17.25" x14ac:dyDescent="0.3">
      <c r="A31" s="40">
        <v>14102701</v>
      </c>
      <c r="B31" s="40" t="s">
        <v>31</v>
      </c>
      <c r="C31" s="41" t="s">
        <v>601</v>
      </c>
      <c r="D31" s="41" t="s">
        <v>3</v>
      </c>
      <c r="E31" s="59">
        <v>3.9</v>
      </c>
      <c r="F31" s="59">
        <v>3.9699999999999998</v>
      </c>
      <c r="G31" s="60">
        <v>355.58</v>
      </c>
      <c r="H31" s="61"/>
    </row>
    <row r="32" spans="1:8" ht="17.25" x14ac:dyDescent="0.3">
      <c r="A32" s="39">
        <v>14102730</v>
      </c>
      <c r="B32" s="40" t="s">
        <v>32</v>
      </c>
      <c r="C32" s="41" t="s">
        <v>602</v>
      </c>
      <c r="D32" s="41" t="s">
        <v>3</v>
      </c>
      <c r="E32" s="59">
        <v>3.9751643874999996</v>
      </c>
      <c r="F32" s="59">
        <v>4.3380000000000001</v>
      </c>
      <c r="G32" s="60">
        <v>355.58</v>
      </c>
      <c r="H32" s="61"/>
    </row>
    <row r="33" spans="1:9" ht="17.25" x14ac:dyDescent="0.3">
      <c r="A33" s="39">
        <v>14102875</v>
      </c>
      <c r="B33" s="40" t="s">
        <v>33</v>
      </c>
      <c r="C33" s="41" t="s">
        <v>604</v>
      </c>
      <c r="D33" s="41" t="s">
        <v>3</v>
      </c>
      <c r="E33" s="59">
        <v>3.1315811666666664</v>
      </c>
      <c r="F33" s="59">
        <v>4.4190000000000005</v>
      </c>
      <c r="G33" s="60">
        <v>355.58</v>
      </c>
      <c r="H33" s="61"/>
    </row>
    <row r="34" spans="1:9" ht="17.25" x14ac:dyDescent="0.3">
      <c r="A34" s="39">
        <v>14102890</v>
      </c>
      <c r="B34" s="40" t="s">
        <v>34</v>
      </c>
      <c r="C34" s="41" t="s">
        <v>605</v>
      </c>
      <c r="D34" s="41" t="s">
        <v>3</v>
      </c>
      <c r="E34" s="59"/>
      <c r="F34" s="59" t="e">
        <v>#N/A</v>
      </c>
      <c r="G34" s="60"/>
      <c r="H34" s="61"/>
    </row>
    <row r="35" spans="1:9" ht="17.25" x14ac:dyDescent="0.3">
      <c r="A35" s="39">
        <v>14103061</v>
      </c>
      <c r="B35" s="40" t="s">
        <v>398</v>
      </c>
      <c r="C35" s="41" t="s">
        <v>606</v>
      </c>
      <c r="D35" s="41" t="s">
        <v>3</v>
      </c>
      <c r="E35" s="59">
        <v>3.6322725346153857</v>
      </c>
      <c r="F35" s="59">
        <v>3.4710000000000001</v>
      </c>
      <c r="G35" s="60">
        <v>0</v>
      </c>
      <c r="H35" s="61"/>
    </row>
    <row r="36" spans="1:9" ht="17.25" x14ac:dyDescent="0.3">
      <c r="A36" s="40">
        <v>14103106</v>
      </c>
      <c r="B36" s="40" t="s">
        <v>35</v>
      </c>
      <c r="C36" s="41" t="s">
        <v>607</v>
      </c>
      <c r="D36" s="41" t="s">
        <v>3</v>
      </c>
      <c r="E36" s="59">
        <v>4.0644255179487176</v>
      </c>
      <c r="F36" s="59">
        <v>4.3959999999999999</v>
      </c>
      <c r="G36" s="60">
        <v>355.58</v>
      </c>
      <c r="H36" s="61"/>
    </row>
    <row r="37" spans="1:9" ht="17.25" x14ac:dyDescent="0.3">
      <c r="A37" s="39">
        <v>14103183</v>
      </c>
      <c r="B37" s="40" t="s">
        <v>36</v>
      </c>
      <c r="C37" s="41" t="s">
        <v>608</v>
      </c>
      <c r="D37" s="41" t="s">
        <v>3</v>
      </c>
      <c r="E37" s="59"/>
      <c r="F37" s="59" t="e">
        <v>#N/A</v>
      </c>
      <c r="G37" s="60"/>
      <c r="H37" s="61"/>
    </row>
    <row r="38" spans="1:9" ht="17.25" x14ac:dyDescent="0.3">
      <c r="A38" s="40">
        <v>14103335</v>
      </c>
      <c r="B38" s="49" t="s">
        <v>37</v>
      </c>
      <c r="C38" s="41" t="s">
        <v>609</v>
      </c>
      <c r="D38" s="41" t="s">
        <v>3</v>
      </c>
      <c r="E38" s="59">
        <v>3.55</v>
      </c>
      <c r="F38" s="59">
        <v>3.6070000000000002</v>
      </c>
      <c r="G38" s="60">
        <v>355.58</v>
      </c>
      <c r="H38" s="61"/>
    </row>
    <row r="39" spans="1:9" ht="17.25" x14ac:dyDescent="0.3">
      <c r="A39" s="39">
        <v>14103679</v>
      </c>
      <c r="B39" s="40" t="s">
        <v>38</v>
      </c>
      <c r="C39" s="41" t="s">
        <v>611</v>
      </c>
      <c r="D39" s="41" t="s">
        <v>3</v>
      </c>
      <c r="E39" s="59">
        <v>9.2205581944444432</v>
      </c>
      <c r="F39" s="59">
        <v>10.199</v>
      </c>
      <c r="G39" s="60">
        <v>355.58</v>
      </c>
      <c r="H39" s="61"/>
    </row>
    <row r="40" spans="1:9" ht="17.25" x14ac:dyDescent="0.3">
      <c r="A40" s="39">
        <v>14103936</v>
      </c>
      <c r="B40" s="40" t="s">
        <v>294</v>
      </c>
      <c r="C40" s="41" t="s">
        <v>613</v>
      </c>
      <c r="D40" s="41" t="s">
        <v>3</v>
      </c>
      <c r="E40" s="59">
        <v>3.9908682249999998</v>
      </c>
      <c r="F40" s="59">
        <v>3.782</v>
      </c>
      <c r="G40" s="60">
        <v>0</v>
      </c>
      <c r="H40" s="61"/>
    </row>
    <row r="41" spans="1:9" ht="17.25" x14ac:dyDescent="0.3">
      <c r="A41" s="39">
        <v>14103952</v>
      </c>
      <c r="B41" s="40" t="s">
        <v>39</v>
      </c>
      <c r="C41" s="41" t="s">
        <v>614</v>
      </c>
      <c r="D41" s="41" t="s">
        <v>3</v>
      </c>
      <c r="E41" s="59"/>
      <c r="F41" s="59" t="e">
        <v>#N/A</v>
      </c>
      <c r="G41" s="60"/>
      <c r="H41" s="61"/>
    </row>
    <row r="42" spans="1:9" ht="17.25" x14ac:dyDescent="0.3">
      <c r="A42" s="40">
        <v>14104315</v>
      </c>
      <c r="B42" s="40" t="s">
        <v>334</v>
      </c>
      <c r="C42" s="41" t="s">
        <v>615</v>
      </c>
      <c r="D42" s="41" t="s">
        <v>3</v>
      </c>
      <c r="E42" s="59">
        <v>3.8607063469696969</v>
      </c>
      <c r="F42" s="59">
        <v>4.1633333333333331</v>
      </c>
      <c r="G42" s="60">
        <v>355.58</v>
      </c>
      <c r="H42" s="61"/>
      <c r="I42" s="62"/>
    </row>
    <row r="43" spans="1:9" ht="17.25" x14ac:dyDescent="0.3">
      <c r="A43" s="39">
        <v>14104316</v>
      </c>
      <c r="B43" s="40" t="s">
        <v>40</v>
      </c>
      <c r="C43" s="41" t="s">
        <v>616</v>
      </c>
      <c r="D43" s="41" t="s">
        <v>3</v>
      </c>
      <c r="E43" s="59">
        <v>3.55</v>
      </c>
      <c r="F43" s="59">
        <v>3.7120000000000002</v>
      </c>
      <c r="G43" s="60">
        <v>355.58</v>
      </c>
      <c r="H43" s="61"/>
    </row>
    <row r="44" spans="1:9" ht="17.25" x14ac:dyDescent="0.3">
      <c r="A44" s="39">
        <v>14104599</v>
      </c>
      <c r="B44" s="40" t="s">
        <v>41</v>
      </c>
      <c r="C44" s="41" t="s">
        <v>617</v>
      </c>
      <c r="D44" s="41" t="s">
        <v>3</v>
      </c>
      <c r="E44" s="59">
        <v>3.7183338916666671</v>
      </c>
      <c r="F44" s="59">
        <v>4.1795</v>
      </c>
      <c r="G44" s="60">
        <v>355.58</v>
      </c>
      <c r="H44" s="61"/>
    </row>
    <row r="45" spans="1:9" ht="17.25" x14ac:dyDescent="0.3">
      <c r="A45" s="39">
        <v>14104822</v>
      </c>
      <c r="B45" s="40" t="s">
        <v>42</v>
      </c>
      <c r="C45" s="41" t="s">
        <v>618</v>
      </c>
      <c r="D45" s="41" t="s">
        <v>3</v>
      </c>
      <c r="E45" s="59">
        <v>3.7501357961538462</v>
      </c>
      <c r="F45" s="59">
        <v>3.8010000000000002</v>
      </c>
      <c r="G45" s="60">
        <v>355.58</v>
      </c>
      <c r="H45" s="61"/>
    </row>
    <row r="46" spans="1:9" ht="17.25" x14ac:dyDescent="0.3">
      <c r="A46" s="39">
        <v>14104839</v>
      </c>
      <c r="B46" s="40" t="s">
        <v>226</v>
      </c>
      <c r="C46" s="41" t="s">
        <v>619</v>
      </c>
      <c r="D46" s="41" t="s">
        <v>3</v>
      </c>
      <c r="E46" s="59">
        <v>3.4191053307692312</v>
      </c>
      <c r="F46" s="59">
        <v>3.7240000000000002</v>
      </c>
      <c r="G46" s="60">
        <v>355.58</v>
      </c>
      <c r="H46" s="61"/>
    </row>
    <row r="47" spans="1:9" ht="17.25" x14ac:dyDescent="0.3">
      <c r="A47" s="39">
        <v>14104853</v>
      </c>
      <c r="B47" s="40" t="s">
        <v>185</v>
      </c>
      <c r="C47" s="41" t="s">
        <v>620</v>
      </c>
      <c r="D47" s="41" t="s">
        <v>3</v>
      </c>
      <c r="E47" s="59">
        <v>9.5058735769230776</v>
      </c>
      <c r="F47" s="59">
        <v>9.7357499999999995</v>
      </c>
      <c r="G47" s="60">
        <v>355.58</v>
      </c>
      <c r="H47" s="61"/>
    </row>
    <row r="48" spans="1:9" ht="17.25" x14ac:dyDescent="0.3">
      <c r="A48" s="39">
        <v>14104932</v>
      </c>
      <c r="B48" s="40" t="s">
        <v>43</v>
      </c>
      <c r="C48" s="41" t="s">
        <v>621</v>
      </c>
      <c r="D48" s="41" t="s">
        <v>3</v>
      </c>
      <c r="E48" s="59">
        <v>4.9931033192307694</v>
      </c>
      <c r="F48" s="59">
        <v>4.6529999999999996</v>
      </c>
      <c r="G48" s="60">
        <v>0</v>
      </c>
      <c r="H48" s="61"/>
    </row>
    <row r="49" spans="1:8" ht="17.25" x14ac:dyDescent="0.3">
      <c r="A49" s="39">
        <v>14104957</v>
      </c>
      <c r="B49" s="40" t="s">
        <v>308</v>
      </c>
      <c r="C49" s="41" t="s">
        <v>622</v>
      </c>
      <c r="D49" s="41" t="s">
        <v>3</v>
      </c>
      <c r="E49" s="59">
        <v>3.1</v>
      </c>
      <c r="F49" s="59">
        <v>3.4169999999999998</v>
      </c>
      <c r="G49" s="60">
        <v>355.58</v>
      </c>
      <c r="H49" s="61"/>
    </row>
    <row r="50" spans="1:8" ht="17.25" x14ac:dyDescent="0.3">
      <c r="A50" s="40">
        <v>14105437</v>
      </c>
      <c r="B50" s="40" t="s">
        <v>45</v>
      </c>
      <c r="C50" s="41" t="s">
        <v>623</v>
      </c>
      <c r="D50" s="41" t="s">
        <v>3</v>
      </c>
      <c r="E50" s="59">
        <v>4.1343214625</v>
      </c>
      <c r="F50" s="59">
        <v>3.9024999999999999</v>
      </c>
      <c r="G50" s="60">
        <v>355.58</v>
      </c>
      <c r="H50" s="61"/>
    </row>
    <row r="51" spans="1:8" ht="17.25" x14ac:dyDescent="0.3">
      <c r="A51" s="39">
        <v>14105531</v>
      </c>
      <c r="B51" s="40" t="s">
        <v>46</v>
      </c>
      <c r="C51" s="41" t="s">
        <v>624</v>
      </c>
      <c r="D51" s="41" t="s">
        <v>3</v>
      </c>
      <c r="E51" s="59">
        <v>10.54</v>
      </c>
      <c r="F51" s="59">
        <v>9.1875</v>
      </c>
      <c r="G51" s="60">
        <v>0</v>
      </c>
      <c r="H51" s="61"/>
    </row>
    <row r="52" spans="1:8" ht="17.25" x14ac:dyDescent="0.3">
      <c r="A52" s="39">
        <v>14105586</v>
      </c>
      <c r="B52" s="40" t="s">
        <v>47</v>
      </c>
      <c r="C52" s="41" t="s">
        <v>625</v>
      </c>
      <c r="D52" s="41" t="s">
        <v>3</v>
      </c>
      <c r="E52" s="59">
        <v>4.0616272499999999</v>
      </c>
      <c r="F52" s="59">
        <v>3.9965000000000002</v>
      </c>
      <c r="G52" s="60">
        <v>355.58</v>
      </c>
      <c r="H52" s="61"/>
    </row>
    <row r="53" spans="1:8" ht="17.25" x14ac:dyDescent="0.3">
      <c r="A53" s="39">
        <v>14105645</v>
      </c>
      <c r="B53" s="40" t="s">
        <v>161</v>
      </c>
      <c r="C53" s="41" t="s">
        <v>626</v>
      </c>
      <c r="D53" s="41" t="s">
        <v>3</v>
      </c>
      <c r="E53" s="59">
        <v>3.7338981893939391</v>
      </c>
      <c r="F53" s="59">
        <v>3.6030000000000002</v>
      </c>
      <c r="G53" s="60">
        <v>0</v>
      </c>
      <c r="H53" s="61"/>
    </row>
    <row r="54" spans="1:8" ht="17.25" x14ac:dyDescent="0.3">
      <c r="A54" s="39">
        <v>14106033</v>
      </c>
      <c r="B54" s="40" t="s">
        <v>48</v>
      </c>
      <c r="C54" s="41" t="s">
        <v>627</v>
      </c>
      <c r="D54" s="41" t="s">
        <v>3</v>
      </c>
      <c r="E54" s="59">
        <v>3.55</v>
      </c>
      <c r="F54" s="59">
        <v>3.765333333333333</v>
      </c>
      <c r="G54" s="60">
        <v>355.58</v>
      </c>
      <c r="H54" s="61"/>
    </row>
    <row r="55" spans="1:8" ht="17.25" x14ac:dyDescent="0.3">
      <c r="A55" s="39">
        <v>14106035</v>
      </c>
      <c r="B55" s="40" t="s">
        <v>49</v>
      </c>
      <c r="C55" s="41" t="s">
        <v>2573</v>
      </c>
      <c r="D55" s="41" t="s">
        <v>3</v>
      </c>
      <c r="E55" s="59"/>
      <c r="F55" s="59" t="e">
        <v>#N/A</v>
      </c>
      <c r="G55" s="60"/>
      <c r="H55" s="61"/>
    </row>
    <row r="56" spans="1:8" ht="17.25" x14ac:dyDescent="0.3">
      <c r="A56" s="39">
        <v>14106066</v>
      </c>
      <c r="B56" s="40" t="s">
        <v>50</v>
      </c>
      <c r="C56" s="41" t="s">
        <v>628</v>
      </c>
      <c r="D56" s="41" t="s">
        <v>3</v>
      </c>
      <c r="E56" s="59">
        <v>9.9629711377289389</v>
      </c>
      <c r="F56" s="59">
        <v>8.5343333333333344</v>
      </c>
      <c r="G56" s="60">
        <v>0</v>
      </c>
      <c r="H56" s="61"/>
    </row>
    <row r="57" spans="1:8" ht="17.25" x14ac:dyDescent="0.3">
      <c r="A57" s="39">
        <v>14106233</v>
      </c>
      <c r="B57" s="48" t="s">
        <v>347</v>
      </c>
      <c r="C57" s="41" t="s">
        <v>629</v>
      </c>
      <c r="D57" s="41" t="s">
        <v>3</v>
      </c>
      <c r="E57" s="59" t="s">
        <v>925</v>
      </c>
      <c r="F57" s="59" t="s">
        <v>925</v>
      </c>
      <c r="G57" s="60">
        <v>355.58</v>
      </c>
      <c r="H57" s="61"/>
    </row>
    <row r="58" spans="1:8" ht="17.25" x14ac:dyDescent="0.3">
      <c r="A58" s="39">
        <v>14106368</v>
      </c>
      <c r="B58" s="48" t="s">
        <v>51</v>
      </c>
      <c r="C58" s="41" t="s">
        <v>630</v>
      </c>
      <c r="D58" s="41" t="s">
        <v>3</v>
      </c>
      <c r="E58" s="59">
        <v>4.4326521230769229</v>
      </c>
      <c r="F58" s="59">
        <v>4.4154999999999998</v>
      </c>
      <c r="G58" s="60">
        <v>355.58</v>
      </c>
      <c r="H58" s="61"/>
    </row>
    <row r="59" spans="1:8" ht="17.25" x14ac:dyDescent="0.3">
      <c r="A59" s="39">
        <v>14106438</v>
      </c>
      <c r="B59" s="40" t="s">
        <v>52</v>
      </c>
      <c r="C59" s="41" t="s">
        <v>631</v>
      </c>
      <c r="D59" s="41" t="s">
        <v>3</v>
      </c>
      <c r="E59" s="59">
        <v>3.5516893205128213</v>
      </c>
      <c r="F59" s="59">
        <v>3.0925000000000002</v>
      </c>
      <c r="G59" s="60">
        <v>0</v>
      </c>
      <c r="H59" s="61"/>
    </row>
    <row r="60" spans="1:8" ht="17.25" x14ac:dyDescent="0.3">
      <c r="A60" s="39">
        <v>14106778</v>
      </c>
      <c r="B60" s="40" t="s">
        <v>53</v>
      </c>
      <c r="C60" s="41" t="s">
        <v>632</v>
      </c>
      <c r="D60" s="41" t="s">
        <v>3</v>
      </c>
      <c r="E60" s="59">
        <v>3.8204948807692314</v>
      </c>
      <c r="F60" s="59">
        <v>3.7010000000000001</v>
      </c>
      <c r="G60" s="60">
        <v>0</v>
      </c>
      <c r="H60" s="61"/>
    </row>
    <row r="61" spans="1:8" ht="17.25" x14ac:dyDescent="0.3">
      <c r="A61" s="39">
        <v>14106949</v>
      </c>
      <c r="B61" s="40" t="s">
        <v>54</v>
      </c>
      <c r="C61" s="41" t="s">
        <v>633</v>
      </c>
      <c r="D61" s="41" t="s">
        <v>3</v>
      </c>
      <c r="E61" s="59">
        <v>4.6202446423076928</v>
      </c>
      <c r="F61" s="59">
        <v>4.2969999999999997</v>
      </c>
      <c r="G61" s="60">
        <v>0</v>
      </c>
      <c r="H61" s="61"/>
    </row>
    <row r="62" spans="1:8" ht="17.25" x14ac:dyDescent="0.3">
      <c r="A62" s="39">
        <v>14106980</v>
      </c>
      <c r="B62" s="40" t="s">
        <v>55</v>
      </c>
      <c r="C62" s="41" t="s">
        <v>634</v>
      </c>
      <c r="D62" s="41" t="s">
        <v>3</v>
      </c>
      <c r="E62" s="59">
        <v>3.6795202365384614</v>
      </c>
      <c r="F62" s="59">
        <v>3.6873333333333331</v>
      </c>
      <c r="G62" s="60">
        <v>355.58</v>
      </c>
      <c r="H62" s="61"/>
    </row>
    <row r="63" spans="1:8" ht="17.25" x14ac:dyDescent="0.3">
      <c r="A63" s="39">
        <v>14107081</v>
      </c>
      <c r="B63" s="40" t="s">
        <v>56</v>
      </c>
      <c r="C63" s="41" t="s">
        <v>635</v>
      </c>
      <c r="D63" s="41" t="s">
        <v>3</v>
      </c>
      <c r="E63" s="59">
        <v>3.8358009852564097</v>
      </c>
      <c r="F63" s="59">
        <v>4.3819999999999997</v>
      </c>
      <c r="G63" s="60">
        <v>355.58</v>
      </c>
      <c r="H63" s="61"/>
    </row>
    <row r="64" spans="1:8" ht="17.25" x14ac:dyDescent="0.3">
      <c r="A64" s="39">
        <v>14107167</v>
      </c>
      <c r="B64" s="40" t="s">
        <v>57</v>
      </c>
      <c r="C64" s="41" t="s">
        <v>636</v>
      </c>
      <c r="D64" s="41" t="s">
        <v>3</v>
      </c>
      <c r="E64" s="59">
        <v>3.8162874153846151</v>
      </c>
      <c r="F64" s="59">
        <v>4.0693333333333337</v>
      </c>
      <c r="G64" s="60">
        <v>355.58</v>
      </c>
      <c r="H64" s="61"/>
    </row>
    <row r="65" spans="1:8" ht="17.25" x14ac:dyDescent="0.3">
      <c r="A65" s="39">
        <v>14107202</v>
      </c>
      <c r="B65" s="40" t="s">
        <v>58</v>
      </c>
      <c r="C65" s="41" t="s">
        <v>637</v>
      </c>
      <c r="D65" s="41" t="s">
        <v>3</v>
      </c>
      <c r="E65" s="59">
        <v>3.3380521833333332</v>
      </c>
      <c r="F65" s="59">
        <v>4.1585000000000001</v>
      </c>
      <c r="G65" s="60">
        <v>355.58</v>
      </c>
      <c r="H65" s="61"/>
    </row>
    <row r="66" spans="1:8" ht="17.25" x14ac:dyDescent="0.3">
      <c r="A66" s="39">
        <v>14107206</v>
      </c>
      <c r="B66" s="40" t="s">
        <v>59</v>
      </c>
      <c r="C66" s="41" t="s">
        <v>638</v>
      </c>
      <c r="D66" s="41" t="s">
        <v>3</v>
      </c>
      <c r="E66" s="59">
        <v>3.9</v>
      </c>
      <c r="F66" s="59">
        <v>1.7749999999999999</v>
      </c>
      <c r="G66" s="60">
        <v>0</v>
      </c>
      <c r="H66" s="61"/>
    </row>
    <row r="67" spans="1:8" ht="17.25" x14ac:dyDescent="0.3">
      <c r="A67" s="39">
        <v>14107271</v>
      </c>
      <c r="B67" s="40" t="s">
        <v>61</v>
      </c>
      <c r="C67" s="41" t="s">
        <v>639</v>
      </c>
      <c r="D67" s="41" t="s">
        <v>3</v>
      </c>
      <c r="E67" s="59">
        <v>6.5421655958333345</v>
      </c>
      <c r="F67" s="59">
        <v>7.9820000000000002</v>
      </c>
      <c r="G67" s="60">
        <v>355.58</v>
      </c>
      <c r="H67" s="61"/>
    </row>
    <row r="68" spans="1:8" ht="17.25" x14ac:dyDescent="0.3">
      <c r="A68" s="39">
        <v>14107293</v>
      </c>
      <c r="B68" s="40" t="s">
        <v>196</v>
      </c>
      <c r="C68" s="41" t="s">
        <v>640</v>
      </c>
      <c r="D68" s="41" t="s">
        <v>3</v>
      </c>
      <c r="E68" s="59"/>
      <c r="F68" s="59" t="e">
        <v>#N/A</v>
      </c>
      <c r="G68" s="60"/>
      <c r="H68" s="61"/>
    </row>
    <row r="69" spans="1:8" ht="17.25" x14ac:dyDescent="0.3">
      <c r="A69" s="39">
        <v>14107393</v>
      </c>
      <c r="B69" s="40" t="s">
        <v>62</v>
      </c>
      <c r="C69" s="41" t="s">
        <v>641</v>
      </c>
      <c r="D69" s="41" t="s">
        <v>3</v>
      </c>
      <c r="E69" s="59">
        <v>4.1079667794871799</v>
      </c>
      <c r="F69" s="59">
        <v>4.0419999999999998</v>
      </c>
      <c r="G69" s="60">
        <v>0</v>
      </c>
      <c r="H69" s="61"/>
    </row>
    <row r="70" spans="1:8" ht="17.25" x14ac:dyDescent="0.3">
      <c r="A70" s="39">
        <v>14107484</v>
      </c>
      <c r="B70" s="40" t="s">
        <v>63</v>
      </c>
      <c r="C70" s="41" t="s">
        <v>642</v>
      </c>
      <c r="D70" s="41" t="s">
        <v>3</v>
      </c>
      <c r="E70" s="59">
        <v>4.8481517461538468</v>
      </c>
      <c r="F70" s="59">
        <v>4.8550000000000004</v>
      </c>
      <c r="G70" s="60">
        <v>355.58</v>
      </c>
      <c r="H70" s="61"/>
    </row>
    <row r="71" spans="1:8" ht="17.25" x14ac:dyDescent="0.3">
      <c r="A71" s="39">
        <v>14107552</v>
      </c>
      <c r="B71" s="40" t="s">
        <v>64</v>
      </c>
      <c r="C71" s="41" t="s">
        <v>643</v>
      </c>
      <c r="D71" s="41" t="s">
        <v>3</v>
      </c>
      <c r="E71" s="59">
        <v>4.4563435919047629</v>
      </c>
      <c r="F71" s="59">
        <v>4.4623999999999997</v>
      </c>
      <c r="G71" s="60">
        <v>355.58</v>
      </c>
      <c r="H71" s="61"/>
    </row>
    <row r="72" spans="1:8" ht="17.25" x14ac:dyDescent="0.3">
      <c r="A72" s="40">
        <v>14107735</v>
      </c>
      <c r="B72" s="40" t="s">
        <v>65</v>
      </c>
      <c r="C72" s="41" t="s">
        <v>644</v>
      </c>
      <c r="D72" s="41" t="s">
        <v>3</v>
      </c>
      <c r="E72" s="59"/>
      <c r="F72" s="59" t="e">
        <v>#N/A</v>
      </c>
      <c r="G72" s="60"/>
      <c r="H72" s="61"/>
    </row>
    <row r="73" spans="1:8" ht="17.25" x14ac:dyDescent="0.3">
      <c r="A73" s="39">
        <v>14107754</v>
      </c>
      <c r="B73" s="40" t="s">
        <v>66</v>
      </c>
      <c r="C73" s="41" t="s">
        <v>645</v>
      </c>
      <c r="D73" s="41" t="s">
        <v>3</v>
      </c>
      <c r="E73" s="59">
        <v>4.8052374680555561</v>
      </c>
      <c r="F73" s="59">
        <v>4.6549999999999994</v>
      </c>
      <c r="G73" s="60">
        <v>0</v>
      </c>
      <c r="H73" s="61"/>
    </row>
    <row r="74" spans="1:8" ht="17.25" x14ac:dyDescent="0.3">
      <c r="A74" s="39">
        <v>14107840</v>
      </c>
      <c r="B74" s="40" t="s">
        <v>67</v>
      </c>
      <c r="C74" s="41" t="s">
        <v>646</v>
      </c>
      <c r="D74" s="41" t="s">
        <v>3</v>
      </c>
      <c r="E74" s="59">
        <v>11.204975354166669</v>
      </c>
      <c r="F74" s="59">
        <v>12.835999999999999</v>
      </c>
      <c r="G74" s="60">
        <v>355.58</v>
      </c>
      <c r="H74" s="61"/>
    </row>
    <row r="75" spans="1:8" ht="17.25" x14ac:dyDescent="0.3">
      <c r="A75" s="39">
        <v>14107967</v>
      </c>
      <c r="B75" s="40" t="s">
        <v>68</v>
      </c>
      <c r="C75" s="41" t="s">
        <v>647</v>
      </c>
      <c r="D75" s="41" t="s">
        <v>3</v>
      </c>
      <c r="E75" s="59"/>
      <c r="F75" s="59" t="e">
        <v>#N/A</v>
      </c>
      <c r="G75" s="60"/>
      <c r="H75" s="61"/>
    </row>
    <row r="76" spans="1:8" ht="17.25" x14ac:dyDescent="0.3">
      <c r="A76" s="39">
        <v>14107978</v>
      </c>
      <c r="B76" s="40" t="s">
        <v>69</v>
      </c>
      <c r="C76" s="41" t="s">
        <v>648</v>
      </c>
      <c r="D76" s="41" t="s">
        <v>3</v>
      </c>
      <c r="E76" s="59">
        <v>4.3692556166666661</v>
      </c>
      <c r="F76" s="59">
        <v>4.6265000000000001</v>
      </c>
      <c r="G76" s="60">
        <v>355.58</v>
      </c>
      <c r="H76" s="61"/>
    </row>
    <row r="77" spans="1:8" ht="17.25" x14ac:dyDescent="0.3">
      <c r="A77" s="39">
        <v>14108111</v>
      </c>
      <c r="B77" s="40" t="s">
        <v>70</v>
      </c>
      <c r="C77" s="41" t="s">
        <v>649</v>
      </c>
      <c r="D77" s="41" t="s">
        <v>3</v>
      </c>
      <c r="E77" s="59">
        <v>3.55</v>
      </c>
      <c r="F77" s="59">
        <v>4.1263333333333341</v>
      </c>
      <c r="G77" s="60">
        <v>355.58</v>
      </c>
      <c r="H77" s="61"/>
    </row>
    <row r="78" spans="1:8" ht="17.25" x14ac:dyDescent="0.3">
      <c r="A78" s="39">
        <v>14108150</v>
      </c>
      <c r="B78" s="40" t="s">
        <v>71</v>
      </c>
      <c r="C78" s="41" t="s">
        <v>650</v>
      </c>
      <c r="D78" s="41" t="s">
        <v>3</v>
      </c>
      <c r="E78" s="59">
        <v>3.55</v>
      </c>
      <c r="F78" s="59">
        <v>3.3220000000000001</v>
      </c>
      <c r="G78" s="60">
        <v>0</v>
      </c>
      <c r="H78" s="61"/>
    </row>
    <row r="79" spans="1:8" ht="17.25" x14ac:dyDescent="0.3">
      <c r="A79" s="39">
        <v>14108222</v>
      </c>
      <c r="B79" s="40" t="s">
        <v>72</v>
      </c>
      <c r="C79" s="41" t="s">
        <v>652</v>
      </c>
      <c r="D79" s="41" t="s">
        <v>3</v>
      </c>
      <c r="E79" s="59">
        <v>3.7547560525641028</v>
      </c>
      <c r="F79" s="59">
        <v>3.1284999999999998</v>
      </c>
      <c r="G79" s="60">
        <v>0</v>
      </c>
      <c r="H79" s="61"/>
    </row>
    <row r="80" spans="1:8" ht="17.25" x14ac:dyDescent="0.3">
      <c r="A80" s="40">
        <v>14108267</v>
      </c>
      <c r="B80" s="40" t="s">
        <v>73</v>
      </c>
      <c r="C80" s="41" t="s">
        <v>653</v>
      </c>
      <c r="D80" s="41" t="s">
        <v>3</v>
      </c>
      <c r="E80" s="59">
        <v>7.7937372320512832</v>
      </c>
      <c r="F80" s="59">
        <v>8.3277499999999982</v>
      </c>
      <c r="G80" s="60">
        <v>711.16</v>
      </c>
      <c r="H80" s="61" t="s">
        <v>3693</v>
      </c>
    </row>
    <row r="81" spans="1:8" ht="17.25" x14ac:dyDescent="0.3">
      <c r="A81" s="39">
        <v>14108271</v>
      </c>
      <c r="B81" s="40" t="s">
        <v>74</v>
      </c>
      <c r="C81" s="41" t="s">
        <v>653</v>
      </c>
      <c r="D81" s="41" t="s">
        <v>3</v>
      </c>
      <c r="E81" s="59"/>
      <c r="F81" s="59" t="e">
        <v>#N/A</v>
      </c>
      <c r="G81" s="60"/>
      <c r="H81" s="61"/>
    </row>
    <row r="82" spans="1:8" ht="17.25" x14ac:dyDescent="0.3">
      <c r="A82" s="39">
        <v>14108361</v>
      </c>
      <c r="B82" s="48" t="s">
        <v>75</v>
      </c>
      <c r="C82" s="41" t="s">
        <v>654</v>
      </c>
      <c r="D82" s="41" t="s">
        <v>3</v>
      </c>
      <c r="E82" s="59">
        <v>7.9774986666666683</v>
      </c>
      <c r="F82" s="59">
        <v>5.6870000000000003</v>
      </c>
      <c r="G82" s="60">
        <v>0</v>
      </c>
      <c r="H82" s="61"/>
    </row>
    <row r="83" spans="1:8" ht="17.25" x14ac:dyDescent="0.3">
      <c r="A83" s="39">
        <v>14108382</v>
      </c>
      <c r="B83" s="40" t="s">
        <v>76</v>
      </c>
      <c r="C83" s="41" t="s">
        <v>654</v>
      </c>
      <c r="D83" s="41" t="s">
        <v>3</v>
      </c>
      <c r="E83" s="59">
        <v>8.82077688888889</v>
      </c>
      <c r="F83" s="59">
        <v>7.3049999999999997</v>
      </c>
      <c r="G83" s="60">
        <v>0</v>
      </c>
      <c r="H83" s="61"/>
    </row>
    <row r="84" spans="1:8" ht="17.25" x14ac:dyDescent="0.3">
      <c r="A84" s="39">
        <v>14108483</v>
      </c>
      <c r="B84" s="40" t="s">
        <v>77</v>
      </c>
      <c r="C84" s="41" t="s">
        <v>655</v>
      </c>
      <c r="D84" s="41" t="s">
        <v>3</v>
      </c>
      <c r="E84" s="59">
        <v>3.5514511166666658</v>
      </c>
      <c r="F84" s="59">
        <v>3.3450000000000002</v>
      </c>
      <c r="G84" s="60">
        <v>0</v>
      </c>
      <c r="H84" s="61"/>
    </row>
    <row r="85" spans="1:8" ht="17.25" x14ac:dyDescent="0.3">
      <c r="A85" s="39">
        <v>14108552</v>
      </c>
      <c r="B85" s="40" t="s">
        <v>314</v>
      </c>
      <c r="C85" s="41" t="s">
        <v>656</v>
      </c>
      <c r="D85" s="41" t="s">
        <v>3</v>
      </c>
      <c r="E85" s="59">
        <v>8.7869922599999999</v>
      </c>
      <c r="F85" s="59">
        <v>8.6033333333333335</v>
      </c>
      <c r="G85" s="60">
        <v>0</v>
      </c>
      <c r="H85" s="61"/>
    </row>
    <row r="86" spans="1:8" ht="17.25" x14ac:dyDescent="0.3">
      <c r="A86" s="39">
        <v>14108553</v>
      </c>
      <c r="B86" s="40" t="s">
        <v>156</v>
      </c>
      <c r="C86" s="41" t="s">
        <v>657</v>
      </c>
      <c r="D86" s="41" t="s">
        <v>3</v>
      </c>
      <c r="E86" s="59"/>
      <c r="F86" s="59" t="e">
        <v>#N/A</v>
      </c>
      <c r="G86" s="60"/>
      <c r="H86" s="61"/>
    </row>
    <row r="87" spans="1:8" ht="17.25" x14ac:dyDescent="0.3">
      <c r="A87" s="39">
        <v>14108571</v>
      </c>
      <c r="B87" s="40" t="s">
        <v>78</v>
      </c>
      <c r="C87" s="41" t="s">
        <v>658</v>
      </c>
      <c r="D87" s="41" t="s">
        <v>3</v>
      </c>
      <c r="E87" s="59">
        <v>4.4036493458333332</v>
      </c>
      <c r="F87" s="59">
        <v>4.375</v>
      </c>
      <c r="G87" s="60">
        <v>355.58</v>
      </c>
      <c r="H87" s="61"/>
    </row>
    <row r="88" spans="1:8" ht="17.25" x14ac:dyDescent="0.3">
      <c r="A88" s="39">
        <v>14108775</v>
      </c>
      <c r="B88" s="40" t="s">
        <v>182</v>
      </c>
      <c r="C88" s="41" t="s">
        <v>659</v>
      </c>
      <c r="D88" s="41" t="s">
        <v>3</v>
      </c>
      <c r="E88" s="59">
        <v>7.9219754166666663</v>
      </c>
      <c r="F88" s="59">
        <v>7.9169999999999998</v>
      </c>
      <c r="G88" s="60">
        <v>355.58</v>
      </c>
      <c r="H88" s="61"/>
    </row>
    <row r="89" spans="1:8" ht="17.25" x14ac:dyDescent="0.3">
      <c r="A89" s="39">
        <v>14108828</v>
      </c>
      <c r="B89" s="40" t="s">
        <v>227</v>
      </c>
      <c r="C89" s="41" t="s">
        <v>619</v>
      </c>
      <c r="D89" s="41" t="s">
        <v>3</v>
      </c>
      <c r="E89" s="59">
        <v>10.74459275486111</v>
      </c>
      <c r="F89" s="59">
        <v>9.6199999999999992</v>
      </c>
      <c r="G89" s="60">
        <v>0</v>
      </c>
      <c r="H89" s="61"/>
    </row>
    <row r="90" spans="1:8" ht="17.25" x14ac:dyDescent="0.3">
      <c r="A90" s="39">
        <v>14108916</v>
      </c>
      <c r="B90" s="40" t="s">
        <v>80</v>
      </c>
      <c r="C90" s="41" t="s">
        <v>660</v>
      </c>
      <c r="D90" s="41" t="s">
        <v>3</v>
      </c>
      <c r="E90" s="59">
        <v>4.6175667730769243</v>
      </c>
      <c r="F90" s="59">
        <v>4.3885000000000005</v>
      </c>
      <c r="G90" s="60">
        <v>0</v>
      </c>
      <c r="H90" s="61"/>
    </row>
    <row r="91" spans="1:8" ht="17.25" x14ac:dyDescent="0.3">
      <c r="A91" s="39">
        <v>14109032</v>
      </c>
      <c r="B91" s="40" t="s">
        <v>81</v>
      </c>
      <c r="C91" s="41" t="s">
        <v>661</v>
      </c>
      <c r="D91" s="41" t="s">
        <v>3</v>
      </c>
      <c r="E91" s="59">
        <v>3.8710509000000002</v>
      </c>
      <c r="F91" s="59">
        <v>4.1100000000000003</v>
      </c>
      <c r="G91" s="60">
        <v>355.58</v>
      </c>
      <c r="H91" s="61"/>
    </row>
    <row r="92" spans="1:8" ht="17.25" x14ac:dyDescent="0.3">
      <c r="A92" s="39">
        <v>14109097</v>
      </c>
      <c r="B92" s="40" t="s">
        <v>82</v>
      </c>
      <c r="C92" s="41" t="s">
        <v>662</v>
      </c>
      <c r="D92" s="41" t="s">
        <v>3</v>
      </c>
      <c r="E92" s="59">
        <v>4.6120012694444439</v>
      </c>
      <c r="F92" s="59">
        <v>4.8580000000000005</v>
      </c>
      <c r="G92" s="60">
        <v>355.58</v>
      </c>
      <c r="H92" s="61"/>
    </row>
    <row r="93" spans="1:8" ht="17.25" x14ac:dyDescent="0.3">
      <c r="A93" s="39">
        <v>14109131</v>
      </c>
      <c r="B93" s="40" t="s">
        <v>83</v>
      </c>
      <c r="C93" s="41" t="s">
        <v>662</v>
      </c>
      <c r="D93" s="41" t="s">
        <v>3</v>
      </c>
      <c r="E93" s="59">
        <v>4.8132289653846154</v>
      </c>
      <c r="F93" s="59">
        <v>4.1500000000000004</v>
      </c>
      <c r="G93" s="60">
        <v>0</v>
      </c>
      <c r="H93" s="61"/>
    </row>
    <row r="94" spans="1:8" ht="17.25" x14ac:dyDescent="0.3">
      <c r="A94" s="39">
        <v>14109133</v>
      </c>
      <c r="B94" s="40" t="s">
        <v>84</v>
      </c>
      <c r="C94" s="41" t="s">
        <v>662</v>
      </c>
      <c r="D94" s="41" t="s">
        <v>3</v>
      </c>
      <c r="E94" s="59">
        <v>3.55</v>
      </c>
      <c r="F94" s="59">
        <v>3.238</v>
      </c>
      <c r="G94" s="60">
        <v>0</v>
      </c>
      <c r="H94" s="61"/>
    </row>
    <row r="95" spans="1:8" ht="17.25" x14ac:dyDescent="0.3">
      <c r="A95" s="39">
        <v>14109134</v>
      </c>
      <c r="B95" s="40" t="s">
        <v>85</v>
      </c>
      <c r="C95" s="41" t="s">
        <v>662</v>
      </c>
      <c r="D95" s="41" t="s">
        <v>3</v>
      </c>
      <c r="E95" s="59">
        <v>3.55</v>
      </c>
      <c r="F95" s="59">
        <v>4.2006666666666668</v>
      </c>
      <c r="G95" s="60">
        <v>355.58</v>
      </c>
      <c r="H95" s="61"/>
    </row>
    <row r="96" spans="1:8" ht="17.25" x14ac:dyDescent="0.3">
      <c r="A96" s="40">
        <v>14109378</v>
      </c>
      <c r="B96" s="40" t="s">
        <v>86</v>
      </c>
      <c r="C96" s="41" t="s">
        <v>663</v>
      </c>
      <c r="D96" s="41" t="s">
        <v>3</v>
      </c>
      <c r="E96" s="59">
        <v>4.3904208000000002</v>
      </c>
      <c r="F96" s="59">
        <v>4.4504999999999999</v>
      </c>
      <c r="G96" s="60">
        <v>355.58</v>
      </c>
      <c r="H96" s="61"/>
    </row>
    <row r="97" spans="1:9" ht="17.25" x14ac:dyDescent="0.3">
      <c r="A97" s="40">
        <v>14109408</v>
      </c>
      <c r="B97" s="40" t="s">
        <v>87</v>
      </c>
      <c r="C97" s="41" t="s">
        <v>664</v>
      </c>
      <c r="D97" s="41" t="s">
        <v>3</v>
      </c>
      <c r="E97" s="59">
        <v>9.5058735769230776</v>
      </c>
      <c r="F97" s="59">
        <v>9.6639999999999997</v>
      </c>
      <c r="G97" s="60">
        <v>355.58</v>
      </c>
      <c r="H97" s="61"/>
    </row>
    <row r="98" spans="1:9" ht="17.25" x14ac:dyDescent="0.3">
      <c r="A98" s="40">
        <v>14109435</v>
      </c>
      <c r="B98" s="40" t="s">
        <v>89</v>
      </c>
      <c r="C98" s="41" t="s">
        <v>665</v>
      </c>
      <c r="D98" s="41" t="s">
        <v>3</v>
      </c>
      <c r="E98" s="59"/>
      <c r="F98" s="59" t="e">
        <v>#N/A</v>
      </c>
      <c r="G98" s="60"/>
      <c r="H98" s="61"/>
    </row>
    <row r="99" spans="1:9" ht="17.25" x14ac:dyDescent="0.3">
      <c r="A99" s="40">
        <v>14109436</v>
      </c>
      <c r="B99" s="40" t="s">
        <v>371</v>
      </c>
      <c r="C99" s="41" t="s">
        <v>666</v>
      </c>
      <c r="D99" s="41" t="s">
        <v>3</v>
      </c>
      <c r="E99" s="59">
        <v>3.3040000000000003</v>
      </c>
      <c r="F99" s="59">
        <v>4.4675000000000002</v>
      </c>
      <c r="G99" s="60">
        <v>355.58</v>
      </c>
      <c r="H99" s="61"/>
    </row>
    <row r="100" spans="1:9" ht="17.25" x14ac:dyDescent="0.3">
      <c r="A100" s="39">
        <v>14109648</v>
      </c>
      <c r="B100" s="40" t="s">
        <v>214</v>
      </c>
      <c r="C100" s="41" t="s">
        <v>667</v>
      </c>
      <c r="D100" s="41" t="s">
        <v>3</v>
      </c>
      <c r="E100" s="59">
        <v>3.7345154249999997</v>
      </c>
      <c r="F100" s="59">
        <v>3.2786666666666666</v>
      </c>
      <c r="G100" s="60">
        <v>0</v>
      </c>
      <c r="H100" s="61"/>
    </row>
    <row r="101" spans="1:9" ht="17.25" x14ac:dyDescent="0.3">
      <c r="A101" s="39">
        <v>14109664</v>
      </c>
      <c r="B101" s="40" t="s">
        <v>90</v>
      </c>
      <c r="C101" s="41" t="s">
        <v>668</v>
      </c>
      <c r="D101" s="41" t="s">
        <v>3</v>
      </c>
      <c r="E101" s="59"/>
      <c r="F101" s="59" t="e">
        <v>#N/A</v>
      </c>
      <c r="G101" s="60"/>
      <c r="H101" s="61"/>
    </row>
    <row r="102" spans="1:9" ht="17.25" x14ac:dyDescent="0.3">
      <c r="A102" s="39">
        <v>14109674</v>
      </c>
      <c r="B102" s="40" t="s">
        <v>91</v>
      </c>
      <c r="C102" s="41" t="s">
        <v>669</v>
      </c>
      <c r="D102" s="41" t="s">
        <v>3</v>
      </c>
      <c r="E102" s="59">
        <v>8.8324602249999984</v>
      </c>
      <c r="F102" s="59">
        <v>9.6192499999999992</v>
      </c>
      <c r="G102" s="60">
        <v>355.58</v>
      </c>
      <c r="H102" s="61"/>
    </row>
    <row r="103" spans="1:9" ht="17.25" x14ac:dyDescent="0.3">
      <c r="A103" s="39">
        <v>14109677</v>
      </c>
      <c r="B103" s="40" t="s">
        <v>92</v>
      </c>
      <c r="C103" s="41" t="s">
        <v>669</v>
      </c>
      <c r="D103" s="41" t="s">
        <v>3</v>
      </c>
      <c r="E103" s="59"/>
      <c r="F103" s="59" t="e">
        <v>#N/A</v>
      </c>
      <c r="G103" s="60"/>
      <c r="H103" s="61"/>
    </row>
    <row r="104" spans="1:9" ht="17.25" x14ac:dyDescent="0.3">
      <c r="A104" s="39">
        <v>14109707</v>
      </c>
      <c r="B104" s="40" t="s">
        <v>93</v>
      </c>
      <c r="C104" s="41" t="s">
        <v>670</v>
      </c>
      <c r="D104" s="41" t="s">
        <v>3</v>
      </c>
      <c r="E104" s="59">
        <v>4.38</v>
      </c>
      <c r="F104" s="59">
        <v>4.6280000000000001</v>
      </c>
      <c r="G104" s="60">
        <v>355.58</v>
      </c>
      <c r="H104" s="61"/>
      <c r="I104" s="62"/>
    </row>
    <row r="105" spans="1:9" ht="17.25" x14ac:dyDescent="0.3">
      <c r="A105" s="40">
        <v>14109738</v>
      </c>
      <c r="B105" s="40" t="s">
        <v>94</v>
      </c>
      <c r="C105" s="41" t="s">
        <v>671</v>
      </c>
      <c r="D105" s="41" t="s">
        <v>3</v>
      </c>
      <c r="E105" s="59">
        <v>8.4256221904761919</v>
      </c>
      <c r="F105" s="59">
        <v>8.8446666666666669</v>
      </c>
      <c r="G105" s="60">
        <v>355.58</v>
      </c>
      <c r="H105" s="61"/>
    </row>
    <row r="106" spans="1:9" ht="17.25" x14ac:dyDescent="0.3">
      <c r="A106" s="40">
        <v>14109748</v>
      </c>
      <c r="B106" s="48" t="s">
        <v>95</v>
      </c>
      <c r="C106" s="41" t="s">
        <v>672</v>
      </c>
      <c r="D106" s="41" t="s">
        <v>3</v>
      </c>
      <c r="E106" s="59">
        <v>6.3</v>
      </c>
      <c r="F106" s="59">
        <v>6.3554999999999993</v>
      </c>
      <c r="G106" s="60">
        <f>355.58*3</f>
        <v>1066.74</v>
      </c>
      <c r="H106" s="61" t="s">
        <v>3694</v>
      </c>
    </row>
    <row r="107" spans="1:9" ht="17.25" x14ac:dyDescent="0.3">
      <c r="A107" s="39">
        <v>14109802</v>
      </c>
      <c r="B107" s="40" t="s">
        <v>96</v>
      </c>
      <c r="C107" s="41" t="s">
        <v>673</v>
      </c>
      <c r="D107" s="41" t="s">
        <v>3</v>
      </c>
      <c r="E107" s="59">
        <v>9.2786050192307687</v>
      </c>
      <c r="F107" s="59">
        <v>8.2826666666666657</v>
      </c>
      <c r="G107" s="60">
        <v>0</v>
      </c>
      <c r="H107" s="61"/>
    </row>
    <row r="108" spans="1:9" ht="17.25" x14ac:dyDescent="0.3">
      <c r="A108" s="39">
        <v>14109808</v>
      </c>
      <c r="B108" s="48" t="s">
        <v>97</v>
      </c>
      <c r="C108" s="41" t="s">
        <v>674</v>
      </c>
      <c r="D108" s="41" t="s">
        <v>3</v>
      </c>
      <c r="E108" s="59">
        <v>3.9</v>
      </c>
      <c r="F108" s="59">
        <v>2.83</v>
      </c>
      <c r="G108" s="60">
        <v>0</v>
      </c>
      <c r="H108" s="61"/>
    </row>
    <row r="109" spans="1:9" ht="17.25" x14ac:dyDescent="0.3">
      <c r="A109" s="40">
        <v>14109874</v>
      </c>
      <c r="B109" s="40" t="s">
        <v>98</v>
      </c>
      <c r="C109" s="41" t="s">
        <v>675</v>
      </c>
      <c r="D109" s="41" t="s">
        <v>3</v>
      </c>
      <c r="E109" s="59" t="s">
        <v>925</v>
      </c>
      <c r="F109" s="59" t="s">
        <v>925</v>
      </c>
      <c r="G109" s="60">
        <v>355.58</v>
      </c>
      <c r="H109" s="61"/>
      <c r="I109" s="62"/>
    </row>
    <row r="110" spans="1:9" ht="17.25" x14ac:dyDescent="0.3">
      <c r="A110" s="39">
        <v>14109948</v>
      </c>
      <c r="B110" s="40" t="s">
        <v>166</v>
      </c>
      <c r="C110" s="41" t="s">
        <v>676</v>
      </c>
      <c r="D110" s="41" t="s">
        <v>3</v>
      </c>
      <c r="E110" s="59">
        <v>3.2392683399999997</v>
      </c>
      <c r="F110" s="59">
        <v>2.9630000000000001</v>
      </c>
      <c r="G110" s="60">
        <v>0</v>
      </c>
      <c r="H110" s="61"/>
    </row>
    <row r="111" spans="1:9" ht="17.25" x14ac:dyDescent="0.3">
      <c r="A111" s="40">
        <v>14110039</v>
      </c>
      <c r="B111" s="40" t="s">
        <v>99</v>
      </c>
      <c r="C111" s="41" t="s">
        <v>677</v>
      </c>
      <c r="D111" s="41" t="s">
        <v>3</v>
      </c>
      <c r="E111" s="59"/>
      <c r="F111" s="59" t="e">
        <v>#N/A</v>
      </c>
      <c r="G111" s="60"/>
      <c r="H111" s="61"/>
    </row>
    <row r="112" spans="1:9" ht="17.25" x14ac:dyDescent="0.3">
      <c r="A112" s="39">
        <v>14110040</v>
      </c>
      <c r="B112" s="40" t="s">
        <v>100</v>
      </c>
      <c r="C112" s="41" t="s">
        <v>677</v>
      </c>
      <c r="D112" s="41" t="s">
        <v>3</v>
      </c>
      <c r="E112" s="59">
        <v>4.3873937969696977</v>
      </c>
      <c r="F112" s="59">
        <v>4.1999999999999993</v>
      </c>
      <c r="G112" s="60">
        <v>0</v>
      </c>
      <c r="H112" s="61"/>
    </row>
    <row r="113" spans="1:9" ht="17.25" x14ac:dyDescent="0.3">
      <c r="A113" s="39">
        <v>14110042</v>
      </c>
      <c r="B113" s="40" t="s">
        <v>335</v>
      </c>
      <c r="C113" s="41" t="s">
        <v>677</v>
      </c>
      <c r="D113" s="41" t="s">
        <v>3</v>
      </c>
      <c r="E113" s="59">
        <v>3.9</v>
      </c>
      <c r="F113" s="59">
        <v>4.2130000000000001</v>
      </c>
      <c r="G113" s="60">
        <v>355.58</v>
      </c>
      <c r="H113" s="61"/>
    </row>
    <row r="114" spans="1:9" ht="17.25" x14ac:dyDescent="0.3">
      <c r="A114" s="39">
        <v>14110044</v>
      </c>
      <c r="B114" s="40" t="s">
        <v>145</v>
      </c>
      <c r="C114" s="41" t="s">
        <v>678</v>
      </c>
      <c r="D114" s="41" t="s">
        <v>3</v>
      </c>
      <c r="E114" s="59">
        <v>4.6671508138888891</v>
      </c>
      <c r="F114" s="59">
        <v>4.8424999999999994</v>
      </c>
      <c r="G114" s="60">
        <v>355.58</v>
      </c>
      <c r="H114" s="61"/>
    </row>
    <row r="115" spans="1:9" ht="17.25" x14ac:dyDescent="0.3">
      <c r="A115" s="39">
        <v>14110292</v>
      </c>
      <c r="B115" s="40" t="s">
        <v>101</v>
      </c>
      <c r="C115" s="41" t="s">
        <v>679</v>
      </c>
      <c r="D115" s="41" t="s">
        <v>3</v>
      </c>
      <c r="E115" s="59"/>
      <c r="F115" s="59" t="e">
        <v>#N/A</v>
      </c>
      <c r="G115" s="60"/>
      <c r="H115" s="61"/>
    </row>
    <row r="116" spans="1:9" ht="17.25" x14ac:dyDescent="0.3">
      <c r="A116" s="39">
        <v>14110336</v>
      </c>
      <c r="B116" s="40" t="s">
        <v>983</v>
      </c>
      <c r="C116" s="41" t="s">
        <v>984</v>
      </c>
      <c r="D116" s="41" t="s">
        <v>3</v>
      </c>
      <c r="E116" s="59" t="s">
        <v>925</v>
      </c>
      <c r="F116" s="59" t="s">
        <v>925</v>
      </c>
      <c r="G116" s="60">
        <v>355.58</v>
      </c>
      <c r="H116" s="61"/>
    </row>
    <row r="117" spans="1:9" ht="17.25" x14ac:dyDescent="0.3">
      <c r="A117" s="40">
        <v>14110339</v>
      </c>
      <c r="B117" s="40" t="s">
        <v>102</v>
      </c>
      <c r="C117" s="41" t="s">
        <v>681</v>
      </c>
      <c r="D117" s="41" t="s">
        <v>3</v>
      </c>
      <c r="E117" s="59">
        <v>3.4214544435897429</v>
      </c>
      <c r="F117" s="59">
        <v>3.044</v>
      </c>
      <c r="G117" s="60">
        <v>0</v>
      </c>
      <c r="H117" s="61"/>
    </row>
    <row r="118" spans="1:9" ht="17.25" x14ac:dyDescent="0.3">
      <c r="A118" s="39">
        <v>14110465</v>
      </c>
      <c r="B118" s="40" t="s">
        <v>103</v>
      </c>
      <c r="C118" s="41" t="s">
        <v>682</v>
      </c>
      <c r="D118" s="41" t="s">
        <v>3</v>
      </c>
      <c r="E118" s="59">
        <v>3.5372917513888891</v>
      </c>
      <c r="F118" s="59">
        <v>3.7934999999999999</v>
      </c>
      <c r="G118" s="60">
        <v>355.58</v>
      </c>
      <c r="H118" s="61"/>
    </row>
    <row r="119" spans="1:9" ht="17.25" x14ac:dyDescent="0.3">
      <c r="A119" s="39">
        <v>14110506</v>
      </c>
      <c r="B119" s="40" t="s">
        <v>427</v>
      </c>
      <c r="C119" s="41" t="s">
        <v>683</v>
      </c>
      <c r="D119" s="41" t="s">
        <v>3</v>
      </c>
      <c r="E119" s="59">
        <v>3.5668812564102561</v>
      </c>
      <c r="F119" s="59">
        <v>4.1375000000000002</v>
      </c>
      <c r="G119" s="60">
        <v>355.58</v>
      </c>
      <c r="H119" s="61"/>
    </row>
    <row r="120" spans="1:9" ht="17.25" x14ac:dyDescent="0.3">
      <c r="A120" s="39">
        <v>14110512</v>
      </c>
      <c r="B120" s="40" t="s">
        <v>187</v>
      </c>
      <c r="C120" s="41" t="s">
        <v>684</v>
      </c>
      <c r="D120" s="41" t="s">
        <v>3</v>
      </c>
      <c r="E120" s="59">
        <v>3.9124224935897445</v>
      </c>
      <c r="F120" s="59">
        <v>3.4563333333333333</v>
      </c>
      <c r="G120" s="60">
        <v>0</v>
      </c>
      <c r="H120" s="61"/>
    </row>
    <row r="121" spans="1:9" ht="17.25" x14ac:dyDescent="0.3">
      <c r="A121" s="39">
        <v>14110550</v>
      </c>
      <c r="B121" s="40" t="s">
        <v>104</v>
      </c>
      <c r="C121" s="41" t="s">
        <v>685</v>
      </c>
      <c r="D121" s="41" t="s">
        <v>3</v>
      </c>
      <c r="E121" s="59">
        <v>9.9249078749999988</v>
      </c>
      <c r="F121" s="59">
        <v>9.0180000000000007</v>
      </c>
      <c r="G121" s="60">
        <v>0</v>
      </c>
      <c r="H121" s="61"/>
    </row>
    <row r="122" spans="1:9" ht="17.25" x14ac:dyDescent="0.3">
      <c r="A122" s="39">
        <v>14110604</v>
      </c>
      <c r="B122" s="48" t="s">
        <v>336</v>
      </c>
      <c r="C122" s="41" t="s">
        <v>686</v>
      </c>
      <c r="D122" s="41" t="s">
        <v>3</v>
      </c>
      <c r="E122" s="59">
        <v>8.3873394794871796</v>
      </c>
      <c r="F122" s="59">
        <v>8.6809999999999992</v>
      </c>
      <c r="G122" s="60">
        <v>355.58</v>
      </c>
      <c r="H122" s="61"/>
      <c r="I122" s="62"/>
    </row>
    <row r="123" spans="1:9" ht="17.25" x14ac:dyDescent="0.3">
      <c r="A123" s="40">
        <v>14110707</v>
      </c>
      <c r="B123" s="40" t="s">
        <v>268</v>
      </c>
      <c r="C123" s="41" t="s">
        <v>687</v>
      </c>
      <c r="D123" s="41" t="s">
        <v>3</v>
      </c>
      <c r="E123" s="59">
        <v>7.5587154508241756</v>
      </c>
      <c r="F123" s="59">
        <v>7.512999999999999</v>
      </c>
      <c r="G123" s="60">
        <v>355.58</v>
      </c>
      <c r="H123" s="61"/>
    </row>
    <row r="124" spans="1:9" ht="17.25" x14ac:dyDescent="0.3">
      <c r="A124" s="39">
        <v>14110761</v>
      </c>
      <c r="B124" s="40" t="s">
        <v>105</v>
      </c>
      <c r="C124" s="41" t="s">
        <v>689</v>
      </c>
      <c r="D124" s="41" t="s">
        <v>3</v>
      </c>
      <c r="E124" s="59">
        <v>4.573605802564102</v>
      </c>
      <c r="F124" s="59">
        <v>4.8489999999999993</v>
      </c>
      <c r="G124" s="60">
        <v>355.58</v>
      </c>
      <c r="H124" s="61"/>
    </row>
    <row r="125" spans="1:9" ht="17.25" x14ac:dyDescent="0.3">
      <c r="A125" s="40">
        <v>14110765</v>
      </c>
      <c r="B125" s="40" t="s">
        <v>106</v>
      </c>
      <c r="C125" s="41" t="s">
        <v>689</v>
      </c>
      <c r="D125" s="41" t="s">
        <v>3</v>
      </c>
      <c r="E125" s="59">
        <v>6.3624081636363634</v>
      </c>
      <c r="F125" s="59">
        <v>9.0775000000000006</v>
      </c>
      <c r="G125" s="60">
        <v>355.58</v>
      </c>
      <c r="H125" s="61"/>
    </row>
    <row r="126" spans="1:9" ht="17.25" x14ac:dyDescent="0.3">
      <c r="A126" s="39">
        <v>14110799</v>
      </c>
      <c r="B126" s="40" t="s">
        <v>462</v>
      </c>
      <c r="C126" s="41" t="s">
        <v>612</v>
      </c>
      <c r="D126" s="41" t="s">
        <v>3</v>
      </c>
      <c r="E126" s="59">
        <v>4.4629455292307689</v>
      </c>
      <c r="F126" s="59">
        <v>4.4604999999999997</v>
      </c>
      <c r="G126" s="60">
        <v>355.58</v>
      </c>
      <c r="H126" s="61"/>
    </row>
    <row r="127" spans="1:9" ht="17.25" x14ac:dyDescent="0.3">
      <c r="A127" s="39">
        <v>14110929</v>
      </c>
      <c r="B127" s="40" t="s">
        <v>183</v>
      </c>
      <c r="C127" s="41" t="s">
        <v>659</v>
      </c>
      <c r="D127" s="41" t="s">
        <v>3</v>
      </c>
      <c r="E127" s="59">
        <v>4.3345068679487193</v>
      </c>
      <c r="F127" s="59">
        <v>3.4485000000000001</v>
      </c>
      <c r="G127" s="60">
        <v>0</v>
      </c>
      <c r="H127" s="61"/>
    </row>
    <row r="128" spans="1:9" ht="17.25" x14ac:dyDescent="0.3">
      <c r="A128" s="39">
        <v>14110973</v>
      </c>
      <c r="B128" s="48" t="s">
        <v>107</v>
      </c>
      <c r="C128" s="41" t="s">
        <v>690</v>
      </c>
      <c r="D128" s="41" t="s">
        <v>3</v>
      </c>
      <c r="E128" s="59">
        <v>3.984360679166667</v>
      </c>
      <c r="F128" s="59">
        <v>3.9969999999999999</v>
      </c>
      <c r="G128" s="60">
        <v>355.58</v>
      </c>
      <c r="H128" s="61"/>
    </row>
    <row r="129" spans="1:9" ht="17.25" x14ac:dyDescent="0.3">
      <c r="A129" s="39">
        <v>14110974</v>
      </c>
      <c r="B129" s="40" t="s">
        <v>108</v>
      </c>
      <c r="C129" s="41" t="s">
        <v>690</v>
      </c>
      <c r="D129" s="41" t="s">
        <v>3</v>
      </c>
      <c r="E129" s="59"/>
      <c r="F129" s="59" t="e">
        <v>#N/A</v>
      </c>
      <c r="G129" s="60"/>
      <c r="H129" s="61"/>
    </row>
    <row r="130" spans="1:9" ht="17.25" x14ac:dyDescent="0.3">
      <c r="A130" s="40">
        <v>14110978</v>
      </c>
      <c r="B130" s="40" t="s">
        <v>109</v>
      </c>
      <c r="C130" s="41" t="s">
        <v>690</v>
      </c>
      <c r="D130" s="41" t="s">
        <v>3</v>
      </c>
      <c r="E130" s="59">
        <v>4.2003433181818179</v>
      </c>
      <c r="F130" s="59">
        <v>3.891</v>
      </c>
      <c r="G130" s="60">
        <v>0</v>
      </c>
      <c r="H130" s="61"/>
    </row>
    <row r="131" spans="1:9" ht="17.25" x14ac:dyDescent="0.3">
      <c r="A131" s="39">
        <v>14111143</v>
      </c>
      <c r="B131" s="40" t="s">
        <v>110</v>
      </c>
      <c r="C131" s="41" t="s">
        <v>691</v>
      </c>
      <c r="D131" s="41" t="s">
        <v>3</v>
      </c>
      <c r="E131" s="59">
        <v>3.4876689551282047</v>
      </c>
      <c r="F131" s="59">
        <v>3.26</v>
      </c>
      <c r="G131" s="60">
        <v>0</v>
      </c>
      <c r="H131" s="61"/>
    </row>
    <row r="132" spans="1:9" ht="17.25" x14ac:dyDescent="0.3">
      <c r="A132" s="39">
        <v>14111266</v>
      </c>
      <c r="B132" s="40" t="s">
        <v>111</v>
      </c>
      <c r="C132" s="41" t="s">
        <v>692</v>
      </c>
      <c r="D132" s="41" t="s">
        <v>3</v>
      </c>
      <c r="E132" s="59">
        <v>4.2872707954545453</v>
      </c>
      <c r="F132" s="59">
        <v>3.8263333333333329</v>
      </c>
      <c r="G132" s="60">
        <v>0</v>
      </c>
      <c r="H132" s="61"/>
    </row>
    <row r="133" spans="1:9" ht="17.25" x14ac:dyDescent="0.3">
      <c r="A133" s="39">
        <v>14111557</v>
      </c>
      <c r="B133" s="40" t="s">
        <v>112</v>
      </c>
      <c r="C133" s="41" t="s">
        <v>693</v>
      </c>
      <c r="D133" s="41" t="s">
        <v>3</v>
      </c>
      <c r="E133" s="59">
        <v>3.9</v>
      </c>
      <c r="F133" s="59">
        <v>3.5430000000000001</v>
      </c>
      <c r="G133" s="60">
        <v>0</v>
      </c>
      <c r="H133" s="61"/>
    </row>
    <row r="134" spans="1:9" ht="17.25" x14ac:dyDescent="0.3">
      <c r="A134" s="39">
        <v>14111675</v>
      </c>
      <c r="B134" s="48" t="s">
        <v>113</v>
      </c>
      <c r="C134" s="41" t="s">
        <v>694</v>
      </c>
      <c r="D134" s="41" t="s">
        <v>3</v>
      </c>
      <c r="E134" s="59">
        <v>3.67</v>
      </c>
      <c r="F134" s="59">
        <v>4.5880000000000001</v>
      </c>
      <c r="G134" s="60">
        <v>355.58</v>
      </c>
      <c r="H134" s="61"/>
    </row>
    <row r="135" spans="1:9" ht="17.25" x14ac:dyDescent="0.3">
      <c r="A135" s="40">
        <v>14111678</v>
      </c>
      <c r="B135" s="40" t="s">
        <v>284</v>
      </c>
      <c r="C135" s="41" t="s">
        <v>695</v>
      </c>
      <c r="D135" s="41" t="s">
        <v>3</v>
      </c>
      <c r="E135" s="59" t="s">
        <v>925</v>
      </c>
      <c r="F135" s="59" t="s">
        <v>925</v>
      </c>
      <c r="G135" s="60">
        <v>355.58</v>
      </c>
      <c r="H135" s="61"/>
    </row>
    <row r="136" spans="1:9" ht="17.25" x14ac:dyDescent="0.3">
      <c r="A136" s="39">
        <v>14111754</v>
      </c>
      <c r="B136" s="40" t="s">
        <v>316</v>
      </c>
      <c r="C136" s="41" t="s">
        <v>696</v>
      </c>
      <c r="D136" s="41" t="s">
        <v>3</v>
      </c>
      <c r="E136" s="59">
        <v>3.4046249999999998</v>
      </c>
      <c r="F136" s="59">
        <v>3.2605</v>
      </c>
      <c r="G136" s="60">
        <v>0</v>
      </c>
      <c r="H136" s="61"/>
    </row>
    <row r="137" spans="1:9" ht="17.25" x14ac:dyDescent="0.3">
      <c r="A137" s="39">
        <v>14112026</v>
      </c>
      <c r="B137" s="40" t="s">
        <v>114</v>
      </c>
      <c r="C137" s="41" t="s">
        <v>697</v>
      </c>
      <c r="D137" s="41" t="s">
        <v>3</v>
      </c>
      <c r="E137" s="59">
        <v>4.054580575641026</v>
      </c>
      <c r="F137" s="59">
        <v>4.5075000000000003</v>
      </c>
      <c r="G137" s="60">
        <v>355.58</v>
      </c>
      <c r="H137" s="61"/>
    </row>
    <row r="138" spans="1:9" ht="17.25" x14ac:dyDescent="0.3">
      <c r="A138" s="39">
        <v>14112124</v>
      </c>
      <c r="B138" s="40" t="s">
        <v>251</v>
      </c>
      <c r="C138" s="41" t="s">
        <v>698</v>
      </c>
      <c r="D138" s="41" t="s">
        <v>3</v>
      </c>
      <c r="E138" s="59">
        <v>3.8341116935897444</v>
      </c>
      <c r="F138" s="59">
        <v>3.99</v>
      </c>
      <c r="G138" s="60">
        <v>355.58</v>
      </c>
      <c r="H138" s="61"/>
    </row>
    <row r="139" spans="1:9" ht="17.25" x14ac:dyDescent="0.3">
      <c r="A139" s="39">
        <v>14112174</v>
      </c>
      <c r="B139" s="40" t="s">
        <v>115</v>
      </c>
      <c r="C139" s="41" t="s">
        <v>699</v>
      </c>
      <c r="D139" s="41" t="s">
        <v>3</v>
      </c>
      <c r="E139" s="59">
        <v>3.3152766307692305</v>
      </c>
      <c r="F139" s="59">
        <v>3.5209999999999999</v>
      </c>
      <c r="G139" s="60">
        <v>355.58</v>
      </c>
      <c r="H139" s="61"/>
    </row>
    <row r="140" spans="1:9" ht="17.25" x14ac:dyDescent="0.3">
      <c r="A140" s="39">
        <v>14112197</v>
      </c>
      <c r="B140" s="40" t="s">
        <v>244</v>
      </c>
      <c r="C140" s="41" t="s">
        <v>700</v>
      </c>
      <c r="D140" s="41" t="s">
        <v>3</v>
      </c>
      <c r="E140" s="59">
        <v>4.4152015416666668</v>
      </c>
      <c r="F140" s="59">
        <v>4.0663999999999998</v>
      </c>
      <c r="G140" s="60">
        <v>0</v>
      </c>
      <c r="H140" s="61"/>
    </row>
    <row r="141" spans="1:9" ht="17.25" x14ac:dyDescent="0.3">
      <c r="A141" s="39">
        <v>14112292</v>
      </c>
      <c r="B141" s="48" t="s">
        <v>195</v>
      </c>
      <c r="C141" s="41" t="s">
        <v>701</v>
      </c>
      <c r="D141" s="41" t="s">
        <v>3</v>
      </c>
      <c r="E141" s="59">
        <v>3.9916385777777776</v>
      </c>
      <c r="F141" s="59">
        <v>4.3120000000000003</v>
      </c>
      <c r="G141" s="60">
        <v>355.58</v>
      </c>
      <c r="H141" s="61"/>
    </row>
    <row r="142" spans="1:9" ht="17.25" x14ac:dyDescent="0.3">
      <c r="A142" s="40">
        <v>14112449</v>
      </c>
      <c r="B142" s="40" t="s">
        <v>197</v>
      </c>
      <c r="C142" s="41" t="s">
        <v>702</v>
      </c>
      <c r="D142" s="41" t="s">
        <v>3</v>
      </c>
      <c r="E142" s="59">
        <v>3.55</v>
      </c>
      <c r="F142" s="59">
        <v>3.8123333333333331</v>
      </c>
      <c r="G142" s="60">
        <v>355.58</v>
      </c>
      <c r="H142" s="61"/>
    </row>
    <row r="143" spans="1:9" ht="17.25" x14ac:dyDescent="0.3">
      <c r="A143" s="39">
        <v>14112588</v>
      </c>
      <c r="B143" s="40" t="s">
        <v>935</v>
      </c>
      <c r="C143" s="41" t="s">
        <v>936</v>
      </c>
      <c r="D143" s="41" t="s">
        <v>3</v>
      </c>
      <c r="E143" s="59" t="s">
        <v>925</v>
      </c>
      <c r="F143" s="59" t="s">
        <v>925</v>
      </c>
      <c r="G143" s="60">
        <v>355.58</v>
      </c>
      <c r="H143" s="61"/>
    </row>
    <row r="144" spans="1:9" ht="17.25" x14ac:dyDescent="0.3">
      <c r="A144" s="39">
        <v>14112591</v>
      </c>
      <c r="B144" s="40" t="s">
        <v>116</v>
      </c>
      <c r="C144" s="41" t="s">
        <v>624</v>
      </c>
      <c r="D144" s="41" t="s">
        <v>3</v>
      </c>
      <c r="E144" s="59"/>
      <c r="F144" s="59" t="e">
        <v>#N/A</v>
      </c>
      <c r="G144" s="60"/>
      <c r="H144" s="61"/>
      <c r="I144" s="62"/>
    </row>
    <row r="145" spans="1:8" ht="17.25" x14ac:dyDescent="0.3">
      <c r="A145" s="40">
        <v>14112592</v>
      </c>
      <c r="B145" s="40" t="s">
        <v>117</v>
      </c>
      <c r="C145" s="41" t="s">
        <v>624</v>
      </c>
      <c r="D145" s="41" t="s">
        <v>3</v>
      </c>
      <c r="E145" s="59">
        <v>4.3696389812500005</v>
      </c>
      <c r="F145" s="59">
        <v>4.4245000000000001</v>
      </c>
      <c r="G145" s="60">
        <v>355.58</v>
      </c>
      <c r="H145" s="61"/>
    </row>
    <row r="146" spans="1:8" ht="17.25" x14ac:dyDescent="0.3">
      <c r="A146" s="39">
        <v>14112595</v>
      </c>
      <c r="B146" s="40" t="s">
        <v>372</v>
      </c>
      <c r="C146" s="41" t="s">
        <v>666</v>
      </c>
      <c r="D146" s="41" t="s">
        <v>3</v>
      </c>
      <c r="E146" s="59">
        <v>3.5755624562500001</v>
      </c>
      <c r="F146" s="59">
        <v>4.1340000000000003</v>
      </c>
      <c r="G146" s="60">
        <v>355.58</v>
      </c>
      <c r="H146" s="61"/>
    </row>
    <row r="147" spans="1:8" ht="17.25" x14ac:dyDescent="0.3">
      <c r="A147" s="39">
        <v>14112597</v>
      </c>
      <c r="B147" s="48" t="s">
        <v>118</v>
      </c>
      <c r="C147" s="41" t="s">
        <v>703</v>
      </c>
      <c r="D147" s="41" t="s">
        <v>3</v>
      </c>
      <c r="E147" s="59">
        <v>3.88</v>
      </c>
      <c r="F147" s="59">
        <v>3.8886666666666669</v>
      </c>
      <c r="G147" s="60">
        <v>355.58</v>
      </c>
      <c r="H147" s="61"/>
    </row>
    <row r="148" spans="1:8" ht="17.25" x14ac:dyDescent="0.3">
      <c r="A148" s="39">
        <v>14112602</v>
      </c>
      <c r="B148" s="40" t="s">
        <v>119</v>
      </c>
      <c r="C148" s="41" t="s">
        <v>703</v>
      </c>
      <c r="D148" s="41" t="s">
        <v>3</v>
      </c>
      <c r="E148" s="59">
        <v>3.8315801083333327</v>
      </c>
      <c r="F148" s="59">
        <v>3.927</v>
      </c>
      <c r="G148" s="60">
        <v>355.58</v>
      </c>
      <c r="H148" s="61"/>
    </row>
    <row r="149" spans="1:8" ht="17.25" x14ac:dyDescent="0.3">
      <c r="A149" s="39">
        <v>14112603</v>
      </c>
      <c r="B149" s="40" t="s">
        <v>120</v>
      </c>
      <c r="C149" s="41" t="s">
        <v>703</v>
      </c>
      <c r="D149" s="41" t="s">
        <v>3</v>
      </c>
      <c r="E149" s="59">
        <v>4.267531773611112</v>
      </c>
      <c r="F149" s="59">
        <v>4.4109999999999996</v>
      </c>
      <c r="G149" s="60">
        <v>355.58</v>
      </c>
      <c r="H149" s="61"/>
    </row>
    <row r="150" spans="1:8" ht="17.25" x14ac:dyDescent="0.3">
      <c r="A150" s="39">
        <v>14112605</v>
      </c>
      <c r="B150" s="40" t="s">
        <v>121</v>
      </c>
      <c r="C150" s="41" t="s">
        <v>703</v>
      </c>
      <c r="D150" s="41" t="s">
        <v>3</v>
      </c>
      <c r="E150" s="59">
        <v>4.2377759583333336</v>
      </c>
      <c r="F150" s="59">
        <v>4.4429999999999996</v>
      </c>
      <c r="G150" s="60">
        <v>355.58</v>
      </c>
      <c r="H150" s="61"/>
    </row>
    <row r="151" spans="1:8" ht="17.25" x14ac:dyDescent="0.3">
      <c r="A151" s="39">
        <v>14112630</v>
      </c>
      <c r="B151" s="40" t="s">
        <v>122</v>
      </c>
      <c r="C151" s="41" t="s">
        <v>704</v>
      </c>
      <c r="D151" s="41" t="s">
        <v>3</v>
      </c>
      <c r="E151" s="59">
        <v>4.4832893902777773</v>
      </c>
      <c r="F151" s="59">
        <v>3.9935</v>
      </c>
      <c r="G151" s="60">
        <v>0</v>
      </c>
      <c r="H151" s="61"/>
    </row>
    <row r="152" spans="1:8" ht="17.25" x14ac:dyDescent="0.3">
      <c r="A152" s="39">
        <v>14112635</v>
      </c>
      <c r="B152" s="40" t="s">
        <v>985</v>
      </c>
      <c r="C152" s="41" t="s">
        <v>986</v>
      </c>
      <c r="D152" s="41" t="s">
        <v>3</v>
      </c>
      <c r="E152" s="59">
        <v>5.5447483410256417</v>
      </c>
      <c r="F152" s="59">
        <v>4.7779999999999996</v>
      </c>
      <c r="G152" s="60">
        <v>0</v>
      </c>
      <c r="H152" s="61"/>
    </row>
    <row r="153" spans="1:8" ht="17.25" x14ac:dyDescent="0.3">
      <c r="A153" s="40">
        <v>14112730</v>
      </c>
      <c r="B153" s="40" t="s">
        <v>281</v>
      </c>
      <c r="C153" s="41" t="s">
        <v>705</v>
      </c>
      <c r="D153" s="41" t="s">
        <v>3</v>
      </c>
      <c r="E153" s="59">
        <v>3.877441408974359</v>
      </c>
      <c r="F153" s="59">
        <v>3.6564999999999999</v>
      </c>
      <c r="G153" s="60">
        <v>0</v>
      </c>
      <c r="H153" s="61"/>
    </row>
    <row r="154" spans="1:8" ht="17.25" x14ac:dyDescent="0.3">
      <c r="A154" s="39">
        <v>14112757</v>
      </c>
      <c r="B154" s="40" t="s">
        <v>355</v>
      </c>
      <c r="C154" s="41" t="s">
        <v>706</v>
      </c>
      <c r="D154" s="41" t="s">
        <v>3</v>
      </c>
      <c r="E154" s="59" t="s">
        <v>925</v>
      </c>
      <c r="F154" s="59" t="s">
        <v>925</v>
      </c>
      <c r="G154" s="60">
        <v>355.58</v>
      </c>
      <c r="H154" s="61"/>
    </row>
    <row r="155" spans="1:8" ht="17.25" x14ac:dyDescent="0.3">
      <c r="A155" s="39">
        <v>14112962</v>
      </c>
      <c r="B155" s="40" t="s">
        <v>491</v>
      </c>
      <c r="C155" s="41" t="s">
        <v>707</v>
      </c>
      <c r="D155" s="41" t="s">
        <v>3</v>
      </c>
      <c r="E155" s="59"/>
      <c r="F155" s="59" t="e">
        <v>#N/A</v>
      </c>
      <c r="G155" s="60"/>
      <c r="H155" s="61"/>
    </row>
    <row r="156" spans="1:8" ht="17.25" x14ac:dyDescent="0.3">
      <c r="A156" s="39">
        <v>14113054</v>
      </c>
      <c r="B156" s="40" t="s">
        <v>123</v>
      </c>
      <c r="C156" s="41" t="s">
        <v>708</v>
      </c>
      <c r="D156" s="41" t="s">
        <v>3</v>
      </c>
      <c r="E156" s="59">
        <v>3.786414780555555</v>
      </c>
      <c r="F156" s="59">
        <v>4.0990000000000002</v>
      </c>
      <c r="G156" s="60">
        <v>355.58</v>
      </c>
      <c r="H156" s="61"/>
    </row>
    <row r="157" spans="1:8" ht="17.25" x14ac:dyDescent="0.3">
      <c r="A157" s="39">
        <v>14113056</v>
      </c>
      <c r="B157" s="40" t="s">
        <v>236</v>
      </c>
      <c r="C157" s="41" t="s">
        <v>709</v>
      </c>
      <c r="D157" s="41" t="s">
        <v>3</v>
      </c>
      <c r="E157" s="59">
        <v>3.6709675179487173</v>
      </c>
      <c r="F157" s="59">
        <v>3.7845</v>
      </c>
      <c r="G157" s="60">
        <v>355.58</v>
      </c>
      <c r="H157" s="61"/>
    </row>
    <row r="158" spans="1:8" ht="17.25" x14ac:dyDescent="0.3">
      <c r="A158" s="108">
        <v>14113140</v>
      </c>
      <c r="B158" s="109" t="s">
        <v>124</v>
      </c>
      <c r="C158" s="110" t="s">
        <v>710</v>
      </c>
      <c r="D158" s="110" t="s">
        <v>3</v>
      </c>
      <c r="E158" s="59">
        <v>4.5660018791666666</v>
      </c>
      <c r="F158" s="59">
        <v>4.6745000000000001</v>
      </c>
      <c r="G158" s="60">
        <v>355.58</v>
      </c>
      <c r="H158" s="61"/>
    </row>
    <row r="159" spans="1:8" ht="17.25" x14ac:dyDescent="0.3">
      <c r="A159" s="39">
        <v>14113146</v>
      </c>
      <c r="B159" s="40" t="s">
        <v>125</v>
      </c>
      <c r="C159" s="41" t="s">
        <v>710</v>
      </c>
      <c r="D159" s="41" t="s">
        <v>3</v>
      </c>
      <c r="E159" s="59">
        <v>6.69949701</v>
      </c>
      <c r="F159" s="59">
        <v>7.0229999999999997</v>
      </c>
      <c r="G159" s="60">
        <v>355.58</v>
      </c>
      <c r="H159" s="61"/>
    </row>
    <row r="160" spans="1:8" ht="17.25" x14ac:dyDescent="0.3">
      <c r="A160" s="39">
        <v>14113198</v>
      </c>
      <c r="B160" s="40" t="s">
        <v>215</v>
      </c>
      <c r="C160" s="41" t="s">
        <v>711</v>
      </c>
      <c r="D160" s="41" t="s">
        <v>3</v>
      </c>
      <c r="E160" s="59">
        <v>4.1571389205128204</v>
      </c>
      <c r="F160" s="59">
        <v>3.1855000000000002</v>
      </c>
      <c r="G160" s="60">
        <v>0</v>
      </c>
      <c r="H160" s="61"/>
    </row>
    <row r="161" spans="1:8" ht="17.25" x14ac:dyDescent="0.3">
      <c r="A161" s="39">
        <v>14113200</v>
      </c>
      <c r="B161" s="40" t="s">
        <v>126</v>
      </c>
      <c r="C161" s="41" t="s">
        <v>712</v>
      </c>
      <c r="D161" s="41" t="s">
        <v>3</v>
      </c>
      <c r="E161" s="59">
        <v>4.9184255397435894</v>
      </c>
      <c r="F161" s="59">
        <v>5.0846666666666671</v>
      </c>
      <c r="G161" s="60">
        <v>355.58</v>
      </c>
      <c r="H161" s="61"/>
    </row>
    <row r="162" spans="1:8" ht="17.25" x14ac:dyDescent="0.3">
      <c r="A162" s="39">
        <v>14113311</v>
      </c>
      <c r="B162" s="40" t="s">
        <v>127</v>
      </c>
      <c r="C162" s="41" t="s">
        <v>713</v>
      </c>
      <c r="D162" s="41" t="s">
        <v>3</v>
      </c>
      <c r="E162" s="59"/>
      <c r="F162" s="59" t="e">
        <v>#N/A</v>
      </c>
      <c r="G162" s="60"/>
      <c r="H162" s="61"/>
    </row>
    <row r="163" spans="1:8" ht="17.25" x14ac:dyDescent="0.3">
      <c r="A163" s="39">
        <v>14113317</v>
      </c>
      <c r="B163" s="40" t="s">
        <v>198</v>
      </c>
      <c r="C163" s="41" t="s">
        <v>714</v>
      </c>
      <c r="D163" s="41" t="s">
        <v>3</v>
      </c>
      <c r="E163" s="59"/>
      <c r="F163" s="59" t="e">
        <v>#N/A</v>
      </c>
      <c r="G163" s="60"/>
      <c r="H163" s="61"/>
    </row>
    <row r="164" spans="1:8" ht="17.25" x14ac:dyDescent="0.3">
      <c r="A164" s="39">
        <v>14113320</v>
      </c>
      <c r="B164" s="40" t="s">
        <v>128</v>
      </c>
      <c r="C164" s="41" t="s">
        <v>715</v>
      </c>
      <c r="D164" s="41" t="s">
        <v>3</v>
      </c>
      <c r="E164" s="59">
        <v>4.0735361144444449</v>
      </c>
      <c r="F164" s="59">
        <v>3.8302499999999995</v>
      </c>
      <c r="G164" s="60">
        <v>0</v>
      </c>
      <c r="H164" s="61"/>
    </row>
    <row r="165" spans="1:8" ht="17.25" x14ac:dyDescent="0.3">
      <c r="A165" s="39">
        <v>14113349</v>
      </c>
      <c r="B165" s="40" t="s">
        <v>129</v>
      </c>
      <c r="C165" s="41" t="s">
        <v>716</v>
      </c>
      <c r="D165" s="41" t="s">
        <v>3</v>
      </c>
      <c r="E165" s="59">
        <v>9.5304306249999993</v>
      </c>
      <c r="F165" s="59">
        <v>9.1576666666666675</v>
      </c>
      <c r="G165" s="60">
        <v>0</v>
      </c>
      <c r="H165" s="61"/>
    </row>
    <row r="166" spans="1:8" ht="17.25" x14ac:dyDescent="0.3">
      <c r="A166" s="39">
        <v>14113565</v>
      </c>
      <c r="B166" s="40" t="s">
        <v>130</v>
      </c>
      <c r="C166" s="41" t="s">
        <v>718</v>
      </c>
      <c r="D166" s="41" t="s">
        <v>3</v>
      </c>
      <c r="E166" s="59">
        <v>9.6703387999999997</v>
      </c>
      <c r="F166" s="59">
        <v>10.4335</v>
      </c>
      <c r="G166" s="60">
        <v>355.58</v>
      </c>
      <c r="H166" s="61"/>
    </row>
    <row r="167" spans="1:8" ht="17.25" x14ac:dyDescent="0.3">
      <c r="A167" s="39">
        <v>14113619</v>
      </c>
      <c r="B167" s="40" t="s">
        <v>131</v>
      </c>
      <c r="C167" s="41" t="s">
        <v>719</v>
      </c>
      <c r="D167" s="41" t="s">
        <v>3</v>
      </c>
      <c r="E167" s="59">
        <v>4.0199999999999996</v>
      </c>
      <c r="F167" s="59">
        <v>3.7709999999999999</v>
      </c>
      <c r="G167" s="60">
        <v>0</v>
      </c>
      <c r="H167" s="61"/>
    </row>
    <row r="168" spans="1:8" ht="17.25" x14ac:dyDescent="0.3">
      <c r="A168" s="40">
        <v>14113803</v>
      </c>
      <c r="B168" s="40" t="s">
        <v>299</v>
      </c>
      <c r="C168" s="41" t="s">
        <v>720</v>
      </c>
      <c r="D168" s="41" t="s">
        <v>3</v>
      </c>
      <c r="E168" s="59">
        <v>3.6795329435897441</v>
      </c>
      <c r="F168" s="59">
        <v>4.5065</v>
      </c>
      <c r="G168" s="60">
        <v>355.58</v>
      </c>
      <c r="H168" s="61"/>
    </row>
    <row r="169" spans="1:8" ht="17.25" x14ac:dyDescent="0.3">
      <c r="A169" s="39">
        <v>14113837</v>
      </c>
      <c r="B169" s="40" t="s">
        <v>132</v>
      </c>
      <c r="C169" s="41" t="s">
        <v>721</v>
      </c>
      <c r="D169" s="41" t="s">
        <v>3</v>
      </c>
      <c r="E169" s="59">
        <v>3.2871798897435904</v>
      </c>
      <c r="F169" s="59">
        <v>3.3955000000000002</v>
      </c>
      <c r="G169" s="60">
        <v>355.58</v>
      </c>
      <c r="H169" s="61"/>
    </row>
    <row r="170" spans="1:8" ht="17.25" x14ac:dyDescent="0.3">
      <c r="A170" s="39">
        <v>14114030</v>
      </c>
      <c r="B170" s="40" t="s">
        <v>133</v>
      </c>
      <c r="C170" s="41" t="s">
        <v>722</v>
      </c>
      <c r="D170" s="41" t="s">
        <v>3</v>
      </c>
      <c r="E170" s="59">
        <v>4.3039413958333332</v>
      </c>
      <c r="F170" s="59">
        <v>5.0839999999999996</v>
      </c>
      <c r="G170" s="60">
        <v>355.58</v>
      </c>
      <c r="H170" s="61"/>
    </row>
    <row r="171" spans="1:8" ht="17.25" x14ac:dyDescent="0.3">
      <c r="A171" s="39">
        <v>14114037</v>
      </c>
      <c r="B171" s="40" t="s">
        <v>184</v>
      </c>
      <c r="C171" s="41" t="s">
        <v>659</v>
      </c>
      <c r="D171" s="41" t="s">
        <v>3</v>
      </c>
      <c r="E171" s="59">
        <v>3.1512499999999997</v>
      </c>
      <c r="F171" s="59">
        <v>3.5003333333333333</v>
      </c>
      <c r="G171" s="60">
        <v>355.58</v>
      </c>
      <c r="H171" s="61"/>
    </row>
    <row r="172" spans="1:8" ht="17.25" x14ac:dyDescent="0.3">
      <c r="A172" s="40">
        <v>14114062</v>
      </c>
      <c r="B172" s="40" t="s">
        <v>134</v>
      </c>
      <c r="C172" s="41" t="s">
        <v>723</v>
      </c>
      <c r="D172" s="41" t="s">
        <v>3</v>
      </c>
      <c r="E172" s="59">
        <v>3.3313167708333329</v>
      </c>
      <c r="F172" s="59">
        <v>3.3079999999999998</v>
      </c>
      <c r="G172" s="60">
        <v>355.58</v>
      </c>
      <c r="H172" s="61"/>
    </row>
    <row r="173" spans="1:8" ht="17.25" x14ac:dyDescent="0.3">
      <c r="A173" s="39">
        <v>14114320</v>
      </c>
      <c r="B173" s="40" t="s">
        <v>317</v>
      </c>
      <c r="C173" s="41" t="s">
        <v>688</v>
      </c>
      <c r="D173" s="41" t="s">
        <v>3</v>
      </c>
      <c r="E173" s="59">
        <v>4.3942014624999999</v>
      </c>
      <c r="F173" s="59">
        <v>4.2600000000000007</v>
      </c>
      <c r="G173" s="60">
        <v>0</v>
      </c>
      <c r="H173" s="61"/>
    </row>
    <row r="174" spans="1:8" ht="17.25" x14ac:dyDescent="0.3">
      <c r="A174" s="39">
        <v>14114324</v>
      </c>
      <c r="B174" s="40" t="s">
        <v>348</v>
      </c>
      <c r="C174" s="41" t="s">
        <v>724</v>
      </c>
      <c r="D174" s="41" t="s">
        <v>3</v>
      </c>
      <c r="E174" s="59">
        <v>3.019986779166667</v>
      </c>
      <c r="F174" s="59">
        <v>2.6363333333333334</v>
      </c>
      <c r="G174" s="60">
        <v>0</v>
      </c>
      <c r="H174" s="61"/>
    </row>
    <row r="175" spans="1:8" ht="17.25" x14ac:dyDescent="0.3">
      <c r="A175" s="39">
        <v>14114330</v>
      </c>
      <c r="B175" s="40" t="s">
        <v>135</v>
      </c>
      <c r="C175" s="41" t="s">
        <v>725</v>
      </c>
      <c r="D175" s="41" t="s">
        <v>3</v>
      </c>
      <c r="E175" s="59">
        <v>4.4842390694444445</v>
      </c>
      <c r="F175" s="59">
        <v>4.6589999999999998</v>
      </c>
      <c r="G175" s="60">
        <v>355.58</v>
      </c>
      <c r="H175" s="61"/>
    </row>
    <row r="176" spans="1:8" ht="17.25" x14ac:dyDescent="0.3">
      <c r="A176" s="39">
        <v>14114431</v>
      </c>
      <c r="B176" s="40" t="s">
        <v>136</v>
      </c>
      <c r="C176" s="41" t="s">
        <v>726</v>
      </c>
      <c r="D176" s="41" t="s">
        <v>3</v>
      </c>
      <c r="E176" s="59">
        <v>5.4518252874999993</v>
      </c>
      <c r="F176" s="59">
        <v>5.375</v>
      </c>
      <c r="G176" s="60">
        <v>355.58</v>
      </c>
      <c r="H176" s="61"/>
    </row>
    <row r="177" spans="1:8" ht="17.25" x14ac:dyDescent="0.3">
      <c r="A177" s="39">
        <v>14114665</v>
      </c>
      <c r="B177" s="40" t="s">
        <v>137</v>
      </c>
      <c r="C177" s="41" t="s">
        <v>727</v>
      </c>
      <c r="D177" s="41" t="s">
        <v>3</v>
      </c>
      <c r="E177" s="59">
        <v>4.5823735368055551</v>
      </c>
      <c r="F177" s="59">
        <v>4.4239999999999995</v>
      </c>
      <c r="G177" s="60">
        <v>0</v>
      </c>
      <c r="H177" s="61"/>
    </row>
    <row r="178" spans="1:8" ht="17.25" x14ac:dyDescent="0.3">
      <c r="A178" s="39">
        <v>14114667</v>
      </c>
      <c r="B178" s="40" t="s">
        <v>138</v>
      </c>
      <c r="C178" s="41" t="s">
        <v>727</v>
      </c>
      <c r="D178" s="41" t="s">
        <v>3</v>
      </c>
      <c r="E178" s="59">
        <v>2.9505046027777779</v>
      </c>
      <c r="F178" s="59">
        <v>3.1083333333333329</v>
      </c>
      <c r="G178" s="60">
        <v>355.58</v>
      </c>
      <c r="H178" s="61"/>
    </row>
    <row r="179" spans="1:8" ht="17.25" x14ac:dyDescent="0.3">
      <c r="A179" s="39">
        <v>14114709</v>
      </c>
      <c r="B179" s="48" t="s">
        <v>139</v>
      </c>
      <c r="C179" s="41" t="s">
        <v>728</v>
      </c>
      <c r="D179" s="41" t="s">
        <v>3</v>
      </c>
      <c r="E179" s="59">
        <v>3.2206751124999999</v>
      </c>
      <c r="F179" s="59">
        <v>4.3129999999999997</v>
      </c>
      <c r="G179" s="60">
        <v>355.58</v>
      </c>
      <c r="H179" s="61"/>
    </row>
    <row r="180" spans="1:8" ht="17.25" x14ac:dyDescent="0.3">
      <c r="A180" s="40">
        <v>14115136</v>
      </c>
      <c r="B180" s="40" t="s">
        <v>140</v>
      </c>
      <c r="C180" s="41" t="s">
        <v>729</v>
      </c>
      <c r="D180" s="41" t="s">
        <v>3</v>
      </c>
      <c r="E180" s="59">
        <v>3.55</v>
      </c>
      <c r="F180" s="59">
        <v>3.934333333333333</v>
      </c>
      <c r="G180" s="60">
        <v>355.58</v>
      </c>
      <c r="H180" s="61"/>
    </row>
    <row r="181" spans="1:8" ht="17.25" x14ac:dyDescent="0.3">
      <c r="A181" s="39">
        <v>14115244</v>
      </c>
      <c r="B181" s="40" t="s">
        <v>141</v>
      </c>
      <c r="C181" s="41" t="s">
        <v>730</v>
      </c>
      <c r="D181" s="41" t="s">
        <v>3</v>
      </c>
      <c r="E181" s="59">
        <v>11.204975354166669</v>
      </c>
      <c r="F181" s="59">
        <v>12.628</v>
      </c>
      <c r="G181" s="60">
        <v>355.58</v>
      </c>
      <c r="H181" s="61"/>
    </row>
    <row r="182" spans="1:8" ht="17.25" x14ac:dyDescent="0.3">
      <c r="A182" s="39">
        <v>14115304</v>
      </c>
      <c r="B182" s="40" t="s">
        <v>142</v>
      </c>
      <c r="C182" s="41" t="s">
        <v>731</v>
      </c>
      <c r="D182" s="41" t="s">
        <v>3</v>
      </c>
      <c r="E182" s="59"/>
      <c r="F182" s="59" t="e">
        <v>#N/A</v>
      </c>
      <c r="G182" s="60"/>
      <c r="H182" s="61"/>
    </row>
    <row r="183" spans="1:8" ht="17.25" x14ac:dyDescent="0.3">
      <c r="A183" s="39">
        <v>14115435</v>
      </c>
      <c r="B183" s="40" t="s">
        <v>143</v>
      </c>
      <c r="C183" s="41" t="s">
        <v>732</v>
      </c>
      <c r="D183" s="41" t="s">
        <v>3</v>
      </c>
      <c r="E183" s="59">
        <v>9.317010999999999</v>
      </c>
      <c r="F183" s="59">
        <v>10.030999999999999</v>
      </c>
      <c r="G183" s="60">
        <v>355.58</v>
      </c>
      <c r="H183" s="61"/>
    </row>
    <row r="184" spans="1:8" ht="17.25" x14ac:dyDescent="0.3">
      <c r="A184" s="39">
        <v>14115535</v>
      </c>
      <c r="B184" s="48" t="s">
        <v>289</v>
      </c>
      <c r="C184" s="41" t="s">
        <v>2574</v>
      </c>
      <c r="D184" s="41" t="s">
        <v>3</v>
      </c>
      <c r="E184" s="59" t="s">
        <v>925</v>
      </c>
      <c r="F184" s="59" t="s">
        <v>925</v>
      </c>
      <c r="G184" s="60">
        <v>355.58</v>
      </c>
      <c r="H184" s="61"/>
    </row>
    <row r="185" spans="1:8" ht="17.25" x14ac:dyDescent="0.3">
      <c r="A185" s="39">
        <v>14115536</v>
      </c>
      <c r="B185" s="40" t="s">
        <v>144</v>
      </c>
      <c r="C185" s="41" t="s">
        <v>733</v>
      </c>
      <c r="D185" s="41" t="s">
        <v>3</v>
      </c>
      <c r="E185" s="59"/>
      <c r="F185" s="59" t="e">
        <v>#N/A</v>
      </c>
      <c r="G185" s="60"/>
      <c r="H185" s="61"/>
    </row>
    <row r="186" spans="1:8" ht="17.25" x14ac:dyDescent="0.3">
      <c r="A186" s="39">
        <v>14115630</v>
      </c>
      <c r="B186" s="40" t="s">
        <v>146</v>
      </c>
      <c r="C186" s="41" t="s">
        <v>734</v>
      </c>
      <c r="D186" s="41" t="s">
        <v>3</v>
      </c>
      <c r="E186" s="59">
        <v>4.6420610269230771</v>
      </c>
      <c r="F186" s="59">
        <v>3.9430000000000001</v>
      </c>
      <c r="G186" s="60">
        <v>0</v>
      </c>
      <c r="H186" s="61"/>
    </row>
    <row r="187" spans="1:8" ht="17.25" x14ac:dyDescent="0.3">
      <c r="A187" s="40">
        <v>14115746</v>
      </c>
      <c r="B187" s="40" t="s">
        <v>147</v>
      </c>
      <c r="C187" s="41" t="s">
        <v>735</v>
      </c>
      <c r="D187" s="41" t="s">
        <v>3</v>
      </c>
      <c r="E187" s="59"/>
      <c r="F187" s="59" t="e">
        <v>#N/A</v>
      </c>
      <c r="G187" s="60"/>
      <c r="H187" s="61"/>
    </row>
    <row r="188" spans="1:8" ht="17.25" x14ac:dyDescent="0.3">
      <c r="A188" s="40">
        <v>14115820</v>
      </c>
      <c r="B188" s="40" t="s">
        <v>148</v>
      </c>
      <c r="C188" s="41" t="s">
        <v>736</v>
      </c>
      <c r="D188" s="41" t="s">
        <v>3</v>
      </c>
      <c r="E188" s="59">
        <v>9.1167210694444432</v>
      </c>
      <c r="F188" s="59">
        <v>8.6915000000000013</v>
      </c>
      <c r="G188" s="60">
        <v>0</v>
      </c>
      <c r="H188" s="61"/>
    </row>
    <row r="189" spans="1:8" ht="17.25" x14ac:dyDescent="0.3">
      <c r="A189" s="39">
        <v>14115830</v>
      </c>
      <c r="B189" s="40" t="s">
        <v>149</v>
      </c>
      <c r="C189" s="41" t="s">
        <v>736</v>
      </c>
      <c r="D189" s="41" t="s">
        <v>3</v>
      </c>
      <c r="E189" s="59">
        <v>9.2643278083333325</v>
      </c>
      <c r="F189" s="59">
        <v>8.4913333333333352</v>
      </c>
      <c r="G189" s="60">
        <v>0</v>
      </c>
      <c r="H189" s="61"/>
    </row>
    <row r="190" spans="1:8" ht="17.25" x14ac:dyDescent="0.3">
      <c r="A190" s="40">
        <v>14115908</v>
      </c>
      <c r="B190" s="40" t="s">
        <v>150</v>
      </c>
      <c r="C190" s="41" t="s">
        <v>737</v>
      </c>
      <c r="D190" s="41" t="s">
        <v>3</v>
      </c>
      <c r="E190" s="59">
        <v>3.9887969217948722</v>
      </c>
      <c r="F190" s="59">
        <v>3.9794999999999998</v>
      </c>
      <c r="G190" s="60">
        <v>355.58</v>
      </c>
      <c r="H190" s="61"/>
    </row>
    <row r="191" spans="1:8" ht="17.25" x14ac:dyDescent="0.3">
      <c r="A191" s="39">
        <v>14115909</v>
      </c>
      <c r="B191" s="48" t="s">
        <v>341</v>
      </c>
      <c r="C191" s="41" t="s">
        <v>738</v>
      </c>
      <c r="D191" s="41" t="s">
        <v>3</v>
      </c>
      <c r="E191" s="59">
        <v>3.9543440987179497</v>
      </c>
      <c r="F191" s="59">
        <v>3.6453333333333333</v>
      </c>
      <c r="G191" s="60">
        <v>0</v>
      </c>
      <c r="H191" s="61"/>
    </row>
    <row r="192" spans="1:8" ht="17.25" x14ac:dyDescent="0.3">
      <c r="A192" s="39">
        <v>14115917</v>
      </c>
      <c r="B192" s="48" t="s">
        <v>151</v>
      </c>
      <c r="C192" s="41" t="s">
        <v>737</v>
      </c>
      <c r="D192" s="41" t="s">
        <v>3</v>
      </c>
      <c r="E192" s="59">
        <v>4.0434598384615379</v>
      </c>
      <c r="F192" s="59">
        <v>3.4509999999999996</v>
      </c>
      <c r="G192" s="60">
        <v>0</v>
      </c>
      <c r="H192" s="61"/>
    </row>
    <row r="193" spans="1:8" ht="17.25" x14ac:dyDescent="0.3">
      <c r="A193" s="39">
        <v>14116000</v>
      </c>
      <c r="B193" s="40" t="s">
        <v>152</v>
      </c>
      <c r="C193" s="41" t="s">
        <v>739</v>
      </c>
      <c r="D193" s="41" t="s">
        <v>3</v>
      </c>
      <c r="E193" s="59">
        <v>3.7391451208333333</v>
      </c>
      <c r="F193" s="59">
        <v>3.6604999999999999</v>
      </c>
      <c r="G193" s="60">
        <v>0</v>
      </c>
      <c r="H193" s="61"/>
    </row>
    <row r="194" spans="1:8" ht="17.25" x14ac:dyDescent="0.3">
      <c r="A194" s="39">
        <v>14116046</v>
      </c>
      <c r="B194" s="40" t="s">
        <v>153</v>
      </c>
      <c r="C194" s="41" t="s">
        <v>741</v>
      </c>
      <c r="D194" s="41" t="s">
        <v>3</v>
      </c>
      <c r="E194" s="59">
        <v>4.0325158368055556</v>
      </c>
      <c r="F194" s="59">
        <v>4.4156666666666666</v>
      </c>
      <c r="G194" s="60">
        <v>355.58</v>
      </c>
      <c r="H194" s="61"/>
    </row>
    <row r="195" spans="1:8" ht="17.25" x14ac:dyDescent="0.3">
      <c r="A195" s="39">
        <v>14116058</v>
      </c>
      <c r="B195" s="40" t="s">
        <v>154</v>
      </c>
      <c r="C195" s="41" t="s">
        <v>742</v>
      </c>
      <c r="D195" s="41" t="s">
        <v>3</v>
      </c>
      <c r="E195" s="59">
        <v>4.1059387615384617</v>
      </c>
      <c r="F195" s="59">
        <v>3.2490000000000001</v>
      </c>
      <c r="G195" s="60">
        <v>0</v>
      </c>
      <c r="H195" s="61"/>
    </row>
    <row r="196" spans="1:8" ht="17.25" x14ac:dyDescent="0.3">
      <c r="A196" s="40">
        <v>14116134</v>
      </c>
      <c r="B196" s="40" t="s">
        <v>157</v>
      </c>
      <c r="C196" s="41" t="s">
        <v>743</v>
      </c>
      <c r="D196" s="41" t="s">
        <v>3</v>
      </c>
      <c r="E196" s="59">
        <v>3.7791209416666667</v>
      </c>
      <c r="F196" s="59">
        <v>8.0111999999999988</v>
      </c>
      <c r="G196" s="60">
        <v>355.58</v>
      </c>
      <c r="H196" s="61"/>
    </row>
    <row r="197" spans="1:8" ht="17.25" x14ac:dyDescent="0.3">
      <c r="A197" s="39">
        <v>14116250</v>
      </c>
      <c r="B197" s="40" t="s">
        <v>431</v>
      </c>
      <c r="C197" s="41" t="s">
        <v>744</v>
      </c>
      <c r="D197" s="41" t="s">
        <v>3</v>
      </c>
      <c r="E197" s="59">
        <v>2.8829314388461542</v>
      </c>
      <c r="F197" s="59">
        <v>2.9035000000000002</v>
      </c>
      <c r="G197" s="60">
        <v>355.58</v>
      </c>
      <c r="H197" s="61"/>
    </row>
    <row r="198" spans="1:8" ht="17.25" x14ac:dyDescent="0.3">
      <c r="A198" s="39">
        <v>14116262</v>
      </c>
      <c r="B198" s="40" t="s">
        <v>158</v>
      </c>
      <c r="C198" s="41" t="s">
        <v>745</v>
      </c>
      <c r="D198" s="41" t="s">
        <v>3</v>
      </c>
      <c r="E198" s="59">
        <v>4.9853572974358977</v>
      </c>
      <c r="F198" s="59">
        <v>4.2149999999999999</v>
      </c>
      <c r="G198" s="60">
        <v>0</v>
      </c>
      <c r="H198" s="61"/>
    </row>
    <row r="199" spans="1:8" ht="17.25" x14ac:dyDescent="0.3">
      <c r="A199" s="39">
        <v>14116295</v>
      </c>
      <c r="B199" s="40" t="s">
        <v>159</v>
      </c>
      <c r="C199" s="41" t="s">
        <v>746</v>
      </c>
      <c r="D199" s="41" t="s">
        <v>3</v>
      </c>
      <c r="E199" s="59">
        <v>4.4787228454545458</v>
      </c>
      <c r="F199" s="59">
        <v>4.2754999999999992</v>
      </c>
      <c r="G199" s="60">
        <v>0</v>
      </c>
      <c r="H199" s="61"/>
    </row>
    <row r="200" spans="1:8" ht="17.25" x14ac:dyDescent="0.3">
      <c r="A200" s="39">
        <v>14116352</v>
      </c>
      <c r="B200" s="40" t="s">
        <v>160</v>
      </c>
      <c r="C200" s="41" t="s">
        <v>747</v>
      </c>
      <c r="D200" s="41" t="s">
        <v>3</v>
      </c>
      <c r="E200" s="59">
        <v>8.8063426363636363</v>
      </c>
      <c r="F200" s="59">
        <v>8.3949999999999996</v>
      </c>
      <c r="G200" s="60">
        <v>0</v>
      </c>
      <c r="H200" s="61"/>
    </row>
    <row r="201" spans="1:8" ht="17.25" x14ac:dyDescent="0.3">
      <c r="A201" s="39">
        <v>14116373</v>
      </c>
      <c r="B201" s="40" t="s">
        <v>162</v>
      </c>
      <c r="C201" s="41" t="s">
        <v>626</v>
      </c>
      <c r="D201" s="41" t="s">
        <v>3</v>
      </c>
      <c r="E201" s="59">
        <v>3.2544343333333332</v>
      </c>
      <c r="F201" s="59">
        <v>4.6630000000000003</v>
      </c>
      <c r="G201" s="60">
        <v>355.58</v>
      </c>
      <c r="H201" s="61"/>
    </row>
    <row r="202" spans="1:8" ht="17.25" x14ac:dyDescent="0.3">
      <c r="A202" s="39">
        <v>14116431</v>
      </c>
      <c r="B202" s="40" t="s">
        <v>163</v>
      </c>
      <c r="C202" s="41" t="s">
        <v>748</v>
      </c>
      <c r="D202" s="41" t="s">
        <v>3</v>
      </c>
      <c r="E202" s="59">
        <v>4.4374897358974357</v>
      </c>
      <c r="F202" s="59">
        <v>3.9255000000000004</v>
      </c>
      <c r="G202" s="60">
        <v>0</v>
      </c>
      <c r="H202" s="61"/>
    </row>
    <row r="203" spans="1:8" ht="17.25" x14ac:dyDescent="0.3">
      <c r="A203" s="40">
        <v>14116433</v>
      </c>
      <c r="B203" s="40" t="s">
        <v>164</v>
      </c>
      <c r="C203" s="41" t="s">
        <v>748</v>
      </c>
      <c r="D203" s="41" t="s">
        <v>3</v>
      </c>
      <c r="E203" s="59">
        <v>12.339947166666667</v>
      </c>
      <c r="F203" s="59">
        <v>11.702</v>
      </c>
      <c r="G203" s="60">
        <v>0</v>
      </c>
      <c r="H203" s="61"/>
    </row>
    <row r="204" spans="1:8" ht="17.25" x14ac:dyDescent="0.3">
      <c r="A204" s="40">
        <v>14116504</v>
      </c>
      <c r="B204" s="48" t="s">
        <v>165</v>
      </c>
      <c r="C204" s="41" t="s">
        <v>749</v>
      </c>
      <c r="D204" s="41" t="s">
        <v>3</v>
      </c>
      <c r="E204" s="59">
        <v>5.0023940416666663</v>
      </c>
      <c r="F204" s="59">
        <v>4.5270000000000001</v>
      </c>
      <c r="G204" s="60">
        <v>0</v>
      </c>
      <c r="H204" s="61"/>
    </row>
    <row r="205" spans="1:8" ht="17.25" x14ac:dyDescent="0.3">
      <c r="A205" s="39">
        <v>14116564</v>
      </c>
      <c r="B205" s="40" t="s">
        <v>167</v>
      </c>
      <c r="C205" s="41" t="s">
        <v>750</v>
      </c>
      <c r="D205" s="41" t="s">
        <v>3</v>
      </c>
      <c r="E205" s="59">
        <v>3.55</v>
      </c>
      <c r="F205" s="59">
        <v>3.839</v>
      </c>
      <c r="G205" s="60">
        <v>355.58</v>
      </c>
      <c r="H205" s="61"/>
    </row>
    <row r="206" spans="1:8" ht="17.25" x14ac:dyDescent="0.3">
      <c r="A206" s="39">
        <v>14116565</v>
      </c>
      <c r="B206" s="40" t="s">
        <v>463</v>
      </c>
      <c r="C206" s="41" t="s">
        <v>751</v>
      </c>
      <c r="D206" s="41" t="s">
        <v>3</v>
      </c>
      <c r="E206" s="59">
        <v>3.609470458974358</v>
      </c>
      <c r="F206" s="59">
        <v>2.8893333333333331</v>
      </c>
      <c r="G206" s="60">
        <v>0</v>
      </c>
      <c r="H206" s="61"/>
    </row>
    <row r="207" spans="1:8" ht="17.25" x14ac:dyDescent="0.3">
      <c r="A207" s="39">
        <v>14116600</v>
      </c>
      <c r="B207" s="40" t="s">
        <v>169</v>
      </c>
      <c r="C207" s="41" t="s">
        <v>752</v>
      </c>
      <c r="D207" s="41" t="s">
        <v>3</v>
      </c>
      <c r="E207" s="59">
        <v>3.9116425513888884</v>
      </c>
      <c r="F207" s="59">
        <v>3.5665</v>
      </c>
      <c r="G207" s="60">
        <v>0</v>
      </c>
      <c r="H207" s="61"/>
    </row>
    <row r="208" spans="1:8" ht="17.25" x14ac:dyDescent="0.3">
      <c r="A208" s="39">
        <v>14116643</v>
      </c>
      <c r="B208" s="40" t="s">
        <v>295</v>
      </c>
      <c r="C208" s="41" t="s">
        <v>753</v>
      </c>
      <c r="D208" s="41" t="s">
        <v>3</v>
      </c>
      <c r="E208" s="59">
        <v>3.7154078769230776</v>
      </c>
      <c r="F208" s="59">
        <v>3.3855</v>
      </c>
      <c r="G208" s="60">
        <v>0</v>
      </c>
      <c r="H208" s="61"/>
    </row>
    <row r="209" spans="1:8" ht="17.25" x14ac:dyDescent="0.3">
      <c r="A209" s="39">
        <v>14116723</v>
      </c>
      <c r="B209" s="40" t="s">
        <v>170</v>
      </c>
      <c r="C209" s="41" t="s">
        <v>754</v>
      </c>
      <c r="D209" s="41" t="s">
        <v>3</v>
      </c>
      <c r="E209" s="59">
        <v>5.0141134692307698</v>
      </c>
      <c r="F209" s="59">
        <v>5.5770000000000008</v>
      </c>
      <c r="G209" s="60">
        <v>355.58</v>
      </c>
      <c r="H209" s="61"/>
    </row>
    <row r="210" spans="1:8" ht="17.25" x14ac:dyDescent="0.3">
      <c r="A210" s="39">
        <v>14116853</v>
      </c>
      <c r="B210" s="40" t="s">
        <v>256</v>
      </c>
      <c r="C210" s="41" t="s">
        <v>755</v>
      </c>
      <c r="D210" s="41" t="s">
        <v>3</v>
      </c>
      <c r="E210" s="59">
        <v>4.2706586500000006</v>
      </c>
      <c r="F210" s="59">
        <v>4.2863333333333324</v>
      </c>
      <c r="G210" s="60">
        <v>355.58</v>
      </c>
      <c r="H210" s="61"/>
    </row>
    <row r="211" spans="1:8" ht="17.25" x14ac:dyDescent="0.3">
      <c r="A211" s="39">
        <v>14116855</v>
      </c>
      <c r="B211" s="40" t="s">
        <v>171</v>
      </c>
      <c r="C211" s="41" t="s">
        <v>756</v>
      </c>
      <c r="D211" s="41" t="s">
        <v>3</v>
      </c>
      <c r="E211" s="59">
        <v>4.2333794185185187</v>
      </c>
      <c r="F211" s="59">
        <v>4.3150000000000004</v>
      </c>
      <c r="G211" s="60">
        <v>355.58</v>
      </c>
      <c r="H211" s="61"/>
    </row>
    <row r="212" spans="1:8" ht="17.25" x14ac:dyDescent="0.3">
      <c r="A212" s="39">
        <v>14116860</v>
      </c>
      <c r="B212" s="40" t="s">
        <v>172</v>
      </c>
      <c r="C212" s="41" t="s">
        <v>756</v>
      </c>
      <c r="D212" s="41" t="s">
        <v>3</v>
      </c>
      <c r="E212" s="59">
        <v>9.2205581944444432</v>
      </c>
      <c r="F212" s="59">
        <v>10.422499999999999</v>
      </c>
      <c r="G212" s="60">
        <v>355.58</v>
      </c>
      <c r="H212" s="61"/>
    </row>
    <row r="213" spans="1:8" ht="17.25" x14ac:dyDescent="0.3">
      <c r="A213" s="39">
        <v>14116917</v>
      </c>
      <c r="B213" s="40" t="s">
        <v>174</v>
      </c>
      <c r="C213" s="41" t="s">
        <v>757</v>
      </c>
      <c r="D213" s="41" t="s">
        <v>3</v>
      </c>
      <c r="E213" s="59">
        <v>4.2469717736111114</v>
      </c>
      <c r="F213" s="59">
        <v>4.2694999999999999</v>
      </c>
      <c r="G213" s="60">
        <v>355.58</v>
      </c>
      <c r="H213" s="61"/>
    </row>
    <row r="214" spans="1:8" ht="17.25" x14ac:dyDescent="0.3">
      <c r="A214" s="39">
        <v>14116929</v>
      </c>
      <c r="B214" s="40" t="s">
        <v>373</v>
      </c>
      <c r="C214" s="41" t="s">
        <v>758</v>
      </c>
      <c r="D214" s="41" t="s">
        <v>3</v>
      </c>
      <c r="E214" s="59">
        <v>3.7191385384615381</v>
      </c>
      <c r="F214" s="59">
        <v>4.26</v>
      </c>
      <c r="G214" s="60">
        <v>355.58</v>
      </c>
      <c r="H214" s="61"/>
    </row>
    <row r="215" spans="1:8" ht="17.25" x14ac:dyDescent="0.3">
      <c r="A215" s="39">
        <v>14117156</v>
      </c>
      <c r="B215" s="40" t="s">
        <v>241</v>
      </c>
      <c r="C215" s="41" t="s">
        <v>759</v>
      </c>
      <c r="D215" s="41" t="s">
        <v>3</v>
      </c>
      <c r="E215" s="59"/>
      <c r="F215" s="59" t="e">
        <v>#N/A</v>
      </c>
      <c r="G215" s="60"/>
      <c r="H215" s="61"/>
    </row>
    <row r="216" spans="1:8" ht="17.25" x14ac:dyDescent="0.3">
      <c r="A216" s="39">
        <v>14117157</v>
      </c>
      <c r="B216" s="40" t="s">
        <v>246</v>
      </c>
      <c r="C216" s="41" t="s">
        <v>760</v>
      </c>
      <c r="D216" s="41" t="s">
        <v>3</v>
      </c>
      <c r="E216" s="59">
        <v>2.9998333333333336</v>
      </c>
      <c r="F216" s="59">
        <v>3.7370000000000001</v>
      </c>
      <c r="G216" s="60">
        <v>355.58</v>
      </c>
      <c r="H216" s="61"/>
    </row>
    <row r="217" spans="1:8" ht="17.25" x14ac:dyDescent="0.3">
      <c r="A217" s="39">
        <v>14117158</v>
      </c>
      <c r="B217" s="40" t="s">
        <v>176</v>
      </c>
      <c r="C217" s="41" t="s">
        <v>761</v>
      </c>
      <c r="D217" s="41" t="s">
        <v>3</v>
      </c>
      <c r="E217" s="59">
        <v>7.9242587049999997</v>
      </c>
      <c r="F217" s="59">
        <v>7.9569999999999999</v>
      </c>
      <c r="G217" s="60">
        <v>355.58</v>
      </c>
      <c r="H217" s="61"/>
    </row>
    <row r="218" spans="1:8" ht="17.25" x14ac:dyDescent="0.3">
      <c r="A218" s="39">
        <v>14117160</v>
      </c>
      <c r="B218" s="40" t="s">
        <v>177</v>
      </c>
      <c r="C218" s="41" t="s">
        <v>761</v>
      </c>
      <c r="D218" s="41" t="s">
        <v>3</v>
      </c>
      <c r="E218" s="59">
        <v>2.4752476791666664</v>
      </c>
      <c r="F218" s="59">
        <v>2.95</v>
      </c>
      <c r="G218" s="60">
        <v>355.58</v>
      </c>
      <c r="H218" s="61"/>
    </row>
    <row r="219" spans="1:8" ht="17.25" x14ac:dyDescent="0.3">
      <c r="A219" s="39">
        <v>14117297</v>
      </c>
      <c r="B219" s="40" t="s">
        <v>178</v>
      </c>
      <c r="C219" s="41" t="s">
        <v>762</v>
      </c>
      <c r="D219" s="41" t="s">
        <v>3</v>
      </c>
      <c r="E219" s="59">
        <v>4.1001120624999992</v>
      </c>
      <c r="F219" s="59">
        <v>4.3029999999999999</v>
      </c>
      <c r="G219" s="60">
        <v>355.58</v>
      </c>
      <c r="H219" s="61"/>
    </row>
    <row r="220" spans="1:8" ht="17.25" x14ac:dyDescent="0.3">
      <c r="A220" s="40">
        <v>14117400</v>
      </c>
      <c r="B220" s="40" t="s">
        <v>763</v>
      </c>
      <c r="C220" s="41" t="s">
        <v>764</v>
      </c>
      <c r="D220" s="41" t="s">
        <v>3</v>
      </c>
      <c r="E220" s="59">
        <v>4.8095741900000002</v>
      </c>
      <c r="F220" s="59">
        <v>4.5847499999999997</v>
      </c>
      <c r="G220" s="60">
        <v>0</v>
      </c>
      <c r="H220" s="61"/>
    </row>
    <row r="221" spans="1:8" ht="17.25" x14ac:dyDescent="0.3">
      <c r="A221" s="40">
        <v>14117508</v>
      </c>
      <c r="B221" s="40" t="s">
        <v>318</v>
      </c>
      <c r="C221" s="41" t="s">
        <v>765</v>
      </c>
      <c r="D221" s="41" t="s">
        <v>3</v>
      </c>
      <c r="E221" s="59">
        <v>3.8328438006944445</v>
      </c>
      <c r="F221" s="59">
        <v>3.8605</v>
      </c>
      <c r="G221" s="60">
        <v>355.58</v>
      </c>
      <c r="H221" s="61"/>
    </row>
    <row r="222" spans="1:8" ht="17.25" x14ac:dyDescent="0.3">
      <c r="A222" s="39">
        <v>14117509</v>
      </c>
      <c r="B222" s="40" t="s">
        <v>237</v>
      </c>
      <c r="C222" s="41" t="s">
        <v>709</v>
      </c>
      <c r="D222" s="41" t="s">
        <v>3</v>
      </c>
      <c r="E222" s="59">
        <v>4.2397199384615387</v>
      </c>
      <c r="F222" s="59">
        <v>3.38</v>
      </c>
      <c r="G222" s="60">
        <v>0</v>
      </c>
      <c r="H222" s="61"/>
    </row>
    <row r="223" spans="1:8" ht="17.25" x14ac:dyDescent="0.3">
      <c r="A223" s="39">
        <v>14117542</v>
      </c>
      <c r="B223" s="40" t="s">
        <v>180</v>
      </c>
      <c r="C223" s="41" t="s">
        <v>766</v>
      </c>
      <c r="D223" s="41" t="s">
        <v>3</v>
      </c>
      <c r="E223" s="59">
        <v>8.8402915909090876</v>
      </c>
      <c r="F223" s="59">
        <v>8.2843333333333327</v>
      </c>
      <c r="G223" s="60">
        <v>0</v>
      </c>
      <c r="H223" s="61"/>
    </row>
    <row r="224" spans="1:8" ht="17.25" x14ac:dyDescent="0.3">
      <c r="A224" s="39">
        <v>14117647</v>
      </c>
      <c r="B224" s="40" t="s">
        <v>181</v>
      </c>
      <c r="C224" s="41" t="s">
        <v>767</v>
      </c>
      <c r="D224" s="41" t="s">
        <v>3</v>
      </c>
      <c r="E224" s="59"/>
      <c r="F224" s="59" t="e">
        <v>#N/A</v>
      </c>
      <c r="G224" s="60"/>
      <c r="H224" s="61"/>
    </row>
    <row r="225" spans="1:8" ht="17.25" x14ac:dyDescent="0.3">
      <c r="A225" s="39">
        <v>14117905</v>
      </c>
      <c r="B225" s="40" t="s">
        <v>404</v>
      </c>
      <c r="C225" s="41" t="s">
        <v>768</v>
      </c>
      <c r="D225" s="41" t="s">
        <v>3</v>
      </c>
      <c r="E225" s="59">
        <v>4.132382156410257</v>
      </c>
      <c r="F225" s="59">
        <v>5.1159999999999997</v>
      </c>
      <c r="G225" s="60">
        <v>355.58</v>
      </c>
      <c r="H225" s="61"/>
    </row>
    <row r="226" spans="1:8" ht="17.25" x14ac:dyDescent="0.3">
      <c r="A226" s="39">
        <v>14117967</v>
      </c>
      <c r="B226" s="48" t="s">
        <v>186</v>
      </c>
      <c r="C226" s="41" t="s">
        <v>769</v>
      </c>
      <c r="D226" s="41" t="s">
        <v>3</v>
      </c>
      <c r="E226" s="59">
        <v>4.5259692679487182</v>
      </c>
      <c r="F226" s="59">
        <v>4.5884999999999998</v>
      </c>
      <c r="G226" s="60">
        <v>355.58</v>
      </c>
      <c r="H226" s="61"/>
    </row>
    <row r="227" spans="1:8" ht="17.25" x14ac:dyDescent="0.3">
      <c r="A227" s="39">
        <v>14117969</v>
      </c>
      <c r="B227" s="40" t="s">
        <v>405</v>
      </c>
      <c r="C227" s="41" t="s">
        <v>770</v>
      </c>
      <c r="D227" s="41" t="s">
        <v>3</v>
      </c>
      <c r="E227" s="59"/>
      <c r="F227" s="59" t="e">
        <v>#N/A</v>
      </c>
      <c r="G227" s="60"/>
      <c r="H227" s="61"/>
    </row>
    <row r="228" spans="1:8" ht="17.25" x14ac:dyDescent="0.3">
      <c r="A228" s="39">
        <v>14117986</v>
      </c>
      <c r="B228" s="40" t="s">
        <v>188</v>
      </c>
      <c r="C228" s="41" t="s">
        <v>684</v>
      </c>
      <c r="D228" s="41" t="s">
        <v>3</v>
      </c>
      <c r="E228" s="59">
        <v>3.6741030179487173</v>
      </c>
      <c r="F228" s="59">
        <v>2.9889999999999999</v>
      </c>
      <c r="G228" s="60">
        <v>0</v>
      </c>
      <c r="H228" s="61"/>
    </row>
    <row r="229" spans="1:8" ht="17.25" x14ac:dyDescent="0.3">
      <c r="A229" s="39">
        <v>14118028</v>
      </c>
      <c r="B229" s="40" t="s">
        <v>189</v>
      </c>
      <c r="C229" s="41" t="s">
        <v>771</v>
      </c>
      <c r="D229" s="41" t="s">
        <v>3</v>
      </c>
      <c r="E229" s="59">
        <v>9.8508716166666659</v>
      </c>
      <c r="F229" s="59">
        <v>9.6430000000000007</v>
      </c>
      <c r="G229" s="60">
        <v>0</v>
      </c>
      <c r="H229" s="61"/>
    </row>
    <row r="230" spans="1:8" ht="17.25" x14ac:dyDescent="0.3">
      <c r="A230" s="39">
        <v>14118065</v>
      </c>
      <c r="B230" s="40" t="s">
        <v>191</v>
      </c>
      <c r="C230" s="41" t="s">
        <v>772</v>
      </c>
      <c r="D230" s="41" t="s">
        <v>3</v>
      </c>
      <c r="E230" s="59">
        <v>7.6133853499999997</v>
      </c>
      <c r="F230" s="59">
        <v>6.9489999999999998</v>
      </c>
      <c r="G230" s="60">
        <v>0</v>
      </c>
      <c r="H230" s="61"/>
    </row>
    <row r="231" spans="1:8" ht="17.25" x14ac:dyDescent="0.3">
      <c r="A231" s="39">
        <v>14118184</v>
      </c>
      <c r="B231" s="40" t="s">
        <v>239</v>
      </c>
      <c r="C231" s="41" t="s">
        <v>773</v>
      </c>
      <c r="D231" s="41" t="s">
        <v>3</v>
      </c>
      <c r="E231" s="59">
        <v>3.9</v>
      </c>
      <c r="F231" s="59">
        <v>2.859</v>
      </c>
      <c r="G231" s="60">
        <v>0</v>
      </c>
      <c r="H231" s="61"/>
    </row>
    <row r="232" spans="1:8" ht="17.25" x14ac:dyDescent="0.3">
      <c r="A232" s="39">
        <v>14118186</v>
      </c>
      <c r="B232" s="40" t="s">
        <v>192</v>
      </c>
      <c r="C232" s="41" t="s">
        <v>774</v>
      </c>
      <c r="D232" s="41" t="s">
        <v>3</v>
      </c>
      <c r="E232" s="59">
        <v>3.847655015384615</v>
      </c>
      <c r="F232" s="59">
        <v>3.9770000000000003</v>
      </c>
      <c r="G232" s="60">
        <v>355.58</v>
      </c>
      <c r="H232" s="61"/>
    </row>
    <row r="233" spans="1:8" ht="17.25" x14ac:dyDescent="0.3">
      <c r="A233" s="39">
        <v>14118196</v>
      </c>
      <c r="B233" s="40" t="s">
        <v>193</v>
      </c>
      <c r="C233" s="41" t="s">
        <v>775</v>
      </c>
      <c r="D233" s="41" t="s">
        <v>3</v>
      </c>
      <c r="E233" s="59">
        <v>3.7216266551282047</v>
      </c>
      <c r="F233" s="59">
        <v>3.8040000000000003</v>
      </c>
      <c r="G233" s="60">
        <v>355.58</v>
      </c>
      <c r="H233" s="61"/>
    </row>
    <row r="234" spans="1:8" ht="17.25" x14ac:dyDescent="0.3">
      <c r="A234" s="40">
        <v>14118210</v>
      </c>
      <c r="B234" s="40" t="s">
        <v>194</v>
      </c>
      <c r="C234" s="41" t="s">
        <v>776</v>
      </c>
      <c r="D234" s="41" t="s">
        <v>3</v>
      </c>
      <c r="E234" s="59">
        <v>4.0616991166666665</v>
      </c>
      <c r="F234" s="59">
        <v>3.044</v>
      </c>
      <c r="G234" s="60">
        <v>0</v>
      </c>
      <c r="H234" s="61"/>
    </row>
    <row r="235" spans="1:8" ht="17.25" x14ac:dyDescent="0.3">
      <c r="A235" s="39">
        <v>14118212</v>
      </c>
      <c r="B235" s="40" t="s">
        <v>432</v>
      </c>
      <c r="C235" s="41" t="s">
        <v>777</v>
      </c>
      <c r="D235" s="41" t="s">
        <v>3</v>
      </c>
      <c r="E235" s="59"/>
      <c r="F235" s="59" t="e">
        <v>#N/A</v>
      </c>
      <c r="G235" s="60"/>
      <c r="H235" s="61"/>
    </row>
    <row r="236" spans="1:8" ht="17.25" x14ac:dyDescent="0.3">
      <c r="A236" s="39">
        <v>14118225</v>
      </c>
      <c r="B236" s="40" t="s">
        <v>272</v>
      </c>
      <c r="C236" s="41" t="s">
        <v>779</v>
      </c>
      <c r="D236" s="41" t="s">
        <v>3</v>
      </c>
      <c r="E236" s="59">
        <v>3.146783407692308</v>
      </c>
      <c r="F236" s="59">
        <v>2.371</v>
      </c>
      <c r="G236" s="60">
        <v>0</v>
      </c>
      <c r="H236" s="61"/>
    </row>
    <row r="237" spans="1:8" ht="17.25" x14ac:dyDescent="0.3">
      <c r="A237" s="39">
        <v>14118341</v>
      </c>
      <c r="B237" s="40" t="s">
        <v>199</v>
      </c>
      <c r="C237" s="41" t="s">
        <v>780</v>
      </c>
      <c r="D237" s="41" t="s">
        <v>3</v>
      </c>
      <c r="E237" s="59">
        <v>8.3873394794871796</v>
      </c>
      <c r="F237" s="59">
        <v>9.5419999999999998</v>
      </c>
      <c r="G237" s="60">
        <v>355.58</v>
      </c>
      <c r="H237" s="61"/>
    </row>
    <row r="238" spans="1:8" ht="17.25" x14ac:dyDescent="0.3">
      <c r="A238" s="39">
        <v>14118397</v>
      </c>
      <c r="B238" s="40" t="s">
        <v>200</v>
      </c>
      <c r="C238" s="41" t="s">
        <v>781</v>
      </c>
      <c r="D238" s="41" t="s">
        <v>3</v>
      </c>
      <c r="E238" s="59">
        <v>3.55</v>
      </c>
      <c r="F238" s="59">
        <v>3.9165000000000001</v>
      </c>
      <c r="G238" s="60">
        <v>355.58</v>
      </c>
      <c r="H238" s="61"/>
    </row>
    <row r="239" spans="1:8" ht="17.25" x14ac:dyDescent="0.3">
      <c r="A239" s="39">
        <v>14118440</v>
      </c>
      <c r="B239" s="40" t="s">
        <v>201</v>
      </c>
      <c r="C239" s="41" t="s">
        <v>782</v>
      </c>
      <c r="D239" s="41" t="s">
        <v>3</v>
      </c>
      <c r="E239" s="59">
        <v>2.8784728633333336</v>
      </c>
      <c r="F239" s="59">
        <v>4.0270000000000001</v>
      </c>
      <c r="G239" s="60">
        <v>355.58</v>
      </c>
      <c r="H239" s="61"/>
    </row>
    <row r="240" spans="1:8" ht="17.25" x14ac:dyDescent="0.3">
      <c r="A240" s="39">
        <v>14118499</v>
      </c>
      <c r="B240" s="40" t="s">
        <v>202</v>
      </c>
      <c r="C240" s="41" t="s">
        <v>783</v>
      </c>
      <c r="D240" s="41" t="s">
        <v>3</v>
      </c>
      <c r="E240" s="59">
        <v>4.1099106597222219</v>
      </c>
      <c r="F240" s="59">
        <v>4.1289999999999996</v>
      </c>
      <c r="G240" s="60">
        <v>355.58</v>
      </c>
      <c r="H240" s="61"/>
    </row>
    <row r="241" spans="1:8" ht="17.25" x14ac:dyDescent="0.3">
      <c r="A241" s="39">
        <v>14118501</v>
      </c>
      <c r="B241" s="40" t="s">
        <v>203</v>
      </c>
      <c r="C241" s="41" t="s">
        <v>783</v>
      </c>
      <c r="D241" s="41" t="s">
        <v>3</v>
      </c>
      <c r="E241" s="59">
        <v>8.8460921972222213</v>
      </c>
      <c r="F241" s="59">
        <v>8.6761999999999997</v>
      </c>
      <c r="G241" s="60">
        <v>0</v>
      </c>
      <c r="H241" s="61"/>
    </row>
    <row r="242" spans="1:8" ht="17.25" x14ac:dyDescent="0.3">
      <c r="A242" s="39">
        <v>14118505</v>
      </c>
      <c r="B242" s="40" t="s">
        <v>356</v>
      </c>
      <c r="C242" s="41" t="s">
        <v>784</v>
      </c>
      <c r="D242" s="41" t="s">
        <v>3</v>
      </c>
      <c r="E242" s="59">
        <v>3.5993937708333328</v>
      </c>
      <c r="F242" s="59">
        <v>3.1890000000000001</v>
      </c>
      <c r="G242" s="60">
        <v>0</v>
      </c>
      <c r="H242" s="61"/>
    </row>
    <row r="243" spans="1:8" ht="17.25" x14ac:dyDescent="0.3">
      <c r="A243" s="39">
        <v>14118518</v>
      </c>
      <c r="B243" s="40" t="s">
        <v>204</v>
      </c>
      <c r="C243" s="41" t="s">
        <v>785</v>
      </c>
      <c r="D243" s="41" t="s">
        <v>3</v>
      </c>
      <c r="E243" s="59">
        <v>3.55</v>
      </c>
      <c r="F243" s="59">
        <v>4.1203333333333338</v>
      </c>
      <c r="G243" s="60">
        <v>355.58</v>
      </c>
      <c r="H243" s="61"/>
    </row>
    <row r="244" spans="1:8" ht="17.25" x14ac:dyDescent="0.3">
      <c r="A244" s="39">
        <v>14118579</v>
      </c>
      <c r="B244" s="40" t="s">
        <v>471</v>
      </c>
      <c r="C244" s="41" t="s">
        <v>786</v>
      </c>
      <c r="D244" s="41" t="s">
        <v>3</v>
      </c>
      <c r="E244" s="59">
        <v>3.958638648611112</v>
      </c>
      <c r="F244" s="59">
        <v>3.9685000000000001</v>
      </c>
      <c r="G244" s="60">
        <v>355.58</v>
      </c>
      <c r="H244" s="61"/>
    </row>
    <row r="245" spans="1:8" ht="17.25" x14ac:dyDescent="0.3">
      <c r="A245" s="39">
        <v>14118620</v>
      </c>
      <c r="B245" s="40" t="s">
        <v>205</v>
      </c>
      <c r="C245" s="41" t="s">
        <v>787</v>
      </c>
      <c r="D245" s="41" t="s">
        <v>3</v>
      </c>
      <c r="E245" s="59">
        <v>5.0152095692307688</v>
      </c>
      <c r="F245" s="59">
        <v>5.1133333333333333</v>
      </c>
      <c r="G245" s="60">
        <v>355.58</v>
      </c>
      <c r="H245" s="61"/>
    </row>
    <row r="246" spans="1:8" ht="17.25" x14ac:dyDescent="0.3">
      <c r="A246" s="39">
        <v>14118621</v>
      </c>
      <c r="B246" s="40" t="s">
        <v>206</v>
      </c>
      <c r="C246" s="41" t="s">
        <v>787</v>
      </c>
      <c r="D246" s="41" t="s">
        <v>3</v>
      </c>
      <c r="E246" s="59"/>
      <c r="F246" s="59" t="e">
        <v>#N/A</v>
      </c>
      <c r="G246" s="60"/>
      <c r="H246" s="61"/>
    </row>
    <row r="247" spans="1:8" ht="17.25" x14ac:dyDescent="0.3">
      <c r="A247" s="39">
        <v>14118622</v>
      </c>
      <c r="B247" s="40" t="s">
        <v>207</v>
      </c>
      <c r="C247" s="41" t="s">
        <v>787</v>
      </c>
      <c r="D247" s="41" t="s">
        <v>3</v>
      </c>
      <c r="E247" s="59">
        <v>8.2750221283333332</v>
      </c>
      <c r="F247" s="59">
        <v>5.7813333333333334</v>
      </c>
      <c r="G247" s="60">
        <v>0</v>
      </c>
      <c r="H247" s="61"/>
    </row>
    <row r="248" spans="1:8" ht="17.25" x14ac:dyDescent="0.3">
      <c r="A248" s="39">
        <v>14118625</v>
      </c>
      <c r="B248" s="40" t="s">
        <v>428</v>
      </c>
      <c r="C248" s="41" t="s">
        <v>788</v>
      </c>
      <c r="D248" s="41" t="s">
        <v>3</v>
      </c>
      <c r="E248" s="59">
        <v>9.3218509499999982</v>
      </c>
      <c r="F248" s="59">
        <v>10.002500000000001</v>
      </c>
      <c r="G248" s="60">
        <v>355.58</v>
      </c>
      <c r="H248" s="61"/>
    </row>
    <row r="249" spans="1:8" ht="17.25" x14ac:dyDescent="0.3">
      <c r="A249" s="39">
        <v>14118627</v>
      </c>
      <c r="B249" s="40" t="s">
        <v>208</v>
      </c>
      <c r="C249" s="41" t="s">
        <v>787</v>
      </c>
      <c r="D249" s="41" t="s">
        <v>3</v>
      </c>
      <c r="E249" s="59">
        <v>3.9559738597222225</v>
      </c>
      <c r="F249" s="59">
        <v>4.4509999999999996</v>
      </c>
      <c r="G249" s="60">
        <v>355.58</v>
      </c>
      <c r="H249" s="61"/>
    </row>
    <row r="250" spans="1:8" ht="17.25" x14ac:dyDescent="0.3">
      <c r="A250" s="39">
        <v>14118640</v>
      </c>
      <c r="B250" s="40" t="s">
        <v>209</v>
      </c>
      <c r="C250" s="41" t="s">
        <v>789</v>
      </c>
      <c r="D250" s="41" t="s">
        <v>3</v>
      </c>
      <c r="E250" s="59">
        <v>4.2998668055555553</v>
      </c>
      <c r="F250" s="59">
        <v>4.5354999999999999</v>
      </c>
      <c r="G250" s="60">
        <v>355.58</v>
      </c>
      <c r="H250" s="61"/>
    </row>
    <row r="251" spans="1:8" ht="17.25" x14ac:dyDescent="0.3">
      <c r="A251" s="39">
        <v>14118660</v>
      </c>
      <c r="B251" s="48" t="s">
        <v>210</v>
      </c>
      <c r="C251" s="41" t="s">
        <v>790</v>
      </c>
      <c r="D251" s="41" t="s">
        <v>3</v>
      </c>
      <c r="E251" s="59">
        <v>4.2936834269230761</v>
      </c>
      <c r="F251" s="59">
        <v>3.577</v>
      </c>
      <c r="G251" s="60">
        <v>0</v>
      </c>
      <c r="H251" s="61"/>
    </row>
    <row r="252" spans="1:8" ht="17.25" x14ac:dyDescent="0.3">
      <c r="A252" s="39">
        <v>14118663</v>
      </c>
      <c r="B252" s="40" t="s">
        <v>211</v>
      </c>
      <c r="C252" s="41" t="s">
        <v>790</v>
      </c>
      <c r="D252" s="41" t="s">
        <v>3</v>
      </c>
      <c r="E252" s="59">
        <v>3.1938537217948713</v>
      </c>
      <c r="F252" s="59">
        <v>3.6120000000000001</v>
      </c>
      <c r="G252" s="60">
        <v>355.58</v>
      </c>
      <c r="H252" s="61"/>
    </row>
    <row r="253" spans="1:8" ht="17.25" x14ac:dyDescent="0.3">
      <c r="A253" s="39">
        <v>14118745</v>
      </c>
      <c r="B253" s="40" t="s">
        <v>212</v>
      </c>
      <c r="C253" s="41" t="s">
        <v>791</v>
      </c>
      <c r="D253" s="41" t="s">
        <v>3</v>
      </c>
      <c r="E253" s="59">
        <v>4.0918384038461539</v>
      </c>
      <c r="F253" s="59">
        <v>4.0575000000000001</v>
      </c>
      <c r="G253" s="60">
        <v>355.58</v>
      </c>
      <c r="H253" s="61"/>
    </row>
    <row r="254" spans="1:8" ht="17.25" x14ac:dyDescent="0.3">
      <c r="A254" s="39">
        <v>14118773</v>
      </c>
      <c r="B254" s="40" t="s">
        <v>213</v>
      </c>
      <c r="C254" s="41" t="s">
        <v>792</v>
      </c>
      <c r="D254" s="41" t="s">
        <v>3</v>
      </c>
      <c r="E254" s="59">
        <v>8.8546255138888892</v>
      </c>
      <c r="F254" s="59">
        <v>9.0094999999999992</v>
      </c>
      <c r="G254" s="60">
        <v>355.58</v>
      </c>
      <c r="H254" s="61"/>
    </row>
    <row r="255" spans="1:8" ht="17.25" x14ac:dyDescent="0.3">
      <c r="A255" s="39">
        <v>14118809</v>
      </c>
      <c r="B255" s="40" t="s">
        <v>216</v>
      </c>
      <c r="C255" s="41" t="s">
        <v>793</v>
      </c>
      <c r="D255" s="41" t="s">
        <v>3</v>
      </c>
      <c r="E255" s="59">
        <v>3.5981729199999997</v>
      </c>
      <c r="F255" s="59">
        <v>3.0575000000000001</v>
      </c>
      <c r="G255" s="60">
        <v>0</v>
      </c>
      <c r="H255" s="61"/>
    </row>
    <row r="256" spans="1:8" ht="17.25" x14ac:dyDescent="0.3">
      <c r="A256" s="39">
        <v>14118811</v>
      </c>
      <c r="B256" s="40" t="s">
        <v>217</v>
      </c>
      <c r="C256" s="41" t="s">
        <v>793</v>
      </c>
      <c r="D256" s="41" t="s">
        <v>3</v>
      </c>
      <c r="E256" s="59">
        <v>4.0434598384615379</v>
      </c>
      <c r="F256" s="59">
        <v>3.2730000000000001</v>
      </c>
      <c r="G256" s="60">
        <v>0</v>
      </c>
      <c r="H256" s="61"/>
    </row>
    <row r="257" spans="1:9" ht="17.25" x14ac:dyDescent="0.3">
      <c r="A257" s="39">
        <v>14118815</v>
      </c>
      <c r="B257" s="40" t="s">
        <v>218</v>
      </c>
      <c r="C257" s="41" t="s">
        <v>793</v>
      </c>
      <c r="D257" s="41" t="s">
        <v>3</v>
      </c>
      <c r="E257" s="59"/>
      <c r="F257" s="59" t="e">
        <v>#N/A</v>
      </c>
      <c r="G257" s="60"/>
      <c r="H257" s="61"/>
    </row>
    <row r="258" spans="1:9" ht="17.25" x14ac:dyDescent="0.3">
      <c r="A258" s="40">
        <v>14118849</v>
      </c>
      <c r="B258" s="40" t="s">
        <v>219</v>
      </c>
      <c r="C258" s="41" t="s">
        <v>794</v>
      </c>
      <c r="D258" s="41" t="s">
        <v>3</v>
      </c>
      <c r="E258" s="59">
        <v>4.4400000000000004</v>
      </c>
      <c r="F258" s="59">
        <v>4.415</v>
      </c>
      <c r="G258" s="60">
        <v>355.58</v>
      </c>
      <c r="H258" s="61"/>
    </row>
    <row r="259" spans="1:9" ht="17.25" x14ac:dyDescent="0.3">
      <c r="A259" s="39">
        <v>14118887</v>
      </c>
      <c r="B259" s="40" t="s">
        <v>220</v>
      </c>
      <c r="C259" s="41" t="s">
        <v>795</v>
      </c>
      <c r="D259" s="41" t="s">
        <v>3</v>
      </c>
      <c r="E259" s="59">
        <v>11.518030363636365</v>
      </c>
      <c r="F259" s="59">
        <v>9.7070000000000007</v>
      </c>
      <c r="G259" s="60">
        <v>0</v>
      </c>
      <c r="H259" s="61"/>
    </row>
    <row r="260" spans="1:9" ht="17.25" x14ac:dyDescent="0.3">
      <c r="A260" s="39">
        <v>14118889</v>
      </c>
      <c r="B260" s="40" t="s">
        <v>221</v>
      </c>
      <c r="C260" s="41" t="s">
        <v>795</v>
      </c>
      <c r="D260" s="41" t="s">
        <v>3</v>
      </c>
      <c r="E260" s="59">
        <v>4.000835120833333</v>
      </c>
      <c r="F260" s="59">
        <v>3.988</v>
      </c>
      <c r="G260" s="60">
        <v>355.58</v>
      </c>
      <c r="H260" s="61"/>
    </row>
    <row r="261" spans="1:9" ht="17.25" x14ac:dyDescent="0.3">
      <c r="A261" s="39">
        <v>14118892</v>
      </c>
      <c r="B261" s="40" t="s">
        <v>222</v>
      </c>
      <c r="C261" s="41" t="s">
        <v>795</v>
      </c>
      <c r="D261" s="41" t="s">
        <v>3</v>
      </c>
      <c r="E261" s="59">
        <v>3.4700364272727269</v>
      </c>
      <c r="F261" s="59">
        <v>3.5569999999999999</v>
      </c>
      <c r="G261" s="60">
        <v>355.58</v>
      </c>
      <c r="H261" s="61"/>
    </row>
    <row r="262" spans="1:9" ht="17.25" x14ac:dyDescent="0.3">
      <c r="A262" s="39">
        <v>14118956</v>
      </c>
      <c r="B262" s="40" t="s">
        <v>224</v>
      </c>
      <c r="C262" s="41" t="s">
        <v>796</v>
      </c>
      <c r="D262" s="41" t="s">
        <v>3</v>
      </c>
      <c r="E262" s="59">
        <v>3.6476434974358978</v>
      </c>
      <c r="F262" s="59">
        <v>3.3525</v>
      </c>
      <c r="G262" s="60">
        <v>0</v>
      </c>
      <c r="H262" s="61"/>
    </row>
    <row r="263" spans="1:9" ht="17.25" x14ac:dyDescent="0.3">
      <c r="A263" s="39">
        <v>14118957</v>
      </c>
      <c r="B263" s="40" t="s">
        <v>225</v>
      </c>
      <c r="C263" s="41" t="s">
        <v>796</v>
      </c>
      <c r="D263" s="41" t="s">
        <v>3</v>
      </c>
      <c r="E263" s="59">
        <v>3.8498036060606067</v>
      </c>
      <c r="F263" s="59">
        <v>2.8029999999999999</v>
      </c>
      <c r="G263" s="60">
        <v>0</v>
      </c>
      <c r="H263" s="61"/>
    </row>
    <row r="264" spans="1:9" ht="17.25" x14ac:dyDescent="0.3">
      <c r="A264" s="39">
        <v>14118958</v>
      </c>
      <c r="B264" s="40" t="s">
        <v>374</v>
      </c>
      <c r="C264" s="41" t="s">
        <v>797</v>
      </c>
      <c r="D264" s="41" t="s">
        <v>3</v>
      </c>
      <c r="E264" s="59"/>
      <c r="F264" s="59" t="e">
        <v>#N/A</v>
      </c>
      <c r="G264" s="60"/>
      <c r="H264" s="61"/>
    </row>
    <row r="265" spans="1:9" ht="17.25" x14ac:dyDescent="0.3">
      <c r="A265" s="39">
        <v>14118992</v>
      </c>
      <c r="B265" s="40" t="s">
        <v>228</v>
      </c>
      <c r="C265" s="41" t="s">
        <v>619</v>
      </c>
      <c r="D265" s="41" t="s">
        <v>3</v>
      </c>
      <c r="E265" s="59"/>
      <c r="F265" s="59" t="e">
        <v>#N/A</v>
      </c>
      <c r="G265" s="60"/>
      <c r="H265" s="61"/>
    </row>
    <row r="266" spans="1:9" ht="17.25" x14ac:dyDescent="0.3">
      <c r="A266" s="39">
        <v>14119017</v>
      </c>
      <c r="B266" s="40" t="s">
        <v>229</v>
      </c>
      <c r="C266" s="41" t="s">
        <v>798</v>
      </c>
      <c r="D266" s="41" t="s">
        <v>3</v>
      </c>
      <c r="E266" s="59">
        <v>4.4690041583333331</v>
      </c>
      <c r="F266" s="59">
        <v>3.657</v>
      </c>
      <c r="G266" s="60">
        <v>0</v>
      </c>
      <c r="H266" s="61"/>
    </row>
    <row r="267" spans="1:9" ht="17.25" x14ac:dyDescent="0.3">
      <c r="A267" s="39">
        <v>14119018</v>
      </c>
      <c r="B267" s="40" t="s">
        <v>230</v>
      </c>
      <c r="C267" s="41" t="s">
        <v>798</v>
      </c>
      <c r="D267" s="41" t="s">
        <v>3</v>
      </c>
      <c r="E267" s="59">
        <v>4.4263550899999995</v>
      </c>
      <c r="F267" s="59">
        <v>3.6739999999999999</v>
      </c>
      <c r="G267" s="60">
        <v>0</v>
      </c>
      <c r="H267" s="61"/>
    </row>
    <row r="268" spans="1:9" ht="17.25" x14ac:dyDescent="0.3">
      <c r="A268" s="39">
        <v>14119057</v>
      </c>
      <c r="B268" s="40" t="s">
        <v>231</v>
      </c>
      <c r="C268" s="41" t="s">
        <v>799</v>
      </c>
      <c r="D268" s="41" t="s">
        <v>3</v>
      </c>
      <c r="E268" s="59">
        <v>8.4242387180555554</v>
      </c>
      <c r="F268" s="59">
        <v>8.3034999999999997</v>
      </c>
      <c r="G268" s="60">
        <v>0</v>
      </c>
      <c r="H268" s="61"/>
    </row>
    <row r="269" spans="1:9" ht="17.25" x14ac:dyDescent="0.3">
      <c r="A269" s="39">
        <v>14119076</v>
      </c>
      <c r="B269" s="40" t="s">
        <v>232</v>
      </c>
      <c r="C269" s="41" t="s">
        <v>800</v>
      </c>
      <c r="D269" s="41" t="s">
        <v>3</v>
      </c>
      <c r="E269" s="59">
        <v>3.3478261000000002</v>
      </c>
      <c r="F269" s="59">
        <v>3.282</v>
      </c>
      <c r="G269" s="60">
        <v>0</v>
      </c>
      <c r="H269" s="61"/>
    </row>
    <row r="270" spans="1:9" ht="17.25" x14ac:dyDescent="0.3">
      <c r="A270" s="39">
        <v>14119153</v>
      </c>
      <c r="B270" s="40" t="s">
        <v>233</v>
      </c>
      <c r="C270" s="41" t="s">
        <v>801</v>
      </c>
      <c r="D270" s="41" t="s">
        <v>3</v>
      </c>
      <c r="E270" s="59" t="s">
        <v>925</v>
      </c>
      <c r="F270" s="59" t="s">
        <v>925</v>
      </c>
      <c r="G270" s="60">
        <v>355.58</v>
      </c>
      <c r="H270" s="61"/>
      <c r="I270" s="62"/>
    </row>
    <row r="271" spans="1:9" ht="17.25" x14ac:dyDescent="0.3">
      <c r="A271" s="39">
        <v>14119154</v>
      </c>
      <c r="B271" s="40" t="s">
        <v>234</v>
      </c>
      <c r="C271" s="41" t="s">
        <v>801</v>
      </c>
      <c r="D271" s="41" t="s">
        <v>3</v>
      </c>
      <c r="E271" s="59" t="s">
        <v>925</v>
      </c>
      <c r="F271" s="59" t="s">
        <v>925</v>
      </c>
      <c r="G271" s="60">
        <v>355.58</v>
      </c>
      <c r="H271" s="61"/>
    </row>
    <row r="272" spans="1:9" ht="17.25" x14ac:dyDescent="0.3">
      <c r="A272" s="39">
        <v>14119155</v>
      </c>
      <c r="B272" s="40" t="s">
        <v>235</v>
      </c>
      <c r="C272" s="41" t="s">
        <v>801</v>
      </c>
      <c r="D272" s="41" t="s">
        <v>3</v>
      </c>
      <c r="E272" s="59">
        <v>3.9180360846153848</v>
      </c>
      <c r="F272" s="59">
        <v>3.8639999999999999</v>
      </c>
      <c r="G272" s="60">
        <v>0</v>
      </c>
      <c r="H272" s="61"/>
    </row>
    <row r="273" spans="1:8" ht="17.25" x14ac:dyDescent="0.3">
      <c r="A273" s="40">
        <v>14119175</v>
      </c>
      <c r="B273" s="49" t="s">
        <v>238</v>
      </c>
      <c r="C273" s="41" t="s">
        <v>802</v>
      </c>
      <c r="D273" s="41" t="s">
        <v>3</v>
      </c>
      <c r="E273" s="59">
        <v>3.4214544435897429</v>
      </c>
      <c r="F273" s="59">
        <v>3.008</v>
      </c>
      <c r="G273" s="60">
        <v>0</v>
      </c>
      <c r="H273" s="61"/>
    </row>
    <row r="274" spans="1:8" ht="17.25" x14ac:dyDescent="0.3">
      <c r="A274" s="40">
        <v>14119271</v>
      </c>
      <c r="B274" s="40" t="s">
        <v>240</v>
      </c>
      <c r="C274" s="41" t="s">
        <v>803</v>
      </c>
      <c r="D274" s="41" t="s">
        <v>3</v>
      </c>
      <c r="E274" s="59">
        <v>3.55</v>
      </c>
      <c r="F274" s="59">
        <v>3.8786666666666663</v>
      </c>
      <c r="G274" s="60">
        <v>355.58</v>
      </c>
      <c r="H274" s="61"/>
    </row>
    <row r="275" spans="1:8" ht="17.25" x14ac:dyDescent="0.3">
      <c r="A275" s="40">
        <v>14119323</v>
      </c>
      <c r="B275" s="48" t="s">
        <v>242</v>
      </c>
      <c r="C275" s="41" t="s">
        <v>804</v>
      </c>
      <c r="D275" s="41" t="s">
        <v>3</v>
      </c>
      <c r="E275" s="59">
        <v>3.3862875611111107</v>
      </c>
      <c r="F275" s="59">
        <v>3.86</v>
      </c>
      <c r="G275" s="60">
        <v>355.58</v>
      </c>
      <c r="H275" s="61"/>
    </row>
    <row r="276" spans="1:8" ht="17.25" x14ac:dyDescent="0.3">
      <c r="A276" s="39">
        <v>14119324</v>
      </c>
      <c r="B276" s="40" t="s">
        <v>243</v>
      </c>
      <c r="C276" s="41" t="s">
        <v>804</v>
      </c>
      <c r="D276" s="41" t="s">
        <v>3</v>
      </c>
      <c r="E276" s="59">
        <v>9.3501572374999995</v>
      </c>
      <c r="F276" s="59">
        <v>9.0339999999999989</v>
      </c>
      <c r="G276" s="60">
        <v>0</v>
      </c>
      <c r="H276" s="61"/>
    </row>
    <row r="277" spans="1:8" ht="17.25" x14ac:dyDescent="0.3">
      <c r="A277" s="39">
        <v>14119357</v>
      </c>
      <c r="B277" s="40" t="s">
        <v>245</v>
      </c>
      <c r="C277" s="41" t="s">
        <v>805</v>
      </c>
      <c r="D277" s="41" t="s">
        <v>3</v>
      </c>
      <c r="E277" s="59">
        <v>4.0791552883333333</v>
      </c>
      <c r="F277" s="59">
        <v>4.12</v>
      </c>
      <c r="G277" s="60">
        <v>355.58</v>
      </c>
      <c r="H277" s="61"/>
    </row>
    <row r="278" spans="1:8" ht="17.25" x14ac:dyDescent="0.3">
      <c r="A278" s="40">
        <v>14119437</v>
      </c>
      <c r="B278" s="40" t="s">
        <v>247</v>
      </c>
      <c r="C278" s="41" t="s">
        <v>760</v>
      </c>
      <c r="D278" s="41" t="s">
        <v>3</v>
      </c>
      <c r="E278" s="59">
        <v>2.9027915555555559</v>
      </c>
      <c r="F278" s="59">
        <v>3.3330000000000002</v>
      </c>
      <c r="G278" s="60">
        <v>355.58</v>
      </c>
      <c r="H278" s="61"/>
    </row>
    <row r="279" spans="1:8" ht="17.25" x14ac:dyDescent="0.3">
      <c r="A279" s="39">
        <v>14119481</v>
      </c>
      <c r="B279" s="40" t="s">
        <v>248</v>
      </c>
      <c r="C279" s="41" t="s">
        <v>806</v>
      </c>
      <c r="D279" s="41" t="s">
        <v>3</v>
      </c>
      <c r="E279" s="59">
        <v>3.1502949487179488</v>
      </c>
      <c r="F279" s="59">
        <v>3.9095000000000004</v>
      </c>
      <c r="G279" s="60">
        <v>355.58</v>
      </c>
      <c r="H279" s="61"/>
    </row>
    <row r="280" spans="1:8" ht="17.25" x14ac:dyDescent="0.3">
      <c r="A280" s="39">
        <v>14119517</v>
      </c>
      <c r="B280" s="40" t="s">
        <v>252</v>
      </c>
      <c r="C280" s="41" t="s">
        <v>595</v>
      </c>
      <c r="D280" s="41" t="s">
        <v>3</v>
      </c>
      <c r="E280" s="59">
        <v>4.1280509571428574</v>
      </c>
      <c r="F280" s="59">
        <v>3.948</v>
      </c>
      <c r="G280" s="60">
        <v>0</v>
      </c>
      <c r="H280" s="61"/>
    </row>
    <row r="281" spans="1:8" ht="17.25" x14ac:dyDescent="0.3">
      <c r="A281" s="40">
        <v>14119539</v>
      </c>
      <c r="B281" s="40" t="s">
        <v>253</v>
      </c>
      <c r="C281" s="41" t="s">
        <v>698</v>
      </c>
      <c r="D281" s="41" t="s">
        <v>3</v>
      </c>
      <c r="E281" s="59">
        <v>3.5438558967948719</v>
      </c>
      <c r="F281" s="59">
        <v>5.160333333333333</v>
      </c>
      <c r="G281" s="60">
        <v>355.58</v>
      </c>
      <c r="H281" s="61"/>
    </row>
    <row r="282" spans="1:8" ht="17.25" x14ac:dyDescent="0.3">
      <c r="A282" s="39">
        <v>14119540</v>
      </c>
      <c r="B282" s="40" t="s">
        <v>254</v>
      </c>
      <c r="C282" s="41" t="s">
        <v>698</v>
      </c>
      <c r="D282" s="41" t="s">
        <v>3</v>
      </c>
      <c r="E282" s="59" t="s">
        <v>925</v>
      </c>
      <c r="F282" s="59" t="s">
        <v>925</v>
      </c>
      <c r="G282" s="60">
        <v>355.58</v>
      </c>
      <c r="H282" s="61"/>
    </row>
    <row r="283" spans="1:8" ht="17.25" x14ac:dyDescent="0.3">
      <c r="A283" s="40">
        <v>14119598</v>
      </c>
      <c r="B283" s="40" t="s">
        <v>255</v>
      </c>
      <c r="C283" s="41" t="s">
        <v>807</v>
      </c>
      <c r="D283" s="41" t="s">
        <v>3</v>
      </c>
      <c r="E283" s="59">
        <v>4.1992481076923074</v>
      </c>
      <c r="F283" s="59">
        <v>3.9736666666666665</v>
      </c>
      <c r="G283" s="60">
        <v>0</v>
      </c>
      <c r="H283" s="61"/>
    </row>
    <row r="284" spans="1:8" ht="17.25" x14ac:dyDescent="0.3">
      <c r="A284" s="40">
        <v>14119701</v>
      </c>
      <c r="B284" s="40" t="s">
        <v>257</v>
      </c>
      <c r="C284" s="41" t="s">
        <v>755</v>
      </c>
      <c r="D284" s="41" t="s">
        <v>3</v>
      </c>
      <c r="E284" s="59">
        <v>4.234261598717949</v>
      </c>
      <c r="F284" s="59">
        <v>3.3113333333333337</v>
      </c>
      <c r="G284" s="60">
        <v>0</v>
      </c>
      <c r="H284" s="61"/>
    </row>
    <row r="285" spans="1:8" ht="17.25" x14ac:dyDescent="0.3">
      <c r="A285" s="40">
        <v>14119751</v>
      </c>
      <c r="B285" s="48" t="s">
        <v>258</v>
      </c>
      <c r="C285" s="41" t="s">
        <v>808</v>
      </c>
      <c r="D285" s="41" t="s">
        <v>3</v>
      </c>
      <c r="E285" s="59">
        <v>3.55</v>
      </c>
      <c r="F285" s="59">
        <v>4.032</v>
      </c>
      <c r="G285" s="60">
        <v>355.58</v>
      </c>
      <c r="H285" s="61"/>
    </row>
    <row r="286" spans="1:8" ht="17.25" x14ac:dyDescent="0.3">
      <c r="A286" s="39">
        <v>14119785</v>
      </c>
      <c r="B286" s="40" t="s">
        <v>259</v>
      </c>
      <c r="C286" s="41" t="s">
        <v>809</v>
      </c>
      <c r="D286" s="41" t="s">
        <v>3</v>
      </c>
      <c r="E286" s="59">
        <v>4.6029998352564103</v>
      </c>
      <c r="F286" s="59">
        <v>4.6825000000000001</v>
      </c>
      <c r="G286" s="60">
        <v>355.58</v>
      </c>
      <c r="H286" s="61"/>
    </row>
    <row r="287" spans="1:8" ht="17.25" x14ac:dyDescent="0.3">
      <c r="A287" s="40">
        <v>14119786</v>
      </c>
      <c r="B287" s="40" t="s">
        <v>260</v>
      </c>
      <c r="C287" s="41" t="s">
        <v>809</v>
      </c>
      <c r="D287" s="41" t="s">
        <v>3</v>
      </c>
      <c r="E287" s="59"/>
      <c r="F287" s="59" t="e">
        <v>#N/A</v>
      </c>
      <c r="G287" s="60"/>
      <c r="H287" s="61"/>
    </row>
    <row r="288" spans="1:8" ht="17.25" x14ac:dyDescent="0.3">
      <c r="A288" s="39">
        <v>14119787</v>
      </c>
      <c r="B288" s="48" t="s">
        <v>261</v>
      </c>
      <c r="C288" s="41" t="s">
        <v>809</v>
      </c>
      <c r="D288" s="41" t="s">
        <v>3</v>
      </c>
      <c r="E288" s="59">
        <v>3.5518514512820505</v>
      </c>
      <c r="F288" s="59">
        <v>3.71</v>
      </c>
      <c r="G288" s="60">
        <v>355.58</v>
      </c>
      <c r="H288" s="61"/>
    </row>
    <row r="289" spans="1:8" ht="17.25" x14ac:dyDescent="0.3">
      <c r="A289" s="39">
        <v>14119825</v>
      </c>
      <c r="B289" s="40" t="s">
        <v>263</v>
      </c>
      <c r="C289" s="41" t="s">
        <v>810</v>
      </c>
      <c r="D289" s="41" t="s">
        <v>3</v>
      </c>
      <c r="E289" s="59">
        <v>4.3286457430555556</v>
      </c>
      <c r="F289" s="59">
        <v>4.17</v>
      </c>
      <c r="G289" s="60">
        <v>0</v>
      </c>
      <c r="H289" s="61"/>
    </row>
    <row r="290" spans="1:8" ht="17.25" x14ac:dyDescent="0.3">
      <c r="A290" s="39">
        <v>14119835</v>
      </c>
      <c r="B290" s="48" t="s">
        <v>264</v>
      </c>
      <c r="C290" s="41" t="s">
        <v>594</v>
      </c>
      <c r="D290" s="41" t="s">
        <v>3</v>
      </c>
      <c r="E290" s="59"/>
      <c r="F290" s="59" t="e">
        <v>#N/A</v>
      </c>
      <c r="G290" s="60"/>
      <c r="H290" s="61"/>
    </row>
    <row r="291" spans="1:8" ht="17.25" x14ac:dyDescent="0.3">
      <c r="A291" s="39">
        <v>14119837</v>
      </c>
      <c r="B291" s="40" t="s">
        <v>265</v>
      </c>
      <c r="C291" s="41" t="s">
        <v>594</v>
      </c>
      <c r="D291" s="41" t="s">
        <v>3</v>
      </c>
      <c r="E291" s="59" t="s">
        <v>925</v>
      </c>
      <c r="F291" s="59" t="s">
        <v>925</v>
      </c>
      <c r="G291" s="60">
        <v>355.58</v>
      </c>
      <c r="H291" s="61"/>
    </row>
    <row r="292" spans="1:8" ht="17.25" x14ac:dyDescent="0.3">
      <c r="A292" s="40">
        <v>14119838</v>
      </c>
      <c r="B292" s="40" t="s">
        <v>509</v>
      </c>
      <c r="C292" s="41" t="s">
        <v>811</v>
      </c>
      <c r="D292" s="41" t="s">
        <v>3</v>
      </c>
      <c r="E292" s="59">
        <v>3.632229208333333</v>
      </c>
      <c r="F292" s="59">
        <v>3.9234999999999998</v>
      </c>
      <c r="G292" s="60">
        <v>355.58</v>
      </c>
      <c r="H292" s="61"/>
    </row>
    <row r="293" spans="1:8" ht="17.25" x14ac:dyDescent="0.3">
      <c r="A293" s="39">
        <v>14119839</v>
      </c>
      <c r="B293" s="40" t="s">
        <v>266</v>
      </c>
      <c r="C293" s="41" t="s">
        <v>594</v>
      </c>
      <c r="D293" s="41" t="s">
        <v>3</v>
      </c>
      <c r="E293" s="59">
        <v>3.9559738597222225</v>
      </c>
      <c r="F293" s="59">
        <v>4.3559999999999999</v>
      </c>
      <c r="G293" s="60">
        <v>355.58</v>
      </c>
      <c r="H293" s="61"/>
    </row>
    <row r="294" spans="1:8" ht="17.25" x14ac:dyDescent="0.3">
      <c r="A294" s="39">
        <v>14119890</v>
      </c>
      <c r="B294" s="40" t="s">
        <v>267</v>
      </c>
      <c r="C294" s="41" t="s">
        <v>812</v>
      </c>
      <c r="D294" s="41" t="s">
        <v>3</v>
      </c>
      <c r="E294" s="59">
        <v>4.1883123987179491</v>
      </c>
      <c r="F294" s="59">
        <v>4.6130000000000004</v>
      </c>
      <c r="G294" s="60">
        <v>355.58</v>
      </c>
      <c r="H294" s="61"/>
    </row>
    <row r="295" spans="1:8" ht="17.25" x14ac:dyDescent="0.3">
      <c r="A295" s="40">
        <v>14119955</v>
      </c>
      <c r="B295" s="40" t="s">
        <v>269</v>
      </c>
      <c r="C295" s="41" t="s">
        <v>687</v>
      </c>
      <c r="D295" s="41" t="s">
        <v>3</v>
      </c>
      <c r="E295" s="59"/>
      <c r="F295" s="59" t="e">
        <v>#N/A</v>
      </c>
      <c r="G295" s="60"/>
      <c r="H295" s="61"/>
    </row>
    <row r="296" spans="1:8" ht="17.25" x14ac:dyDescent="0.3">
      <c r="A296" s="39">
        <v>14119956</v>
      </c>
      <c r="B296" s="40" t="s">
        <v>270</v>
      </c>
      <c r="C296" s="41" t="s">
        <v>687</v>
      </c>
      <c r="D296" s="41" t="s">
        <v>3</v>
      </c>
      <c r="E296" s="59">
        <v>4.5091184871794869</v>
      </c>
      <c r="F296" s="59">
        <v>3.9706666666666663</v>
      </c>
      <c r="G296" s="60">
        <v>0</v>
      </c>
      <c r="H296" s="61"/>
    </row>
    <row r="297" spans="1:8" ht="17.25" x14ac:dyDescent="0.3">
      <c r="A297" s="39">
        <v>14119958</v>
      </c>
      <c r="B297" s="40" t="s">
        <v>271</v>
      </c>
      <c r="C297" s="41" t="s">
        <v>687</v>
      </c>
      <c r="D297" s="41" t="s">
        <v>3</v>
      </c>
      <c r="E297" s="59">
        <v>8.1038809147435895</v>
      </c>
      <c r="F297" s="59">
        <v>6.9843333333333328</v>
      </c>
      <c r="G297" s="60">
        <v>0</v>
      </c>
      <c r="H297" s="61"/>
    </row>
    <row r="298" spans="1:8" ht="17.25" x14ac:dyDescent="0.3">
      <c r="A298" s="39">
        <v>14120041</v>
      </c>
      <c r="B298" s="48" t="s">
        <v>273</v>
      </c>
      <c r="C298" s="41" t="s">
        <v>813</v>
      </c>
      <c r="D298" s="41" t="s">
        <v>3</v>
      </c>
      <c r="E298" s="59">
        <v>4.5927082820512819</v>
      </c>
      <c r="F298" s="59">
        <v>3.4726666666666666</v>
      </c>
      <c r="G298" s="60">
        <v>0</v>
      </c>
      <c r="H298" s="61"/>
    </row>
    <row r="299" spans="1:8" ht="17.25" x14ac:dyDescent="0.3">
      <c r="A299" s="39">
        <v>14120044</v>
      </c>
      <c r="B299" s="40" t="s">
        <v>274</v>
      </c>
      <c r="C299" s="41" t="s">
        <v>813</v>
      </c>
      <c r="D299" s="41" t="s">
        <v>3</v>
      </c>
      <c r="E299" s="59">
        <v>3.9</v>
      </c>
      <c r="F299" s="59">
        <v>3.8029999999999999</v>
      </c>
      <c r="G299" s="60">
        <v>0</v>
      </c>
      <c r="H299" s="61"/>
    </row>
    <row r="300" spans="1:8" ht="17.25" x14ac:dyDescent="0.3">
      <c r="A300" s="39">
        <v>14120091</v>
      </c>
      <c r="B300" s="40" t="s">
        <v>276</v>
      </c>
      <c r="C300" s="41" t="s">
        <v>814</v>
      </c>
      <c r="D300" s="41" t="s">
        <v>3</v>
      </c>
      <c r="E300" s="59">
        <v>9.2980275871794866</v>
      </c>
      <c r="F300" s="59">
        <v>8.2093333333333334</v>
      </c>
      <c r="G300" s="60">
        <v>0</v>
      </c>
      <c r="H300" s="61"/>
    </row>
    <row r="301" spans="1:8" ht="17.25" x14ac:dyDescent="0.3">
      <c r="A301" s="40">
        <v>14120104</v>
      </c>
      <c r="B301" s="40" t="s">
        <v>277</v>
      </c>
      <c r="C301" s="41" t="s">
        <v>778</v>
      </c>
      <c r="D301" s="41" t="s">
        <v>3</v>
      </c>
      <c r="E301" s="59">
        <v>10.3096265</v>
      </c>
      <c r="F301" s="59">
        <v>11.71</v>
      </c>
      <c r="G301" s="60">
        <v>355.58</v>
      </c>
      <c r="H301" s="61"/>
    </row>
    <row r="302" spans="1:8" ht="17.25" x14ac:dyDescent="0.3">
      <c r="A302" s="39">
        <v>14120106</v>
      </c>
      <c r="B302" s="40" t="s">
        <v>278</v>
      </c>
      <c r="C302" s="41" t="s">
        <v>778</v>
      </c>
      <c r="D302" s="41" t="s">
        <v>3</v>
      </c>
      <c r="E302" s="59"/>
      <c r="F302" s="59" t="e">
        <v>#N/A</v>
      </c>
      <c r="G302" s="60"/>
      <c r="H302" s="61"/>
    </row>
    <row r="303" spans="1:8" ht="17.25" x14ac:dyDescent="0.3">
      <c r="A303" s="39">
        <v>14120121</v>
      </c>
      <c r="B303" s="40" t="s">
        <v>279</v>
      </c>
      <c r="C303" s="41" t="s">
        <v>815</v>
      </c>
      <c r="D303" s="41" t="s">
        <v>3</v>
      </c>
      <c r="E303" s="59">
        <v>3.0464471897435903</v>
      </c>
      <c r="F303" s="59">
        <v>2</v>
      </c>
      <c r="G303" s="60">
        <v>0</v>
      </c>
      <c r="H303" s="61"/>
    </row>
    <row r="304" spans="1:8" ht="17.25" x14ac:dyDescent="0.3">
      <c r="A304" s="39">
        <v>14120196</v>
      </c>
      <c r="B304" s="48" t="s">
        <v>280</v>
      </c>
      <c r="C304" s="41" t="s">
        <v>816</v>
      </c>
      <c r="D304" s="41" t="s">
        <v>3</v>
      </c>
      <c r="E304" s="59">
        <v>4.132382156410257</v>
      </c>
      <c r="F304" s="59">
        <v>4.9273333333333333</v>
      </c>
      <c r="G304" s="60">
        <v>355.58</v>
      </c>
      <c r="H304" s="61"/>
    </row>
    <row r="305" spans="1:8" ht="17.25" x14ac:dyDescent="0.3">
      <c r="A305" s="39">
        <v>14120199</v>
      </c>
      <c r="B305" s="40" t="s">
        <v>406</v>
      </c>
      <c r="C305" s="41" t="s">
        <v>770</v>
      </c>
      <c r="D305" s="41" t="s">
        <v>3</v>
      </c>
      <c r="E305" s="59">
        <v>3.9</v>
      </c>
      <c r="F305" s="59">
        <v>4.4314</v>
      </c>
      <c r="G305" s="60">
        <f>355.58*2</f>
        <v>711.16</v>
      </c>
      <c r="H305" s="61" t="s">
        <v>3693</v>
      </c>
    </row>
    <row r="306" spans="1:8" ht="17.25" x14ac:dyDescent="0.3">
      <c r="A306" s="39">
        <v>14120270</v>
      </c>
      <c r="B306" s="40" t="s">
        <v>282</v>
      </c>
      <c r="C306" s="41" t="s">
        <v>817</v>
      </c>
      <c r="D306" s="41" t="s">
        <v>3</v>
      </c>
      <c r="E306" s="59">
        <v>4.7010998696153852</v>
      </c>
      <c r="F306" s="59">
        <v>4.817400000000001</v>
      </c>
      <c r="G306" s="60">
        <v>355.58</v>
      </c>
      <c r="H306" s="61"/>
    </row>
    <row r="307" spans="1:8" ht="17.25" x14ac:dyDescent="0.3">
      <c r="A307" s="39">
        <v>14120276</v>
      </c>
      <c r="B307" s="40" t="s">
        <v>283</v>
      </c>
      <c r="C307" s="41" t="s">
        <v>817</v>
      </c>
      <c r="D307" s="41" t="s">
        <v>3</v>
      </c>
      <c r="E307" s="59">
        <v>3.4824243916666666</v>
      </c>
      <c r="F307" s="59">
        <v>3.4180000000000001</v>
      </c>
      <c r="G307" s="60">
        <v>0</v>
      </c>
      <c r="H307" s="61"/>
    </row>
    <row r="308" spans="1:8" ht="17.25" x14ac:dyDescent="0.3">
      <c r="A308" s="39">
        <v>14120349</v>
      </c>
      <c r="B308" s="40" t="s">
        <v>285</v>
      </c>
      <c r="C308" s="41" t="s">
        <v>818</v>
      </c>
      <c r="D308" s="41" t="s">
        <v>3</v>
      </c>
      <c r="E308" s="59">
        <v>2.9707355743589741</v>
      </c>
      <c r="F308" s="59">
        <v>3.2770000000000001</v>
      </c>
      <c r="G308" s="60">
        <v>355.58</v>
      </c>
      <c r="H308" s="61"/>
    </row>
    <row r="309" spans="1:8" ht="17.25" x14ac:dyDescent="0.3">
      <c r="A309" s="39">
        <v>14120351</v>
      </c>
      <c r="B309" s="40" t="s">
        <v>286</v>
      </c>
      <c r="C309" s="41" t="s">
        <v>818</v>
      </c>
      <c r="D309" s="41" t="s">
        <v>3</v>
      </c>
      <c r="E309" s="59">
        <v>9.0327306875000009</v>
      </c>
      <c r="F309" s="59">
        <v>8.3194999999999997</v>
      </c>
      <c r="G309" s="60">
        <v>0</v>
      </c>
      <c r="H309" s="61"/>
    </row>
    <row r="310" spans="1:8" ht="17.25" x14ac:dyDescent="0.3">
      <c r="A310" s="39">
        <v>14120415</v>
      </c>
      <c r="B310" s="40" t="s">
        <v>287</v>
      </c>
      <c r="C310" s="41" t="s">
        <v>819</v>
      </c>
      <c r="D310" s="41" t="s">
        <v>3</v>
      </c>
      <c r="E310" s="59"/>
      <c r="F310" s="59" t="e">
        <v>#N/A</v>
      </c>
      <c r="G310" s="60"/>
      <c r="H310" s="61"/>
    </row>
    <row r="311" spans="1:8" ht="17.25" x14ac:dyDescent="0.3">
      <c r="A311" s="39">
        <v>14120455</v>
      </c>
      <c r="B311" s="40" t="s">
        <v>290</v>
      </c>
      <c r="C311" s="41" t="s">
        <v>820</v>
      </c>
      <c r="D311" s="41" t="s">
        <v>3</v>
      </c>
      <c r="E311" s="59">
        <v>6.6755000000000013</v>
      </c>
      <c r="F311" s="59">
        <v>6.9596666666666662</v>
      </c>
      <c r="G311" s="60">
        <v>355.58</v>
      </c>
      <c r="H311" s="61"/>
    </row>
    <row r="312" spans="1:8" ht="17.25" x14ac:dyDescent="0.3">
      <c r="A312" s="40">
        <v>14120489</v>
      </c>
      <c r="B312" s="40" t="s">
        <v>291</v>
      </c>
      <c r="C312" s="41" t="s">
        <v>821</v>
      </c>
      <c r="D312" s="41" t="s">
        <v>3</v>
      </c>
      <c r="E312" s="59">
        <v>4.3754269897435893</v>
      </c>
      <c r="F312" s="59">
        <v>3.6619999999999999</v>
      </c>
      <c r="G312" s="60">
        <v>0</v>
      </c>
      <c r="H312" s="61"/>
    </row>
    <row r="313" spans="1:8" ht="17.25" x14ac:dyDescent="0.3">
      <c r="A313" s="39">
        <v>14120611</v>
      </c>
      <c r="B313" s="48" t="s">
        <v>292</v>
      </c>
      <c r="C313" s="41" t="s">
        <v>822</v>
      </c>
      <c r="D313" s="41" t="s">
        <v>3</v>
      </c>
      <c r="E313" s="59">
        <v>3.6</v>
      </c>
      <c r="F313" s="59">
        <v>3.452</v>
      </c>
      <c r="G313" s="60">
        <v>355.58</v>
      </c>
      <c r="H313" s="61" t="s">
        <v>3695</v>
      </c>
    </row>
    <row r="314" spans="1:8" ht="17.25" x14ac:dyDescent="0.3">
      <c r="A314" s="40">
        <v>14120613</v>
      </c>
      <c r="B314" s="40" t="s">
        <v>293</v>
      </c>
      <c r="C314" s="41" t="s">
        <v>822</v>
      </c>
      <c r="D314" s="41" t="s">
        <v>3</v>
      </c>
      <c r="E314" s="59">
        <v>4.7586204615384613</v>
      </c>
      <c r="F314" s="59">
        <v>4.2675000000000001</v>
      </c>
      <c r="G314" s="60">
        <v>0</v>
      </c>
      <c r="H314" s="61"/>
    </row>
    <row r="315" spans="1:8" ht="17.25" x14ac:dyDescent="0.3">
      <c r="A315" s="39">
        <v>14120655</v>
      </c>
      <c r="B315" s="40" t="s">
        <v>296</v>
      </c>
      <c r="C315" s="41" t="s">
        <v>823</v>
      </c>
      <c r="D315" s="41" t="s">
        <v>3</v>
      </c>
      <c r="E315" s="59">
        <v>10.182831208333333</v>
      </c>
      <c r="F315" s="59">
        <v>11.766999999999999</v>
      </c>
      <c r="G315" s="60">
        <v>355.58</v>
      </c>
      <c r="H315" s="61"/>
    </row>
    <row r="316" spans="1:8" ht="17.25" x14ac:dyDescent="0.3">
      <c r="A316" s="40">
        <v>14120668</v>
      </c>
      <c r="B316" s="40" t="s">
        <v>297</v>
      </c>
      <c r="C316" s="41" t="s">
        <v>753</v>
      </c>
      <c r="D316" s="41" t="s">
        <v>3</v>
      </c>
      <c r="E316" s="59">
        <v>4.0883376</v>
      </c>
      <c r="F316" s="59">
        <v>2.8245</v>
      </c>
      <c r="G316" s="60">
        <v>0</v>
      </c>
      <c r="H316" s="61"/>
    </row>
    <row r="317" spans="1:8" ht="17.25" x14ac:dyDescent="0.3">
      <c r="A317" s="40">
        <v>14120715</v>
      </c>
      <c r="B317" s="40" t="s">
        <v>298</v>
      </c>
      <c r="C317" s="41" t="s">
        <v>613</v>
      </c>
      <c r="D317" s="41" t="s">
        <v>3</v>
      </c>
      <c r="E317" s="59">
        <v>3.9</v>
      </c>
      <c r="F317" s="59">
        <v>9.0419999999999998</v>
      </c>
      <c r="G317" s="60">
        <v>355.58</v>
      </c>
      <c r="H317" s="61"/>
    </row>
    <row r="318" spans="1:8" ht="17.25" x14ac:dyDescent="0.3">
      <c r="A318" s="39">
        <v>14120788</v>
      </c>
      <c r="B318" s="40" t="s">
        <v>301</v>
      </c>
      <c r="C318" s="41" t="s">
        <v>720</v>
      </c>
      <c r="D318" s="41" t="s">
        <v>3</v>
      </c>
      <c r="E318" s="59">
        <v>4.1715845121212132</v>
      </c>
      <c r="F318" s="59">
        <v>3.9990000000000001</v>
      </c>
      <c r="G318" s="60">
        <v>0</v>
      </c>
      <c r="H318" s="61"/>
    </row>
    <row r="319" spans="1:8" ht="17.25" x14ac:dyDescent="0.3">
      <c r="A319" s="39">
        <v>14120789</v>
      </c>
      <c r="B319" s="40" t="s">
        <v>302</v>
      </c>
      <c r="C319" s="41" t="s">
        <v>720</v>
      </c>
      <c r="D319" s="41" t="s">
        <v>3</v>
      </c>
      <c r="E319" s="59">
        <v>2.8934297242424241</v>
      </c>
      <c r="F319" s="59">
        <v>2.3585000000000003</v>
      </c>
      <c r="G319" s="60">
        <v>0</v>
      </c>
      <c r="H319" s="61"/>
    </row>
    <row r="320" spans="1:8" ht="17.25" x14ac:dyDescent="0.3">
      <c r="A320" s="39">
        <v>14120806</v>
      </c>
      <c r="B320" s="40" t="s">
        <v>303</v>
      </c>
      <c r="C320" s="41" t="s">
        <v>824</v>
      </c>
      <c r="D320" s="41" t="s">
        <v>3</v>
      </c>
      <c r="E320" s="59">
        <v>3.3682846294871798</v>
      </c>
      <c r="F320" s="59">
        <v>3.198</v>
      </c>
      <c r="G320" s="60">
        <v>0</v>
      </c>
      <c r="H320" s="61"/>
    </row>
    <row r="321" spans="1:8" ht="17.25" x14ac:dyDescent="0.3">
      <c r="A321" s="40">
        <v>14120807</v>
      </c>
      <c r="B321" s="40" t="s">
        <v>304</v>
      </c>
      <c r="C321" s="41" t="s">
        <v>824</v>
      </c>
      <c r="D321" s="41" t="s">
        <v>3</v>
      </c>
      <c r="E321" s="59">
        <v>3.4801414769230772</v>
      </c>
      <c r="F321" s="59">
        <v>2.0870000000000002</v>
      </c>
      <c r="G321" s="60">
        <v>0</v>
      </c>
      <c r="H321" s="61"/>
    </row>
    <row r="322" spans="1:8" ht="17.25" x14ac:dyDescent="0.3">
      <c r="A322" s="39">
        <v>14120850</v>
      </c>
      <c r="B322" s="40" t="s">
        <v>306</v>
      </c>
      <c r="C322" s="41" t="s">
        <v>825</v>
      </c>
      <c r="D322" s="41" t="s">
        <v>3</v>
      </c>
      <c r="E322" s="59">
        <v>4.0791552883333333</v>
      </c>
      <c r="F322" s="59">
        <v>4.0649999999999995</v>
      </c>
      <c r="G322" s="60">
        <v>355.58</v>
      </c>
      <c r="H322" s="61"/>
    </row>
    <row r="323" spans="1:8" ht="17.25" x14ac:dyDescent="0.3">
      <c r="A323" s="39">
        <v>14120885</v>
      </c>
      <c r="B323" s="40" t="s">
        <v>307</v>
      </c>
      <c r="C323" s="41" t="s">
        <v>826</v>
      </c>
      <c r="D323" s="41" t="s">
        <v>3</v>
      </c>
      <c r="E323" s="59">
        <v>3.3264274138888887</v>
      </c>
      <c r="F323" s="59">
        <v>4.1859999999999999</v>
      </c>
      <c r="G323" s="60">
        <v>355.58</v>
      </c>
      <c r="H323" s="61"/>
    </row>
    <row r="324" spans="1:8" ht="17.25" x14ac:dyDescent="0.3">
      <c r="A324" s="39">
        <v>14120925</v>
      </c>
      <c r="B324" s="50" t="s">
        <v>309</v>
      </c>
      <c r="C324" s="41" t="s">
        <v>622</v>
      </c>
      <c r="D324" s="41" t="s">
        <v>3</v>
      </c>
      <c r="E324" s="59">
        <v>4.22522485</v>
      </c>
      <c r="F324" s="59">
        <v>3.2890000000000001</v>
      </c>
      <c r="G324" s="60">
        <v>0</v>
      </c>
      <c r="H324" s="61"/>
    </row>
    <row r="325" spans="1:8" ht="17.25" x14ac:dyDescent="0.3">
      <c r="A325" s="39">
        <v>14121013</v>
      </c>
      <c r="B325" s="48" t="s">
        <v>310</v>
      </c>
      <c r="C325" s="41" t="s">
        <v>827</v>
      </c>
      <c r="D325" s="41" t="s">
        <v>3</v>
      </c>
      <c r="E325" s="59">
        <v>3.55</v>
      </c>
      <c r="F325" s="59">
        <v>3.8773333333333331</v>
      </c>
      <c r="G325" s="60">
        <v>355.58</v>
      </c>
      <c r="H325" s="61"/>
    </row>
    <row r="326" spans="1:8" ht="17.25" x14ac:dyDescent="0.3">
      <c r="A326" s="39">
        <v>14121015</v>
      </c>
      <c r="B326" s="40" t="s">
        <v>311</v>
      </c>
      <c r="C326" s="41" t="s">
        <v>827</v>
      </c>
      <c r="D326" s="41" t="s">
        <v>3</v>
      </c>
      <c r="E326" s="59">
        <v>4.1299922833333333</v>
      </c>
      <c r="F326" s="59">
        <v>4.3879999999999999</v>
      </c>
      <c r="G326" s="60">
        <v>355.58</v>
      </c>
      <c r="H326" s="61"/>
    </row>
    <row r="327" spans="1:8" ht="17.25" x14ac:dyDescent="0.3">
      <c r="A327" s="39">
        <v>14121103</v>
      </c>
      <c r="B327" s="40" t="s">
        <v>312</v>
      </c>
      <c r="C327" s="41" t="s">
        <v>828</v>
      </c>
      <c r="D327" s="41" t="s">
        <v>3</v>
      </c>
      <c r="E327" s="59">
        <v>4.1577925454545461</v>
      </c>
      <c r="F327" s="59">
        <v>3.55</v>
      </c>
      <c r="G327" s="60">
        <v>0</v>
      </c>
      <c r="H327" s="61"/>
    </row>
    <row r="328" spans="1:8" ht="17.25" x14ac:dyDescent="0.3">
      <c r="A328" s="39">
        <v>14121104</v>
      </c>
      <c r="B328" s="40" t="s">
        <v>313</v>
      </c>
      <c r="C328" s="41" t="s">
        <v>828</v>
      </c>
      <c r="D328" s="41" t="s">
        <v>3</v>
      </c>
      <c r="E328" s="59">
        <v>4.7216406930555559</v>
      </c>
      <c r="F328" s="59">
        <v>4.7294999999999998</v>
      </c>
      <c r="G328" s="60">
        <v>355.58</v>
      </c>
      <c r="H328" s="61"/>
    </row>
    <row r="329" spans="1:8" ht="17.25" x14ac:dyDescent="0.3">
      <c r="A329" s="39">
        <v>14121116</v>
      </c>
      <c r="B329" s="40" t="s">
        <v>319</v>
      </c>
      <c r="C329" s="41" t="s">
        <v>688</v>
      </c>
      <c r="D329" s="41" t="s">
        <v>3</v>
      </c>
      <c r="E329" s="59">
        <v>4.4367820346153843</v>
      </c>
      <c r="F329" s="59">
        <v>3.948</v>
      </c>
      <c r="G329" s="60">
        <v>0</v>
      </c>
      <c r="H329" s="61"/>
    </row>
    <row r="330" spans="1:8" ht="17.25" x14ac:dyDescent="0.3">
      <c r="A330" s="39">
        <v>14121152</v>
      </c>
      <c r="B330" s="40" t="s">
        <v>320</v>
      </c>
      <c r="C330" s="41" t="s">
        <v>829</v>
      </c>
      <c r="D330" s="41" t="s">
        <v>3</v>
      </c>
      <c r="E330" s="59">
        <v>4.3182270361111108</v>
      </c>
      <c r="F330" s="59">
        <v>3.9290000000000003</v>
      </c>
      <c r="G330" s="60">
        <v>0</v>
      </c>
      <c r="H330" s="61"/>
    </row>
    <row r="331" spans="1:8" ht="17.25" x14ac:dyDescent="0.3">
      <c r="A331" s="39">
        <v>14121153</v>
      </c>
      <c r="B331" s="40" t="s">
        <v>321</v>
      </c>
      <c r="C331" s="41" t="s">
        <v>829</v>
      </c>
      <c r="D331" s="41" t="s">
        <v>3</v>
      </c>
      <c r="E331" s="59">
        <v>4.2747912333333336</v>
      </c>
      <c r="F331" s="59">
        <v>4.1689999999999996</v>
      </c>
      <c r="G331" s="60">
        <v>0</v>
      </c>
      <c r="H331" s="61"/>
    </row>
    <row r="332" spans="1:8" ht="17.25" x14ac:dyDescent="0.3">
      <c r="A332" s="39">
        <v>14121158</v>
      </c>
      <c r="B332" s="40" t="s">
        <v>322</v>
      </c>
      <c r="C332" s="41" t="s">
        <v>829</v>
      </c>
      <c r="D332" s="41" t="s">
        <v>3</v>
      </c>
      <c r="E332" s="59">
        <v>2.8832261423076919</v>
      </c>
      <c r="F332" s="59">
        <v>3.2104999999999997</v>
      </c>
      <c r="G332" s="60">
        <v>355.58</v>
      </c>
      <c r="H332" s="61"/>
    </row>
    <row r="333" spans="1:8" ht="17.25" x14ac:dyDescent="0.3">
      <c r="A333" s="39">
        <v>14121159</v>
      </c>
      <c r="B333" s="40" t="s">
        <v>323</v>
      </c>
      <c r="C333" s="41" t="s">
        <v>829</v>
      </c>
      <c r="D333" s="41" t="s">
        <v>3</v>
      </c>
      <c r="E333" s="59">
        <v>3.7345154249999997</v>
      </c>
      <c r="F333" s="59">
        <v>3.6619999999999999</v>
      </c>
      <c r="G333" s="60">
        <v>0</v>
      </c>
      <c r="H333" s="61"/>
    </row>
    <row r="334" spans="1:8" ht="17.25" x14ac:dyDescent="0.3">
      <c r="A334" s="39">
        <v>14121193</v>
      </c>
      <c r="B334" s="40" t="s">
        <v>324</v>
      </c>
      <c r="C334" s="41" t="s">
        <v>765</v>
      </c>
      <c r="D334" s="41" t="s">
        <v>3</v>
      </c>
      <c r="E334" s="59">
        <v>3.5870072357142853</v>
      </c>
      <c r="F334" s="59">
        <v>3.8890000000000002</v>
      </c>
      <c r="G334" s="60">
        <v>711.16</v>
      </c>
      <c r="H334" s="61" t="s">
        <v>3696</v>
      </c>
    </row>
    <row r="335" spans="1:8" ht="17.25" x14ac:dyDescent="0.3">
      <c r="A335" s="39">
        <v>14121235</v>
      </c>
      <c r="B335" s="40" t="s">
        <v>326</v>
      </c>
      <c r="C335" s="41" t="s">
        <v>590</v>
      </c>
      <c r="D335" s="41" t="s">
        <v>3</v>
      </c>
      <c r="E335" s="59">
        <v>3.6393581141025635</v>
      </c>
      <c r="F335" s="59">
        <v>3.169</v>
      </c>
      <c r="G335" s="60">
        <v>0</v>
      </c>
      <c r="H335" s="61"/>
    </row>
    <row r="336" spans="1:8" ht="17.25" x14ac:dyDescent="0.3">
      <c r="A336" s="39">
        <v>14121238</v>
      </c>
      <c r="B336" s="40" t="s">
        <v>327</v>
      </c>
      <c r="C336" s="41" t="s">
        <v>590</v>
      </c>
      <c r="D336" s="41" t="s">
        <v>3</v>
      </c>
      <c r="E336" s="59">
        <v>4.5872073358974363</v>
      </c>
      <c r="F336" s="59">
        <v>3.4169999999999998</v>
      </c>
      <c r="G336" s="60">
        <v>0</v>
      </c>
      <c r="H336" s="61"/>
    </row>
    <row r="337" spans="1:8" ht="17.25" x14ac:dyDescent="0.3">
      <c r="A337" s="39">
        <v>14121239</v>
      </c>
      <c r="B337" s="40" t="s">
        <v>328</v>
      </c>
      <c r="C337" s="41" t="s">
        <v>590</v>
      </c>
      <c r="D337" s="41" t="s">
        <v>3</v>
      </c>
      <c r="E337" s="59">
        <v>3.4271950489743594</v>
      </c>
      <c r="F337" s="59">
        <v>3.3980000000000001</v>
      </c>
      <c r="G337" s="60">
        <v>355.58</v>
      </c>
      <c r="H337" s="61"/>
    </row>
    <row r="338" spans="1:8" ht="17.25" x14ac:dyDescent="0.3">
      <c r="A338" s="39">
        <v>14121266</v>
      </c>
      <c r="B338" s="40" t="s">
        <v>329</v>
      </c>
      <c r="C338" s="41" t="s">
        <v>830</v>
      </c>
      <c r="D338" s="41" t="s">
        <v>3</v>
      </c>
      <c r="E338" s="59">
        <v>2.5632572106227109</v>
      </c>
      <c r="F338" s="59">
        <v>3.43</v>
      </c>
      <c r="G338" s="60">
        <v>355.58</v>
      </c>
      <c r="H338" s="61"/>
    </row>
    <row r="339" spans="1:8" ht="17.25" x14ac:dyDescent="0.3">
      <c r="A339" s="39">
        <v>14121271</v>
      </c>
      <c r="B339" s="40" t="s">
        <v>330</v>
      </c>
      <c r="C339" s="41" t="s">
        <v>830</v>
      </c>
      <c r="D339" s="41" t="s">
        <v>3</v>
      </c>
      <c r="E339" s="59">
        <v>3.8213411408333338</v>
      </c>
      <c r="F339" s="59">
        <v>2.9113333333333333</v>
      </c>
      <c r="G339" s="60">
        <v>0</v>
      </c>
      <c r="H339" s="61"/>
    </row>
    <row r="340" spans="1:8" ht="17.25" x14ac:dyDescent="0.3">
      <c r="A340" s="39">
        <v>14121328</v>
      </c>
      <c r="B340" s="40" t="s">
        <v>331</v>
      </c>
      <c r="C340" s="41" t="s">
        <v>831</v>
      </c>
      <c r="D340" s="41" t="s">
        <v>3</v>
      </c>
      <c r="E340" s="59">
        <v>3.4629630705128207</v>
      </c>
      <c r="F340" s="59">
        <v>3.9243333333333332</v>
      </c>
      <c r="G340" s="60">
        <v>355.58</v>
      </c>
      <c r="H340" s="61"/>
    </row>
    <row r="341" spans="1:8" ht="17.25" x14ac:dyDescent="0.3">
      <c r="A341" s="39">
        <v>14121398</v>
      </c>
      <c r="B341" s="40" t="s">
        <v>333</v>
      </c>
      <c r="C341" s="41" t="s">
        <v>832</v>
      </c>
      <c r="D341" s="41" t="s">
        <v>3</v>
      </c>
      <c r="E341" s="59">
        <v>4.1791154012820506</v>
      </c>
      <c r="F341" s="59">
        <v>2.88</v>
      </c>
      <c r="G341" s="60">
        <v>0</v>
      </c>
      <c r="H341" s="61"/>
    </row>
    <row r="342" spans="1:8" ht="17.25" x14ac:dyDescent="0.3">
      <c r="A342" s="39">
        <v>14121522</v>
      </c>
      <c r="B342" s="40" t="s">
        <v>337</v>
      </c>
      <c r="C342" s="41" t="s">
        <v>833</v>
      </c>
      <c r="D342" s="41" t="s">
        <v>3</v>
      </c>
      <c r="E342" s="59">
        <v>4.1654650307692309</v>
      </c>
      <c r="F342" s="59">
        <v>4.8815</v>
      </c>
      <c r="G342" s="60">
        <v>355.58</v>
      </c>
      <c r="H342" s="61"/>
    </row>
    <row r="343" spans="1:8" ht="17.25" x14ac:dyDescent="0.3">
      <c r="A343" s="39">
        <v>14121523</v>
      </c>
      <c r="B343" s="40" t="s">
        <v>338</v>
      </c>
      <c r="C343" s="41" t="s">
        <v>833</v>
      </c>
      <c r="D343" s="41" t="s">
        <v>3</v>
      </c>
      <c r="E343" s="59">
        <v>4.0405103538461535</v>
      </c>
      <c r="F343" s="59">
        <v>2.8407499999999999</v>
      </c>
      <c r="G343" s="60">
        <v>0</v>
      </c>
      <c r="H343" s="61"/>
    </row>
    <row r="344" spans="1:8" ht="17.25" x14ac:dyDescent="0.3">
      <c r="A344" s="39">
        <v>14121543</v>
      </c>
      <c r="B344" s="40" t="s">
        <v>339</v>
      </c>
      <c r="C344" s="41" t="s">
        <v>834</v>
      </c>
      <c r="D344" s="41" t="s">
        <v>3</v>
      </c>
      <c r="E344" s="59">
        <v>3.6538385192307694</v>
      </c>
      <c r="F344" s="59">
        <v>3.5310000000000001</v>
      </c>
      <c r="G344" s="60">
        <v>0</v>
      </c>
      <c r="H344" s="61"/>
    </row>
    <row r="345" spans="1:8" ht="17.25" x14ac:dyDescent="0.3">
      <c r="A345" s="39">
        <v>14121545</v>
      </c>
      <c r="B345" s="40" t="s">
        <v>340</v>
      </c>
      <c r="C345" s="41" t="s">
        <v>834</v>
      </c>
      <c r="D345" s="41" t="s">
        <v>3</v>
      </c>
      <c r="E345" s="59">
        <v>3.3861991737179498</v>
      </c>
      <c r="F345" s="59">
        <v>3.9729999999999999</v>
      </c>
      <c r="G345" s="60">
        <v>355.58</v>
      </c>
      <c r="H345" s="61"/>
    </row>
    <row r="346" spans="1:8" ht="17.25" x14ac:dyDescent="0.3">
      <c r="A346" s="39">
        <v>14121571</v>
      </c>
      <c r="B346" s="40" t="s">
        <v>342</v>
      </c>
      <c r="C346" s="41" t="s">
        <v>835</v>
      </c>
      <c r="D346" s="41" t="s">
        <v>3</v>
      </c>
      <c r="E346" s="59">
        <v>3.9095466500000007</v>
      </c>
      <c r="F346" s="59">
        <v>3.5766666666666667</v>
      </c>
      <c r="G346" s="60">
        <v>0</v>
      </c>
      <c r="H346" s="61"/>
    </row>
    <row r="347" spans="1:8" ht="17.25" x14ac:dyDescent="0.3">
      <c r="A347" s="40">
        <v>14121582</v>
      </c>
      <c r="B347" s="40" t="s">
        <v>343</v>
      </c>
      <c r="C347" s="41" t="s">
        <v>836</v>
      </c>
      <c r="D347" s="41" t="s">
        <v>3</v>
      </c>
      <c r="E347" s="59">
        <v>3.347436455555556</v>
      </c>
      <c r="F347" s="59">
        <v>3.2130000000000001</v>
      </c>
      <c r="G347" s="60">
        <v>0</v>
      </c>
      <c r="H347" s="61"/>
    </row>
    <row r="348" spans="1:8" ht="17.25" x14ac:dyDescent="0.3">
      <c r="A348" s="39">
        <v>14121598</v>
      </c>
      <c r="B348" s="40" t="s">
        <v>345</v>
      </c>
      <c r="C348" s="41" t="s">
        <v>837</v>
      </c>
      <c r="D348" s="41" t="s">
        <v>3</v>
      </c>
      <c r="E348" s="59">
        <v>3.9</v>
      </c>
      <c r="F348" s="59">
        <v>2.8614999999999999</v>
      </c>
      <c r="G348" s="60">
        <v>0</v>
      </c>
      <c r="H348" s="61"/>
    </row>
    <row r="349" spans="1:8" ht="17.25" x14ac:dyDescent="0.3">
      <c r="A349" s="39">
        <v>14121600</v>
      </c>
      <c r="B349" s="40" t="s">
        <v>346</v>
      </c>
      <c r="C349" s="41" t="s">
        <v>837</v>
      </c>
      <c r="D349" s="41" t="s">
        <v>3</v>
      </c>
      <c r="E349" s="59">
        <v>3.8265273679487182</v>
      </c>
      <c r="F349" s="59">
        <v>4.1349999999999998</v>
      </c>
      <c r="G349" s="60">
        <v>355.58</v>
      </c>
      <c r="H349" s="61"/>
    </row>
    <row r="350" spans="1:8" ht="17.25" x14ac:dyDescent="0.3">
      <c r="A350" s="39">
        <v>14121672</v>
      </c>
      <c r="B350" s="40" t="s">
        <v>349</v>
      </c>
      <c r="C350" s="41" t="s">
        <v>838</v>
      </c>
      <c r="D350" s="41" t="s">
        <v>3</v>
      </c>
      <c r="E350" s="59">
        <v>3.1262953576923076</v>
      </c>
      <c r="F350" s="59">
        <v>2.7519999999999998</v>
      </c>
      <c r="G350" s="60">
        <v>0</v>
      </c>
      <c r="H350" s="61"/>
    </row>
    <row r="351" spans="1:8" ht="17.25" x14ac:dyDescent="0.3">
      <c r="A351" s="40">
        <v>14121677</v>
      </c>
      <c r="B351" s="40" t="s">
        <v>350</v>
      </c>
      <c r="C351" s="41" t="s">
        <v>838</v>
      </c>
      <c r="D351" s="41" t="s">
        <v>3</v>
      </c>
      <c r="E351" s="59">
        <v>4.9834408846153853</v>
      </c>
      <c r="F351" s="59">
        <v>4.5015000000000001</v>
      </c>
      <c r="G351" s="60">
        <v>0</v>
      </c>
      <c r="H351" s="61"/>
    </row>
    <row r="352" spans="1:8" ht="17.25" x14ac:dyDescent="0.3">
      <c r="A352" s="39">
        <v>14121728</v>
      </c>
      <c r="B352" s="40" t="s">
        <v>352</v>
      </c>
      <c r="C352" s="41" t="s">
        <v>839</v>
      </c>
      <c r="D352" s="41" t="s">
        <v>3</v>
      </c>
      <c r="E352" s="59">
        <v>8.8324602249999984</v>
      </c>
      <c r="F352" s="59">
        <v>10.635999999999999</v>
      </c>
      <c r="G352" s="60">
        <v>355.58</v>
      </c>
      <c r="H352" s="61"/>
    </row>
    <row r="353" spans="1:9" ht="17.25" x14ac:dyDescent="0.3">
      <c r="A353" s="39">
        <v>14121733</v>
      </c>
      <c r="B353" s="40" t="s">
        <v>353</v>
      </c>
      <c r="C353" s="41" t="s">
        <v>724</v>
      </c>
      <c r="D353" s="41" t="s">
        <v>3</v>
      </c>
      <c r="E353" s="59">
        <v>3.3447547083333333</v>
      </c>
      <c r="F353" s="59">
        <v>2.7454999999999998</v>
      </c>
      <c r="G353" s="60">
        <v>0</v>
      </c>
      <c r="H353" s="61"/>
    </row>
    <row r="354" spans="1:9" ht="17.25" x14ac:dyDescent="0.3">
      <c r="A354" s="39">
        <v>14121756</v>
      </c>
      <c r="B354" s="40" t="s">
        <v>357</v>
      </c>
      <c r="C354" s="41" t="s">
        <v>840</v>
      </c>
      <c r="D354" s="41" t="s">
        <v>3</v>
      </c>
      <c r="E354" s="59">
        <v>4.3253192999999985</v>
      </c>
      <c r="F354" s="59">
        <v>4.5344999999999995</v>
      </c>
      <c r="G354" s="60">
        <v>355.58</v>
      </c>
      <c r="H354" s="61"/>
    </row>
    <row r="355" spans="1:9" ht="17.25" x14ac:dyDescent="0.3">
      <c r="A355" s="40">
        <v>14121766</v>
      </c>
      <c r="B355" s="40" t="s">
        <v>358</v>
      </c>
      <c r="C355" s="41" t="s">
        <v>840</v>
      </c>
      <c r="D355" s="41" t="s">
        <v>3</v>
      </c>
      <c r="E355" s="59">
        <v>4.0314446636363641</v>
      </c>
      <c r="F355" s="59">
        <v>3.2545000000000002</v>
      </c>
      <c r="G355" s="60">
        <v>0</v>
      </c>
      <c r="H355" s="61"/>
      <c r="I355" s="62"/>
    </row>
    <row r="356" spans="1:9" ht="17.25" x14ac:dyDescent="0.3">
      <c r="A356" s="40">
        <v>14121784</v>
      </c>
      <c r="B356" s="40" t="s">
        <v>359</v>
      </c>
      <c r="C356" s="41" t="s">
        <v>841</v>
      </c>
      <c r="D356" s="41" t="s">
        <v>3</v>
      </c>
      <c r="E356" s="59">
        <v>4.3211632769230768</v>
      </c>
      <c r="F356" s="59">
        <v>2.9060000000000001</v>
      </c>
      <c r="G356" s="60">
        <v>0</v>
      </c>
      <c r="H356" s="61"/>
    </row>
    <row r="357" spans="1:9" ht="17.25" x14ac:dyDescent="0.3">
      <c r="A357" s="39">
        <v>14121785</v>
      </c>
      <c r="B357" s="40" t="s">
        <v>360</v>
      </c>
      <c r="C357" s="41" t="s">
        <v>841</v>
      </c>
      <c r="D357" s="41" t="s">
        <v>3</v>
      </c>
      <c r="E357" s="59">
        <v>3.1543333333333337</v>
      </c>
      <c r="F357" s="59">
        <v>3.8210000000000002</v>
      </c>
      <c r="G357" s="60">
        <v>355.58</v>
      </c>
      <c r="H357" s="61"/>
    </row>
    <row r="358" spans="1:9" ht="17.25" x14ac:dyDescent="0.3">
      <c r="A358" s="39">
        <v>14121791</v>
      </c>
      <c r="B358" s="40" t="s">
        <v>361</v>
      </c>
      <c r="C358" s="41" t="s">
        <v>841</v>
      </c>
      <c r="D358" s="41" t="s">
        <v>3</v>
      </c>
      <c r="E358" s="59"/>
      <c r="F358" s="59" t="e">
        <v>#N/A</v>
      </c>
      <c r="G358" s="60"/>
      <c r="H358" s="61"/>
    </row>
    <row r="359" spans="1:9" ht="17.25" x14ac:dyDescent="0.3">
      <c r="A359" s="39">
        <v>14121809</v>
      </c>
      <c r="B359" s="40" t="s">
        <v>362</v>
      </c>
      <c r="C359" s="41" t="s">
        <v>842</v>
      </c>
      <c r="D359" s="41" t="s">
        <v>3</v>
      </c>
      <c r="E359" s="59">
        <v>3.6372222222222224</v>
      </c>
      <c r="F359" s="59">
        <v>3.3919999999999999</v>
      </c>
      <c r="G359" s="60">
        <v>0</v>
      </c>
      <c r="H359" s="61"/>
    </row>
    <row r="360" spans="1:9" ht="17.25" x14ac:dyDescent="0.3">
      <c r="A360" s="39">
        <v>14121811</v>
      </c>
      <c r="B360" s="40" t="s">
        <v>363</v>
      </c>
      <c r="C360" s="41" t="s">
        <v>842</v>
      </c>
      <c r="D360" s="41" t="s">
        <v>3</v>
      </c>
      <c r="E360" s="59">
        <v>4.9189447243589752</v>
      </c>
      <c r="F360" s="59">
        <v>3.6239999999999997</v>
      </c>
      <c r="G360" s="60">
        <v>0</v>
      </c>
      <c r="H360" s="61"/>
    </row>
    <row r="361" spans="1:9" ht="17.25" x14ac:dyDescent="0.3">
      <c r="A361" s="39">
        <v>14121821</v>
      </c>
      <c r="B361" s="40" t="s">
        <v>364</v>
      </c>
      <c r="C361" s="41" t="s">
        <v>784</v>
      </c>
      <c r="D361" s="41" t="s">
        <v>3</v>
      </c>
      <c r="E361" s="59">
        <v>4.1883123987179491</v>
      </c>
      <c r="F361" s="59">
        <v>4.093</v>
      </c>
      <c r="G361" s="60">
        <v>355.58</v>
      </c>
      <c r="H361" s="61" t="s">
        <v>3693</v>
      </c>
    </row>
    <row r="362" spans="1:9" ht="17.25" x14ac:dyDescent="0.3">
      <c r="A362" s="39">
        <v>14121856</v>
      </c>
      <c r="B362" s="40" t="s">
        <v>365</v>
      </c>
      <c r="C362" s="41" t="s">
        <v>706</v>
      </c>
      <c r="D362" s="41" t="s">
        <v>3</v>
      </c>
      <c r="E362" s="59">
        <v>3.9</v>
      </c>
      <c r="F362" s="59">
        <v>3.2510000000000003</v>
      </c>
      <c r="G362" s="60">
        <v>0</v>
      </c>
      <c r="H362" s="61"/>
    </row>
    <row r="363" spans="1:9" ht="17.25" x14ac:dyDescent="0.3">
      <c r="A363" s="39">
        <v>14121859</v>
      </c>
      <c r="B363" s="40" t="s">
        <v>366</v>
      </c>
      <c r="C363" s="41" t="s">
        <v>706</v>
      </c>
      <c r="D363" s="41" t="s">
        <v>3</v>
      </c>
      <c r="E363" s="59">
        <v>3.5946552000000001</v>
      </c>
      <c r="F363" s="59">
        <v>4.5239999999999991</v>
      </c>
      <c r="G363" s="60">
        <v>355.58</v>
      </c>
      <c r="H363" s="61"/>
    </row>
    <row r="364" spans="1:9" ht="17.25" x14ac:dyDescent="0.3">
      <c r="A364" s="39">
        <v>14121860</v>
      </c>
      <c r="B364" s="40" t="s">
        <v>367</v>
      </c>
      <c r="C364" s="41" t="s">
        <v>706</v>
      </c>
      <c r="D364" s="41" t="s">
        <v>3</v>
      </c>
      <c r="E364" s="59">
        <v>3.7708322916666663</v>
      </c>
      <c r="F364" s="59">
        <v>4.2140000000000004</v>
      </c>
      <c r="G364" s="60">
        <v>355.58</v>
      </c>
      <c r="H364" s="61"/>
    </row>
    <row r="365" spans="1:9" ht="17.25" x14ac:dyDescent="0.3">
      <c r="A365" s="39">
        <v>14121896</v>
      </c>
      <c r="B365" s="40" t="s">
        <v>369</v>
      </c>
      <c r="C365" s="41" t="s">
        <v>843</v>
      </c>
      <c r="D365" s="41" t="s">
        <v>3</v>
      </c>
      <c r="E365" s="59">
        <v>4.1798254874999996</v>
      </c>
      <c r="F365" s="59">
        <v>4.1096666666666666</v>
      </c>
      <c r="G365" s="60">
        <v>0</v>
      </c>
      <c r="H365" s="61"/>
    </row>
    <row r="366" spans="1:9" ht="17.25" x14ac:dyDescent="0.3">
      <c r="A366" s="39">
        <v>14121917</v>
      </c>
      <c r="B366" s="40" t="s">
        <v>370</v>
      </c>
      <c r="C366" s="41" t="s">
        <v>844</v>
      </c>
      <c r="D366" s="41" t="s">
        <v>3</v>
      </c>
      <c r="E366" s="59">
        <v>2.6802134653846155</v>
      </c>
      <c r="F366" s="59">
        <v>3.0289999999999999</v>
      </c>
      <c r="G366" s="60">
        <v>355.58</v>
      </c>
      <c r="H366" s="61"/>
    </row>
    <row r="367" spans="1:9" ht="17.25" x14ac:dyDescent="0.3">
      <c r="A367" s="39">
        <v>14121964</v>
      </c>
      <c r="B367" s="40" t="s">
        <v>375</v>
      </c>
      <c r="C367" s="41" t="s">
        <v>845</v>
      </c>
      <c r="D367" s="41" t="s">
        <v>3</v>
      </c>
      <c r="E367" s="59">
        <v>3.9511646089743588</v>
      </c>
      <c r="F367" s="59">
        <v>4.1719999999999997</v>
      </c>
      <c r="G367" s="60">
        <v>355.58</v>
      </c>
      <c r="H367" s="61"/>
    </row>
    <row r="368" spans="1:9" ht="17.25" x14ac:dyDescent="0.3">
      <c r="A368" s="39">
        <v>14121985</v>
      </c>
      <c r="B368" s="40" t="s">
        <v>376</v>
      </c>
      <c r="C368" s="41" t="s">
        <v>846</v>
      </c>
      <c r="D368" s="41" t="s">
        <v>3</v>
      </c>
      <c r="E368" s="59">
        <v>4.3951666666666673</v>
      </c>
      <c r="F368" s="59">
        <v>2.8450000000000002</v>
      </c>
      <c r="G368" s="60">
        <v>0</v>
      </c>
      <c r="H368" s="61"/>
    </row>
    <row r="369" spans="1:8" ht="17.25" x14ac:dyDescent="0.3">
      <c r="A369" s="39">
        <v>14122033</v>
      </c>
      <c r="B369" s="40" t="s">
        <v>378</v>
      </c>
      <c r="C369" s="41" t="s">
        <v>847</v>
      </c>
      <c r="D369" s="41" t="s">
        <v>3</v>
      </c>
      <c r="E369" s="59">
        <v>3.8025708888888889</v>
      </c>
      <c r="F369" s="59">
        <v>3.2865000000000002</v>
      </c>
      <c r="G369" s="60">
        <v>0</v>
      </c>
      <c r="H369" s="61"/>
    </row>
    <row r="370" spans="1:8" ht="17.25" x14ac:dyDescent="0.3">
      <c r="A370" s="39">
        <v>14122034</v>
      </c>
      <c r="B370" s="48" t="s">
        <v>379</v>
      </c>
      <c r="C370" s="41" t="s">
        <v>847</v>
      </c>
      <c r="D370" s="41" t="s">
        <v>3</v>
      </c>
      <c r="E370" s="59">
        <v>4.6420610269230771</v>
      </c>
      <c r="F370" s="59">
        <v>3.9430000000000001</v>
      </c>
      <c r="G370" s="60">
        <v>0</v>
      </c>
      <c r="H370" s="61"/>
    </row>
    <row r="371" spans="1:8" ht="17.25" x14ac:dyDescent="0.3">
      <c r="A371" s="39">
        <v>14122035</v>
      </c>
      <c r="B371" s="40" t="s">
        <v>380</v>
      </c>
      <c r="C371" s="41" t="s">
        <v>847</v>
      </c>
      <c r="D371" s="41" t="s">
        <v>3</v>
      </c>
      <c r="E371" s="59">
        <v>3.8711550238095236</v>
      </c>
      <c r="F371" s="59">
        <v>3.8407499999999999</v>
      </c>
      <c r="G371" s="60">
        <v>0</v>
      </c>
      <c r="H371" s="61"/>
    </row>
    <row r="372" spans="1:8" ht="17.25" x14ac:dyDescent="0.3">
      <c r="A372" s="39">
        <v>14122067</v>
      </c>
      <c r="B372" s="48" t="s">
        <v>381</v>
      </c>
      <c r="C372" s="41" t="s">
        <v>848</v>
      </c>
      <c r="D372" s="41" t="s">
        <v>3</v>
      </c>
      <c r="E372" s="59">
        <v>4.4212360277777769</v>
      </c>
      <c r="F372" s="59">
        <v>4.0372500000000002</v>
      </c>
      <c r="G372" s="60">
        <v>0</v>
      </c>
      <c r="H372" s="61"/>
    </row>
    <row r="373" spans="1:8" ht="17.25" x14ac:dyDescent="0.3">
      <c r="A373" s="39">
        <v>14122072</v>
      </c>
      <c r="B373" s="40" t="s">
        <v>382</v>
      </c>
      <c r="C373" s="41" t="s">
        <v>849</v>
      </c>
      <c r="D373" s="41" t="s">
        <v>3</v>
      </c>
      <c r="E373" s="59">
        <v>4.1918741569444444</v>
      </c>
      <c r="F373" s="59">
        <v>3.9079999999999999</v>
      </c>
      <c r="G373" s="60">
        <v>0</v>
      </c>
      <c r="H373" s="61"/>
    </row>
    <row r="374" spans="1:8" ht="17.25" x14ac:dyDescent="0.3">
      <c r="A374" s="39">
        <v>14122073</v>
      </c>
      <c r="B374" s="40" t="s">
        <v>383</v>
      </c>
      <c r="C374" s="41" t="s">
        <v>849</v>
      </c>
      <c r="D374" s="41" t="s">
        <v>3</v>
      </c>
      <c r="E374" s="59"/>
      <c r="F374" s="59" t="e">
        <v>#N/A</v>
      </c>
      <c r="G374" s="60"/>
      <c r="H374" s="61"/>
    </row>
    <row r="375" spans="1:8" ht="17.25" x14ac:dyDescent="0.3">
      <c r="A375" s="39">
        <v>14122083</v>
      </c>
      <c r="B375" s="40" t="s">
        <v>385</v>
      </c>
      <c r="C375" s="41" t="s">
        <v>850</v>
      </c>
      <c r="D375" s="41" t="s">
        <v>3</v>
      </c>
      <c r="E375" s="59">
        <v>3.0675083666666665</v>
      </c>
      <c r="F375" s="59">
        <v>3.4976666666666669</v>
      </c>
      <c r="G375" s="60">
        <v>711.16</v>
      </c>
      <c r="H375" s="61" t="s">
        <v>3693</v>
      </c>
    </row>
    <row r="376" spans="1:8" ht="17.25" x14ac:dyDescent="0.3">
      <c r="A376" s="39">
        <v>14122094</v>
      </c>
      <c r="B376" s="40" t="s">
        <v>386</v>
      </c>
      <c r="C376" s="41" t="s">
        <v>850</v>
      </c>
      <c r="D376" s="41" t="s">
        <v>3</v>
      </c>
      <c r="E376" s="59">
        <v>3.159161554166666</v>
      </c>
      <c r="F376" s="59">
        <v>3.3313333333333333</v>
      </c>
      <c r="G376" s="60">
        <v>355.58</v>
      </c>
      <c r="H376" s="61"/>
    </row>
    <row r="377" spans="1:8" ht="17.25" x14ac:dyDescent="0.3">
      <c r="A377" s="39">
        <v>14122095</v>
      </c>
      <c r="B377" s="40" t="s">
        <v>387</v>
      </c>
      <c r="C377" s="41" t="s">
        <v>850</v>
      </c>
      <c r="D377" s="41" t="s">
        <v>3</v>
      </c>
      <c r="E377" s="59">
        <v>3.8105683090277775</v>
      </c>
      <c r="F377" s="59">
        <v>1.917</v>
      </c>
      <c r="G377" s="60">
        <v>0</v>
      </c>
      <c r="H377" s="61"/>
    </row>
    <row r="378" spans="1:8" ht="17.25" x14ac:dyDescent="0.3">
      <c r="A378" s="39">
        <v>14122096</v>
      </c>
      <c r="B378" s="40" t="s">
        <v>388</v>
      </c>
      <c r="C378" s="41" t="s">
        <v>850</v>
      </c>
      <c r="D378" s="41" t="s">
        <v>3</v>
      </c>
      <c r="E378" s="59">
        <v>3.6475982424242419</v>
      </c>
      <c r="F378" s="59">
        <v>6.2449999999999992</v>
      </c>
      <c r="G378" s="60">
        <v>355.58</v>
      </c>
      <c r="H378" s="61"/>
    </row>
    <row r="379" spans="1:8" ht="17.25" x14ac:dyDescent="0.3">
      <c r="A379" s="40">
        <v>14122103</v>
      </c>
      <c r="B379" s="40" t="s">
        <v>389</v>
      </c>
      <c r="C379" s="41" t="s">
        <v>850</v>
      </c>
      <c r="D379" s="41" t="s">
        <v>3</v>
      </c>
      <c r="E379" s="59">
        <v>4.2770151025641034</v>
      </c>
      <c r="F379" s="59">
        <v>3.9826666666666668</v>
      </c>
      <c r="G379" s="60">
        <v>0</v>
      </c>
      <c r="H379" s="61"/>
    </row>
    <row r="380" spans="1:8" ht="17.25" x14ac:dyDescent="0.3">
      <c r="A380" s="39">
        <v>14122113</v>
      </c>
      <c r="B380" s="40" t="s">
        <v>390</v>
      </c>
      <c r="C380" s="41" t="s">
        <v>851</v>
      </c>
      <c r="D380" s="41" t="s">
        <v>3</v>
      </c>
      <c r="E380" s="59">
        <v>3.7167415654545461</v>
      </c>
      <c r="F380" s="59">
        <v>2.6893333333333334</v>
      </c>
      <c r="G380" s="60">
        <v>0</v>
      </c>
      <c r="H380" s="61"/>
    </row>
    <row r="381" spans="1:8" ht="17.25" x14ac:dyDescent="0.3">
      <c r="A381" s="39">
        <v>14122133</v>
      </c>
      <c r="B381" s="40" t="s">
        <v>391</v>
      </c>
      <c r="C381" s="41" t="s">
        <v>852</v>
      </c>
      <c r="D381" s="41" t="s">
        <v>3</v>
      </c>
      <c r="E381" s="59">
        <v>3.7981041115384619</v>
      </c>
      <c r="F381" s="59">
        <v>3.8860000000000001</v>
      </c>
      <c r="G381" s="60">
        <v>355.58</v>
      </c>
      <c r="H381" s="61"/>
    </row>
    <row r="382" spans="1:8" ht="17.25" x14ac:dyDescent="0.3">
      <c r="A382" s="39">
        <v>14122136</v>
      </c>
      <c r="B382" s="40" t="s">
        <v>392</v>
      </c>
      <c r="C382" s="41" t="s">
        <v>852</v>
      </c>
      <c r="D382" s="41" t="s">
        <v>3</v>
      </c>
      <c r="E382" s="59">
        <v>3.6938558333333331</v>
      </c>
      <c r="F382" s="59">
        <v>4.2565</v>
      </c>
      <c r="G382" s="60">
        <v>355.58</v>
      </c>
      <c r="H382" s="61"/>
    </row>
    <row r="383" spans="1:8" ht="17.25" x14ac:dyDescent="0.3">
      <c r="A383" s="39">
        <v>14122137</v>
      </c>
      <c r="B383" s="40" t="s">
        <v>393</v>
      </c>
      <c r="C383" s="41" t="s">
        <v>852</v>
      </c>
      <c r="D383" s="41" t="s">
        <v>3</v>
      </c>
      <c r="E383" s="59">
        <v>3.6149385666666669</v>
      </c>
      <c r="F383" s="59">
        <v>4.5039999999999996</v>
      </c>
      <c r="G383" s="60">
        <v>355.58</v>
      </c>
      <c r="H383" s="61"/>
    </row>
    <row r="384" spans="1:8" ht="17.25" x14ac:dyDescent="0.3">
      <c r="A384" s="39">
        <v>14122148</v>
      </c>
      <c r="B384" s="40" t="s">
        <v>394</v>
      </c>
      <c r="C384" s="41" t="s">
        <v>853</v>
      </c>
      <c r="D384" s="41" t="s">
        <v>3</v>
      </c>
      <c r="E384" s="59">
        <v>4.2433950222222219</v>
      </c>
      <c r="F384" s="59">
        <v>4.1995000000000005</v>
      </c>
      <c r="G384" s="60">
        <v>355.58</v>
      </c>
      <c r="H384" s="61"/>
    </row>
    <row r="385" spans="1:8" ht="17.25" x14ac:dyDescent="0.3">
      <c r="A385" s="39">
        <v>14122149</v>
      </c>
      <c r="B385" s="40" t="s">
        <v>395</v>
      </c>
      <c r="C385" s="41" t="s">
        <v>853</v>
      </c>
      <c r="D385" s="41" t="s">
        <v>3</v>
      </c>
      <c r="E385" s="59">
        <v>4.774</v>
      </c>
      <c r="F385" s="59">
        <v>4.2030000000000003</v>
      </c>
      <c r="G385" s="60">
        <v>0</v>
      </c>
      <c r="H385" s="61"/>
    </row>
    <row r="386" spans="1:8" ht="17.25" x14ac:dyDescent="0.3">
      <c r="A386" s="39">
        <v>14122158</v>
      </c>
      <c r="B386" s="40" t="s">
        <v>396</v>
      </c>
      <c r="C386" s="41" t="s">
        <v>854</v>
      </c>
      <c r="D386" s="41" t="s">
        <v>3</v>
      </c>
      <c r="E386" s="59">
        <v>3.8816342141025642</v>
      </c>
      <c r="F386" s="59">
        <v>3.6924999999999999</v>
      </c>
      <c r="G386" s="60">
        <v>0</v>
      </c>
      <c r="H386" s="61"/>
    </row>
    <row r="387" spans="1:8" ht="17.25" x14ac:dyDescent="0.3">
      <c r="A387" s="39">
        <v>14122191</v>
      </c>
      <c r="B387" s="40" t="s">
        <v>400</v>
      </c>
      <c r="C387" s="41" t="s">
        <v>855</v>
      </c>
      <c r="D387" s="41" t="s">
        <v>3</v>
      </c>
      <c r="E387" s="59">
        <v>9.0818124999999998</v>
      </c>
      <c r="F387" s="59">
        <v>9.6374999999999993</v>
      </c>
      <c r="G387" s="60">
        <v>355.58</v>
      </c>
      <c r="H387" s="61"/>
    </row>
    <row r="388" spans="1:8" ht="17.25" x14ac:dyDescent="0.3">
      <c r="A388" s="40">
        <v>14122194</v>
      </c>
      <c r="B388" s="40" t="s">
        <v>401</v>
      </c>
      <c r="C388" s="41" t="s">
        <v>855</v>
      </c>
      <c r="D388" s="41" t="s">
        <v>3</v>
      </c>
      <c r="E388" s="59">
        <v>3.7954164884615391</v>
      </c>
      <c r="F388" s="59">
        <v>4.5410000000000004</v>
      </c>
      <c r="G388" s="60">
        <v>355.58</v>
      </c>
      <c r="H388" s="61"/>
    </row>
    <row r="389" spans="1:8" ht="17.25" x14ac:dyDescent="0.3">
      <c r="A389" s="39">
        <v>14122221</v>
      </c>
      <c r="B389" s="40" t="s">
        <v>402</v>
      </c>
      <c r="C389" s="41" t="s">
        <v>856</v>
      </c>
      <c r="D389" s="41" t="s">
        <v>3</v>
      </c>
      <c r="E389" s="59">
        <v>3.55</v>
      </c>
      <c r="F389" s="59">
        <v>3.6612499999999999</v>
      </c>
      <c r="G389" s="60">
        <v>355.58</v>
      </c>
      <c r="H389" s="61"/>
    </row>
    <row r="390" spans="1:8" ht="17.25" x14ac:dyDescent="0.3">
      <c r="A390" s="39">
        <v>14122230</v>
      </c>
      <c r="B390" s="40" t="s">
        <v>403</v>
      </c>
      <c r="C390" s="41" t="s">
        <v>717</v>
      </c>
      <c r="D390" s="41" t="s">
        <v>3</v>
      </c>
      <c r="E390" s="59">
        <v>4.0227346138888889</v>
      </c>
      <c r="F390" s="59">
        <v>4.2954999999999997</v>
      </c>
      <c r="G390" s="60">
        <v>355.58</v>
      </c>
      <c r="H390" s="61"/>
    </row>
    <row r="391" spans="1:8" ht="17.25" x14ac:dyDescent="0.3">
      <c r="A391" s="40">
        <v>14122263</v>
      </c>
      <c r="B391" s="40" t="s">
        <v>407</v>
      </c>
      <c r="C391" s="41" t="s">
        <v>857</v>
      </c>
      <c r="D391" s="41" t="s">
        <v>3</v>
      </c>
      <c r="E391" s="59">
        <v>3.3476941125000006</v>
      </c>
      <c r="F391" s="59">
        <v>3.2024999999999997</v>
      </c>
      <c r="G391" s="60">
        <v>0</v>
      </c>
      <c r="H391" s="61"/>
    </row>
    <row r="392" spans="1:8" ht="17.25" x14ac:dyDescent="0.3">
      <c r="A392" s="39">
        <v>14122291</v>
      </c>
      <c r="B392" s="40" t="s">
        <v>408</v>
      </c>
      <c r="C392" s="41" t="s">
        <v>770</v>
      </c>
      <c r="D392" s="41" t="s">
        <v>3</v>
      </c>
      <c r="E392" s="59">
        <v>3.7108740611111113</v>
      </c>
      <c r="F392" s="59">
        <v>3.2484999999999999</v>
      </c>
      <c r="G392" s="60">
        <v>0</v>
      </c>
      <c r="H392" s="61"/>
    </row>
    <row r="393" spans="1:8" ht="17.25" x14ac:dyDescent="0.3">
      <c r="A393" s="39">
        <v>14122293</v>
      </c>
      <c r="B393" s="40" t="s">
        <v>409</v>
      </c>
      <c r="C393" s="41" t="s">
        <v>770</v>
      </c>
      <c r="D393" s="41" t="s">
        <v>3</v>
      </c>
      <c r="E393" s="59">
        <v>10.091696499999999</v>
      </c>
      <c r="F393" s="59">
        <v>7.8875000000000002</v>
      </c>
      <c r="G393" s="60">
        <v>0</v>
      </c>
      <c r="H393" s="61"/>
    </row>
    <row r="394" spans="1:8" ht="17.25" x14ac:dyDescent="0.3">
      <c r="A394" s="39">
        <v>14122294</v>
      </c>
      <c r="B394" s="40" t="s">
        <v>410</v>
      </c>
      <c r="C394" s="41" t="s">
        <v>770</v>
      </c>
      <c r="D394" s="41" t="s">
        <v>3</v>
      </c>
      <c r="E394" s="59">
        <v>3.3457500000000002</v>
      </c>
      <c r="F394" s="59">
        <v>2.5265000000000004</v>
      </c>
      <c r="G394" s="60">
        <v>0</v>
      </c>
      <c r="H394" s="61"/>
    </row>
    <row r="395" spans="1:8" ht="17.25" x14ac:dyDescent="0.3">
      <c r="A395" s="39">
        <v>14122320</v>
      </c>
      <c r="B395" s="40" t="s">
        <v>411</v>
      </c>
      <c r="C395" s="41" t="s">
        <v>858</v>
      </c>
      <c r="D395" s="41" t="s">
        <v>3</v>
      </c>
      <c r="E395" s="59">
        <v>3.7358048320512824</v>
      </c>
      <c r="F395" s="59">
        <v>3.2789999999999999</v>
      </c>
      <c r="G395" s="60">
        <v>0</v>
      </c>
      <c r="H395" s="61"/>
    </row>
    <row r="396" spans="1:8" ht="17.25" x14ac:dyDescent="0.3">
      <c r="A396" s="39">
        <v>14122329</v>
      </c>
      <c r="B396" s="40" t="s">
        <v>412</v>
      </c>
      <c r="C396" s="41" t="s">
        <v>859</v>
      </c>
      <c r="D396" s="41" t="s">
        <v>3</v>
      </c>
      <c r="E396" s="59">
        <v>4.3749426833333338</v>
      </c>
      <c r="F396" s="59">
        <v>2.3343333333333334</v>
      </c>
      <c r="G396" s="60">
        <v>0</v>
      </c>
      <c r="H396" s="61"/>
    </row>
    <row r="397" spans="1:8" ht="17.25" x14ac:dyDescent="0.3">
      <c r="A397" s="39">
        <v>14122330</v>
      </c>
      <c r="B397" s="40" t="s">
        <v>413</v>
      </c>
      <c r="C397" s="41" t="s">
        <v>860</v>
      </c>
      <c r="D397" s="41" t="s">
        <v>3</v>
      </c>
      <c r="E397" s="59">
        <v>3.7291367069444448</v>
      </c>
      <c r="F397" s="59">
        <v>4.2880000000000003</v>
      </c>
      <c r="G397" s="60">
        <v>355.58</v>
      </c>
      <c r="H397" s="61"/>
    </row>
    <row r="398" spans="1:8" ht="17.25" x14ac:dyDescent="0.3">
      <c r="A398" s="39">
        <v>14122331</v>
      </c>
      <c r="B398" s="40" t="s">
        <v>414</v>
      </c>
      <c r="C398" s="41" t="s">
        <v>860</v>
      </c>
      <c r="D398" s="41" t="s">
        <v>3</v>
      </c>
      <c r="E398" s="59">
        <v>3.8721284250000001</v>
      </c>
      <c r="F398" s="59">
        <v>4.5120000000000005</v>
      </c>
      <c r="G398" s="60">
        <v>355.58</v>
      </c>
      <c r="H398" s="61"/>
    </row>
    <row r="399" spans="1:8" ht="17.25" x14ac:dyDescent="0.3">
      <c r="A399" s="39">
        <v>14122353</v>
      </c>
      <c r="B399" s="40" t="s">
        <v>415</v>
      </c>
      <c r="C399" s="41" t="s">
        <v>861</v>
      </c>
      <c r="D399" s="41" t="s">
        <v>3</v>
      </c>
      <c r="E399" s="59"/>
      <c r="F399" s="59" t="e">
        <v>#N/A</v>
      </c>
      <c r="G399" s="60"/>
      <c r="H399" s="61"/>
    </row>
    <row r="400" spans="1:8" ht="17.25" x14ac:dyDescent="0.3">
      <c r="A400" s="39">
        <v>14122355</v>
      </c>
      <c r="B400" s="40" t="s">
        <v>417</v>
      </c>
      <c r="C400" s="41" t="s">
        <v>861</v>
      </c>
      <c r="D400" s="41" t="s">
        <v>3</v>
      </c>
      <c r="E400" s="59">
        <v>3.3245816102564096</v>
      </c>
      <c r="F400" s="59">
        <v>1.6559999999999999</v>
      </c>
      <c r="G400" s="60">
        <v>0</v>
      </c>
      <c r="H400" s="61"/>
    </row>
    <row r="401" spans="1:8" ht="17.25" x14ac:dyDescent="0.3">
      <c r="A401" s="39">
        <v>14122377</v>
      </c>
      <c r="B401" s="48" t="s">
        <v>418</v>
      </c>
      <c r="C401" s="41" t="s">
        <v>861</v>
      </c>
      <c r="D401" s="41" t="s">
        <v>3</v>
      </c>
      <c r="E401" s="59">
        <v>4.132382156410257</v>
      </c>
      <c r="F401" s="59">
        <v>3.383</v>
      </c>
      <c r="G401" s="60">
        <v>0</v>
      </c>
      <c r="H401" s="61"/>
    </row>
    <row r="402" spans="1:8" ht="17.25" x14ac:dyDescent="0.3">
      <c r="A402" s="39">
        <v>14122394</v>
      </c>
      <c r="B402" s="40" t="s">
        <v>419</v>
      </c>
      <c r="C402" s="41" t="s">
        <v>862</v>
      </c>
      <c r="D402" s="41" t="s">
        <v>3</v>
      </c>
      <c r="E402" s="59">
        <v>3.6918725930555554</v>
      </c>
      <c r="F402" s="59">
        <v>3.0785</v>
      </c>
      <c r="G402" s="60">
        <v>0</v>
      </c>
      <c r="H402" s="61"/>
    </row>
    <row r="403" spans="1:8" ht="17.25" x14ac:dyDescent="0.3">
      <c r="A403" s="39">
        <v>14122416</v>
      </c>
      <c r="B403" s="40" t="s">
        <v>420</v>
      </c>
      <c r="C403" s="41" t="s">
        <v>863</v>
      </c>
      <c r="D403" s="41" t="s">
        <v>3</v>
      </c>
      <c r="E403" s="59">
        <v>4.0464718333333334</v>
      </c>
      <c r="F403" s="59">
        <v>3.5369999999999999</v>
      </c>
      <c r="G403" s="60">
        <v>0</v>
      </c>
      <c r="H403" s="61"/>
    </row>
    <row r="404" spans="1:8" ht="17.25" x14ac:dyDescent="0.3">
      <c r="A404" s="39">
        <v>14122417</v>
      </c>
      <c r="B404" s="40" t="s">
        <v>421</v>
      </c>
      <c r="C404" s="41" t="s">
        <v>863</v>
      </c>
      <c r="D404" s="41" t="s">
        <v>3</v>
      </c>
      <c r="E404" s="59">
        <v>3.2638599736111118</v>
      </c>
      <c r="F404" s="59">
        <v>4.0380000000000003</v>
      </c>
      <c r="G404" s="60">
        <v>355.58</v>
      </c>
      <c r="H404" s="61"/>
    </row>
    <row r="405" spans="1:8" ht="17.25" x14ac:dyDescent="0.3">
      <c r="A405" s="39">
        <v>14122419</v>
      </c>
      <c r="B405" s="40" t="s">
        <v>422</v>
      </c>
      <c r="C405" s="41" t="s">
        <v>863</v>
      </c>
      <c r="D405" s="41" t="s">
        <v>3</v>
      </c>
      <c r="E405" s="59" t="s">
        <v>925</v>
      </c>
      <c r="F405" s="59" t="s">
        <v>925</v>
      </c>
      <c r="G405" s="60">
        <v>355.58</v>
      </c>
      <c r="H405" s="61"/>
    </row>
    <row r="406" spans="1:8" ht="17.25" x14ac:dyDescent="0.3">
      <c r="A406" s="39">
        <v>14122428</v>
      </c>
      <c r="B406" s="40" t="s">
        <v>423</v>
      </c>
      <c r="C406" s="41" t="s">
        <v>864</v>
      </c>
      <c r="D406" s="41" t="s">
        <v>3</v>
      </c>
      <c r="E406" s="59"/>
      <c r="F406" s="59" t="e">
        <v>#N/A</v>
      </c>
      <c r="G406" s="60"/>
      <c r="H406" s="61"/>
    </row>
    <row r="407" spans="1:8" ht="17.25" x14ac:dyDescent="0.3">
      <c r="A407" s="39">
        <v>14122429</v>
      </c>
      <c r="B407" s="40" t="s">
        <v>424</v>
      </c>
      <c r="C407" s="41" t="s">
        <v>864</v>
      </c>
      <c r="D407" s="41" t="s">
        <v>3</v>
      </c>
      <c r="E407" s="59">
        <v>4.0151459731944446</v>
      </c>
      <c r="F407" s="59">
        <v>2.9849999999999999</v>
      </c>
      <c r="G407" s="60">
        <v>0</v>
      </c>
      <c r="H407" s="61"/>
    </row>
    <row r="408" spans="1:8" ht="17.25" x14ac:dyDescent="0.3">
      <c r="A408" s="39">
        <v>14122431</v>
      </c>
      <c r="B408" s="40" t="s">
        <v>425</v>
      </c>
      <c r="C408" s="41" t="s">
        <v>864</v>
      </c>
      <c r="D408" s="41" t="s">
        <v>3</v>
      </c>
      <c r="E408" s="59">
        <v>3.5649976469696969</v>
      </c>
      <c r="F408" s="59">
        <v>3.448</v>
      </c>
      <c r="G408" s="60">
        <v>0</v>
      </c>
      <c r="H408" s="61"/>
    </row>
    <row r="409" spans="1:8" ht="17.25" x14ac:dyDescent="0.3">
      <c r="A409" s="39">
        <v>14122481</v>
      </c>
      <c r="B409" s="40" t="s">
        <v>426</v>
      </c>
      <c r="C409" s="41" t="s">
        <v>865</v>
      </c>
      <c r="D409" s="41" t="s">
        <v>3</v>
      </c>
      <c r="E409" s="59"/>
      <c r="F409" s="59" t="e">
        <v>#N/A</v>
      </c>
      <c r="G409" s="60"/>
      <c r="H409" s="61"/>
    </row>
    <row r="410" spans="1:8" ht="17.25" x14ac:dyDescent="0.3">
      <c r="A410" s="39">
        <v>14122495</v>
      </c>
      <c r="B410" s="40" t="s">
        <v>429</v>
      </c>
      <c r="C410" s="41" t="s">
        <v>866</v>
      </c>
      <c r="D410" s="41" t="s">
        <v>3</v>
      </c>
      <c r="E410" s="59">
        <v>3.9751643874999996</v>
      </c>
      <c r="F410" s="59">
        <v>3.9809999999999999</v>
      </c>
      <c r="G410" s="60">
        <v>355.58</v>
      </c>
      <c r="H410" s="61"/>
    </row>
    <row r="411" spans="1:8" ht="17.25" x14ac:dyDescent="0.3">
      <c r="A411" s="39">
        <v>14122510</v>
      </c>
      <c r="B411" s="40" t="s">
        <v>430</v>
      </c>
      <c r="C411" s="41" t="s">
        <v>683</v>
      </c>
      <c r="D411" s="41" t="s">
        <v>3</v>
      </c>
      <c r="E411" s="59" t="s">
        <v>925</v>
      </c>
      <c r="F411" s="59" t="s">
        <v>925</v>
      </c>
      <c r="G411" s="60">
        <v>355.58</v>
      </c>
      <c r="H411" s="61"/>
    </row>
    <row r="412" spans="1:8" ht="17.25" x14ac:dyDescent="0.3">
      <c r="A412" s="39">
        <v>14122543</v>
      </c>
      <c r="B412" s="40" t="s">
        <v>433</v>
      </c>
      <c r="C412" s="41" t="s">
        <v>867</v>
      </c>
      <c r="D412" s="41" t="s">
        <v>3</v>
      </c>
      <c r="E412" s="59">
        <v>8.7826864600000007</v>
      </c>
      <c r="F412" s="59">
        <v>7.2293333333333338</v>
      </c>
      <c r="G412" s="60">
        <v>0</v>
      </c>
      <c r="H412" s="61"/>
    </row>
    <row r="413" spans="1:8" ht="17.25" x14ac:dyDescent="0.3">
      <c r="A413" s="39">
        <v>14122546</v>
      </c>
      <c r="B413" s="40" t="s">
        <v>434</v>
      </c>
      <c r="C413" s="41" t="s">
        <v>868</v>
      </c>
      <c r="D413" s="41" t="s">
        <v>3</v>
      </c>
      <c r="E413" s="59">
        <v>4.0504243717948718</v>
      </c>
      <c r="F413" s="59">
        <v>4.0274999999999999</v>
      </c>
      <c r="G413" s="60">
        <v>355.58</v>
      </c>
      <c r="H413" s="61"/>
    </row>
    <row r="414" spans="1:8" ht="17.25" x14ac:dyDescent="0.3">
      <c r="A414" s="39">
        <v>14122617</v>
      </c>
      <c r="B414" s="40" t="s">
        <v>435</v>
      </c>
      <c r="C414" s="41" t="s">
        <v>869</v>
      </c>
      <c r="D414" s="41" t="s">
        <v>3</v>
      </c>
      <c r="E414" s="59">
        <v>2.0632575625</v>
      </c>
      <c r="F414" s="59">
        <v>3.0983333333333332</v>
      </c>
      <c r="G414" s="60">
        <v>355.58</v>
      </c>
      <c r="H414" s="61"/>
    </row>
    <row r="415" spans="1:8" ht="17.25" x14ac:dyDescent="0.3">
      <c r="A415" s="39">
        <v>14122618</v>
      </c>
      <c r="B415" s="40" t="s">
        <v>436</v>
      </c>
      <c r="C415" s="41" t="s">
        <v>869</v>
      </c>
      <c r="D415" s="41" t="s">
        <v>3</v>
      </c>
      <c r="E415" s="59">
        <v>3.8681061224358975</v>
      </c>
      <c r="F415" s="59">
        <v>4.2175000000000002</v>
      </c>
      <c r="G415" s="60">
        <v>355.58</v>
      </c>
      <c r="H415" s="61"/>
    </row>
    <row r="416" spans="1:8" ht="17.25" x14ac:dyDescent="0.3">
      <c r="A416" s="39">
        <v>14122681</v>
      </c>
      <c r="B416" s="40" t="s">
        <v>439</v>
      </c>
      <c r="C416" s="41" t="s">
        <v>870</v>
      </c>
      <c r="D416" s="41" t="s">
        <v>3</v>
      </c>
      <c r="E416" s="59">
        <v>7</v>
      </c>
      <c r="F416" s="59">
        <v>7.0636666666666672</v>
      </c>
      <c r="G416" s="60">
        <v>355.58</v>
      </c>
      <c r="H416" s="61"/>
    </row>
    <row r="417" spans="1:8" ht="17.25" x14ac:dyDescent="0.3">
      <c r="A417" s="39">
        <v>14122683</v>
      </c>
      <c r="B417" s="40" t="s">
        <v>441</v>
      </c>
      <c r="C417" s="41" t="s">
        <v>870</v>
      </c>
      <c r="D417" s="41" t="s">
        <v>3</v>
      </c>
      <c r="E417" s="59">
        <v>4.3262518953846154</v>
      </c>
      <c r="F417" s="59">
        <v>4.7324999999999999</v>
      </c>
      <c r="G417" s="60">
        <v>355.58</v>
      </c>
      <c r="H417" s="61"/>
    </row>
    <row r="418" spans="1:8" ht="17.25" x14ac:dyDescent="0.3">
      <c r="A418" s="39">
        <v>14122685</v>
      </c>
      <c r="B418" s="40" t="s">
        <v>442</v>
      </c>
      <c r="C418" s="41" t="s">
        <v>871</v>
      </c>
      <c r="D418" s="41" t="s">
        <v>3</v>
      </c>
      <c r="E418" s="59">
        <v>4.2640866666666657</v>
      </c>
      <c r="F418" s="59">
        <v>4.4284999999999997</v>
      </c>
      <c r="G418" s="60">
        <v>355.58</v>
      </c>
      <c r="H418" s="61"/>
    </row>
    <row r="419" spans="1:8" ht="17.25" x14ac:dyDescent="0.3">
      <c r="A419" s="39">
        <v>14122687</v>
      </c>
      <c r="B419" s="40" t="s">
        <v>443</v>
      </c>
      <c r="C419" s="41" t="s">
        <v>871</v>
      </c>
      <c r="D419" s="41" t="s">
        <v>3</v>
      </c>
      <c r="E419" s="59">
        <v>4.1649792121212128</v>
      </c>
      <c r="F419" s="59">
        <v>4.1213333333333333</v>
      </c>
      <c r="G419" s="60">
        <v>355.58</v>
      </c>
      <c r="H419" s="61"/>
    </row>
    <row r="420" spans="1:8" ht="17.25" x14ac:dyDescent="0.3">
      <c r="A420" s="39">
        <v>14122706</v>
      </c>
      <c r="B420" s="40" t="s">
        <v>444</v>
      </c>
      <c r="C420" s="41" t="s">
        <v>872</v>
      </c>
      <c r="D420" s="41" t="s">
        <v>3</v>
      </c>
      <c r="E420" s="59">
        <v>7.4247490699999998</v>
      </c>
      <c r="F420" s="59">
        <v>7.4029999999999996</v>
      </c>
      <c r="G420" s="60">
        <v>355.58</v>
      </c>
      <c r="H420" s="61"/>
    </row>
    <row r="421" spans="1:8" ht="17.25" x14ac:dyDescent="0.3">
      <c r="A421" s="39">
        <v>14122708</v>
      </c>
      <c r="B421" s="40" t="s">
        <v>445</v>
      </c>
      <c r="C421" s="41" t="s">
        <v>872</v>
      </c>
      <c r="D421" s="41" t="s">
        <v>3</v>
      </c>
      <c r="E421" s="59"/>
      <c r="F421" s="59" t="e">
        <v>#N/A</v>
      </c>
      <c r="G421" s="60"/>
      <c r="H421" s="61"/>
    </row>
    <row r="422" spans="1:8" ht="17.25" x14ac:dyDescent="0.3">
      <c r="A422" s="39">
        <v>14122709</v>
      </c>
      <c r="B422" s="40" t="s">
        <v>446</v>
      </c>
      <c r="C422" s="41" t="s">
        <v>872</v>
      </c>
      <c r="D422" s="41" t="s">
        <v>3</v>
      </c>
      <c r="E422" s="59">
        <v>3.6162272192307698</v>
      </c>
      <c r="F422" s="59">
        <v>3.688333333333333</v>
      </c>
      <c r="G422" s="60">
        <v>355.58</v>
      </c>
      <c r="H422" s="61"/>
    </row>
    <row r="423" spans="1:8" ht="17.25" x14ac:dyDescent="0.3">
      <c r="A423" s="39">
        <v>14122758</v>
      </c>
      <c r="B423" s="40" t="s">
        <v>447</v>
      </c>
      <c r="C423" s="41" t="s">
        <v>777</v>
      </c>
      <c r="D423" s="41" t="s">
        <v>3</v>
      </c>
      <c r="E423" s="59">
        <v>3.2688755763888886</v>
      </c>
      <c r="F423" s="59">
        <v>3.657</v>
      </c>
      <c r="G423" s="60">
        <v>355.58</v>
      </c>
      <c r="H423" s="61"/>
    </row>
    <row r="424" spans="1:8" ht="17.25" x14ac:dyDescent="0.3">
      <c r="A424" s="108">
        <v>14122772</v>
      </c>
      <c r="B424" s="109" t="s">
        <v>448</v>
      </c>
      <c r="C424" s="110" t="s">
        <v>873</v>
      </c>
      <c r="D424" s="110" t="s">
        <v>3</v>
      </c>
      <c r="E424" s="59"/>
      <c r="F424" s="59" t="e">
        <v>#N/A</v>
      </c>
      <c r="G424" s="60"/>
      <c r="H424" s="61"/>
    </row>
    <row r="425" spans="1:8" ht="17.25" x14ac:dyDescent="0.3">
      <c r="A425" s="39">
        <v>14122773</v>
      </c>
      <c r="B425" s="40" t="s">
        <v>449</v>
      </c>
      <c r="C425" s="41" t="s">
        <v>873</v>
      </c>
      <c r="D425" s="41" t="s">
        <v>3</v>
      </c>
      <c r="E425" s="59">
        <v>3.1348875068181825</v>
      </c>
      <c r="F425" s="59">
        <v>4.7319999999999993</v>
      </c>
      <c r="G425" s="60">
        <v>355.58</v>
      </c>
      <c r="H425" s="61"/>
    </row>
    <row r="426" spans="1:8" ht="17.25" x14ac:dyDescent="0.3">
      <c r="A426" s="39">
        <v>14122775</v>
      </c>
      <c r="B426" s="40" t="s">
        <v>450</v>
      </c>
      <c r="C426" s="41" t="s">
        <v>873</v>
      </c>
      <c r="D426" s="41" t="s">
        <v>3</v>
      </c>
      <c r="E426" s="59">
        <v>3.7629980430555556</v>
      </c>
      <c r="F426" s="59">
        <v>3.8126666666666669</v>
      </c>
      <c r="G426" s="60">
        <v>355.58</v>
      </c>
      <c r="H426" s="61"/>
    </row>
    <row r="427" spans="1:8" ht="17.25" x14ac:dyDescent="0.3">
      <c r="A427" s="40">
        <v>14122809</v>
      </c>
      <c r="B427" s="40" t="s">
        <v>451</v>
      </c>
      <c r="C427" s="41" t="s">
        <v>874</v>
      </c>
      <c r="D427" s="41" t="s">
        <v>3</v>
      </c>
      <c r="E427" s="59">
        <v>3.79</v>
      </c>
      <c r="F427" s="59">
        <v>3.8559999999999999</v>
      </c>
      <c r="G427" s="60">
        <v>355.58</v>
      </c>
      <c r="H427" s="61"/>
    </row>
    <row r="428" spans="1:8" ht="17.25" x14ac:dyDescent="0.3">
      <c r="A428" s="39">
        <v>14122831</v>
      </c>
      <c r="B428" s="40" t="s">
        <v>452</v>
      </c>
      <c r="C428" s="41" t="s">
        <v>875</v>
      </c>
      <c r="D428" s="41" t="s">
        <v>3</v>
      </c>
      <c r="E428" s="59">
        <v>8.2678537083333339</v>
      </c>
      <c r="F428" s="59">
        <v>8.7320000000000011</v>
      </c>
      <c r="G428" s="60">
        <v>355.58</v>
      </c>
      <c r="H428" s="61"/>
    </row>
    <row r="429" spans="1:8" ht="17.25" x14ac:dyDescent="0.3">
      <c r="A429" s="39">
        <v>14122832</v>
      </c>
      <c r="B429" s="40" t="s">
        <v>453</v>
      </c>
      <c r="C429" s="41" t="s">
        <v>875</v>
      </c>
      <c r="D429" s="41" t="s">
        <v>3</v>
      </c>
      <c r="E429" s="59">
        <v>3.6173487974358971</v>
      </c>
      <c r="F429" s="59">
        <v>3.8210000000000002</v>
      </c>
      <c r="G429" s="60">
        <v>355.58</v>
      </c>
      <c r="H429" s="61"/>
    </row>
    <row r="430" spans="1:8" ht="17.25" x14ac:dyDescent="0.3">
      <c r="A430" s="40">
        <v>14122852</v>
      </c>
      <c r="B430" s="40" t="s">
        <v>455</v>
      </c>
      <c r="C430" s="41" t="s">
        <v>744</v>
      </c>
      <c r="D430" s="41" t="s">
        <v>3</v>
      </c>
      <c r="E430" s="59">
        <v>4.2669830727272728</v>
      </c>
      <c r="F430" s="59">
        <v>3.855</v>
      </c>
      <c r="G430" s="60">
        <v>0</v>
      </c>
      <c r="H430" s="61"/>
    </row>
    <row r="431" spans="1:8" ht="17.25" x14ac:dyDescent="0.3">
      <c r="A431" s="39">
        <v>14122854</v>
      </c>
      <c r="B431" s="40" t="s">
        <v>456</v>
      </c>
      <c r="C431" s="41" t="s">
        <v>744</v>
      </c>
      <c r="D431" s="41" t="s">
        <v>3</v>
      </c>
      <c r="E431" s="59">
        <v>3.1509422194444441</v>
      </c>
      <c r="F431" s="59">
        <v>5.0220000000000002</v>
      </c>
      <c r="G431" s="60">
        <v>355.58</v>
      </c>
      <c r="H431" s="61"/>
    </row>
    <row r="432" spans="1:8" ht="17.25" x14ac:dyDescent="0.3">
      <c r="A432" s="39">
        <v>14122855</v>
      </c>
      <c r="B432" s="40" t="s">
        <v>457</v>
      </c>
      <c r="C432" s="41" t="s">
        <v>744</v>
      </c>
      <c r="D432" s="41" t="s">
        <v>3</v>
      </c>
      <c r="E432" s="59">
        <v>3.4020513356060609</v>
      </c>
      <c r="F432" s="59">
        <v>2.9033333333333338</v>
      </c>
      <c r="G432" s="60">
        <v>0</v>
      </c>
      <c r="H432" s="61"/>
    </row>
    <row r="433" spans="1:8" ht="17.25" x14ac:dyDescent="0.3">
      <c r="A433" s="39">
        <v>14122856</v>
      </c>
      <c r="B433" s="40" t="s">
        <v>458</v>
      </c>
      <c r="C433" s="41" t="s">
        <v>744</v>
      </c>
      <c r="D433" s="41" t="s">
        <v>3</v>
      </c>
      <c r="E433" s="59">
        <v>4.2395321666666668</v>
      </c>
      <c r="F433" s="59">
        <v>4.0055000000000005</v>
      </c>
      <c r="G433" s="60">
        <v>0</v>
      </c>
      <c r="H433" s="61"/>
    </row>
    <row r="434" spans="1:8" ht="17.25" x14ac:dyDescent="0.3">
      <c r="A434" s="39">
        <v>14122871</v>
      </c>
      <c r="B434" s="40" t="s">
        <v>459</v>
      </c>
      <c r="C434" s="41" t="s">
        <v>744</v>
      </c>
      <c r="D434" s="41" t="s">
        <v>3</v>
      </c>
      <c r="E434" s="59">
        <v>3.9</v>
      </c>
      <c r="F434" s="59">
        <v>3.9474999999999998</v>
      </c>
      <c r="G434" s="60">
        <v>355.58</v>
      </c>
      <c r="H434" s="61"/>
    </row>
    <row r="435" spans="1:8" ht="17.25" x14ac:dyDescent="0.3">
      <c r="A435" s="39">
        <v>14122873</v>
      </c>
      <c r="B435" s="40" t="s">
        <v>460</v>
      </c>
      <c r="C435" s="41" t="s">
        <v>744</v>
      </c>
      <c r="D435" s="41" t="s">
        <v>3</v>
      </c>
      <c r="E435" s="59" t="s">
        <v>925</v>
      </c>
      <c r="F435" s="59" t="s">
        <v>925</v>
      </c>
      <c r="G435" s="60">
        <v>355.58</v>
      </c>
      <c r="H435" s="61"/>
    </row>
    <row r="436" spans="1:8" ht="17.25" x14ac:dyDescent="0.3">
      <c r="A436" s="39">
        <v>14122904</v>
      </c>
      <c r="B436" s="40" t="s">
        <v>464</v>
      </c>
      <c r="C436" s="41" t="s">
        <v>612</v>
      </c>
      <c r="D436" s="41" t="s">
        <v>3</v>
      </c>
      <c r="E436" s="59">
        <v>5.1981644294871794</v>
      </c>
      <c r="F436" s="59">
        <v>3.3656666666666673</v>
      </c>
      <c r="G436" s="60">
        <v>0</v>
      </c>
      <c r="H436" s="61"/>
    </row>
    <row r="437" spans="1:8" ht="17.25" x14ac:dyDescent="0.3">
      <c r="A437" s="39">
        <v>14122922</v>
      </c>
      <c r="B437" s="40" t="s">
        <v>465</v>
      </c>
      <c r="C437" s="41" t="s">
        <v>751</v>
      </c>
      <c r="D437" s="41" t="s">
        <v>3</v>
      </c>
      <c r="E437" s="59">
        <v>3.1021127591666664</v>
      </c>
      <c r="F437" s="59">
        <v>3.0314999999999999</v>
      </c>
      <c r="G437" s="60">
        <v>0</v>
      </c>
      <c r="H437" s="61"/>
    </row>
    <row r="438" spans="1:8" ht="17.25" x14ac:dyDescent="0.3">
      <c r="A438" s="39">
        <v>14122923</v>
      </c>
      <c r="B438" s="40" t="s">
        <v>466</v>
      </c>
      <c r="C438" s="41" t="s">
        <v>751</v>
      </c>
      <c r="D438" s="41" t="s">
        <v>3</v>
      </c>
      <c r="E438" s="59">
        <v>8.8329894319444442</v>
      </c>
      <c r="F438" s="59">
        <v>9.6392500000000005</v>
      </c>
      <c r="G438" s="60">
        <v>355.58</v>
      </c>
      <c r="H438" s="61"/>
    </row>
    <row r="439" spans="1:8" ht="17.25" x14ac:dyDescent="0.3">
      <c r="A439" s="39">
        <v>14122925</v>
      </c>
      <c r="B439" s="40" t="s">
        <v>467</v>
      </c>
      <c r="C439" s="41" t="s">
        <v>751</v>
      </c>
      <c r="D439" s="41" t="s">
        <v>3</v>
      </c>
      <c r="E439" s="59">
        <v>4.0591413378787884</v>
      </c>
      <c r="F439" s="59">
        <v>3.1335000000000002</v>
      </c>
      <c r="G439" s="60">
        <v>0</v>
      </c>
      <c r="H439" s="61"/>
    </row>
    <row r="440" spans="1:8" ht="17.25" x14ac:dyDescent="0.3">
      <c r="A440" s="39">
        <v>14122927</v>
      </c>
      <c r="B440" s="40" t="s">
        <v>468</v>
      </c>
      <c r="C440" s="41" t="s">
        <v>751</v>
      </c>
      <c r="D440" s="41" t="s">
        <v>3</v>
      </c>
      <c r="E440" s="59">
        <v>4.4414711256410255</v>
      </c>
      <c r="F440" s="59">
        <v>3.4409999999999998</v>
      </c>
      <c r="G440" s="60">
        <v>0</v>
      </c>
      <c r="H440" s="61"/>
    </row>
    <row r="441" spans="1:8" ht="17.25" x14ac:dyDescent="0.3">
      <c r="A441" s="39">
        <v>14122928</v>
      </c>
      <c r="B441" s="40" t="s">
        <v>469</v>
      </c>
      <c r="C441" s="41" t="s">
        <v>751</v>
      </c>
      <c r="D441" s="41" t="s">
        <v>3</v>
      </c>
      <c r="E441" s="59">
        <v>8.8329894319444442</v>
      </c>
      <c r="F441" s="59">
        <v>5.7515000000000001</v>
      </c>
      <c r="G441" s="60">
        <v>0</v>
      </c>
      <c r="H441" s="61"/>
    </row>
    <row r="442" spans="1:8" ht="17.25" x14ac:dyDescent="0.3">
      <c r="A442" s="39">
        <v>14122929</v>
      </c>
      <c r="B442" s="40" t="s">
        <v>470</v>
      </c>
      <c r="C442" s="41" t="s">
        <v>751</v>
      </c>
      <c r="D442" s="41" t="s">
        <v>3</v>
      </c>
      <c r="E442" s="59">
        <v>3.4256312756410261</v>
      </c>
      <c r="F442" s="59">
        <v>2.2069999999999999</v>
      </c>
      <c r="G442" s="60">
        <v>0</v>
      </c>
      <c r="H442" s="61"/>
    </row>
    <row r="443" spans="1:8" ht="17.25" x14ac:dyDescent="0.3">
      <c r="A443" s="39">
        <v>14122992</v>
      </c>
      <c r="B443" s="48" t="s">
        <v>472</v>
      </c>
      <c r="C443" s="41" t="s">
        <v>876</v>
      </c>
      <c r="D443" s="41" t="s">
        <v>3</v>
      </c>
      <c r="E443" s="59">
        <v>3.9238213307692309</v>
      </c>
      <c r="F443" s="59">
        <v>4.3210000000000006</v>
      </c>
      <c r="G443" s="60">
        <v>355.58</v>
      </c>
      <c r="H443" s="61"/>
    </row>
    <row r="444" spans="1:8" ht="17.25" x14ac:dyDescent="0.3">
      <c r="A444" s="39">
        <v>14122993</v>
      </c>
      <c r="B444" s="40" t="s">
        <v>473</v>
      </c>
      <c r="C444" s="41" t="s">
        <v>876</v>
      </c>
      <c r="D444" s="41" t="s">
        <v>3</v>
      </c>
      <c r="E444" s="59">
        <v>3.4539024555555558</v>
      </c>
      <c r="F444" s="59">
        <v>3.8845000000000001</v>
      </c>
      <c r="G444" s="60">
        <v>355.58</v>
      </c>
      <c r="H444" s="61"/>
    </row>
    <row r="445" spans="1:8" ht="17.25" x14ac:dyDescent="0.3">
      <c r="A445" s="39">
        <v>14122994</v>
      </c>
      <c r="B445" s="40" t="s">
        <v>474</v>
      </c>
      <c r="C445" s="41" t="s">
        <v>876</v>
      </c>
      <c r="D445" s="41" t="s">
        <v>3</v>
      </c>
      <c r="E445" s="59">
        <v>7.7683750000000007</v>
      </c>
      <c r="F445" s="59">
        <v>7.3179999999999996</v>
      </c>
      <c r="G445" s="60">
        <v>0</v>
      </c>
      <c r="H445" s="61"/>
    </row>
    <row r="446" spans="1:8" ht="17.25" x14ac:dyDescent="0.3">
      <c r="A446" s="39">
        <v>14123008</v>
      </c>
      <c r="B446" s="40" t="s">
        <v>476</v>
      </c>
      <c r="C446" s="41" t="s">
        <v>877</v>
      </c>
      <c r="D446" s="41" t="s">
        <v>3</v>
      </c>
      <c r="E446" s="59">
        <v>3.5514511166666658</v>
      </c>
      <c r="F446" s="59">
        <v>3.8134999999999999</v>
      </c>
      <c r="G446" s="60">
        <v>355.58</v>
      </c>
      <c r="H446" s="61"/>
    </row>
    <row r="447" spans="1:8" ht="17.25" x14ac:dyDescent="0.3">
      <c r="A447" s="39">
        <v>14123010</v>
      </c>
      <c r="B447" s="48" t="s">
        <v>477</v>
      </c>
      <c r="C447" s="41" t="s">
        <v>680</v>
      </c>
      <c r="D447" s="41" t="s">
        <v>3</v>
      </c>
      <c r="E447" s="59">
        <v>3.5050000000000003</v>
      </c>
      <c r="F447" s="59">
        <v>3.407</v>
      </c>
      <c r="G447" s="60">
        <v>0</v>
      </c>
      <c r="H447" s="61"/>
    </row>
    <row r="448" spans="1:8" ht="17.25" x14ac:dyDescent="0.3">
      <c r="A448" s="39">
        <v>14123063</v>
      </c>
      <c r="B448" s="40" t="s">
        <v>479</v>
      </c>
      <c r="C448" s="41" t="s">
        <v>651</v>
      </c>
      <c r="D448" s="41" t="s">
        <v>3</v>
      </c>
      <c r="E448" s="59">
        <v>2.7</v>
      </c>
      <c r="F448" s="59">
        <v>3.8834999999999997</v>
      </c>
      <c r="G448" s="60">
        <v>355.58</v>
      </c>
      <c r="H448" s="61"/>
    </row>
    <row r="449" spans="1:8" ht="17.25" x14ac:dyDescent="0.3">
      <c r="A449" s="39">
        <v>14123066</v>
      </c>
      <c r="B449" s="48" t="s">
        <v>481</v>
      </c>
      <c r="C449" s="41" t="s">
        <v>651</v>
      </c>
      <c r="D449" s="41" t="s">
        <v>3</v>
      </c>
      <c r="E449" s="59">
        <v>3.8159580777777773</v>
      </c>
      <c r="F449" s="59">
        <v>3.4036666666666662</v>
      </c>
      <c r="G449" s="60">
        <v>0</v>
      </c>
      <c r="H449" s="61"/>
    </row>
    <row r="450" spans="1:8" ht="17.25" x14ac:dyDescent="0.3">
      <c r="A450" s="39">
        <v>14123080</v>
      </c>
      <c r="B450" s="40" t="s">
        <v>482</v>
      </c>
      <c r="C450" s="41" t="s">
        <v>878</v>
      </c>
      <c r="D450" s="41" t="s">
        <v>3</v>
      </c>
      <c r="E450" s="59">
        <v>3.1038907589743592</v>
      </c>
      <c r="F450" s="59">
        <v>2.9755000000000003</v>
      </c>
      <c r="G450" s="60">
        <v>0</v>
      </c>
      <c r="H450" s="61"/>
    </row>
    <row r="451" spans="1:8" ht="17.25" x14ac:dyDescent="0.3">
      <c r="A451" s="39">
        <v>14123081</v>
      </c>
      <c r="B451" s="40" t="s">
        <v>483</v>
      </c>
      <c r="C451" s="41" t="s">
        <v>878</v>
      </c>
      <c r="D451" s="41" t="s">
        <v>3</v>
      </c>
      <c r="E451" s="59">
        <v>12.339947166666667</v>
      </c>
      <c r="F451" s="59">
        <v>13.393000000000001</v>
      </c>
      <c r="G451" s="60">
        <v>355.58</v>
      </c>
      <c r="H451" s="61"/>
    </row>
    <row r="452" spans="1:8" ht="17.25" x14ac:dyDescent="0.3">
      <c r="A452" s="39">
        <v>14123082</v>
      </c>
      <c r="B452" s="48" t="s">
        <v>484</v>
      </c>
      <c r="C452" s="41" t="s">
        <v>878</v>
      </c>
      <c r="D452" s="41" t="s">
        <v>3</v>
      </c>
      <c r="E452" s="59">
        <v>6.7134010787878795</v>
      </c>
      <c r="F452" s="59">
        <v>8.7014999999999993</v>
      </c>
      <c r="G452" s="60">
        <v>355.58</v>
      </c>
      <c r="H452" s="61"/>
    </row>
    <row r="453" spans="1:8" ht="17.25" x14ac:dyDescent="0.3">
      <c r="A453" s="39">
        <v>14123083</v>
      </c>
      <c r="B453" s="40" t="s">
        <v>485</v>
      </c>
      <c r="C453" s="41" t="s">
        <v>878</v>
      </c>
      <c r="D453" s="41" t="s">
        <v>3</v>
      </c>
      <c r="E453" s="59">
        <v>3.463434330769231</v>
      </c>
      <c r="F453" s="59">
        <v>3.718</v>
      </c>
      <c r="G453" s="60">
        <v>355.58</v>
      </c>
      <c r="H453" s="61"/>
    </row>
    <row r="454" spans="1:8" ht="17.25" x14ac:dyDescent="0.3">
      <c r="A454" s="40">
        <v>14123107</v>
      </c>
      <c r="B454" s="48" t="s">
        <v>487</v>
      </c>
      <c r="C454" s="41" t="s">
        <v>879</v>
      </c>
      <c r="D454" s="41" t="s">
        <v>3</v>
      </c>
      <c r="E454" s="59">
        <v>7.1864442397435893</v>
      </c>
      <c r="F454" s="59">
        <v>7.9704999999999995</v>
      </c>
      <c r="G454" s="60">
        <v>355.58</v>
      </c>
      <c r="H454" s="61"/>
    </row>
    <row r="455" spans="1:8" ht="17.25" x14ac:dyDescent="0.3">
      <c r="A455" s="39">
        <v>14123133</v>
      </c>
      <c r="B455" s="48" t="s">
        <v>489</v>
      </c>
      <c r="C455" s="41" t="s">
        <v>880</v>
      </c>
      <c r="D455" s="41" t="s">
        <v>3</v>
      </c>
      <c r="E455" s="59"/>
      <c r="F455" s="59" t="e">
        <v>#N/A</v>
      </c>
      <c r="G455" s="60"/>
      <c r="H455" s="61"/>
    </row>
    <row r="456" spans="1:8" ht="17.25" x14ac:dyDescent="0.3">
      <c r="A456" s="39">
        <v>14123145</v>
      </c>
      <c r="B456" s="40" t="s">
        <v>490</v>
      </c>
      <c r="C456" s="41" t="s">
        <v>881</v>
      </c>
      <c r="D456" s="41" t="s">
        <v>3</v>
      </c>
      <c r="E456" s="59">
        <v>7.8050896266071428</v>
      </c>
      <c r="F456" s="59">
        <v>8.5342500000000001</v>
      </c>
      <c r="G456" s="60">
        <v>355.58</v>
      </c>
      <c r="H456" s="61"/>
    </row>
    <row r="457" spans="1:8" ht="17.25" x14ac:dyDescent="0.3">
      <c r="A457" s="40">
        <v>14123193</v>
      </c>
      <c r="B457" s="48" t="s">
        <v>492</v>
      </c>
      <c r="C457" s="41" t="s">
        <v>882</v>
      </c>
      <c r="D457" s="41" t="s">
        <v>3</v>
      </c>
      <c r="E457" s="59">
        <v>8.2783842424242451</v>
      </c>
      <c r="F457" s="59">
        <v>7.4815000000000005</v>
      </c>
      <c r="G457" s="60">
        <v>0</v>
      </c>
      <c r="H457" s="61"/>
    </row>
    <row r="458" spans="1:8" ht="17.25" x14ac:dyDescent="0.3">
      <c r="A458" s="39">
        <v>14123199</v>
      </c>
      <c r="B458" s="48" t="s">
        <v>493</v>
      </c>
      <c r="C458" s="41" t="s">
        <v>883</v>
      </c>
      <c r="D458" s="41" t="s">
        <v>3</v>
      </c>
      <c r="E458" s="59"/>
      <c r="F458" s="59" t="e">
        <v>#N/A</v>
      </c>
      <c r="G458" s="60"/>
      <c r="H458" s="61"/>
    </row>
    <row r="459" spans="1:8" ht="17.25" x14ac:dyDescent="0.3">
      <c r="A459" s="39">
        <v>14123228</v>
      </c>
      <c r="B459" s="48" t="s">
        <v>494</v>
      </c>
      <c r="C459" s="41" t="s">
        <v>884</v>
      </c>
      <c r="D459" s="41" t="s">
        <v>3</v>
      </c>
      <c r="E459" s="59">
        <v>4.0784475692307698</v>
      </c>
      <c r="F459" s="59">
        <v>4.1340000000000003</v>
      </c>
      <c r="G459" s="60">
        <v>355.58</v>
      </c>
      <c r="H459" s="61"/>
    </row>
    <row r="460" spans="1:8" ht="17.25" x14ac:dyDescent="0.3">
      <c r="A460" s="39">
        <v>14123238</v>
      </c>
      <c r="B460" s="48" t="s">
        <v>495</v>
      </c>
      <c r="C460" s="41" t="s">
        <v>885</v>
      </c>
      <c r="D460" s="41" t="s">
        <v>3</v>
      </c>
      <c r="E460" s="59" t="s">
        <v>925</v>
      </c>
      <c r="F460" s="59" t="s">
        <v>925</v>
      </c>
      <c r="G460" s="60">
        <v>355.58</v>
      </c>
      <c r="H460" s="61"/>
    </row>
    <row r="461" spans="1:8" ht="17.25" x14ac:dyDescent="0.3">
      <c r="A461" s="39">
        <v>14123246</v>
      </c>
      <c r="B461" s="48" t="s">
        <v>497</v>
      </c>
      <c r="C461" s="41" t="s">
        <v>886</v>
      </c>
      <c r="D461" s="41" t="s">
        <v>3</v>
      </c>
      <c r="E461" s="59">
        <v>3.159785612820512</v>
      </c>
      <c r="F461" s="59">
        <v>2.105</v>
      </c>
      <c r="G461" s="60">
        <v>355.58</v>
      </c>
      <c r="H461" s="61"/>
    </row>
    <row r="462" spans="1:8" ht="17.25" x14ac:dyDescent="0.3">
      <c r="A462" s="39">
        <v>14123254</v>
      </c>
      <c r="B462" s="40" t="s">
        <v>499</v>
      </c>
      <c r="C462" s="41" t="s">
        <v>887</v>
      </c>
      <c r="D462" s="41" t="s">
        <v>3</v>
      </c>
      <c r="E462" s="59">
        <v>3.46</v>
      </c>
      <c r="F462" s="59">
        <v>3.4589999999999996</v>
      </c>
      <c r="G462" s="60">
        <v>355.58</v>
      </c>
      <c r="H462" s="61"/>
    </row>
    <row r="463" spans="1:8" ht="17.25" x14ac:dyDescent="0.3">
      <c r="A463" s="39">
        <v>14123273</v>
      </c>
      <c r="B463" s="48" t="s">
        <v>501</v>
      </c>
      <c r="C463" s="41" t="s">
        <v>888</v>
      </c>
      <c r="D463" s="41" t="s">
        <v>3</v>
      </c>
      <c r="E463" s="59"/>
      <c r="F463" s="59" t="e">
        <v>#N/A</v>
      </c>
      <c r="G463" s="60"/>
      <c r="H463" s="61"/>
    </row>
    <row r="464" spans="1:8" ht="17.25" x14ac:dyDescent="0.3">
      <c r="A464" s="39">
        <v>14123275</v>
      </c>
      <c r="B464" s="48" t="s">
        <v>503</v>
      </c>
      <c r="C464" s="41" t="s">
        <v>888</v>
      </c>
      <c r="D464" s="41" t="s">
        <v>3</v>
      </c>
      <c r="E464" s="59">
        <v>3.9</v>
      </c>
      <c r="F464" s="59">
        <v>3.036</v>
      </c>
      <c r="G464" s="60">
        <v>0</v>
      </c>
      <c r="H464" s="61"/>
    </row>
    <row r="465" spans="1:8" ht="17.25" x14ac:dyDescent="0.3">
      <c r="A465" s="39">
        <v>14123277</v>
      </c>
      <c r="B465" s="48" t="s">
        <v>505</v>
      </c>
      <c r="C465" s="41" t="s">
        <v>888</v>
      </c>
      <c r="D465" s="41" t="s">
        <v>3</v>
      </c>
      <c r="E465" s="59">
        <v>10.115198395833334</v>
      </c>
      <c r="F465" s="59">
        <v>9.0150000000000006</v>
      </c>
      <c r="G465" s="60">
        <v>0</v>
      </c>
      <c r="H465" s="61"/>
    </row>
    <row r="466" spans="1:8" ht="17.25" x14ac:dyDescent="0.3">
      <c r="A466" s="39">
        <v>14123312</v>
      </c>
      <c r="B466" s="48" t="s">
        <v>507</v>
      </c>
      <c r="C466" s="41" t="s">
        <v>889</v>
      </c>
      <c r="D466" s="41" t="s">
        <v>3</v>
      </c>
      <c r="E466" s="59">
        <v>4.0265362243589742</v>
      </c>
      <c r="F466" s="59">
        <v>2.8520000000000003</v>
      </c>
      <c r="G466" s="60">
        <v>0</v>
      </c>
      <c r="H466" s="61"/>
    </row>
    <row r="467" spans="1:8" ht="17.25" x14ac:dyDescent="0.3">
      <c r="A467" s="39">
        <v>14123331</v>
      </c>
      <c r="B467" s="48" t="s">
        <v>511</v>
      </c>
      <c r="C467" s="41" t="s">
        <v>890</v>
      </c>
      <c r="D467" s="41" t="s">
        <v>3</v>
      </c>
      <c r="E467" s="59" t="s">
        <v>925</v>
      </c>
      <c r="F467" s="59" t="s">
        <v>925</v>
      </c>
      <c r="G467" s="60">
        <v>355.58</v>
      </c>
      <c r="H467" s="61"/>
    </row>
    <row r="468" spans="1:8" ht="17.25" x14ac:dyDescent="0.3">
      <c r="A468" s="40">
        <v>14123332</v>
      </c>
      <c r="B468" s="48" t="s">
        <v>512</v>
      </c>
      <c r="C468" s="41" t="s">
        <v>811</v>
      </c>
      <c r="D468" s="41" t="s">
        <v>3</v>
      </c>
      <c r="E468" s="59">
        <v>9.6136335375000002</v>
      </c>
      <c r="F468" s="59">
        <v>9.6479999999999997</v>
      </c>
      <c r="G468" s="60">
        <v>355.58</v>
      </c>
      <c r="H468" s="61"/>
    </row>
    <row r="469" spans="1:8" ht="17.25" x14ac:dyDescent="0.3">
      <c r="A469" s="40">
        <v>14123334</v>
      </c>
      <c r="B469" s="48" t="s">
        <v>513</v>
      </c>
      <c r="C469" s="41" t="s">
        <v>811</v>
      </c>
      <c r="D469" s="41" t="s">
        <v>3</v>
      </c>
      <c r="E469" s="59">
        <v>3.7125854256410253</v>
      </c>
      <c r="F469" s="59">
        <v>3.1604999999999999</v>
      </c>
      <c r="G469" s="60">
        <v>0</v>
      </c>
      <c r="H469" s="61"/>
    </row>
    <row r="470" spans="1:8" ht="17.25" x14ac:dyDescent="0.3">
      <c r="A470" s="40">
        <v>14123336</v>
      </c>
      <c r="B470" s="48" t="s">
        <v>514</v>
      </c>
      <c r="C470" s="41" t="s">
        <v>811</v>
      </c>
      <c r="D470" s="41" t="s">
        <v>3</v>
      </c>
      <c r="E470" s="59">
        <v>3.0991670717948718</v>
      </c>
      <c r="F470" s="59">
        <v>2.3365</v>
      </c>
      <c r="G470" s="60">
        <v>0</v>
      </c>
      <c r="H470" s="61"/>
    </row>
    <row r="471" spans="1:8" ht="17.25" x14ac:dyDescent="0.3">
      <c r="A471" s="39">
        <v>14123375</v>
      </c>
      <c r="B471" s="48" t="s">
        <v>515</v>
      </c>
      <c r="C471" s="41" t="s">
        <v>891</v>
      </c>
      <c r="D471" s="41" t="s">
        <v>3</v>
      </c>
      <c r="E471" s="59" t="s">
        <v>925</v>
      </c>
      <c r="F471" s="59" t="s">
        <v>925</v>
      </c>
      <c r="G471" s="60">
        <v>355.58</v>
      </c>
      <c r="H471" s="61"/>
    </row>
    <row r="472" spans="1:8" ht="17.25" x14ac:dyDescent="0.3">
      <c r="A472" s="40">
        <v>14123377</v>
      </c>
      <c r="B472" s="48" t="s">
        <v>516</v>
      </c>
      <c r="C472" s="41" t="s">
        <v>891</v>
      </c>
      <c r="D472" s="41" t="s">
        <v>3</v>
      </c>
      <c r="E472" s="59">
        <v>4.4589126615384611</v>
      </c>
      <c r="F472" s="59">
        <v>4.5170000000000003</v>
      </c>
      <c r="G472" s="60">
        <v>355.58</v>
      </c>
      <c r="H472" s="61"/>
    </row>
    <row r="473" spans="1:8" ht="17.25" x14ac:dyDescent="0.3">
      <c r="A473" s="40">
        <v>14123445</v>
      </c>
      <c r="B473" s="48" t="s">
        <v>518</v>
      </c>
      <c r="C473" s="41" t="s">
        <v>892</v>
      </c>
      <c r="D473" s="41" t="s">
        <v>3</v>
      </c>
      <c r="E473" s="59">
        <v>3.0276598256410261</v>
      </c>
      <c r="F473" s="59">
        <v>3.7770000000000001</v>
      </c>
      <c r="G473" s="60">
        <v>355.58</v>
      </c>
      <c r="H473" s="61"/>
    </row>
    <row r="474" spans="1:8" ht="17.25" x14ac:dyDescent="0.3">
      <c r="A474" s="39">
        <v>14123447</v>
      </c>
      <c r="B474" s="48" t="s">
        <v>520</v>
      </c>
      <c r="C474" s="41" t="s">
        <v>892</v>
      </c>
      <c r="D474" s="41" t="s">
        <v>3</v>
      </c>
      <c r="E474" s="59">
        <v>4.5080441902777775</v>
      </c>
      <c r="F474" s="59">
        <v>4.0609999999999999</v>
      </c>
      <c r="G474" s="60">
        <v>0</v>
      </c>
      <c r="H474" s="61"/>
    </row>
    <row r="475" spans="1:8" ht="17.25" x14ac:dyDescent="0.3">
      <c r="A475" s="40">
        <v>14123460</v>
      </c>
      <c r="B475" s="48" t="s">
        <v>522</v>
      </c>
      <c r="C475" s="41" t="s">
        <v>893</v>
      </c>
      <c r="D475" s="41" t="s">
        <v>3</v>
      </c>
      <c r="E475" s="59">
        <v>3.9832111839743596</v>
      </c>
      <c r="F475" s="59">
        <v>4.3620000000000001</v>
      </c>
      <c r="G475" s="60">
        <v>355.58</v>
      </c>
      <c r="H475" s="61"/>
    </row>
    <row r="476" spans="1:8" ht="17.25" x14ac:dyDescent="0.3">
      <c r="A476" s="39">
        <v>14123461</v>
      </c>
      <c r="B476" s="48" t="s">
        <v>523</v>
      </c>
      <c r="C476" s="41" t="s">
        <v>893</v>
      </c>
      <c r="D476" s="41" t="s">
        <v>3</v>
      </c>
      <c r="E476" s="59">
        <v>3.627050975</v>
      </c>
      <c r="F476" s="59">
        <v>3.6469999999999998</v>
      </c>
      <c r="G476" s="60">
        <v>355.58</v>
      </c>
      <c r="H476" s="61"/>
    </row>
    <row r="477" spans="1:8" ht="17.25" x14ac:dyDescent="0.3">
      <c r="A477" s="40">
        <v>14123471</v>
      </c>
      <c r="B477" s="40" t="s">
        <v>525</v>
      </c>
      <c r="C477" s="41" t="s">
        <v>894</v>
      </c>
      <c r="D477" s="41" t="s">
        <v>3</v>
      </c>
      <c r="E477" s="59">
        <v>3.9496703022893769</v>
      </c>
      <c r="F477" s="59">
        <v>3.3140000000000001</v>
      </c>
      <c r="G477" s="60">
        <v>0</v>
      </c>
      <c r="H477" s="61"/>
    </row>
    <row r="478" spans="1:8" ht="17.25" x14ac:dyDescent="0.3">
      <c r="A478" s="40">
        <v>14123473</v>
      </c>
      <c r="B478" s="48" t="s">
        <v>526</v>
      </c>
      <c r="C478" s="41" t="s">
        <v>894</v>
      </c>
      <c r="D478" s="41" t="s">
        <v>3</v>
      </c>
      <c r="E478" s="59">
        <v>4.0386569551282054</v>
      </c>
      <c r="F478" s="59">
        <v>4.4020000000000001</v>
      </c>
      <c r="G478" s="60">
        <v>355.58</v>
      </c>
      <c r="H478" s="61"/>
    </row>
    <row r="479" spans="1:8" ht="17.25" x14ac:dyDescent="0.3">
      <c r="A479" s="39">
        <v>14123488</v>
      </c>
      <c r="B479" s="48" t="s">
        <v>527</v>
      </c>
      <c r="C479" s="41" t="s">
        <v>895</v>
      </c>
      <c r="D479" s="41" t="s">
        <v>3</v>
      </c>
      <c r="E479" s="59">
        <v>10.804496562499999</v>
      </c>
      <c r="F479" s="59">
        <v>11.2935</v>
      </c>
      <c r="G479" s="60">
        <v>355.58</v>
      </c>
      <c r="H479" s="61"/>
    </row>
    <row r="480" spans="1:8" ht="17.25" x14ac:dyDescent="0.3">
      <c r="A480" s="40">
        <v>14123489</v>
      </c>
      <c r="B480" s="48" t="s">
        <v>528</v>
      </c>
      <c r="C480" s="41" t="s">
        <v>895</v>
      </c>
      <c r="D480" s="41" t="s">
        <v>3</v>
      </c>
      <c r="E480" s="59">
        <v>3.5249454121794868</v>
      </c>
      <c r="F480" s="59">
        <v>3.8774999999999999</v>
      </c>
      <c r="G480" s="60">
        <v>355.58</v>
      </c>
      <c r="H480" s="61"/>
    </row>
    <row r="481" spans="1:8" ht="17.25" x14ac:dyDescent="0.3">
      <c r="A481" s="39">
        <v>14123514</v>
      </c>
      <c r="B481" s="48" t="s">
        <v>533</v>
      </c>
      <c r="C481" s="41" t="s">
        <v>896</v>
      </c>
      <c r="D481" s="41" t="s">
        <v>3</v>
      </c>
      <c r="E481" s="59">
        <v>3.6795202365384614</v>
      </c>
      <c r="F481" s="59">
        <v>3.6259999999999999</v>
      </c>
      <c r="G481" s="60">
        <v>355.58</v>
      </c>
      <c r="H481" s="61"/>
    </row>
    <row r="482" spans="1:8" ht="17.25" x14ac:dyDescent="0.3">
      <c r="A482" s="39">
        <v>14123516</v>
      </c>
      <c r="B482" s="48" t="s">
        <v>534</v>
      </c>
      <c r="C482" s="41" t="s">
        <v>896</v>
      </c>
      <c r="D482" s="41" t="s">
        <v>3</v>
      </c>
      <c r="E482" s="59">
        <v>4.1781465243589739</v>
      </c>
      <c r="F482" s="59">
        <v>3.4129999999999998</v>
      </c>
      <c r="G482" s="60">
        <v>0</v>
      </c>
      <c r="H482" s="61"/>
    </row>
    <row r="483" spans="1:8" ht="17.25" x14ac:dyDescent="0.3">
      <c r="A483" s="39">
        <v>14123519</v>
      </c>
      <c r="B483" s="48" t="s">
        <v>535</v>
      </c>
      <c r="C483" s="41" t="s">
        <v>897</v>
      </c>
      <c r="D483" s="41" t="s">
        <v>3</v>
      </c>
      <c r="E483" s="59">
        <v>4.3199234589743591</v>
      </c>
      <c r="F483" s="59">
        <v>4.1153333333333331</v>
      </c>
      <c r="G483" s="60">
        <v>0</v>
      </c>
      <c r="H483" s="61"/>
    </row>
    <row r="484" spans="1:8" ht="17.25" x14ac:dyDescent="0.3">
      <c r="A484" s="39">
        <v>14123522</v>
      </c>
      <c r="B484" s="40" t="s">
        <v>536</v>
      </c>
      <c r="C484" s="41" t="s">
        <v>897</v>
      </c>
      <c r="D484" s="41" t="s">
        <v>3</v>
      </c>
      <c r="E484" s="59">
        <v>3.2599988910256408</v>
      </c>
      <c r="F484" s="59">
        <v>4.2225000000000001</v>
      </c>
      <c r="G484" s="60">
        <v>355.58</v>
      </c>
      <c r="H484" s="61"/>
    </row>
    <row r="485" spans="1:8" ht="17.25" x14ac:dyDescent="0.3">
      <c r="A485" s="39">
        <v>14123523</v>
      </c>
      <c r="B485" s="48" t="s">
        <v>537</v>
      </c>
      <c r="C485" s="41" t="s">
        <v>897</v>
      </c>
      <c r="D485" s="41" t="s">
        <v>3</v>
      </c>
      <c r="E485" s="59">
        <v>4.8603528448717945</v>
      </c>
      <c r="F485" s="59">
        <v>4.2830000000000004</v>
      </c>
      <c r="G485" s="60">
        <v>0</v>
      </c>
      <c r="H485" s="61"/>
    </row>
    <row r="486" spans="1:8" ht="17.25" x14ac:dyDescent="0.3">
      <c r="A486" s="39">
        <v>14123526</v>
      </c>
      <c r="B486" s="50" t="s">
        <v>538</v>
      </c>
      <c r="C486" s="41" t="s">
        <v>898</v>
      </c>
      <c r="D486" s="41" t="s">
        <v>3</v>
      </c>
      <c r="E486" s="59">
        <v>3.8544722727272727</v>
      </c>
      <c r="F486" s="59">
        <v>4.8239999999999998</v>
      </c>
      <c r="G486" s="60">
        <v>355.58</v>
      </c>
      <c r="H486" s="61"/>
    </row>
    <row r="487" spans="1:8" ht="17.25" x14ac:dyDescent="0.3">
      <c r="A487" s="39">
        <v>14123527</v>
      </c>
      <c r="B487" s="48" t="s">
        <v>539</v>
      </c>
      <c r="C487" s="41" t="s">
        <v>610</v>
      </c>
      <c r="D487" s="41" t="s">
        <v>3</v>
      </c>
      <c r="E487" s="59">
        <v>3.7727623840659343</v>
      </c>
      <c r="F487" s="59">
        <v>4.5797999999999996</v>
      </c>
      <c r="G487" s="60">
        <v>355.58</v>
      </c>
      <c r="H487" s="61"/>
    </row>
    <row r="488" spans="1:8" ht="17.25" x14ac:dyDescent="0.3">
      <c r="A488" s="39">
        <v>14123528</v>
      </c>
      <c r="B488" s="48" t="s">
        <v>540</v>
      </c>
      <c r="C488" s="41" t="s">
        <v>610</v>
      </c>
      <c r="D488" s="41" t="s">
        <v>3</v>
      </c>
      <c r="E488" s="59">
        <v>4.1752207839743587</v>
      </c>
      <c r="F488" s="59">
        <v>3.9135</v>
      </c>
      <c r="G488" s="60">
        <v>0</v>
      </c>
      <c r="H488" s="61"/>
    </row>
    <row r="489" spans="1:8" ht="17.25" x14ac:dyDescent="0.3">
      <c r="A489" s="39">
        <v>14123530</v>
      </c>
      <c r="B489" s="48" t="s">
        <v>541</v>
      </c>
      <c r="C489" s="41" t="s">
        <v>610</v>
      </c>
      <c r="D489" s="41" t="s">
        <v>3</v>
      </c>
      <c r="E489" s="59">
        <v>4.199946306410256</v>
      </c>
      <c r="F489" s="59">
        <v>5.0256666666666669</v>
      </c>
      <c r="G489" s="60">
        <v>355.58</v>
      </c>
      <c r="H489" s="61"/>
    </row>
    <row r="490" spans="1:8" ht="17.25" x14ac:dyDescent="0.3">
      <c r="A490" s="39">
        <v>14123536</v>
      </c>
      <c r="B490" s="48" t="s">
        <v>542</v>
      </c>
      <c r="C490" s="41" t="s">
        <v>610</v>
      </c>
      <c r="D490" s="41" t="s">
        <v>3</v>
      </c>
      <c r="E490" s="59">
        <v>3.6235553641025651</v>
      </c>
      <c r="F490" s="59">
        <v>3.9289999999999998</v>
      </c>
      <c r="G490" s="60">
        <v>355.58</v>
      </c>
      <c r="H490" s="61"/>
    </row>
    <row r="491" spans="1:8" ht="17.25" x14ac:dyDescent="0.3">
      <c r="A491" s="39">
        <v>14123541</v>
      </c>
      <c r="B491" s="48" t="s">
        <v>543</v>
      </c>
      <c r="C491" s="41" t="s">
        <v>610</v>
      </c>
      <c r="D491" s="41" t="s">
        <v>3</v>
      </c>
      <c r="E491" s="59">
        <v>4.9931033192307694</v>
      </c>
      <c r="F491" s="59">
        <v>5.5759999999999996</v>
      </c>
      <c r="G491" s="60">
        <v>355.58</v>
      </c>
      <c r="H491" s="61"/>
    </row>
    <row r="492" spans="1:8" ht="17.25" x14ac:dyDescent="0.3">
      <c r="A492" s="39">
        <v>14123559</v>
      </c>
      <c r="B492" s="48" t="s">
        <v>545</v>
      </c>
      <c r="C492" s="41" t="s">
        <v>899</v>
      </c>
      <c r="D492" s="41" t="s">
        <v>3</v>
      </c>
      <c r="E492" s="59">
        <v>4.0102547692307686</v>
      </c>
      <c r="F492" s="59">
        <v>4.7886666666666668</v>
      </c>
      <c r="G492" s="60">
        <v>355.58</v>
      </c>
      <c r="H492" s="61"/>
    </row>
    <row r="493" spans="1:8" ht="17.25" x14ac:dyDescent="0.3">
      <c r="A493" s="39">
        <v>14123562</v>
      </c>
      <c r="B493" s="48" t="s">
        <v>546</v>
      </c>
      <c r="C493" s="41" t="s">
        <v>899</v>
      </c>
      <c r="D493" s="41" t="s">
        <v>3</v>
      </c>
      <c r="E493" s="59">
        <v>3.943048403846154</v>
      </c>
      <c r="F493" s="59">
        <v>4.2285000000000004</v>
      </c>
      <c r="G493" s="60">
        <v>355.58</v>
      </c>
      <c r="H493" s="61"/>
    </row>
    <row r="494" spans="1:8" ht="17.25" x14ac:dyDescent="0.3">
      <c r="A494" s="39">
        <v>14123568</v>
      </c>
      <c r="B494" s="48" t="s">
        <v>547</v>
      </c>
      <c r="C494" s="41" t="s">
        <v>900</v>
      </c>
      <c r="D494" s="41" t="s">
        <v>3</v>
      </c>
      <c r="E494" s="59">
        <v>4.5563783076923077</v>
      </c>
      <c r="F494" s="59">
        <v>4.33</v>
      </c>
      <c r="G494" s="60">
        <v>0</v>
      </c>
      <c r="H494" s="61"/>
    </row>
    <row r="495" spans="1:8" ht="17.25" x14ac:dyDescent="0.3">
      <c r="A495" s="39">
        <v>14123569</v>
      </c>
      <c r="B495" s="48" t="s">
        <v>548</v>
      </c>
      <c r="C495" s="41" t="s">
        <v>900</v>
      </c>
      <c r="D495" s="41" t="s">
        <v>3</v>
      </c>
      <c r="E495" s="59">
        <v>2.7</v>
      </c>
      <c r="F495" s="59">
        <v>4.1505000000000001</v>
      </c>
      <c r="G495" s="60">
        <v>355.58</v>
      </c>
      <c r="H495" s="61"/>
    </row>
    <row r="496" spans="1:8" ht="17.25" x14ac:dyDescent="0.3">
      <c r="A496" s="40">
        <v>14123570</v>
      </c>
      <c r="B496" s="48" t="s">
        <v>549</v>
      </c>
      <c r="C496" s="41" t="s">
        <v>900</v>
      </c>
      <c r="D496" s="41" t="s">
        <v>3</v>
      </c>
      <c r="E496" s="59">
        <v>3.463434330769231</v>
      </c>
      <c r="F496" s="59">
        <v>3.077</v>
      </c>
      <c r="G496" s="60">
        <v>0</v>
      </c>
      <c r="H496" s="61"/>
    </row>
    <row r="497" spans="1:8" ht="17.25" x14ac:dyDescent="0.3">
      <c r="A497" s="39">
        <v>14123572</v>
      </c>
      <c r="B497" s="48" t="s">
        <v>551</v>
      </c>
      <c r="C497" s="41" t="s">
        <v>901</v>
      </c>
      <c r="D497" s="41" t="s">
        <v>3</v>
      </c>
      <c r="E497" s="59">
        <v>3.9</v>
      </c>
      <c r="F497" s="59">
        <v>3.2249999999999996</v>
      </c>
      <c r="G497" s="60">
        <v>0</v>
      </c>
      <c r="H497" s="61"/>
    </row>
    <row r="498" spans="1:8" ht="17.25" x14ac:dyDescent="0.3">
      <c r="A498" s="39">
        <v>14123573</v>
      </c>
      <c r="B498" s="48" t="s">
        <v>552</v>
      </c>
      <c r="C498" s="41" t="s">
        <v>901</v>
      </c>
      <c r="D498" s="41" t="s">
        <v>3</v>
      </c>
      <c r="E498" s="59">
        <v>3.79</v>
      </c>
      <c r="F498" s="59">
        <v>3.4625000000000004</v>
      </c>
      <c r="G498" s="60">
        <v>0</v>
      </c>
      <c r="H498" s="61"/>
    </row>
    <row r="499" spans="1:8" ht="17.25" x14ac:dyDescent="0.3">
      <c r="A499" s="39">
        <v>14123591</v>
      </c>
      <c r="B499" s="48" t="s">
        <v>554</v>
      </c>
      <c r="C499" s="41" t="s">
        <v>603</v>
      </c>
      <c r="D499" s="41" t="s">
        <v>3</v>
      </c>
      <c r="E499" s="59">
        <v>4.1879116500000002</v>
      </c>
      <c r="F499" s="59">
        <v>2.9965000000000002</v>
      </c>
      <c r="G499" s="60">
        <v>0</v>
      </c>
      <c r="H499" s="61"/>
    </row>
    <row r="500" spans="1:8" ht="17.25" x14ac:dyDescent="0.3">
      <c r="A500" s="39">
        <v>14123599</v>
      </c>
      <c r="B500" s="48" t="s">
        <v>555</v>
      </c>
      <c r="C500" s="41" t="s">
        <v>603</v>
      </c>
      <c r="D500" s="41" t="s">
        <v>3</v>
      </c>
      <c r="E500" s="59">
        <v>3.0922403633333335</v>
      </c>
      <c r="F500" s="59">
        <v>3.2225000000000001</v>
      </c>
      <c r="G500" s="60">
        <v>355.58</v>
      </c>
      <c r="H500" s="61"/>
    </row>
    <row r="501" spans="1:8" ht="17.25" x14ac:dyDescent="0.3">
      <c r="A501" s="39">
        <v>14123634</v>
      </c>
      <c r="B501" s="48" t="s">
        <v>902</v>
      </c>
      <c r="C501" s="41" t="s">
        <v>903</v>
      </c>
      <c r="D501" s="41" t="s">
        <v>3</v>
      </c>
      <c r="E501" s="59">
        <v>3.3964744541666665</v>
      </c>
      <c r="F501" s="59">
        <v>3.2889999999999997</v>
      </c>
      <c r="G501" s="60">
        <v>0</v>
      </c>
      <c r="H501" s="61"/>
    </row>
    <row r="502" spans="1:8" ht="17.25" x14ac:dyDescent="0.3">
      <c r="A502" s="39">
        <v>14123635</v>
      </c>
      <c r="B502" s="40" t="s">
        <v>904</v>
      </c>
      <c r="C502" s="41" t="s">
        <v>903</v>
      </c>
      <c r="D502" s="41" t="s">
        <v>3</v>
      </c>
      <c r="E502" s="59">
        <v>4.1585156363636369</v>
      </c>
      <c r="F502" s="59">
        <v>4.3144999999999998</v>
      </c>
      <c r="G502" s="60">
        <v>355.58</v>
      </c>
      <c r="H502" s="61"/>
    </row>
    <row r="503" spans="1:8" ht="17.25" x14ac:dyDescent="0.3">
      <c r="A503" s="39">
        <v>14123640</v>
      </c>
      <c r="B503" s="48" t="s">
        <v>905</v>
      </c>
      <c r="C503" s="41" t="s">
        <v>903</v>
      </c>
      <c r="D503" s="41" t="s">
        <v>3</v>
      </c>
      <c r="E503" s="59">
        <v>4.38</v>
      </c>
      <c r="F503" s="59">
        <v>4.5640000000000001</v>
      </c>
      <c r="G503" s="60">
        <v>355.58</v>
      </c>
      <c r="H503" s="61"/>
    </row>
    <row r="504" spans="1:8" ht="17.25" x14ac:dyDescent="0.3">
      <c r="A504" s="39">
        <v>14123642</v>
      </c>
      <c r="B504" s="48" t="s">
        <v>906</v>
      </c>
      <c r="C504" s="41" t="s">
        <v>903</v>
      </c>
      <c r="D504" s="41" t="s">
        <v>3</v>
      </c>
      <c r="E504" s="59">
        <v>8.809712243589745</v>
      </c>
      <c r="F504" s="59">
        <v>8.7423333333333346</v>
      </c>
      <c r="G504" s="60">
        <v>0</v>
      </c>
      <c r="H504" s="61"/>
    </row>
    <row r="505" spans="1:8" ht="17.25" x14ac:dyDescent="0.3">
      <c r="A505" s="39">
        <v>14123649</v>
      </c>
      <c r="B505" s="48" t="s">
        <v>907</v>
      </c>
      <c r="C505" s="41" t="s">
        <v>908</v>
      </c>
      <c r="D505" s="41" t="s">
        <v>3</v>
      </c>
      <c r="E505" s="59">
        <v>4.0577554410256411</v>
      </c>
      <c r="F505" s="59">
        <v>3.7477999999999994</v>
      </c>
      <c r="G505" s="60">
        <v>0</v>
      </c>
      <c r="H505" s="61"/>
    </row>
    <row r="506" spans="1:8" ht="17.25" x14ac:dyDescent="0.3">
      <c r="A506" s="39">
        <v>14123651</v>
      </c>
      <c r="B506" s="48" t="s">
        <v>909</v>
      </c>
      <c r="C506" s="41" t="s">
        <v>908</v>
      </c>
      <c r="D506" s="41" t="s">
        <v>3</v>
      </c>
      <c r="E506" s="59">
        <v>3.613414038461539</v>
      </c>
      <c r="F506" s="59">
        <v>3.5465</v>
      </c>
      <c r="G506" s="60">
        <v>0</v>
      </c>
      <c r="H506" s="61"/>
    </row>
    <row r="507" spans="1:8" ht="17.25" x14ac:dyDescent="0.3">
      <c r="A507" s="39">
        <v>14123652</v>
      </c>
      <c r="B507" s="48" t="s">
        <v>910</v>
      </c>
      <c r="C507" s="41" t="s">
        <v>908</v>
      </c>
      <c r="D507" s="41" t="s">
        <v>3</v>
      </c>
      <c r="E507" s="59"/>
      <c r="F507" s="59" t="e">
        <v>#N/A</v>
      </c>
      <c r="G507" s="60"/>
      <c r="H507" s="61"/>
    </row>
    <row r="508" spans="1:8" ht="17.25" x14ac:dyDescent="0.3">
      <c r="A508" s="39">
        <v>14123654</v>
      </c>
      <c r="B508" s="48" t="s">
        <v>938</v>
      </c>
      <c r="C508" s="41" t="s">
        <v>936</v>
      </c>
      <c r="D508" s="41" t="s">
        <v>3</v>
      </c>
      <c r="E508" s="59">
        <v>3.8257239205128206</v>
      </c>
      <c r="F508" s="59">
        <v>3.9670000000000001</v>
      </c>
      <c r="G508" s="60">
        <v>355.58</v>
      </c>
      <c r="H508" s="61"/>
    </row>
    <row r="509" spans="1:8" ht="17.25" x14ac:dyDescent="0.3">
      <c r="A509" s="40">
        <v>14123656</v>
      </c>
      <c r="B509" s="40" t="s">
        <v>940</v>
      </c>
      <c r="C509" s="41" t="s">
        <v>936</v>
      </c>
      <c r="D509" s="41" t="s">
        <v>3</v>
      </c>
      <c r="E509" s="59">
        <v>3.6071728041666664</v>
      </c>
      <c r="F509" s="59">
        <v>3.7425000000000002</v>
      </c>
      <c r="G509" s="60">
        <v>355.58</v>
      </c>
      <c r="H509" s="61"/>
    </row>
    <row r="510" spans="1:8" ht="17.25" x14ac:dyDescent="0.3">
      <c r="A510" s="39">
        <v>14123657</v>
      </c>
      <c r="B510" s="48" t="s">
        <v>941</v>
      </c>
      <c r="C510" s="41" t="s">
        <v>936</v>
      </c>
      <c r="D510" s="41" t="s">
        <v>3</v>
      </c>
      <c r="E510" s="59">
        <v>4.3489775236111106</v>
      </c>
      <c r="F510" s="59">
        <v>4.8499999999999996</v>
      </c>
      <c r="G510" s="60">
        <v>355.58</v>
      </c>
      <c r="H510" s="61"/>
    </row>
    <row r="511" spans="1:8" ht="17.25" x14ac:dyDescent="0.3">
      <c r="A511" s="39">
        <v>14123696</v>
      </c>
      <c r="B511" s="48" t="s">
        <v>942</v>
      </c>
      <c r="C511" s="41" t="s">
        <v>943</v>
      </c>
      <c r="D511" s="41" t="s">
        <v>3</v>
      </c>
      <c r="E511" s="59" t="s">
        <v>925</v>
      </c>
      <c r="F511" s="59" t="s">
        <v>925</v>
      </c>
      <c r="G511" s="60">
        <v>355.58</v>
      </c>
      <c r="H511" s="61"/>
    </row>
    <row r="512" spans="1:8" ht="17.25" x14ac:dyDescent="0.3">
      <c r="A512" s="39">
        <v>14123702</v>
      </c>
      <c r="B512" s="48" t="s">
        <v>944</v>
      </c>
      <c r="C512" s="41" t="s">
        <v>945</v>
      </c>
      <c r="D512" s="41" t="s">
        <v>3</v>
      </c>
      <c r="E512" s="59">
        <v>3.696903484615385</v>
      </c>
      <c r="F512" s="59">
        <v>3.3180000000000001</v>
      </c>
      <c r="G512" s="60">
        <v>0</v>
      </c>
      <c r="H512" s="61"/>
    </row>
    <row r="513" spans="1:8" ht="17.25" x14ac:dyDescent="0.3">
      <c r="A513" s="39">
        <v>14123704</v>
      </c>
      <c r="B513" s="48" t="s">
        <v>946</v>
      </c>
      <c r="C513" s="41" t="s">
        <v>947</v>
      </c>
      <c r="D513" s="41" t="s">
        <v>3</v>
      </c>
      <c r="E513" s="59" t="s">
        <v>925</v>
      </c>
      <c r="F513" s="59" t="s">
        <v>925</v>
      </c>
      <c r="G513" s="60">
        <v>355.58</v>
      </c>
      <c r="H513" s="61"/>
    </row>
    <row r="514" spans="1:8" ht="17.25" x14ac:dyDescent="0.3">
      <c r="A514" s="39">
        <v>14123708</v>
      </c>
      <c r="B514" s="48" t="s">
        <v>949</v>
      </c>
      <c r="C514" s="41" t="s">
        <v>948</v>
      </c>
      <c r="D514" s="41" t="s">
        <v>3</v>
      </c>
      <c r="E514" s="59" t="s">
        <v>925</v>
      </c>
      <c r="F514" s="59" t="s">
        <v>925</v>
      </c>
      <c r="G514" s="60">
        <v>355.58</v>
      </c>
      <c r="H514" s="61"/>
    </row>
    <row r="515" spans="1:8" ht="17.25" x14ac:dyDescent="0.3">
      <c r="A515" s="39">
        <v>14123719</v>
      </c>
      <c r="B515" s="48" t="s">
        <v>955</v>
      </c>
      <c r="C515" s="41" t="s">
        <v>956</v>
      </c>
      <c r="D515" s="41" t="s">
        <v>3</v>
      </c>
      <c r="E515" s="59">
        <v>4.3489775236111106</v>
      </c>
      <c r="F515" s="59">
        <v>4.8315000000000001</v>
      </c>
      <c r="G515" s="60">
        <v>355.58</v>
      </c>
      <c r="H515" s="61"/>
    </row>
    <row r="516" spans="1:8" ht="17.25" x14ac:dyDescent="0.3">
      <c r="A516" s="40">
        <v>14123720</v>
      </c>
      <c r="B516" s="48" t="s">
        <v>957</v>
      </c>
      <c r="C516" s="41" t="s">
        <v>956</v>
      </c>
      <c r="D516" s="41" t="s">
        <v>3</v>
      </c>
      <c r="E516" s="59">
        <v>4.51</v>
      </c>
      <c r="F516" s="59">
        <v>4.1630000000000003</v>
      </c>
      <c r="G516" s="60">
        <v>0</v>
      </c>
      <c r="H516" s="61"/>
    </row>
    <row r="517" spans="1:8" ht="17.25" x14ac:dyDescent="0.3">
      <c r="A517" s="39">
        <v>14123725</v>
      </c>
      <c r="B517" s="48" t="s">
        <v>958</v>
      </c>
      <c r="C517" s="41" t="s">
        <v>956</v>
      </c>
      <c r="D517" s="41" t="s">
        <v>3</v>
      </c>
      <c r="E517" s="59">
        <v>3.8394030628205131</v>
      </c>
      <c r="F517" s="59">
        <v>4.2290000000000001</v>
      </c>
      <c r="G517" s="60">
        <v>355.58</v>
      </c>
      <c r="H517" s="61"/>
    </row>
    <row r="518" spans="1:8" ht="17.25" x14ac:dyDescent="0.3">
      <c r="A518" s="39">
        <v>14123754</v>
      </c>
      <c r="B518" s="48" t="s">
        <v>959</v>
      </c>
      <c r="C518" s="41" t="s">
        <v>960</v>
      </c>
      <c r="D518" s="41" t="s">
        <v>3</v>
      </c>
      <c r="E518" s="59">
        <v>3.7791209416666667</v>
      </c>
      <c r="F518" s="59">
        <v>3.0529999999999999</v>
      </c>
      <c r="G518" s="60">
        <v>0</v>
      </c>
      <c r="H518" s="61"/>
    </row>
    <row r="519" spans="1:8" ht="17.25" x14ac:dyDescent="0.3">
      <c r="A519" s="39">
        <v>14123770</v>
      </c>
      <c r="B519" s="48" t="s">
        <v>961</v>
      </c>
      <c r="C519" s="41" t="s">
        <v>954</v>
      </c>
      <c r="D519" s="41" t="s">
        <v>3</v>
      </c>
      <c r="E519" s="59">
        <v>3.55</v>
      </c>
      <c r="F519" s="59">
        <v>3.6019999999999999</v>
      </c>
      <c r="G519" s="60">
        <v>355.58</v>
      </c>
      <c r="H519" s="61"/>
    </row>
    <row r="520" spans="1:8" ht="17.25" x14ac:dyDescent="0.3">
      <c r="A520" s="39">
        <v>14123771</v>
      </c>
      <c r="B520" s="48" t="s">
        <v>962</v>
      </c>
      <c r="C520" s="41" t="s">
        <v>954</v>
      </c>
      <c r="D520" s="41" t="s">
        <v>3</v>
      </c>
      <c r="E520" s="59">
        <v>3.3104481974358979</v>
      </c>
      <c r="F520" s="59">
        <v>4.6414999999999997</v>
      </c>
      <c r="G520" s="60">
        <v>355.58</v>
      </c>
      <c r="H520" s="61"/>
    </row>
    <row r="521" spans="1:8" ht="17.25" x14ac:dyDescent="0.3">
      <c r="A521" s="40">
        <v>14123789</v>
      </c>
      <c r="B521" s="48" t="s">
        <v>965</v>
      </c>
      <c r="C521" s="41" t="s">
        <v>964</v>
      </c>
      <c r="D521" s="41" t="s">
        <v>3</v>
      </c>
      <c r="E521" s="59">
        <v>2.8524217125</v>
      </c>
      <c r="F521" s="59">
        <v>3.5066666666666664</v>
      </c>
      <c r="G521" s="60">
        <v>355.58</v>
      </c>
      <c r="H521" s="61"/>
    </row>
    <row r="522" spans="1:8" ht="17.25" x14ac:dyDescent="0.3">
      <c r="A522" s="39">
        <v>14123808</v>
      </c>
      <c r="B522" s="48" t="s">
        <v>966</v>
      </c>
      <c r="C522" s="41" t="s">
        <v>967</v>
      </c>
      <c r="D522" s="41" t="s">
        <v>3</v>
      </c>
      <c r="E522" s="59">
        <v>3.8259631111111112</v>
      </c>
      <c r="F522" s="59">
        <v>4.0359999999999996</v>
      </c>
      <c r="G522" s="60">
        <v>355.58</v>
      </c>
      <c r="H522" s="61"/>
    </row>
    <row r="523" spans="1:8" ht="17.25" x14ac:dyDescent="0.3">
      <c r="A523" s="40">
        <v>14123819</v>
      </c>
      <c r="B523" s="48" t="s">
        <v>968</v>
      </c>
      <c r="C523" s="41" t="s">
        <v>969</v>
      </c>
      <c r="D523" s="41" t="s">
        <v>3</v>
      </c>
      <c r="E523" s="59">
        <v>4.7162338458333339</v>
      </c>
      <c r="F523" s="59">
        <v>2.7726666666666664</v>
      </c>
      <c r="G523" s="60">
        <v>0</v>
      </c>
      <c r="H523" s="61"/>
    </row>
    <row r="524" spans="1:8" ht="17.25" x14ac:dyDescent="0.3">
      <c r="A524" s="39">
        <v>14123843</v>
      </c>
      <c r="B524" s="48" t="s">
        <v>971</v>
      </c>
      <c r="C524" s="41" t="s">
        <v>972</v>
      </c>
      <c r="D524" s="41" t="s">
        <v>3</v>
      </c>
      <c r="E524" s="59">
        <v>4.1763840564102557</v>
      </c>
      <c r="F524" s="59">
        <v>2.778</v>
      </c>
      <c r="G524" s="60">
        <v>0</v>
      </c>
      <c r="H524" s="61"/>
    </row>
    <row r="525" spans="1:8" ht="17.25" x14ac:dyDescent="0.3">
      <c r="A525" s="39">
        <v>14123845</v>
      </c>
      <c r="B525" s="48" t="s">
        <v>974</v>
      </c>
      <c r="C525" s="41" t="s">
        <v>972</v>
      </c>
      <c r="D525" s="41" t="s">
        <v>3</v>
      </c>
      <c r="E525" s="59">
        <v>3.5505998589743588</v>
      </c>
      <c r="F525" s="59">
        <v>3.7</v>
      </c>
      <c r="G525" s="60">
        <v>355.58</v>
      </c>
      <c r="H525" s="61"/>
    </row>
    <row r="526" spans="1:8" ht="17.25" x14ac:dyDescent="0.3">
      <c r="A526" s="39">
        <v>14123846</v>
      </c>
      <c r="B526" s="40" t="s">
        <v>975</v>
      </c>
      <c r="C526" s="41" t="s">
        <v>972</v>
      </c>
      <c r="D526" s="41" t="s">
        <v>3</v>
      </c>
      <c r="E526" s="59">
        <v>4.1585156363636369</v>
      </c>
      <c r="F526" s="59">
        <v>4.0229999999999997</v>
      </c>
      <c r="G526" s="60">
        <v>0</v>
      </c>
      <c r="H526" s="61"/>
    </row>
    <row r="527" spans="1:8" ht="17.25" x14ac:dyDescent="0.3">
      <c r="A527" s="39">
        <v>14123855</v>
      </c>
      <c r="B527" s="40" t="s">
        <v>976</v>
      </c>
      <c r="C527" s="41" t="s">
        <v>972</v>
      </c>
      <c r="D527" s="41" t="s">
        <v>3</v>
      </c>
      <c r="E527" s="59">
        <v>2.804395458333333</v>
      </c>
      <c r="F527" s="59">
        <v>3.3654999999999999</v>
      </c>
      <c r="G527" s="60">
        <v>355.58</v>
      </c>
      <c r="H527" s="61"/>
    </row>
    <row r="528" spans="1:8" ht="17.25" x14ac:dyDescent="0.3">
      <c r="A528" s="39">
        <v>14123884</v>
      </c>
      <c r="B528" s="48" t="s">
        <v>977</v>
      </c>
      <c r="C528" s="41" t="s">
        <v>978</v>
      </c>
      <c r="D528" s="41" t="s">
        <v>3</v>
      </c>
      <c r="E528" s="59">
        <v>3.918228796153846</v>
      </c>
      <c r="F528" s="59">
        <v>2.9683333333333333</v>
      </c>
      <c r="G528" s="60">
        <v>0</v>
      </c>
      <c r="H528" s="61"/>
    </row>
    <row r="529" spans="1:8" ht="17.25" x14ac:dyDescent="0.3">
      <c r="A529" s="39">
        <v>14123885</v>
      </c>
      <c r="B529" s="40" t="s">
        <v>979</v>
      </c>
      <c r="C529" s="41" t="s">
        <v>978</v>
      </c>
      <c r="D529" s="41" t="s">
        <v>3</v>
      </c>
      <c r="E529" s="59">
        <v>3.8768444</v>
      </c>
      <c r="F529" s="59">
        <v>3.82775</v>
      </c>
      <c r="G529" s="60">
        <v>355.58</v>
      </c>
      <c r="H529" s="61"/>
    </row>
    <row r="530" spans="1:8" ht="17.25" x14ac:dyDescent="0.3">
      <c r="A530" s="39">
        <v>14123893</v>
      </c>
      <c r="B530" s="48" t="s">
        <v>980</v>
      </c>
      <c r="C530" s="41" t="s">
        <v>981</v>
      </c>
      <c r="D530" s="41" t="s">
        <v>3</v>
      </c>
      <c r="E530" s="59">
        <v>4.0075790020512825</v>
      </c>
      <c r="F530" s="59">
        <v>4.2560000000000002</v>
      </c>
      <c r="G530" s="60">
        <v>355.58</v>
      </c>
      <c r="H530" s="61"/>
    </row>
    <row r="531" spans="1:8" ht="17.25" x14ac:dyDescent="0.3">
      <c r="A531" s="39">
        <v>14123894</v>
      </c>
      <c r="B531" s="48" t="s">
        <v>982</v>
      </c>
      <c r="C531" s="41" t="s">
        <v>981</v>
      </c>
      <c r="D531" s="41" t="s">
        <v>3</v>
      </c>
      <c r="E531" s="59">
        <v>9.3501572374999995</v>
      </c>
      <c r="F531" s="59">
        <v>6.7729999999999997</v>
      </c>
      <c r="G531" s="60">
        <v>0</v>
      </c>
      <c r="H531" s="61"/>
    </row>
    <row r="532" spans="1:8" ht="17.25" x14ac:dyDescent="0.3">
      <c r="A532" s="39">
        <v>14123918</v>
      </c>
      <c r="B532" s="48" t="s">
        <v>989</v>
      </c>
      <c r="C532" s="41" t="s">
        <v>988</v>
      </c>
      <c r="D532" s="41" t="s">
        <v>3</v>
      </c>
      <c r="E532" s="59" t="s">
        <v>925</v>
      </c>
      <c r="F532" s="59" t="s">
        <v>925</v>
      </c>
      <c r="G532" s="60">
        <v>355.58</v>
      </c>
      <c r="H532" s="61"/>
    </row>
    <row r="533" spans="1:8" ht="17.25" x14ac:dyDescent="0.3">
      <c r="A533" s="39">
        <v>14123919</v>
      </c>
      <c r="B533" s="48" t="s">
        <v>990</v>
      </c>
      <c r="C533" s="41" t="s">
        <v>988</v>
      </c>
      <c r="D533" s="41" t="s">
        <v>3</v>
      </c>
      <c r="E533" s="59">
        <v>3.55</v>
      </c>
      <c r="F533" s="59">
        <v>3.476</v>
      </c>
      <c r="G533" s="60">
        <v>0</v>
      </c>
      <c r="H533" s="61"/>
    </row>
    <row r="534" spans="1:8" ht="17.25" x14ac:dyDescent="0.3">
      <c r="A534" s="40">
        <v>14123925</v>
      </c>
      <c r="B534" s="48" t="s">
        <v>992</v>
      </c>
      <c r="C534" s="41" t="s">
        <v>986</v>
      </c>
      <c r="D534" s="41" t="s">
        <v>3</v>
      </c>
      <c r="E534" s="59">
        <v>5.329325494871795</v>
      </c>
      <c r="F534" s="59">
        <v>4.5824999999999996</v>
      </c>
      <c r="G534" s="60">
        <v>0</v>
      </c>
      <c r="H534" s="61"/>
    </row>
    <row r="535" spans="1:8" ht="17.25" x14ac:dyDescent="0.3">
      <c r="A535" s="39">
        <v>14123926</v>
      </c>
      <c r="B535" s="48" t="s">
        <v>993</v>
      </c>
      <c r="C535" s="41" t="s">
        <v>986</v>
      </c>
      <c r="D535" s="41" t="s">
        <v>3</v>
      </c>
      <c r="E535" s="59">
        <v>3.999753483333333</v>
      </c>
      <c r="F535" s="59">
        <v>3.3830000000000005</v>
      </c>
      <c r="G535" s="60">
        <v>0</v>
      </c>
      <c r="H535" s="61"/>
    </row>
    <row r="536" spans="1:8" ht="17.25" x14ac:dyDescent="0.3">
      <c r="A536" s="39">
        <v>14123950</v>
      </c>
      <c r="B536" s="48" t="s">
        <v>995</v>
      </c>
      <c r="C536" s="41" t="s">
        <v>986</v>
      </c>
      <c r="D536" s="41" t="s">
        <v>3</v>
      </c>
      <c r="E536" s="59">
        <v>3.6425624527777778</v>
      </c>
      <c r="F536" s="59">
        <v>3.39</v>
      </c>
      <c r="G536" s="60">
        <v>0</v>
      </c>
      <c r="H536" s="61"/>
    </row>
    <row r="537" spans="1:8" ht="17.25" x14ac:dyDescent="0.3">
      <c r="A537" s="40">
        <v>14123951</v>
      </c>
      <c r="B537" s="48" t="s">
        <v>996</v>
      </c>
      <c r="C537" s="41" t="s">
        <v>986</v>
      </c>
      <c r="D537" s="41" t="s">
        <v>3</v>
      </c>
      <c r="E537" s="59">
        <v>8.8317246794871789</v>
      </c>
      <c r="F537" s="59">
        <v>8.5</v>
      </c>
      <c r="G537" s="60">
        <v>0</v>
      </c>
      <c r="H537" s="61"/>
    </row>
    <row r="538" spans="1:8" ht="17.25" x14ac:dyDescent="0.3">
      <c r="A538" s="39">
        <v>14123971</v>
      </c>
      <c r="B538" s="48" t="s">
        <v>997</v>
      </c>
      <c r="C538" s="41" t="s">
        <v>998</v>
      </c>
      <c r="D538" s="41" t="s">
        <v>3</v>
      </c>
      <c r="E538" s="59">
        <v>3.1789575442307698</v>
      </c>
      <c r="F538" s="59">
        <v>4.5350000000000001</v>
      </c>
      <c r="G538" s="60">
        <v>355.58</v>
      </c>
      <c r="H538" s="61"/>
    </row>
    <row r="539" spans="1:8" ht="17.25" x14ac:dyDescent="0.3">
      <c r="A539" s="40">
        <v>14123985</v>
      </c>
      <c r="B539" s="48" t="s">
        <v>999</v>
      </c>
      <c r="C539" s="41" t="s">
        <v>998</v>
      </c>
      <c r="D539" s="41" t="s">
        <v>3</v>
      </c>
      <c r="E539" s="59">
        <v>9.9629711377289389</v>
      </c>
      <c r="F539" s="59">
        <v>8.8971666666666653</v>
      </c>
      <c r="G539" s="60">
        <v>0</v>
      </c>
      <c r="H539" s="61"/>
    </row>
    <row r="540" spans="1:8" ht="17.25" x14ac:dyDescent="0.3">
      <c r="A540" s="39">
        <v>14123986</v>
      </c>
      <c r="B540" s="48" t="s">
        <v>1000</v>
      </c>
      <c r="C540" s="41" t="s">
        <v>998</v>
      </c>
      <c r="D540" s="41" t="s">
        <v>3</v>
      </c>
      <c r="E540" s="59"/>
      <c r="F540" s="59" t="e">
        <v>#N/A</v>
      </c>
      <c r="G540" s="60"/>
      <c r="H540" s="61"/>
    </row>
    <row r="541" spans="1:8" ht="17.25" x14ac:dyDescent="0.3">
      <c r="A541" s="39">
        <v>14123987</v>
      </c>
      <c r="B541" s="40" t="s">
        <v>1001</v>
      </c>
      <c r="C541" s="41" t="s">
        <v>998</v>
      </c>
      <c r="D541" s="41" t="s">
        <v>3</v>
      </c>
      <c r="E541" s="59">
        <v>4.2872707954545453</v>
      </c>
      <c r="F541" s="59">
        <v>3.6349999999999998</v>
      </c>
      <c r="G541" s="60">
        <v>0</v>
      </c>
      <c r="H541" s="61"/>
    </row>
    <row r="542" spans="1:8" ht="17.25" x14ac:dyDescent="0.3">
      <c r="A542" s="40">
        <v>14123988</v>
      </c>
      <c r="B542" s="48" t="s">
        <v>1002</v>
      </c>
      <c r="C542" s="41" t="s">
        <v>998</v>
      </c>
      <c r="D542" s="41" t="s">
        <v>3</v>
      </c>
      <c r="E542" s="59">
        <v>4.33</v>
      </c>
      <c r="F542" s="59">
        <v>2.8359999999999999</v>
      </c>
      <c r="G542" s="60">
        <v>0</v>
      </c>
      <c r="H542" s="61"/>
    </row>
    <row r="543" spans="1:8" ht="17.25" x14ac:dyDescent="0.3">
      <c r="A543" s="40">
        <v>14124002</v>
      </c>
      <c r="B543" s="48" t="s">
        <v>1003</v>
      </c>
      <c r="C543" s="41" t="s">
        <v>984</v>
      </c>
      <c r="D543" s="41" t="s">
        <v>3</v>
      </c>
      <c r="E543" s="59">
        <v>3.9781200722222216</v>
      </c>
      <c r="F543" s="59">
        <v>3.7829999999999999</v>
      </c>
      <c r="G543" s="60">
        <v>0</v>
      </c>
      <c r="H543" s="61"/>
    </row>
    <row r="544" spans="1:8" ht="17.25" x14ac:dyDescent="0.3">
      <c r="A544" s="40">
        <v>14124020</v>
      </c>
      <c r="B544" s="48" t="s">
        <v>1004</v>
      </c>
      <c r="C544" s="41" t="s">
        <v>1005</v>
      </c>
      <c r="D544" s="41" t="s">
        <v>3</v>
      </c>
      <c r="E544" s="59">
        <v>4.3600000000000003</v>
      </c>
      <c r="F544" s="59">
        <v>3.8115000000000001</v>
      </c>
      <c r="G544" s="60">
        <v>0</v>
      </c>
      <c r="H544" s="61"/>
    </row>
    <row r="545" spans="1:8" ht="17.25" x14ac:dyDescent="0.3">
      <c r="A545" s="40">
        <v>14124028</v>
      </c>
      <c r="B545" s="48" t="s">
        <v>1006</v>
      </c>
      <c r="C545" s="41" t="s">
        <v>1007</v>
      </c>
      <c r="D545" s="41" t="s">
        <v>3</v>
      </c>
      <c r="E545" s="59">
        <v>4.4563435919047629</v>
      </c>
      <c r="F545" s="59">
        <v>4.4755000000000003</v>
      </c>
      <c r="G545" s="60">
        <v>355.58</v>
      </c>
      <c r="H545" s="61"/>
    </row>
    <row r="546" spans="1:8" ht="17.25" x14ac:dyDescent="0.3">
      <c r="A546" s="39">
        <v>14124031</v>
      </c>
      <c r="B546" s="48" t="s">
        <v>1008</v>
      </c>
      <c r="C546" s="41" t="s">
        <v>1007</v>
      </c>
      <c r="D546" s="41" t="s">
        <v>3</v>
      </c>
      <c r="E546" s="59">
        <v>3.5403343692307696</v>
      </c>
      <c r="F546" s="59">
        <v>2.73</v>
      </c>
      <c r="G546" s="60">
        <v>0</v>
      </c>
      <c r="H546" s="61"/>
    </row>
    <row r="547" spans="1:8" ht="17.25" x14ac:dyDescent="0.3">
      <c r="A547" s="39">
        <v>14124041</v>
      </c>
      <c r="B547" s="48" t="s">
        <v>1009</v>
      </c>
      <c r="C547" s="41" t="s">
        <v>1010</v>
      </c>
      <c r="D547" s="41" t="s">
        <v>3</v>
      </c>
      <c r="E547" s="59"/>
      <c r="F547" s="59" t="e">
        <v>#N/A</v>
      </c>
      <c r="G547" s="60"/>
      <c r="H547" s="61"/>
    </row>
    <row r="548" spans="1:8" ht="17.25" x14ac:dyDescent="0.3">
      <c r="A548" s="39">
        <v>14124061</v>
      </c>
      <c r="B548" s="48" t="s">
        <v>1610</v>
      </c>
      <c r="C548" s="41" t="s">
        <v>1611</v>
      </c>
      <c r="D548" s="41" t="s">
        <v>3</v>
      </c>
      <c r="E548" s="59" t="s">
        <v>925</v>
      </c>
      <c r="F548" s="59" t="s">
        <v>925</v>
      </c>
      <c r="G548" s="60">
        <v>355.58</v>
      </c>
      <c r="H548" s="61"/>
    </row>
    <row r="549" spans="1:8" ht="17.25" x14ac:dyDescent="0.3">
      <c r="A549" s="39">
        <v>14124062</v>
      </c>
      <c r="B549" s="48" t="s">
        <v>1612</v>
      </c>
      <c r="C549" s="41" t="s">
        <v>1611</v>
      </c>
      <c r="D549" s="41" t="s">
        <v>3</v>
      </c>
      <c r="E549" s="59">
        <v>8.01</v>
      </c>
      <c r="F549" s="59">
        <v>8.1739999999999995</v>
      </c>
      <c r="G549" s="60">
        <f>355.58*2</f>
        <v>711.16</v>
      </c>
      <c r="H549" s="61" t="s">
        <v>3697</v>
      </c>
    </row>
    <row r="550" spans="1:8" ht="17.25" x14ac:dyDescent="0.3">
      <c r="A550" s="39">
        <v>14124076</v>
      </c>
      <c r="B550" s="48" t="s">
        <v>1613</v>
      </c>
      <c r="C550" s="41" t="s">
        <v>1614</v>
      </c>
      <c r="D550" s="41" t="s">
        <v>3</v>
      </c>
      <c r="E550" s="59" t="s">
        <v>925</v>
      </c>
      <c r="F550" s="59" t="s">
        <v>925</v>
      </c>
      <c r="G550" s="60">
        <v>355.58</v>
      </c>
      <c r="H550" s="61"/>
    </row>
    <row r="551" spans="1:8" ht="17.25" x14ac:dyDescent="0.3">
      <c r="A551" s="39">
        <v>14124090</v>
      </c>
      <c r="B551" s="48" t="s">
        <v>1615</v>
      </c>
      <c r="C551" s="41" t="s">
        <v>1616</v>
      </c>
      <c r="D551" s="41" t="s">
        <v>3</v>
      </c>
      <c r="E551" s="59" t="s">
        <v>925</v>
      </c>
      <c r="F551" s="59" t="s">
        <v>925</v>
      </c>
      <c r="G551" s="60">
        <v>355.58</v>
      </c>
      <c r="H551" s="61"/>
    </row>
    <row r="552" spans="1:8" ht="17.25" x14ac:dyDescent="0.3">
      <c r="A552" s="40">
        <v>14124091</v>
      </c>
      <c r="B552" s="48" t="s">
        <v>1617</v>
      </c>
      <c r="C552" s="41" t="s">
        <v>1616</v>
      </c>
      <c r="D552" s="41" t="s">
        <v>3</v>
      </c>
      <c r="E552" s="59">
        <v>4.3855960874999997</v>
      </c>
      <c r="F552" s="59">
        <v>3.7055000000000002</v>
      </c>
      <c r="G552" s="60">
        <v>0</v>
      </c>
      <c r="H552" s="61"/>
    </row>
    <row r="553" spans="1:8" ht="17.25" x14ac:dyDescent="0.3">
      <c r="A553" s="40">
        <v>14124104</v>
      </c>
      <c r="B553" s="40" t="s">
        <v>1618</v>
      </c>
      <c r="C553" s="41" t="s">
        <v>1619</v>
      </c>
      <c r="D553" s="41" t="s">
        <v>3</v>
      </c>
      <c r="E553" s="59">
        <v>3.8423248025641024</v>
      </c>
      <c r="F553" s="59">
        <v>3.0996666666666672</v>
      </c>
      <c r="G553" s="60">
        <v>0</v>
      </c>
      <c r="H553" s="61"/>
    </row>
    <row r="554" spans="1:8" ht="17.25" x14ac:dyDescent="0.3">
      <c r="A554" s="40">
        <v>14124105</v>
      </c>
      <c r="B554" s="40" t="s">
        <v>1620</v>
      </c>
      <c r="C554" s="41" t="s">
        <v>1619</v>
      </c>
      <c r="D554" s="41" t="s">
        <v>3</v>
      </c>
      <c r="E554" s="59">
        <v>6</v>
      </c>
      <c r="F554" s="59">
        <v>6.0839999999999996</v>
      </c>
      <c r="G554" s="60">
        <v>355.58</v>
      </c>
      <c r="H554" s="61"/>
    </row>
    <row r="555" spans="1:8" ht="17.25" x14ac:dyDescent="0.3">
      <c r="A555" s="39">
        <v>14124106</v>
      </c>
      <c r="B555" s="48" t="s">
        <v>1621</v>
      </c>
      <c r="C555" s="41" t="s">
        <v>1619</v>
      </c>
      <c r="D555" s="41" t="s">
        <v>3</v>
      </c>
      <c r="E555" s="59" t="s">
        <v>925</v>
      </c>
      <c r="F555" s="59" t="s">
        <v>925</v>
      </c>
      <c r="G555" s="60">
        <v>355.58</v>
      </c>
      <c r="H555" s="61"/>
    </row>
    <row r="556" spans="1:8" ht="17.25" x14ac:dyDescent="0.3">
      <c r="A556" s="39">
        <v>14124111</v>
      </c>
      <c r="B556" s="48" t="s">
        <v>1622</v>
      </c>
      <c r="C556" s="41" t="s">
        <v>1623</v>
      </c>
      <c r="D556" s="41" t="s">
        <v>3</v>
      </c>
      <c r="E556" s="59">
        <v>3.9243795055555553</v>
      </c>
      <c r="F556" s="59">
        <v>5.1195000000000004</v>
      </c>
      <c r="G556" s="60">
        <v>355.58</v>
      </c>
      <c r="H556" s="61"/>
    </row>
    <row r="557" spans="1:8" ht="17.25" x14ac:dyDescent="0.3">
      <c r="A557" s="39">
        <v>14124113</v>
      </c>
      <c r="B557" s="48" t="s">
        <v>1624</v>
      </c>
      <c r="C557" s="41" t="s">
        <v>1625</v>
      </c>
      <c r="D557" s="41" t="s">
        <v>3</v>
      </c>
      <c r="E557" s="59">
        <v>3.319520412121213</v>
      </c>
      <c r="F557" s="59">
        <v>3.79</v>
      </c>
      <c r="G557" s="60">
        <v>355.58</v>
      </c>
      <c r="H557" s="61"/>
    </row>
    <row r="558" spans="1:8" ht="17.25" x14ac:dyDescent="0.3">
      <c r="A558" s="39">
        <v>14124114</v>
      </c>
      <c r="B558" s="48" t="s">
        <v>1626</v>
      </c>
      <c r="C558" s="41" t="s">
        <v>1625</v>
      </c>
      <c r="D558" s="41" t="s">
        <v>3</v>
      </c>
      <c r="E558" s="59">
        <v>3.9633720083333341</v>
      </c>
      <c r="F558" s="59">
        <v>3.7484999999999999</v>
      </c>
      <c r="G558" s="60">
        <v>0</v>
      </c>
      <c r="H558" s="61"/>
    </row>
    <row r="559" spans="1:8" ht="17.25" x14ac:dyDescent="0.3">
      <c r="A559" s="39">
        <v>14124131</v>
      </c>
      <c r="B559" s="48" t="s">
        <v>1891</v>
      </c>
      <c r="C559" s="41" t="s">
        <v>2575</v>
      </c>
      <c r="D559" s="41" t="s">
        <v>3</v>
      </c>
      <c r="E559" s="59"/>
      <c r="F559" s="59" t="e">
        <v>#N/A</v>
      </c>
      <c r="G559" s="60"/>
      <c r="H559" s="61"/>
    </row>
    <row r="560" spans="1:8" ht="17.25" x14ac:dyDescent="0.3">
      <c r="A560" s="39">
        <v>14124143</v>
      </c>
      <c r="B560" s="48" t="s">
        <v>1889</v>
      </c>
      <c r="C560" s="41" t="s">
        <v>2575</v>
      </c>
      <c r="D560" s="41" t="s">
        <v>3</v>
      </c>
      <c r="E560" s="59" t="s">
        <v>925</v>
      </c>
      <c r="F560" s="59" t="s">
        <v>925</v>
      </c>
      <c r="G560" s="60">
        <v>355.58</v>
      </c>
      <c r="H560" s="61"/>
    </row>
    <row r="561" spans="1:8" ht="17.25" x14ac:dyDescent="0.3">
      <c r="A561" s="39">
        <v>14124144</v>
      </c>
      <c r="B561" s="48" t="s">
        <v>2388</v>
      </c>
      <c r="C561" s="41" t="s">
        <v>2575</v>
      </c>
      <c r="D561" s="41" t="s">
        <v>3</v>
      </c>
      <c r="E561" s="59">
        <v>3.9670752775641023</v>
      </c>
      <c r="F561" s="59">
        <v>3.4119999999999999</v>
      </c>
      <c r="G561" s="60">
        <v>0</v>
      </c>
      <c r="H561" s="61"/>
    </row>
    <row r="562" spans="1:8" ht="17.25" x14ac:dyDescent="0.3">
      <c r="A562" s="39">
        <v>14124146</v>
      </c>
      <c r="B562" s="48" t="s">
        <v>2003</v>
      </c>
      <c r="C562" s="41" t="s">
        <v>2575</v>
      </c>
      <c r="D562" s="41" t="s">
        <v>3</v>
      </c>
      <c r="E562" s="59">
        <v>8.02</v>
      </c>
      <c r="F562" s="59">
        <v>8.088000000000001</v>
      </c>
      <c r="G562" s="60">
        <f>355.58*3</f>
        <v>1066.74</v>
      </c>
      <c r="H562" s="61" t="s">
        <v>3698</v>
      </c>
    </row>
    <row r="563" spans="1:8" ht="17.25" x14ac:dyDescent="0.3">
      <c r="A563" s="39">
        <v>14124156</v>
      </c>
      <c r="B563" s="48" t="s">
        <v>1924</v>
      </c>
      <c r="C563" s="41" t="s">
        <v>2576</v>
      </c>
      <c r="D563" s="41" t="s">
        <v>3</v>
      </c>
      <c r="E563" s="59">
        <v>4.1521675861111111</v>
      </c>
      <c r="F563" s="59">
        <v>3.3786666666666663</v>
      </c>
      <c r="G563" s="60">
        <v>0</v>
      </c>
      <c r="H563" s="61"/>
    </row>
    <row r="564" spans="1:8" ht="17.25" x14ac:dyDescent="0.3">
      <c r="A564" s="40">
        <v>14124157</v>
      </c>
      <c r="B564" s="40" t="s">
        <v>1918</v>
      </c>
      <c r="C564" s="41" t="s">
        <v>2576</v>
      </c>
      <c r="D564" s="41" t="s">
        <v>3</v>
      </c>
      <c r="E564" s="59" t="s">
        <v>925</v>
      </c>
      <c r="F564" s="59" t="s">
        <v>925</v>
      </c>
      <c r="G564" s="60">
        <v>355.58</v>
      </c>
      <c r="H564" s="61"/>
    </row>
    <row r="565" spans="1:8" ht="17.25" x14ac:dyDescent="0.3">
      <c r="A565" s="39">
        <v>14124158</v>
      </c>
      <c r="B565" s="48" t="s">
        <v>1983</v>
      </c>
      <c r="C565" s="41" t="s">
        <v>2576</v>
      </c>
      <c r="D565" s="41" t="s">
        <v>3</v>
      </c>
      <c r="E565" s="59"/>
      <c r="F565" s="59" t="e">
        <v>#N/A</v>
      </c>
      <c r="G565" s="60"/>
      <c r="H565" s="61"/>
    </row>
    <row r="566" spans="1:8" ht="17.25" x14ac:dyDescent="0.3">
      <c r="A566" s="40">
        <v>14124159</v>
      </c>
      <c r="B566" s="48" t="s">
        <v>2389</v>
      </c>
      <c r="C566" s="41" t="s">
        <v>2576</v>
      </c>
      <c r="D566" s="41" t="s">
        <v>3</v>
      </c>
      <c r="E566" s="59">
        <v>4.8762142128205133</v>
      </c>
      <c r="F566" s="59">
        <v>4.9603333333333337</v>
      </c>
      <c r="G566" s="60">
        <v>355.58</v>
      </c>
      <c r="H566" s="61"/>
    </row>
    <row r="567" spans="1:8" ht="17.25" x14ac:dyDescent="0.3">
      <c r="A567" s="39">
        <v>14124160</v>
      </c>
      <c r="B567" s="40" t="s">
        <v>1972</v>
      </c>
      <c r="C567" s="41" t="s">
        <v>2576</v>
      </c>
      <c r="D567" s="41" t="s">
        <v>3</v>
      </c>
      <c r="E567" s="59" t="s">
        <v>925</v>
      </c>
      <c r="F567" s="59" t="s">
        <v>925</v>
      </c>
      <c r="G567" s="60">
        <v>355.58</v>
      </c>
      <c r="H567" s="61"/>
    </row>
    <row r="568" spans="1:8" ht="17.25" x14ac:dyDescent="0.3">
      <c r="A568" s="39">
        <v>14124161</v>
      </c>
      <c r="B568" s="48" t="s">
        <v>2031</v>
      </c>
      <c r="C568" s="41" t="s">
        <v>2576</v>
      </c>
      <c r="D568" s="41" t="s">
        <v>3</v>
      </c>
      <c r="E568" s="59">
        <v>3.9059724032051282</v>
      </c>
      <c r="F568" s="59">
        <v>4.1475</v>
      </c>
      <c r="G568" s="60">
        <v>355.58</v>
      </c>
      <c r="H568" s="61"/>
    </row>
    <row r="569" spans="1:8" ht="17.25" x14ac:dyDescent="0.3">
      <c r="A569" s="39">
        <v>14124162</v>
      </c>
      <c r="B569" s="48" t="s">
        <v>1998</v>
      </c>
      <c r="C569" s="41" t="s">
        <v>2576</v>
      </c>
      <c r="D569" s="41" t="s">
        <v>3</v>
      </c>
      <c r="E569" s="59" t="s">
        <v>925</v>
      </c>
      <c r="F569" s="59" t="s">
        <v>925</v>
      </c>
      <c r="G569" s="60">
        <v>355.58</v>
      </c>
      <c r="H569" s="61"/>
    </row>
    <row r="570" spans="1:8" ht="17.25" x14ac:dyDescent="0.3">
      <c r="A570" s="39">
        <v>14124164</v>
      </c>
      <c r="B570" s="48" t="s">
        <v>1966</v>
      </c>
      <c r="C570" s="41" t="s">
        <v>2576</v>
      </c>
      <c r="D570" s="41" t="s">
        <v>3</v>
      </c>
      <c r="E570" s="59">
        <v>4.5538174461538459</v>
      </c>
      <c r="F570" s="59">
        <v>3.9659999999999997</v>
      </c>
      <c r="G570" s="60">
        <v>0</v>
      </c>
      <c r="H570" s="61"/>
    </row>
    <row r="571" spans="1:8" ht="17.25" x14ac:dyDescent="0.3">
      <c r="A571" s="39">
        <v>14124165</v>
      </c>
      <c r="B571" s="48" t="s">
        <v>1923</v>
      </c>
      <c r="C571" s="41" t="s">
        <v>2576</v>
      </c>
      <c r="D571" s="41" t="s">
        <v>3</v>
      </c>
      <c r="E571" s="59" t="s">
        <v>925</v>
      </c>
      <c r="F571" s="59" t="s">
        <v>925</v>
      </c>
      <c r="G571" s="60">
        <v>355.58</v>
      </c>
      <c r="H571" s="61"/>
    </row>
    <row r="572" spans="1:8" ht="17.25" x14ac:dyDescent="0.3">
      <c r="A572" s="48">
        <v>14124166</v>
      </c>
      <c r="B572" s="40" t="s">
        <v>1963</v>
      </c>
      <c r="C572" s="41" t="s">
        <v>2576</v>
      </c>
      <c r="D572" s="41" t="s">
        <v>3</v>
      </c>
      <c r="E572" s="59">
        <v>4.07</v>
      </c>
      <c r="F572" s="59">
        <v>3.4809999999999999</v>
      </c>
      <c r="G572" s="60">
        <v>0</v>
      </c>
      <c r="H572" s="61"/>
    </row>
    <row r="573" spans="1:8" ht="17.25" x14ac:dyDescent="0.3">
      <c r="A573" s="48">
        <v>14124185</v>
      </c>
      <c r="B573" s="40" t="s">
        <v>2018</v>
      </c>
      <c r="C573" s="41" t="s">
        <v>2577</v>
      </c>
      <c r="D573" s="41" t="s">
        <v>3</v>
      </c>
      <c r="E573" s="59">
        <v>10.055818270833331</v>
      </c>
      <c r="F573" s="59">
        <v>9.4684999999999988</v>
      </c>
      <c r="G573" s="60">
        <v>0</v>
      </c>
      <c r="H573" s="61"/>
    </row>
    <row r="574" spans="1:8" ht="17.25" x14ac:dyDescent="0.3">
      <c r="A574" s="40">
        <v>14124186</v>
      </c>
      <c r="B574" s="40" t="s">
        <v>2021</v>
      </c>
      <c r="C574" s="41" t="s">
        <v>2577</v>
      </c>
      <c r="D574" s="41" t="s">
        <v>3</v>
      </c>
      <c r="E574" s="59">
        <v>5.3133318750000003</v>
      </c>
      <c r="F574" s="59">
        <v>4.9260000000000002</v>
      </c>
      <c r="G574" s="60">
        <v>0</v>
      </c>
      <c r="H574" s="61"/>
    </row>
    <row r="575" spans="1:8" ht="17.25" x14ac:dyDescent="0.3">
      <c r="A575" s="40">
        <v>14124187</v>
      </c>
      <c r="B575" s="48" t="s">
        <v>2022</v>
      </c>
      <c r="C575" s="41" t="s">
        <v>2577</v>
      </c>
      <c r="D575" s="41" t="s">
        <v>3</v>
      </c>
      <c r="E575" s="59">
        <v>4.1260915262820514</v>
      </c>
      <c r="F575" s="59">
        <v>3.9480000000000004</v>
      </c>
      <c r="G575" s="60">
        <v>0</v>
      </c>
      <c r="H575" s="61"/>
    </row>
    <row r="576" spans="1:8" ht="17.25" x14ac:dyDescent="0.3">
      <c r="A576" s="40">
        <v>14124188</v>
      </c>
      <c r="B576" s="48" t="s">
        <v>2016</v>
      </c>
      <c r="C576" s="41" t="s">
        <v>2577</v>
      </c>
      <c r="D576" s="41" t="s">
        <v>3</v>
      </c>
      <c r="E576" s="59">
        <v>4.5407817833333324</v>
      </c>
      <c r="F576" s="59">
        <v>4.343</v>
      </c>
      <c r="G576" s="60">
        <v>0</v>
      </c>
      <c r="H576" s="61"/>
    </row>
    <row r="577" spans="1:8" ht="17.25" x14ac:dyDescent="0.3">
      <c r="A577" s="40">
        <v>14124189</v>
      </c>
      <c r="B577" s="40" t="s">
        <v>2390</v>
      </c>
      <c r="C577" s="41" t="s">
        <v>2577</v>
      </c>
      <c r="D577" s="41" t="s">
        <v>3</v>
      </c>
      <c r="E577" s="59">
        <v>3.8358009852564097</v>
      </c>
      <c r="F577" s="59">
        <v>4.2963333333333331</v>
      </c>
      <c r="G577" s="60">
        <v>355.58</v>
      </c>
      <c r="H577" s="61"/>
    </row>
    <row r="578" spans="1:8" ht="17.25" x14ac:dyDescent="0.3">
      <c r="A578" s="48">
        <v>14124190</v>
      </c>
      <c r="B578" s="48" t="s">
        <v>2027</v>
      </c>
      <c r="C578" s="41" t="s">
        <v>2577</v>
      </c>
      <c r="D578" s="41" t="s">
        <v>3</v>
      </c>
      <c r="E578" s="59">
        <v>3.3975732653846151</v>
      </c>
      <c r="F578" s="59">
        <v>3.5259999999999998</v>
      </c>
      <c r="G578" s="60">
        <v>355.58</v>
      </c>
      <c r="H578" s="61"/>
    </row>
    <row r="579" spans="1:8" ht="17.25" x14ac:dyDescent="0.3">
      <c r="A579" s="48">
        <v>14124206</v>
      </c>
      <c r="B579" s="48" t="s">
        <v>2391</v>
      </c>
      <c r="C579" s="41" t="s">
        <v>2578</v>
      </c>
      <c r="D579" s="41" t="s">
        <v>3</v>
      </c>
      <c r="E579" s="59">
        <v>3.607124587179487</v>
      </c>
      <c r="F579" s="59">
        <v>4.4406666666666661</v>
      </c>
      <c r="G579" s="60">
        <f>355.58*2</f>
        <v>711.16</v>
      </c>
      <c r="H579" s="61" t="s">
        <v>3693</v>
      </c>
    </row>
    <row r="580" spans="1:8" ht="17.25" x14ac:dyDescent="0.3">
      <c r="A580" s="51">
        <v>14124240</v>
      </c>
      <c r="B580" s="51" t="s">
        <v>1877</v>
      </c>
      <c r="C580" s="41" t="s">
        <v>2574</v>
      </c>
      <c r="D580" s="41" t="s">
        <v>3</v>
      </c>
      <c r="E580" s="59"/>
      <c r="F580" s="59" t="e">
        <v>#N/A</v>
      </c>
      <c r="G580" s="60"/>
      <c r="H580" s="61"/>
    </row>
    <row r="581" spans="1:8" ht="17.25" x14ac:dyDescent="0.3">
      <c r="A581" s="51">
        <v>14124243</v>
      </c>
      <c r="B581" s="51" t="s">
        <v>2392</v>
      </c>
      <c r="C581" s="41" t="s">
        <v>2579</v>
      </c>
      <c r="D581" s="41" t="s">
        <v>3</v>
      </c>
      <c r="E581" s="59">
        <v>4.4005339416666667</v>
      </c>
      <c r="F581" s="59">
        <v>2.8115000000000001</v>
      </c>
      <c r="G581" s="60">
        <v>0</v>
      </c>
      <c r="H581" s="61"/>
    </row>
    <row r="582" spans="1:8" ht="17.25" x14ac:dyDescent="0.3">
      <c r="A582" s="51">
        <v>14124244</v>
      </c>
      <c r="B582" s="51" t="s">
        <v>2393</v>
      </c>
      <c r="C582" s="41" t="s">
        <v>2579</v>
      </c>
      <c r="D582" s="41" t="s">
        <v>3</v>
      </c>
      <c r="E582" s="59">
        <v>3.87</v>
      </c>
      <c r="F582" s="59">
        <v>3.6665000000000001</v>
      </c>
      <c r="G582" s="60">
        <v>0</v>
      </c>
      <c r="H582" s="61"/>
    </row>
    <row r="583" spans="1:8" ht="17.25" x14ac:dyDescent="0.3">
      <c r="A583" s="51">
        <v>14124254</v>
      </c>
      <c r="B583" s="51" t="s">
        <v>2396</v>
      </c>
      <c r="C583" s="41" t="s">
        <v>2574</v>
      </c>
      <c r="D583" s="41" t="s">
        <v>3</v>
      </c>
      <c r="E583" s="59">
        <v>3.3476941125000006</v>
      </c>
      <c r="F583" s="59">
        <v>4.3366666666666669</v>
      </c>
      <c r="G583" s="60">
        <v>355.58</v>
      </c>
      <c r="H583" s="61"/>
    </row>
    <row r="584" spans="1:8" ht="17.25" x14ac:dyDescent="0.3">
      <c r="A584" s="51">
        <v>14124260</v>
      </c>
      <c r="B584" s="51" t="s">
        <v>2397</v>
      </c>
      <c r="C584" s="41" t="s">
        <v>2580</v>
      </c>
      <c r="D584" s="41" t="s">
        <v>3</v>
      </c>
      <c r="E584" s="59">
        <v>3.0991670717948718</v>
      </c>
      <c r="F584" s="59">
        <v>2.8183333333333334</v>
      </c>
      <c r="G584" s="60">
        <v>0</v>
      </c>
      <c r="H584" s="61"/>
    </row>
    <row r="585" spans="1:8" ht="17.25" x14ac:dyDescent="0.3">
      <c r="A585" s="51">
        <v>14124261</v>
      </c>
      <c r="B585" s="51" t="s">
        <v>2398</v>
      </c>
      <c r="C585" s="111" t="s">
        <v>2580</v>
      </c>
      <c r="D585" s="111" t="s">
        <v>3</v>
      </c>
      <c r="E585" s="59">
        <v>3.8659444444444446</v>
      </c>
      <c r="F585" s="59">
        <v>4.5060000000000002</v>
      </c>
      <c r="G585" s="60">
        <v>355.58</v>
      </c>
      <c r="H585" s="61"/>
    </row>
    <row r="586" spans="1:8" ht="17.25" x14ac:dyDescent="0.3">
      <c r="A586" s="51">
        <v>14124263</v>
      </c>
      <c r="B586" s="51" t="s">
        <v>2400</v>
      </c>
      <c r="C586" s="111" t="s">
        <v>2580</v>
      </c>
      <c r="D586" s="111" t="s">
        <v>3</v>
      </c>
      <c r="E586" s="59"/>
      <c r="F586" s="59" t="e">
        <v>#N/A</v>
      </c>
      <c r="G586" s="60"/>
      <c r="H586" s="61"/>
    </row>
    <row r="587" spans="1:8" ht="17.25" x14ac:dyDescent="0.3">
      <c r="A587" s="51">
        <v>14124286</v>
      </c>
      <c r="B587" s="51" t="s">
        <v>2401</v>
      </c>
      <c r="C587" s="111" t="s">
        <v>2581</v>
      </c>
      <c r="D587" s="111" t="s">
        <v>3</v>
      </c>
      <c r="E587" s="59">
        <v>10.841576987179486</v>
      </c>
      <c r="F587" s="59">
        <v>8.6464999999999996</v>
      </c>
      <c r="G587" s="60">
        <v>0</v>
      </c>
      <c r="H587" s="61"/>
    </row>
    <row r="588" spans="1:8" ht="17.25" x14ac:dyDescent="0.3">
      <c r="A588" s="51">
        <v>14124287</v>
      </c>
      <c r="B588" s="51" t="s">
        <v>2402</v>
      </c>
      <c r="C588" s="111" t="s">
        <v>2581</v>
      </c>
      <c r="D588" s="111" t="s">
        <v>3</v>
      </c>
      <c r="E588" s="59"/>
      <c r="F588" s="59" t="e">
        <v>#N/A</v>
      </c>
      <c r="G588" s="60"/>
      <c r="H588" s="61"/>
    </row>
    <row r="589" spans="1:8" ht="17.25" x14ac:dyDescent="0.3">
      <c r="A589" s="51">
        <v>14124303</v>
      </c>
      <c r="B589" s="51" t="s">
        <v>2403</v>
      </c>
      <c r="C589" s="41" t="s">
        <v>2581</v>
      </c>
      <c r="D589" s="111" t="s">
        <v>3</v>
      </c>
      <c r="E589" s="59">
        <v>3.46</v>
      </c>
      <c r="F589" s="59">
        <v>3.1345000000000001</v>
      </c>
      <c r="G589" s="60">
        <v>0</v>
      </c>
      <c r="H589" s="61"/>
    </row>
    <row r="590" spans="1:8" ht="17.25" x14ac:dyDescent="0.3">
      <c r="A590" s="51">
        <v>14124320</v>
      </c>
      <c r="B590" s="51" t="s">
        <v>2404</v>
      </c>
      <c r="C590" s="111" t="s">
        <v>2582</v>
      </c>
      <c r="D590" s="111" t="s">
        <v>3</v>
      </c>
      <c r="E590" s="59">
        <v>2.739242405128206</v>
      </c>
      <c r="F590" s="59">
        <v>4.0430000000000001</v>
      </c>
      <c r="G590" s="60">
        <v>355.58</v>
      </c>
      <c r="H590" s="61"/>
    </row>
    <row r="591" spans="1:8" ht="17.25" x14ac:dyDescent="0.3">
      <c r="A591" s="159">
        <v>14124331</v>
      </c>
      <c r="B591" s="159" t="s">
        <v>2583</v>
      </c>
      <c r="C591" s="160" t="s">
        <v>2584</v>
      </c>
      <c r="D591" s="161" t="s">
        <v>3</v>
      </c>
      <c r="E591" s="59"/>
      <c r="F591" s="59" t="e">
        <v>#N/A</v>
      </c>
      <c r="G591" s="60"/>
      <c r="H591" s="61"/>
    </row>
    <row r="592" spans="1:8" ht="17.25" x14ac:dyDescent="0.3">
      <c r="A592" s="159">
        <v>14124334</v>
      </c>
      <c r="B592" s="159" t="s">
        <v>2538</v>
      </c>
      <c r="C592" s="161" t="s">
        <v>2585</v>
      </c>
      <c r="D592" s="161" t="s">
        <v>3</v>
      </c>
      <c r="E592" s="59">
        <v>3.5509246166666668</v>
      </c>
      <c r="F592" s="59">
        <v>3.3690000000000002</v>
      </c>
      <c r="G592" s="60">
        <v>0</v>
      </c>
      <c r="H592" s="61"/>
    </row>
    <row r="593" spans="1:8" ht="17.25" x14ac:dyDescent="0.3">
      <c r="A593" s="159">
        <v>14124343</v>
      </c>
      <c r="B593" s="159" t="s">
        <v>2562</v>
      </c>
      <c r="C593" s="160" t="s">
        <v>2586</v>
      </c>
      <c r="D593" s="161" t="s">
        <v>3</v>
      </c>
      <c r="E593" s="59"/>
      <c r="F593" s="59" t="e">
        <v>#N/A</v>
      </c>
      <c r="G593" s="60"/>
      <c r="H593" s="61"/>
    </row>
    <row r="594" spans="1:8" ht="17.25" x14ac:dyDescent="0.3">
      <c r="A594" s="159">
        <v>14124344</v>
      </c>
      <c r="B594" s="159" t="s">
        <v>2567</v>
      </c>
      <c r="C594" s="161" t="s">
        <v>2586</v>
      </c>
      <c r="D594" s="161" t="s">
        <v>3</v>
      </c>
      <c r="E594" s="59"/>
      <c r="F594" s="59" t="e">
        <v>#N/A</v>
      </c>
      <c r="G594" s="60"/>
      <c r="H594" s="61"/>
    </row>
    <row r="595" spans="1:8" ht="17.25" x14ac:dyDescent="0.3">
      <c r="A595" s="159">
        <v>14124345</v>
      </c>
      <c r="B595" s="159" t="s">
        <v>2556</v>
      </c>
      <c r="C595" s="160" t="s">
        <v>2586</v>
      </c>
      <c r="D595" s="161" t="s">
        <v>3</v>
      </c>
      <c r="E595" s="59"/>
      <c r="F595" s="59" t="e">
        <v>#N/A</v>
      </c>
      <c r="G595" s="60"/>
      <c r="H595" s="61"/>
    </row>
    <row r="596" spans="1:8" ht="17.25" x14ac:dyDescent="0.3">
      <c r="A596" s="159">
        <v>14124346</v>
      </c>
      <c r="B596" s="159" t="s">
        <v>2552</v>
      </c>
      <c r="C596" s="161" t="s">
        <v>2586</v>
      </c>
      <c r="D596" s="161" t="s">
        <v>3</v>
      </c>
      <c r="E596" s="59"/>
      <c r="F596" s="59" t="e">
        <v>#N/A</v>
      </c>
      <c r="G596" s="60"/>
      <c r="H596" s="61"/>
    </row>
    <row r="597" spans="1:8" ht="17.25" x14ac:dyDescent="0.3">
      <c r="A597" s="159">
        <v>14124347</v>
      </c>
      <c r="B597" s="159" t="s">
        <v>2553</v>
      </c>
      <c r="C597" s="161" t="s">
        <v>2586</v>
      </c>
      <c r="D597" s="161" t="s">
        <v>3</v>
      </c>
      <c r="E597" s="59"/>
      <c r="F597" s="59" t="e">
        <v>#N/A</v>
      </c>
      <c r="G597" s="60"/>
      <c r="H597" s="61"/>
    </row>
    <row r="598" spans="1:8" ht="17.25" x14ac:dyDescent="0.3">
      <c r="A598" s="159">
        <v>14124348</v>
      </c>
      <c r="B598" s="159" t="s">
        <v>2554</v>
      </c>
      <c r="C598" s="161" t="s">
        <v>2586</v>
      </c>
      <c r="D598" s="161" t="s">
        <v>3</v>
      </c>
      <c r="E598" s="59"/>
      <c r="F598" s="59" t="e">
        <v>#N/A</v>
      </c>
      <c r="G598" s="60"/>
      <c r="H598" s="61"/>
    </row>
    <row r="599" spans="1:8" ht="17.25" x14ac:dyDescent="0.3">
      <c r="A599" s="159">
        <v>14124349</v>
      </c>
      <c r="B599" s="159" t="s">
        <v>2561</v>
      </c>
      <c r="C599" s="161" t="s">
        <v>2586</v>
      </c>
      <c r="D599" s="161" t="s">
        <v>3</v>
      </c>
      <c r="E599" s="59">
        <v>3.1021127591666664</v>
      </c>
      <c r="F599" s="59">
        <v>3.0009999999999999</v>
      </c>
      <c r="G599" s="60">
        <v>0</v>
      </c>
      <c r="H599" s="61"/>
    </row>
    <row r="600" spans="1:8" ht="17.25" x14ac:dyDescent="0.3">
      <c r="A600" s="159">
        <v>14124350</v>
      </c>
      <c r="B600" s="159" t="s">
        <v>2566</v>
      </c>
      <c r="C600" s="161" t="s">
        <v>2586</v>
      </c>
      <c r="D600" s="161" t="s">
        <v>3</v>
      </c>
      <c r="E600" s="59"/>
      <c r="F600" s="59" t="e">
        <v>#N/A</v>
      </c>
      <c r="G600" s="60"/>
      <c r="H600" s="61"/>
    </row>
    <row r="601" spans="1:8" ht="17.25" x14ac:dyDescent="0.3">
      <c r="A601" s="159">
        <v>14124352</v>
      </c>
      <c r="B601" s="159" t="s">
        <v>2555</v>
      </c>
      <c r="C601" s="161" t="s">
        <v>2586</v>
      </c>
      <c r="D601" s="161" t="s">
        <v>3</v>
      </c>
      <c r="E601" s="59">
        <v>3.6792533000000009</v>
      </c>
      <c r="F601" s="59">
        <v>4.1909999999999998</v>
      </c>
      <c r="G601" s="60">
        <v>355.58</v>
      </c>
      <c r="H601" s="61"/>
    </row>
    <row r="602" spans="1:8" ht="17.25" x14ac:dyDescent="0.3">
      <c r="A602" s="159">
        <v>14124376</v>
      </c>
      <c r="B602" s="159" t="s">
        <v>2559</v>
      </c>
      <c r="C602" s="161" t="s">
        <v>2586</v>
      </c>
      <c r="D602" s="161" t="s">
        <v>3</v>
      </c>
      <c r="E602" s="59"/>
      <c r="F602" s="59" t="e">
        <v>#N/A</v>
      </c>
      <c r="G602" s="60"/>
      <c r="H602" s="61"/>
    </row>
    <row r="603" spans="1:8" ht="17.25" x14ac:dyDescent="0.3">
      <c r="A603" s="159">
        <v>14124384</v>
      </c>
      <c r="B603" s="159" t="s">
        <v>2551</v>
      </c>
      <c r="C603" s="161" t="s">
        <v>2587</v>
      </c>
      <c r="D603" s="161" t="s">
        <v>3</v>
      </c>
      <c r="E603" s="59"/>
      <c r="F603" s="59" t="e">
        <v>#N/A</v>
      </c>
      <c r="G603" s="60"/>
      <c r="H603" s="61"/>
    </row>
    <row r="604" spans="1:8" ht="17.25" x14ac:dyDescent="0.3">
      <c r="A604" s="159">
        <v>14124388</v>
      </c>
      <c r="B604" s="159" t="s">
        <v>2588</v>
      </c>
      <c r="C604" s="161" t="s">
        <v>2589</v>
      </c>
      <c r="D604" s="161" t="s">
        <v>3</v>
      </c>
      <c r="E604" s="59"/>
      <c r="F604" s="59" t="e">
        <v>#N/A</v>
      </c>
      <c r="G604" s="60"/>
      <c r="H604" s="61"/>
    </row>
    <row r="605" spans="1:8" ht="17.25" x14ac:dyDescent="0.3">
      <c r="A605" s="159">
        <v>14124389</v>
      </c>
      <c r="B605" s="159" t="s">
        <v>2570</v>
      </c>
      <c r="C605" s="161" t="s">
        <v>2589</v>
      </c>
      <c r="D605" s="161" t="s">
        <v>3</v>
      </c>
      <c r="E605" s="59"/>
      <c r="F605" s="59" t="e">
        <v>#N/A</v>
      </c>
      <c r="G605" s="60"/>
      <c r="H605" s="61"/>
    </row>
    <row r="606" spans="1:8" ht="17.25" x14ac:dyDescent="0.3">
      <c r="A606" s="159">
        <v>14124394</v>
      </c>
      <c r="B606" s="159" t="s">
        <v>2590</v>
      </c>
      <c r="C606" s="161" t="s">
        <v>2589</v>
      </c>
      <c r="D606" s="161" t="s">
        <v>3</v>
      </c>
      <c r="E606" s="59"/>
      <c r="F606" s="59" t="e">
        <v>#N/A</v>
      </c>
      <c r="G606" s="60"/>
      <c r="H606" s="61"/>
    </row>
    <row r="607" spans="1:8" ht="17.25" x14ac:dyDescent="0.3">
      <c r="A607" s="159">
        <v>14124406</v>
      </c>
      <c r="B607" s="159" t="s">
        <v>2591</v>
      </c>
      <c r="C607" s="161" t="s">
        <v>2592</v>
      </c>
      <c r="D607" s="161" t="s">
        <v>3</v>
      </c>
      <c r="E607" s="59"/>
      <c r="F607" s="59" t="e">
        <v>#N/A</v>
      </c>
      <c r="G607" s="60"/>
      <c r="H607" s="61"/>
    </row>
    <row r="608" spans="1:8" ht="17.25" x14ac:dyDescent="0.3">
      <c r="A608" s="159">
        <v>14124408</v>
      </c>
      <c r="B608" s="159" t="s">
        <v>2593</v>
      </c>
      <c r="C608" s="161" t="s">
        <v>2594</v>
      </c>
      <c r="D608" s="161" t="s">
        <v>3</v>
      </c>
      <c r="E608" s="59"/>
      <c r="F608" s="59" t="e">
        <v>#N/A</v>
      </c>
      <c r="G608" s="60"/>
      <c r="H608" s="61"/>
    </row>
    <row r="609" spans="1:8" ht="17.25" x14ac:dyDescent="0.3">
      <c r="A609" s="159">
        <v>14124409</v>
      </c>
      <c r="B609" s="159" t="s">
        <v>2595</v>
      </c>
      <c r="C609" s="161" t="s">
        <v>2594</v>
      </c>
      <c r="D609" s="161" t="s">
        <v>3</v>
      </c>
      <c r="E609" s="59"/>
      <c r="F609" s="59" t="e">
        <v>#N/A</v>
      </c>
      <c r="G609" s="60"/>
      <c r="H609" s="61"/>
    </row>
    <row r="610" spans="1:8" ht="17.25" x14ac:dyDescent="0.3">
      <c r="A610" s="159">
        <v>14124410</v>
      </c>
      <c r="B610" s="159" t="s">
        <v>2596</v>
      </c>
      <c r="C610" s="161" t="s">
        <v>2594</v>
      </c>
      <c r="D610" s="161" t="s">
        <v>3</v>
      </c>
      <c r="E610" s="59"/>
      <c r="F610" s="59" t="e">
        <v>#N/A</v>
      </c>
      <c r="G610" s="60"/>
      <c r="H610" s="61"/>
    </row>
    <row r="611" spans="1:8" ht="17.25" x14ac:dyDescent="0.3">
      <c r="A611" s="159">
        <v>14124411</v>
      </c>
      <c r="B611" s="159" t="s">
        <v>2597</v>
      </c>
      <c r="C611" s="161" t="s">
        <v>2594</v>
      </c>
      <c r="D611" s="161" t="s">
        <v>3</v>
      </c>
      <c r="E611" s="59"/>
      <c r="F611" s="59" t="e">
        <v>#N/A</v>
      </c>
      <c r="G611" s="60"/>
      <c r="H611" s="61"/>
    </row>
    <row r="612" spans="1:8" ht="17.25" x14ac:dyDescent="0.3">
      <c r="A612" s="159">
        <v>14124412</v>
      </c>
      <c r="B612" s="159" t="s">
        <v>2598</v>
      </c>
      <c r="C612" s="161" t="s">
        <v>2594</v>
      </c>
      <c r="D612" s="161" t="s">
        <v>3</v>
      </c>
      <c r="E612" s="59"/>
      <c r="F612" s="59" t="e">
        <v>#N/A</v>
      </c>
      <c r="G612" s="60"/>
      <c r="H612" s="61"/>
    </row>
    <row r="613" spans="1:8" ht="17.25" x14ac:dyDescent="0.3">
      <c r="A613" s="159">
        <v>14124413</v>
      </c>
      <c r="B613" s="159" t="s">
        <v>2599</v>
      </c>
      <c r="C613" s="161" t="s">
        <v>2594</v>
      </c>
      <c r="D613" s="161" t="s">
        <v>3</v>
      </c>
      <c r="E613" s="59"/>
      <c r="F613" s="59" t="e">
        <v>#N/A</v>
      </c>
      <c r="G613" s="60"/>
      <c r="H613" s="61"/>
    </row>
    <row r="614" spans="1:8" ht="17.25" x14ac:dyDescent="0.3">
      <c r="A614" s="51">
        <v>14101142</v>
      </c>
      <c r="B614" s="51" t="s">
        <v>911</v>
      </c>
      <c r="C614" s="41" t="s">
        <v>912</v>
      </c>
      <c r="D614" s="41" t="s">
        <v>970</v>
      </c>
      <c r="E614" s="59">
        <v>9.2132755484848463</v>
      </c>
      <c r="F614" s="59">
        <v>9.2469999999999999</v>
      </c>
      <c r="G614" s="60">
        <v>355.58</v>
      </c>
      <c r="H614" s="61"/>
    </row>
    <row r="615" spans="1:8" ht="17.25" x14ac:dyDescent="0.3">
      <c r="A615" s="51">
        <v>14101145</v>
      </c>
      <c r="B615" s="51" t="s">
        <v>913</v>
      </c>
      <c r="C615" s="111" t="s">
        <v>914</v>
      </c>
      <c r="D615" s="41" t="s">
        <v>970</v>
      </c>
      <c r="E615" s="59"/>
      <c r="F615" s="59" t="e">
        <v>#N/A</v>
      </c>
      <c r="G615" s="60"/>
      <c r="H615" s="61"/>
    </row>
    <row r="616" spans="1:8" ht="17.25" x14ac:dyDescent="0.3">
      <c r="A616" s="51">
        <v>14103700</v>
      </c>
      <c r="B616" s="51" t="s">
        <v>915</v>
      </c>
      <c r="C616" s="111" t="s">
        <v>916</v>
      </c>
      <c r="D616" s="111" t="s">
        <v>970</v>
      </c>
      <c r="E616" s="59">
        <v>4.42</v>
      </c>
      <c r="F616" s="59">
        <v>4.516</v>
      </c>
      <c r="G616" s="60">
        <v>355.58</v>
      </c>
      <c r="H616" s="61"/>
    </row>
    <row r="617" spans="1:8" ht="17.25" x14ac:dyDescent="0.3">
      <c r="A617" s="51">
        <v>14109275</v>
      </c>
      <c r="B617" s="51" t="s">
        <v>917</v>
      </c>
      <c r="C617" s="41" t="s">
        <v>918</v>
      </c>
      <c r="D617" s="41" t="s">
        <v>970</v>
      </c>
      <c r="E617" s="59">
        <v>3.6161367000000006</v>
      </c>
      <c r="F617" s="59">
        <v>3.5860000000000003</v>
      </c>
      <c r="G617" s="60">
        <v>355.58</v>
      </c>
      <c r="H617" s="61"/>
    </row>
    <row r="618" spans="1:8" ht="17.25" x14ac:dyDescent="0.3">
      <c r="A618" s="51">
        <v>14109276</v>
      </c>
      <c r="B618" s="51" t="s">
        <v>919</v>
      </c>
      <c r="C618" s="111" t="s">
        <v>920</v>
      </c>
      <c r="D618" s="41" t="s">
        <v>970</v>
      </c>
      <c r="E618" s="59">
        <v>3.5942285166666665</v>
      </c>
      <c r="F618" s="59">
        <v>4.0335000000000001</v>
      </c>
      <c r="G618" s="60">
        <v>355.58</v>
      </c>
      <c r="H618" s="61"/>
    </row>
    <row r="619" spans="1:8" ht="17.25" x14ac:dyDescent="0.3">
      <c r="A619" s="51"/>
      <c r="B619" s="51"/>
      <c r="C619" s="111"/>
      <c r="D619" s="111"/>
      <c r="E619" s="59"/>
      <c r="F619" s="59"/>
      <c r="G619" s="60"/>
      <c r="H619" s="61"/>
    </row>
    <row r="620" spans="1:8" ht="17.25" x14ac:dyDescent="0.3">
      <c r="A620" s="51"/>
      <c r="B620" s="51"/>
      <c r="C620" s="41"/>
      <c r="D620" s="41"/>
      <c r="E620" s="59"/>
      <c r="F620" s="59"/>
      <c r="G620" s="60"/>
      <c r="H620" s="61"/>
    </row>
  </sheetData>
  <conditionalFormatting sqref="A3:A89">
    <cfRule type="duplicateValues" dxfId="58" priority="3"/>
  </conditionalFormatting>
  <conditionalFormatting sqref="A195:A251 A90:A108">
    <cfRule type="duplicateValues" dxfId="57" priority="1"/>
  </conditionalFormatting>
  <conditionalFormatting sqref="A260:A620">
    <cfRule type="duplicateValues" dxfId="56" priority="4"/>
    <cfRule type="duplicateValues" dxfId="55" priority="5"/>
    <cfRule type="duplicateValues" dxfId="54" priority="6"/>
    <cfRule type="duplicateValues" dxfId="53" priority="7"/>
    <cfRule type="duplicateValues" dxfId="52" priority="8"/>
    <cfRule type="duplicateValues" dxfId="51" priority="9"/>
    <cfRule type="duplicateValues" dxfId="50" priority="10"/>
    <cfRule type="duplicateValues" dxfId="49" priority="11"/>
    <cfRule type="duplicateValues" dxfId="48" priority="12"/>
    <cfRule type="duplicateValues" dxfId="47" priority="13"/>
    <cfRule type="duplicateValues" dxfId="46" priority="14"/>
    <cfRule type="duplicateValues" dxfId="45" priority="15"/>
    <cfRule type="duplicateValues" dxfId="44" priority="16"/>
  </conditionalFormatting>
  <conditionalFormatting sqref="A109:B186">
    <cfRule type="duplicateValues" dxfId="43" priority="2"/>
  </conditionalFormatting>
  <dataValidations count="2">
    <dataValidation type="decimal" allowBlank="1" showErrorMessage="1" sqref="A469" xr:uid="{1013D86C-969B-4637-97EF-2635C6DE4075}">
      <formula1>14000000</formula1>
      <formula2>15000000</formula2>
    </dataValidation>
    <dataValidation type="whole" showInputMessage="1" showErrorMessage="1" sqref="A463:A466 A153" xr:uid="{E3DBDBBB-EC7B-43AE-87EF-08928B418318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65F0-4954-491F-A0A2-4C2AC6A0E4CD}">
  <dimension ref="A1:XFC63"/>
  <sheetViews>
    <sheetView topLeftCell="B2" zoomScale="80" zoomScaleNormal="80" workbookViewId="0">
      <selection activeCell="B2" sqref="B2:G2"/>
    </sheetView>
  </sheetViews>
  <sheetFormatPr baseColWidth="10" defaultColWidth="0" defaultRowHeight="12.75" zeroHeight="1" x14ac:dyDescent="0.2"/>
  <cols>
    <col min="1" max="1" width="4.42578125" hidden="1" customWidth="1"/>
    <col min="2" max="2" width="27" style="80" bestFit="1" customWidth="1"/>
    <col min="3" max="3" width="18.42578125" style="80" bestFit="1" customWidth="1"/>
    <col min="4" max="4" width="2.42578125" style="80" hidden="1" customWidth="1"/>
    <col min="5" max="5" width="23" style="80" bestFit="1" customWidth="1"/>
    <col min="6" max="6" width="19.7109375" style="80" customWidth="1"/>
    <col min="7" max="7" width="15.7109375" style="80" bestFit="1" customWidth="1"/>
    <col min="8" max="8" width="3.7109375" hidden="1" customWidth="1"/>
    <col min="9" max="9" width="4" hidden="1" customWidth="1"/>
    <col min="11" max="11" width="4" hidden="1"/>
    <col min="13" max="13" width="4" hidden="1"/>
    <col min="15" max="15" width="4" hidden="1"/>
    <col min="17" max="17" width="4" hidden="1"/>
    <col min="19" max="16381" width="9.5703125" hidden="1"/>
    <col min="16382" max="16382" width="8.7109375" hidden="1" customWidth="1"/>
    <col min="16383" max="16383" width="7.85546875" hidden="1" customWidth="1"/>
    <col min="16384" max="16384" width="12.85546875" hidden="1" customWidth="1"/>
  </cols>
  <sheetData>
    <row r="1" spans="1:9" s="1" customFormat="1" ht="15.75" hidden="1" x14ac:dyDescent="0.25">
      <c r="B1" s="172" t="s">
        <v>5</v>
      </c>
      <c r="C1" s="173"/>
      <c r="D1" s="173"/>
      <c r="E1" s="173"/>
      <c r="F1" s="173"/>
      <c r="G1" s="174"/>
      <c r="I1" s="3"/>
    </row>
    <row r="2" spans="1:9" s="1" customFormat="1" ht="44.25" customHeight="1" thickBot="1" x14ac:dyDescent="0.25">
      <c r="A2" s="6"/>
      <c r="B2" s="192">
        <v>14107293</v>
      </c>
      <c r="C2" s="193"/>
      <c r="D2" s="193"/>
      <c r="E2" s="193"/>
      <c r="F2" s="193"/>
      <c r="G2" s="194"/>
      <c r="I2" s="3"/>
    </row>
    <row r="3" spans="1:9" s="1" customFormat="1" ht="18.75" customHeight="1" thickBot="1" x14ac:dyDescent="0.25">
      <c r="A3" s="6"/>
      <c r="B3" s="73" t="s">
        <v>0</v>
      </c>
      <c r="C3" s="175" t="str">
        <f>IFERROR(VLOOKUP(CONSULTA!$B$2,BONOS!$A$6:$BM$650,$H3,FALSE),"")</f>
        <v>MAGAÑA CONTRERAS JOSE LUIS</v>
      </c>
      <c r="D3" s="176"/>
      <c r="E3" s="176"/>
      <c r="F3" s="176"/>
      <c r="G3" s="177"/>
      <c r="H3" s="63">
        <f>IFERROR(MATCH("NOMBRE ",BONOS!$A$6:$BM$6,0),"")</f>
        <v>2</v>
      </c>
      <c r="I3" s="5"/>
    </row>
    <row r="4" spans="1:9" s="1" customFormat="1" ht="18.75" customHeight="1" x14ac:dyDescent="0.2">
      <c r="A4" s="95"/>
      <c r="B4" s="92" t="s">
        <v>2</v>
      </c>
      <c r="C4" s="74" t="str">
        <f>IFERROR(VLOOKUP(CONSULTA!$B$2,BONOS!$A$6:$BM$650,$D4,FALSE),"")</f>
        <v>SIN SINIESTRO</v>
      </c>
      <c r="D4" s="75">
        <f>IFERROR(MATCH("SINIESTROS",BONOS!$A$6:$BM$6,0),"")</f>
        <v>5</v>
      </c>
      <c r="E4" s="178" t="s">
        <v>926</v>
      </c>
      <c r="F4" s="179"/>
      <c r="G4" s="74" t="str">
        <f>IFERROR(VLOOKUP(CONSULTA!$B$2,BONOS!$A$6:$BM$650,$H4,FALSE),"")</f>
        <v>NO</v>
      </c>
      <c r="H4" s="69">
        <f>IFERROR(MATCH("BONO SCORE",BONOS!$A$6:$BM$6,0),"")</f>
        <v>8</v>
      </c>
      <c r="I4" s="8"/>
    </row>
    <row r="5" spans="1:9" s="1" customFormat="1" ht="18.75" customHeight="1" x14ac:dyDescent="0.2">
      <c r="A5" s="96"/>
      <c r="B5" s="93" t="s">
        <v>558</v>
      </c>
      <c r="C5" s="68" t="str">
        <f>IFERROR(VLOOKUP(CONSULTA!$B$2,BONOS!$A$6:$BM$650,$D5,FALSE),"")</f>
        <v>SIN QUEJA</v>
      </c>
      <c r="D5" s="64">
        <f>IFERROR(MATCH("QUEJAS",BONOS!$A$6:$BM$6,0),"")</f>
        <v>6</v>
      </c>
      <c r="E5" s="180" t="s">
        <v>559</v>
      </c>
      <c r="F5" s="181"/>
      <c r="G5" s="104" t="str">
        <f>IFERROR(VLOOKUP(CONSULTA!$B$2,BONOS!$A$6:$BM$650,$H5,FALSE),"")</f>
        <v>OK</v>
      </c>
      <c r="H5" s="69">
        <f>IFERROR(MATCH("PUNTUALIDAD",BONOS!$A$6:$BM$6,0),"")</f>
        <v>9</v>
      </c>
      <c r="I5" s="4"/>
    </row>
    <row r="6" spans="1:9" s="1" customFormat="1" ht="18.75" customHeight="1" thickBot="1" x14ac:dyDescent="0.25">
      <c r="A6" s="97"/>
      <c r="B6" s="94" t="s">
        <v>572</v>
      </c>
      <c r="C6" s="102" t="str">
        <f>IFERROR(VLOOKUP(CONSULTA!$B$2,BONOS!$A$6:$BM$650,$D6,FALSE),"")</f>
        <v/>
      </c>
      <c r="D6" s="89">
        <f>IFERROR(MATCH("SCORE OBTENIDO",BONOS!$A$6:$BM$6,0),"")</f>
        <v>7</v>
      </c>
      <c r="E6" s="182" t="s">
        <v>574</v>
      </c>
      <c r="F6" s="183"/>
      <c r="G6" s="76" t="str">
        <f>IFERROR(VLOOKUP(CONSULTA!$B$2,BONOS!$A$6:$BM$650,$H6,FALSE),"")</f>
        <v>NO LOGUEO</v>
      </c>
      <c r="H6" s="69">
        <f>IFERROR(MATCH("BONO LOGUEO",BONOS!$A$6:$BM$6,0),"")</f>
        <v>10</v>
      </c>
    </row>
    <row r="7" spans="1:9" s="1" customFormat="1" ht="18.75" customHeight="1" thickBot="1" x14ac:dyDescent="0.25">
      <c r="B7" s="79"/>
      <c r="C7" s="90"/>
      <c r="D7" s="91"/>
      <c r="E7" s="195"/>
      <c r="F7" s="195"/>
      <c r="G7" s="83"/>
      <c r="H7" s="84"/>
    </row>
    <row r="8" spans="1:9" s="1" customFormat="1" ht="18.75" customHeight="1" x14ac:dyDescent="0.2">
      <c r="B8" s="92" t="s">
        <v>932</v>
      </c>
      <c r="C8" s="77">
        <f>IFERROR(VLOOKUP(CONSULTA!$B$2,RENDIMIENTO!$A$2:$BM$650,$D8,FALSE),"")</f>
        <v>0</v>
      </c>
      <c r="D8" s="65">
        <f>IFERROR(MATCH("META",RENDIMIENTO!$A$2:$BM$2,0),"")</f>
        <v>5</v>
      </c>
      <c r="E8" s="178" t="s">
        <v>928</v>
      </c>
      <c r="F8" s="197"/>
      <c r="G8" s="86">
        <f>IFERROR(VLOOKUP(CONSULTA!$B$2,BONOS!$A$6:$BM$650,$H8,FALSE),"")</f>
        <v>0</v>
      </c>
      <c r="H8" s="84">
        <f>IFERROR(MATCH("BONO SINIESTROS",BONOS!$A$6:$BM$6,0),"")</f>
        <v>11</v>
      </c>
      <c r="I8" s="7"/>
    </row>
    <row r="9" spans="1:9" s="1" customFormat="1" ht="18.75" customHeight="1" thickBot="1" x14ac:dyDescent="0.25">
      <c r="B9" s="94" t="s">
        <v>922</v>
      </c>
      <c r="C9" s="78" t="str">
        <f>IFERROR(VLOOKUP(CONSULTA!$B$2,RENDIMIENTO!$A$2:$BM$650,$D9,FALSE),"")</f>
        <v/>
      </c>
      <c r="D9" s="64">
        <f>IFERROR(MATCH("REDIMIENTO OBTENIDO ",RENDIMIENTO!$A$2:$BM$2,0),"")</f>
        <v>6</v>
      </c>
      <c r="E9" s="198" t="s">
        <v>927</v>
      </c>
      <c r="F9" s="199"/>
      <c r="G9" s="87">
        <f>IFERROR(VLOOKUP(CONSULTA!$B$2,BONOS!$A$6:$BM$650,$H9,FALSE),"")</f>
        <v>0</v>
      </c>
      <c r="H9" s="84">
        <f>IFERROR(MATCH("BONO QUEJAS",BONOS!$A$6:$BM$6,0),"")</f>
        <v>12</v>
      </c>
    </row>
    <row r="10" spans="1:9" s="1" customFormat="1" ht="18.75" customHeight="1" x14ac:dyDescent="0.2">
      <c r="B10" s="184" t="s">
        <v>2537</v>
      </c>
      <c r="C10" s="184"/>
      <c r="D10" s="64"/>
      <c r="E10" s="180" t="s">
        <v>573</v>
      </c>
      <c r="F10" s="196"/>
      <c r="G10" s="103">
        <f>IFERROR(VLOOKUP(CONSULTA!$B$2,BONOS!$A$6:$BM$650,$H10,FALSE),"")</f>
        <v>0</v>
      </c>
      <c r="H10" s="84">
        <f>IFERROR(MATCH("BONO SCORE1",BONOS!$A$6:$BM$6,0),"")</f>
        <v>14</v>
      </c>
    </row>
    <row r="11" spans="1:9" s="1" customFormat="1" ht="18.75" customHeight="1" x14ac:dyDescent="0.2">
      <c r="B11" s="185"/>
      <c r="C11" s="185"/>
      <c r="D11" s="65"/>
      <c r="E11" s="190" t="s">
        <v>574</v>
      </c>
      <c r="F11" s="191"/>
      <c r="G11" s="103">
        <f>IFERROR(VLOOKUP(CONSULTA!$B$2,BONOS!$A$6:$BM$650,$H11,FALSE),"")</f>
        <v>0</v>
      </c>
      <c r="H11" s="85">
        <f>IFERROR(MATCH("BONO LOGUEO1",BONOS!$A$6:$BM$6,0),"")</f>
        <v>15</v>
      </c>
    </row>
    <row r="12" spans="1:9" s="1" customFormat="1" ht="18.75" customHeight="1" thickBot="1" x14ac:dyDescent="0.25">
      <c r="B12" s="185"/>
      <c r="C12" s="185"/>
      <c r="D12" s="64"/>
      <c r="E12" s="170" t="s">
        <v>933</v>
      </c>
      <c r="F12" s="171"/>
      <c r="G12" s="88">
        <f>IFERROR(VLOOKUP(CONSULTA!$B$2,RENDIMIENTO!$A$2:$BM$650,$H12,FALSE),"")</f>
        <v>0</v>
      </c>
      <c r="H12" s="66">
        <f>IFERROR(MATCH("TOTAL A PAGAR ",RENDIMIENTO!$A$2:$BM$2,0),"")</f>
        <v>7</v>
      </c>
    </row>
    <row r="13" spans="1:9" s="1" customFormat="1" ht="18.75" customHeight="1" thickBot="1" x14ac:dyDescent="0.25">
      <c r="B13" s="185"/>
      <c r="C13" s="185"/>
      <c r="D13" s="67"/>
      <c r="E13" s="98"/>
      <c r="F13" s="98"/>
      <c r="G13" s="83"/>
      <c r="H13" s="66"/>
    </row>
    <row r="14" spans="1:9" s="1" customFormat="1" ht="18.75" customHeight="1" thickBot="1" x14ac:dyDescent="0.25">
      <c r="B14" s="185"/>
      <c r="C14" s="185"/>
      <c r="D14" s="99"/>
      <c r="E14" s="186" t="s">
        <v>931</v>
      </c>
      <c r="F14" s="187"/>
      <c r="G14" s="100">
        <f>IFERROR(VLOOKUP(CONSULTA!$B$2,BONOS!$A$6:$BM$650,$H14,FALSE),"")</f>
        <v>0</v>
      </c>
      <c r="H14" s="82">
        <f>IFERROR(MATCH("TOTAL B.DESEMPEÑO ",BONOS!$A$6:$BM$6,0),"")</f>
        <v>19</v>
      </c>
    </row>
    <row r="15" spans="1:9" s="1" customFormat="1" ht="18.75" customHeight="1" thickBot="1" x14ac:dyDescent="0.25">
      <c r="B15" s="185"/>
      <c r="C15" s="185"/>
      <c r="D15" s="99"/>
      <c r="E15" s="188" t="s">
        <v>934</v>
      </c>
      <c r="F15" s="189"/>
      <c r="G15" s="101">
        <f>G12</f>
        <v>0</v>
      </c>
      <c r="H15" s="71"/>
    </row>
    <row r="16" spans="1:9" s="1" customFormat="1" ht="15" customHeight="1" x14ac:dyDescent="0.25">
      <c r="B16" s="80"/>
      <c r="C16" s="80"/>
      <c r="D16" s="70"/>
      <c r="E16" s="79"/>
      <c r="F16" s="79"/>
      <c r="G16" s="79"/>
      <c r="H16" s="72"/>
    </row>
    <row r="17" spans="1:8" s="1" customFormat="1" ht="15" customHeight="1" x14ac:dyDescent="0.2">
      <c r="B17" s="169" t="s">
        <v>4</v>
      </c>
      <c r="C17" s="169"/>
      <c r="D17" s="169"/>
      <c r="E17" s="169"/>
      <c r="F17" s="169"/>
      <c r="G17" s="169"/>
      <c r="H17" s="2"/>
    </row>
    <row r="18" spans="1:8" s="1" customFormat="1" ht="17.25" customHeight="1" x14ac:dyDescent="0.2">
      <c r="B18" s="169"/>
      <c r="C18" s="169"/>
      <c r="D18" s="169"/>
      <c r="E18" s="169"/>
      <c r="F18" s="169"/>
      <c r="G18" s="169"/>
    </row>
    <row r="19" spans="1:8" hidden="1" x14ac:dyDescent="0.2">
      <c r="H19" s="1"/>
    </row>
    <row r="20" spans="1:8" hidden="1" x14ac:dyDescent="0.2">
      <c r="H20" s="1"/>
    </row>
    <row r="21" spans="1:8" hidden="1" x14ac:dyDescent="0.2">
      <c r="C21" s="81"/>
      <c r="H21" s="1"/>
    </row>
    <row r="22" spans="1:8" hidden="1" x14ac:dyDescent="0.2">
      <c r="C22" s="81"/>
      <c r="H22" s="1"/>
    </row>
    <row r="23" spans="1:8" hidden="1" x14ac:dyDescent="0.2">
      <c r="H23" s="1"/>
    </row>
    <row r="24" spans="1:8" hidden="1" x14ac:dyDescent="0.2">
      <c r="H24" s="1"/>
    </row>
    <row r="26" spans="1:8" s="1" customFormat="1" hidden="1" x14ac:dyDescent="0.2">
      <c r="A26"/>
      <c r="B26" s="80"/>
      <c r="C26" s="80"/>
      <c r="D26" s="80"/>
      <c r="E26" s="80"/>
      <c r="F26" s="80"/>
      <c r="G26" s="80"/>
    </row>
    <row r="49" ht="3.75" customHeight="1" x14ac:dyDescent="0.2"/>
    <row r="63" ht="2.25" customHeight="1" x14ac:dyDescent="0.2"/>
  </sheetData>
  <mergeCells count="16">
    <mergeCell ref="B17:G18"/>
    <mergeCell ref="E12:F12"/>
    <mergeCell ref="B1:G1"/>
    <mergeCell ref="C3:G3"/>
    <mergeCell ref="E4:F4"/>
    <mergeCell ref="E5:F5"/>
    <mergeCell ref="E6:F6"/>
    <mergeCell ref="B10:C15"/>
    <mergeCell ref="E14:F14"/>
    <mergeCell ref="E15:F15"/>
    <mergeCell ref="E11:F11"/>
    <mergeCell ref="B2:G2"/>
    <mergeCell ref="E7:F7"/>
    <mergeCell ref="E10:F10"/>
    <mergeCell ref="E8:F8"/>
    <mergeCell ref="E9:F9"/>
  </mergeCells>
  <conditionalFormatting sqref="C6">
    <cfRule type="cellIs" dxfId="42" priority="1" operator="between">
      <formula>0</formula>
      <formula>89</formula>
    </cfRule>
  </conditionalFormatting>
  <conditionalFormatting sqref="G4:G5">
    <cfRule type="cellIs" dxfId="41" priority="2" operator="equal">
      <formula>"NO"</formula>
    </cfRule>
  </conditionalFormatting>
  <conditionalFormatting sqref="G6">
    <cfRule type="cellIs" dxfId="40" priority="3" operator="equal">
      <formula>"NO LOGUEO"</formula>
    </cfRule>
  </conditionalFormatting>
  <conditionalFormatting sqref="G15">
    <cfRule type="cellIs" dxfId="39" priority="45" operator="lessThan">
      <formula>#REF!</formula>
    </cfRule>
    <cfRule type="cellIs" dxfId="38" priority="46" operator="greaterThan">
      <formula>#REF!</formula>
    </cfRule>
    <cfRule type="cellIs" dxfId="37" priority="47" operator="equal">
      <formula>#REF!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C051-498C-47E0-92C3-DCA92BDEDC43}">
  <dimension ref="A1:X642"/>
  <sheetViews>
    <sheetView zoomScale="70" zoomScaleNormal="70" workbookViewId="0">
      <selection activeCell="B16" sqref="B16"/>
    </sheetView>
  </sheetViews>
  <sheetFormatPr baseColWidth="10" defaultColWidth="11.42578125" defaultRowHeight="18.75" x14ac:dyDescent="0.3"/>
  <cols>
    <col min="1" max="1" width="24.85546875" style="52" customWidth="1"/>
    <col min="2" max="2" width="55.7109375" style="52" bestFit="1" customWidth="1"/>
    <col min="3" max="3" width="22.42578125" style="53" customWidth="1"/>
    <col min="4" max="4" width="13.7109375" style="53" customWidth="1"/>
    <col min="5" max="5" width="34.5703125" style="54" customWidth="1"/>
    <col min="6" max="7" width="16.140625" style="54" customWidth="1"/>
    <col min="8" max="8" width="20.28515625" style="54" customWidth="1"/>
    <col min="9" max="9" width="20.5703125" style="54" customWidth="1"/>
    <col min="10" max="10" width="25.7109375" style="54" bestFit="1" customWidth="1"/>
    <col min="11" max="11" width="24.5703125" style="18" bestFit="1" customWidth="1"/>
    <col min="12" max="12" width="20.7109375" style="18" bestFit="1" customWidth="1"/>
    <col min="13" max="13" width="27.140625" style="18" bestFit="1" customWidth="1"/>
    <col min="14" max="14" width="19.42578125" style="18" bestFit="1" customWidth="1"/>
    <col min="15" max="15" width="21.28515625" style="55" bestFit="1" customWidth="1"/>
    <col min="16" max="16" width="29.42578125" style="1" hidden="1" customWidth="1"/>
    <col min="17" max="17" width="23.5703125" style="134" hidden="1" customWidth="1"/>
    <col min="18" max="18" width="36.5703125" style="1" hidden="1" customWidth="1"/>
    <col min="19" max="19" width="27.5703125" style="18" bestFit="1" customWidth="1"/>
    <col min="20" max="20" width="27.5703125" style="18" customWidth="1"/>
    <col min="21" max="21" width="43.42578125" style="56" bestFit="1" customWidth="1"/>
    <col min="22" max="22" width="32.140625" style="19" bestFit="1" customWidth="1"/>
    <col min="23" max="16384" width="11.42578125" style="19"/>
  </cols>
  <sheetData>
    <row r="1" spans="1:24" ht="39" customHeight="1" x14ac:dyDescent="0.2">
      <c r="A1" s="9"/>
      <c r="B1" s="10"/>
      <c r="C1" s="11"/>
      <c r="D1" s="12"/>
      <c r="E1" s="13"/>
      <c r="F1" s="200" t="s">
        <v>557</v>
      </c>
      <c r="G1" s="200"/>
      <c r="H1" s="200"/>
      <c r="I1" s="201"/>
      <c r="J1" s="14"/>
      <c r="K1" s="15" t="s">
        <v>2</v>
      </c>
      <c r="L1" s="16" t="s">
        <v>558</v>
      </c>
      <c r="M1" s="16" t="s">
        <v>559</v>
      </c>
      <c r="N1" s="17" t="s">
        <v>560</v>
      </c>
      <c r="O1" s="17" t="s">
        <v>561</v>
      </c>
      <c r="P1"/>
      <c r="Q1" s="125"/>
      <c r="R1"/>
    </row>
    <row r="2" spans="1:24" ht="45.75" customHeight="1" thickBot="1" x14ac:dyDescent="0.25">
      <c r="A2" s="202" t="s">
        <v>2537</v>
      </c>
      <c r="B2" s="202"/>
      <c r="C2" s="20"/>
      <c r="D2" s="21"/>
      <c r="E2" s="13"/>
      <c r="F2" s="14" t="s">
        <v>562</v>
      </c>
      <c r="G2" s="14"/>
      <c r="H2" s="14"/>
      <c r="I2" s="14"/>
      <c r="J2" s="14"/>
      <c r="K2" s="22">
        <v>134.18</v>
      </c>
      <c r="L2" s="23">
        <v>134.18</v>
      </c>
      <c r="M2" s="23"/>
      <c r="N2" s="24">
        <v>200</v>
      </c>
      <c r="O2" s="24">
        <v>177.44</v>
      </c>
      <c r="P2"/>
      <c r="Q2" s="125"/>
      <c r="R2"/>
    </row>
    <row r="3" spans="1:24" x14ac:dyDescent="0.3">
      <c r="A3" s="9"/>
      <c r="B3" s="9"/>
      <c r="C3" s="11"/>
      <c r="D3" s="11"/>
      <c r="E3" s="14"/>
      <c r="F3" s="14"/>
      <c r="G3" s="14"/>
      <c r="H3" s="14"/>
      <c r="I3" s="14"/>
      <c r="J3" s="14"/>
      <c r="K3" s="25"/>
      <c r="L3" s="25"/>
      <c r="M3" s="25"/>
      <c r="N3" s="26"/>
      <c r="O3" s="27"/>
      <c r="P3"/>
      <c r="Q3" s="125"/>
      <c r="R3"/>
      <c r="S3" s="19"/>
      <c r="T3" s="19"/>
    </row>
    <row r="4" spans="1:24" x14ac:dyDescent="0.3">
      <c r="A4" s="9"/>
      <c r="B4" s="9"/>
      <c r="C4" s="11"/>
      <c r="D4" s="11"/>
      <c r="E4" s="14"/>
      <c r="F4" s="14"/>
      <c r="G4" s="14"/>
      <c r="H4" s="14"/>
      <c r="I4" s="14"/>
      <c r="J4" s="14"/>
      <c r="K4" s="28">
        <v>70712.859999999855</v>
      </c>
      <c r="L4" s="28">
        <v>70310.319999999876</v>
      </c>
      <c r="M4" s="28">
        <v>0</v>
      </c>
      <c r="N4" s="28">
        <v>46000</v>
      </c>
      <c r="O4" s="28">
        <v>44714.880000000048</v>
      </c>
      <c r="P4" s="28">
        <v>0</v>
      </c>
      <c r="Q4" s="28">
        <v>0</v>
      </c>
      <c r="R4" s="28">
        <v>0</v>
      </c>
      <c r="S4" s="28">
        <v>231738.05999999738</v>
      </c>
      <c r="T4" s="28"/>
    </row>
    <row r="5" spans="1:24" x14ac:dyDescent="0.3">
      <c r="A5" s="9"/>
      <c r="B5" s="9"/>
      <c r="C5" s="11"/>
      <c r="D5" s="11"/>
      <c r="E5" s="14" t="s">
        <v>563</v>
      </c>
      <c r="F5" s="14" t="s">
        <v>563</v>
      </c>
      <c r="G5" s="14" t="s">
        <v>1</v>
      </c>
      <c r="H5" s="14" t="s">
        <v>564</v>
      </c>
      <c r="I5" s="14" t="s">
        <v>564</v>
      </c>
      <c r="J5" s="14" t="s">
        <v>565</v>
      </c>
      <c r="K5" s="203" t="s">
        <v>566</v>
      </c>
      <c r="L5" s="203"/>
      <c r="M5" s="203"/>
      <c r="N5" s="203"/>
      <c r="O5" s="29"/>
      <c r="P5"/>
      <c r="Q5" s="125"/>
      <c r="R5"/>
      <c r="S5" s="30" t="s">
        <v>567</v>
      </c>
      <c r="T5" s="30"/>
    </row>
    <row r="6" spans="1:24" s="38" customFormat="1" ht="38.25" customHeight="1" x14ac:dyDescent="0.2">
      <c r="A6" s="31" t="s">
        <v>568</v>
      </c>
      <c r="B6" s="31" t="s">
        <v>569</v>
      </c>
      <c r="C6" s="31" t="s">
        <v>570</v>
      </c>
      <c r="D6" s="31" t="s">
        <v>571</v>
      </c>
      <c r="E6" s="31" t="s">
        <v>2</v>
      </c>
      <c r="F6" s="32" t="s">
        <v>558</v>
      </c>
      <c r="G6" s="32" t="s">
        <v>572</v>
      </c>
      <c r="H6" s="32" t="s">
        <v>573</v>
      </c>
      <c r="I6" s="32" t="s">
        <v>559</v>
      </c>
      <c r="J6" s="32" t="s">
        <v>574</v>
      </c>
      <c r="K6" s="33" t="s">
        <v>575</v>
      </c>
      <c r="L6" s="33" t="s">
        <v>576</v>
      </c>
      <c r="M6" s="33" t="s">
        <v>951</v>
      </c>
      <c r="N6" s="33" t="s">
        <v>929</v>
      </c>
      <c r="O6" s="33" t="s">
        <v>930</v>
      </c>
      <c r="P6" s="34" t="s">
        <v>577</v>
      </c>
      <c r="Q6" s="35" t="s">
        <v>578</v>
      </c>
      <c r="R6" s="36" t="s">
        <v>579</v>
      </c>
      <c r="S6" s="33" t="s">
        <v>580</v>
      </c>
      <c r="T6" s="37"/>
      <c r="U6" s="38" t="s">
        <v>952</v>
      </c>
      <c r="V6" s="38" t="s">
        <v>2572</v>
      </c>
    </row>
    <row r="7" spans="1:24" s="127" customFormat="1" ht="21.75" customHeight="1" x14ac:dyDescent="0.3">
      <c r="A7" s="39">
        <v>14100716</v>
      </c>
      <c r="B7" s="40" t="s">
        <v>8</v>
      </c>
      <c r="C7" s="41" t="s">
        <v>584</v>
      </c>
      <c r="D7" s="42" t="s">
        <v>3</v>
      </c>
      <c r="E7" s="43" t="s">
        <v>581</v>
      </c>
      <c r="F7" s="43" t="s">
        <v>582</v>
      </c>
      <c r="G7" s="44" t="s">
        <v>1609</v>
      </c>
      <c r="H7" s="43" t="s">
        <v>585</v>
      </c>
      <c r="I7" s="45" t="s">
        <v>583</v>
      </c>
      <c r="J7" s="45" t="s">
        <v>587</v>
      </c>
      <c r="K7" s="126">
        <v>0</v>
      </c>
      <c r="L7" s="126">
        <v>0</v>
      </c>
      <c r="M7" s="126"/>
      <c r="N7" s="126">
        <v>0</v>
      </c>
      <c r="O7" s="126">
        <v>0</v>
      </c>
      <c r="P7" s="126"/>
      <c r="Q7" s="126"/>
      <c r="R7" s="126"/>
      <c r="S7" s="46">
        <v>0</v>
      </c>
      <c r="T7" s="112"/>
      <c r="U7" s="56" t="s">
        <v>585</v>
      </c>
      <c r="V7" s="105" t="s">
        <v>585</v>
      </c>
    </row>
    <row r="8" spans="1:24" customFormat="1" ht="21.75" customHeight="1" x14ac:dyDescent="0.3">
      <c r="A8" s="39">
        <v>14100718</v>
      </c>
      <c r="B8" s="40" t="s">
        <v>9</v>
      </c>
      <c r="C8" s="41" t="s">
        <v>584</v>
      </c>
      <c r="D8" s="42" t="s">
        <v>3</v>
      </c>
      <c r="E8" s="43" t="s">
        <v>581</v>
      </c>
      <c r="F8" s="43" t="s">
        <v>582</v>
      </c>
      <c r="G8" s="44">
        <v>92</v>
      </c>
      <c r="H8" s="43" t="s">
        <v>583</v>
      </c>
      <c r="I8" s="45" t="s">
        <v>583</v>
      </c>
      <c r="J8" s="45" t="s">
        <v>561</v>
      </c>
      <c r="K8" s="126">
        <v>134.18</v>
      </c>
      <c r="L8" s="126">
        <v>134.18</v>
      </c>
      <c r="M8" s="126"/>
      <c r="N8" s="126">
        <v>200</v>
      </c>
      <c r="O8" s="126">
        <v>177.44</v>
      </c>
      <c r="P8" s="145"/>
      <c r="Q8" s="146"/>
      <c r="R8" s="147"/>
      <c r="S8" s="46">
        <v>645.79999999999995</v>
      </c>
      <c r="T8" s="112"/>
      <c r="U8" s="56" t="s">
        <v>953</v>
      </c>
      <c r="V8" s="105" t="s">
        <v>585</v>
      </c>
    </row>
    <row r="9" spans="1:24" customFormat="1" ht="21.75" customHeight="1" x14ac:dyDescent="0.3">
      <c r="A9" s="39">
        <v>14100721</v>
      </c>
      <c r="B9" s="40" t="s">
        <v>10</v>
      </c>
      <c r="C9" s="41" t="s">
        <v>586</v>
      </c>
      <c r="D9" s="42" t="s">
        <v>3</v>
      </c>
      <c r="E9" s="43" t="s">
        <v>581</v>
      </c>
      <c r="F9" s="43" t="s">
        <v>582</v>
      </c>
      <c r="G9" s="44">
        <v>85</v>
      </c>
      <c r="H9" s="43" t="s">
        <v>585</v>
      </c>
      <c r="I9" s="45" t="s">
        <v>1051</v>
      </c>
      <c r="J9" s="45" t="s">
        <v>561</v>
      </c>
      <c r="K9" s="126">
        <v>134.18</v>
      </c>
      <c r="L9" s="126">
        <v>134.18</v>
      </c>
      <c r="M9" s="126"/>
      <c r="N9" s="126">
        <v>0</v>
      </c>
      <c r="O9" s="126">
        <v>0</v>
      </c>
      <c r="P9" s="145"/>
      <c r="Q9" s="146"/>
      <c r="R9" s="147"/>
      <c r="S9" s="46">
        <v>268.36</v>
      </c>
      <c r="T9" s="112"/>
      <c r="U9" s="56" t="s">
        <v>953</v>
      </c>
      <c r="V9" s="105" t="s">
        <v>585</v>
      </c>
    </row>
    <row r="10" spans="1:24" s="128" customFormat="1" ht="21.75" customHeight="1" x14ac:dyDescent="0.3">
      <c r="A10" s="39">
        <v>14100724</v>
      </c>
      <c r="B10" s="40" t="s">
        <v>11</v>
      </c>
      <c r="C10" s="41" t="s">
        <v>584</v>
      </c>
      <c r="D10" s="42" t="s">
        <v>3</v>
      </c>
      <c r="E10" s="43" t="s">
        <v>581</v>
      </c>
      <c r="F10" s="43" t="s">
        <v>582</v>
      </c>
      <c r="G10" s="44">
        <v>95</v>
      </c>
      <c r="H10" s="43" t="s">
        <v>583</v>
      </c>
      <c r="I10" s="45" t="s">
        <v>1051</v>
      </c>
      <c r="J10" s="45" t="s">
        <v>561</v>
      </c>
      <c r="K10" s="126">
        <v>134.18</v>
      </c>
      <c r="L10" s="126">
        <v>134.18</v>
      </c>
      <c r="M10" s="126"/>
      <c r="N10" s="126">
        <v>0</v>
      </c>
      <c r="O10" s="126">
        <v>0</v>
      </c>
      <c r="P10" s="132"/>
      <c r="Q10" s="133"/>
      <c r="R10" s="147"/>
      <c r="S10" s="46">
        <v>268.36</v>
      </c>
      <c r="T10" s="112"/>
      <c r="U10" s="56" t="s">
        <v>953</v>
      </c>
      <c r="V10" s="105" t="s">
        <v>585</v>
      </c>
    </row>
    <row r="11" spans="1:24" s="128" customFormat="1" ht="21.75" customHeight="1" x14ac:dyDescent="0.3">
      <c r="A11" s="39">
        <v>14100725</v>
      </c>
      <c r="B11" s="40" t="s">
        <v>12</v>
      </c>
      <c r="C11" s="41" t="s">
        <v>584</v>
      </c>
      <c r="D11" s="42" t="s">
        <v>3</v>
      </c>
      <c r="E11" s="43" t="s">
        <v>581</v>
      </c>
      <c r="F11" s="43" t="s">
        <v>582</v>
      </c>
      <c r="G11" s="44" t="s">
        <v>1609</v>
      </c>
      <c r="H11" s="43" t="s">
        <v>585</v>
      </c>
      <c r="I11" s="45" t="s">
        <v>583</v>
      </c>
      <c r="J11" s="45" t="s">
        <v>587</v>
      </c>
      <c r="K11" s="126">
        <v>0</v>
      </c>
      <c r="L11" s="126">
        <v>0</v>
      </c>
      <c r="M11" s="126"/>
      <c r="N11" s="126">
        <v>0</v>
      </c>
      <c r="O11" s="126">
        <v>0</v>
      </c>
      <c r="P11" s="145"/>
      <c r="Q11" s="146"/>
      <c r="R11" s="147"/>
      <c r="S11" s="46">
        <v>0</v>
      </c>
      <c r="T11" s="112"/>
      <c r="U11" s="56" t="s">
        <v>585</v>
      </c>
      <c r="V11" s="105" t="s">
        <v>585</v>
      </c>
      <c r="X11" s="127"/>
    </row>
    <row r="12" spans="1:24" customFormat="1" ht="21.75" customHeight="1" x14ac:dyDescent="0.3">
      <c r="A12" s="39">
        <v>14100726</v>
      </c>
      <c r="B12" s="40" t="s">
        <v>13</v>
      </c>
      <c r="C12" s="41" t="s">
        <v>584</v>
      </c>
      <c r="D12" s="42" t="s">
        <v>3</v>
      </c>
      <c r="E12" s="43" t="s">
        <v>581</v>
      </c>
      <c r="F12" s="43" t="s">
        <v>582</v>
      </c>
      <c r="G12" s="44">
        <v>95</v>
      </c>
      <c r="H12" s="43" t="s">
        <v>583</v>
      </c>
      <c r="I12" s="45" t="s">
        <v>583</v>
      </c>
      <c r="J12" s="45" t="s">
        <v>561</v>
      </c>
      <c r="K12" s="126">
        <v>134.18</v>
      </c>
      <c r="L12" s="126">
        <v>134.18</v>
      </c>
      <c r="M12" s="126"/>
      <c r="N12" s="126">
        <v>200</v>
      </c>
      <c r="O12" s="126">
        <v>177.44</v>
      </c>
      <c r="P12" s="145"/>
      <c r="Q12" s="146"/>
      <c r="R12" s="147"/>
      <c r="S12" s="46">
        <v>645.79999999999995</v>
      </c>
      <c r="T12" s="112"/>
      <c r="U12" s="56" t="s">
        <v>953</v>
      </c>
      <c r="V12" s="105" t="s">
        <v>585</v>
      </c>
    </row>
    <row r="13" spans="1:24" customFormat="1" ht="21.75" customHeight="1" x14ac:dyDescent="0.3">
      <c r="A13" s="39">
        <v>14100727</v>
      </c>
      <c r="B13" s="40" t="s">
        <v>14</v>
      </c>
      <c r="C13" s="41" t="s">
        <v>584</v>
      </c>
      <c r="D13" s="42" t="s">
        <v>3</v>
      </c>
      <c r="E13" s="43" t="s">
        <v>581</v>
      </c>
      <c r="F13" s="43" t="s">
        <v>582</v>
      </c>
      <c r="G13" s="44">
        <v>92</v>
      </c>
      <c r="H13" s="43" t="s">
        <v>583</v>
      </c>
      <c r="I13" s="45" t="s">
        <v>1051</v>
      </c>
      <c r="J13" s="45" t="s">
        <v>561</v>
      </c>
      <c r="K13" s="126">
        <v>134.18</v>
      </c>
      <c r="L13" s="126">
        <v>134.18</v>
      </c>
      <c r="M13" s="126"/>
      <c r="N13" s="126">
        <v>0</v>
      </c>
      <c r="O13" s="126">
        <v>0</v>
      </c>
      <c r="P13" s="145"/>
      <c r="Q13" s="146"/>
      <c r="R13" s="147"/>
      <c r="S13" s="46">
        <v>268.36</v>
      </c>
      <c r="T13" s="112"/>
      <c r="U13" s="56" t="s">
        <v>953</v>
      </c>
      <c r="V13" s="105" t="s">
        <v>585</v>
      </c>
    </row>
    <row r="14" spans="1:24" s="127" customFormat="1" ht="21.75" customHeight="1" x14ac:dyDescent="0.3">
      <c r="A14" s="39">
        <v>14100729</v>
      </c>
      <c r="B14" s="40" t="s">
        <v>15</v>
      </c>
      <c r="C14" s="41" t="s">
        <v>584</v>
      </c>
      <c r="D14" s="42" t="s">
        <v>3</v>
      </c>
      <c r="E14" s="43" t="s">
        <v>581</v>
      </c>
      <c r="F14" s="43" t="s">
        <v>582</v>
      </c>
      <c r="G14" s="44">
        <v>88</v>
      </c>
      <c r="H14" s="43" t="s">
        <v>585</v>
      </c>
      <c r="I14" s="45" t="s">
        <v>1051</v>
      </c>
      <c r="J14" s="45" t="s">
        <v>561</v>
      </c>
      <c r="K14" s="126">
        <v>134.18</v>
      </c>
      <c r="L14" s="126">
        <v>134.18</v>
      </c>
      <c r="M14" s="126"/>
      <c r="N14" s="126">
        <v>0</v>
      </c>
      <c r="O14" s="126">
        <v>0</v>
      </c>
      <c r="P14" s="132"/>
      <c r="Q14" s="133"/>
      <c r="R14" s="147"/>
      <c r="S14" s="46">
        <v>268.36</v>
      </c>
      <c r="T14" s="112"/>
      <c r="U14" s="56" t="s">
        <v>953</v>
      </c>
      <c r="V14" s="105" t="s">
        <v>585</v>
      </c>
    </row>
    <row r="15" spans="1:24" customFormat="1" ht="21.75" customHeight="1" x14ac:dyDescent="0.3">
      <c r="A15" s="39">
        <v>14100731</v>
      </c>
      <c r="B15" s="40" t="s">
        <v>16</v>
      </c>
      <c r="C15" s="41" t="s">
        <v>588</v>
      </c>
      <c r="D15" s="42" t="s">
        <v>3</v>
      </c>
      <c r="E15" s="43" t="s">
        <v>581</v>
      </c>
      <c r="F15" s="43" t="s">
        <v>582</v>
      </c>
      <c r="G15" s="44">
        <v>84</v>
      </c>
      <c r="H15" s="43" t="s">
        <v>585</v>
      </c>
      <c r="I15" s="45" t="s">
        <v>583</v>
      </c>
      <c r="J15" s="45" t="s">
        <v>587</v>
      </c>
      <c r="K15" s="126">
        <v>0</v>
      </c>
      <c r="L15" s="126">
        <v>0</v>
      </c>
      <c r="M15" s="126"/>
      <c r="N15" s="126">
        <v>0</v>
      </c>
      <c r="O15" s="126">
        <v>0</v>
      </c>
      <c r="P15" s="132"/>
      <c r="Q15" s="133"/>
      <c r="R15" s="147"/>
      <c r="S15" s="46">
        <v>0</v>
      </c>
      <c r="T15" s="112"/>
      <c r="U15" s="56" t="s">
        <v>585</v>
      </c>
      <c r="V15" s="105" t="s">
        <v>585</v>
      </c>
      <c r="X15" s="127"/>
    </row>
    <row r="16" spans="1:24" customFormat="1" ht="21.75" customHeight="1" x14ac:dyDescent="0.3">
      <c r="A16" s="39">
        <v>14100732</v>
      </c>
      <c r="B16" s="40" t="s">
        <v>17</v>
      </c>
      <c r="C16" s="41" t="s">
        <v>584</v>
      </c>
      <c r="D16" s="42" t="s">
        <v>3</v>
      </c>
      <c r="E16" s="43" t="s">
        <v>581</v>
      </c>
      <c r="F16" s="43" t="s">
        <v>582</v>
      </c>
      <c r="G16" s="44">
        <v>92</v>
      </c>
      <c r="H16" s="43" t="s">
        <v>583</v>
      </c>
      <c r="I16" s="45" t="s">
        <v>583</v>
      </c>
      <c r="J16" s="45" t="s">
        <v>561</v>
      </c>
      <c r="K16" s="126">
        <v>134.18</v>
      </c>
      <c r="L16" s="126">
        <v>134.18</v>
      </c>
      <c r="M16" s="126"/>
      <c r="N16" s="126">
        <v>200</v>
      </c>
      <c r="O16" s="126">
        <v>177.44</v>
      </c>
      <c r="P16" s="145"/>
      <c r="Q16" s="146"/>
      <c r="R16" s="147"/>
      <c r="S16" s="46">
        <v>645.79999999999995</v>
      </c>
      <c r="T16" s="112"/>
      <c r="U16" s="56" t="s">
        <v>953</v>
      </c>
      <c r="V16" s="105" t="s">
        <v>585</v>
      </c>
    </row>
    <row r="17" spans="1:22" customFormat="1" ht="21.75" customHeight="1" x14ac:dyDescent="0.3">
      <c r="A17" s="39">
        <v>14100733</v>
      </c>
      <c r="B17" s="40" t="s">
        <v>18</v>
      </c>
      <c r="C17" s="41" t="s">
        <v>584</v>
      </c>
      <c r="D17" s="42" t="s">
        <v>3</v>
      </c>
      <c r="E17" s="43" t="s">
        <v>581</v>
      </c>
      <c r="F17" s="43" t="s">
        <v>582</v>
      </c>
      <c r="G17" s="44">
        <v>95</v>
      </c>
      <c r="H17" s="43" t="s">
        <v>583</v>
      </c>
      <c r="I17" s="45" t="s">
        <v>1051</v>
      </c>
      <c r="J17" s="45" t="s">
        <v>561</v>
      </c>
      <c r="K17" s="126">
        <v>134.18</v>
      </c>
      <c r="L17" s="126">
        <v>134.18</v>
      </c>
      <c r="M17" s="126"/>
      <c r="N17" s="126">
        <v>0</v>
      </c>
      <c r="O17" s="126">
        <v>0</v>
      </c>
      <c r="P17" s="145"/>
      <c r="Q17" s="146"/>
      <c r="R17" s="147"/>
      <c r="S17" s="46">
        <v>268.36</v>
      </c>
      <c r="T17" s="112"/>
      <c r="U17" s="56" t="s">
        <v>953</v>
      </c>
      <c r="V17" s="105" t="s">
        <v>585</v>
      </c>
    </row>
    <row r="18" spans="1:22" customFormat="1" ht="21.75" customHeight="1" x14ac:dyDescent="0.3">
      <c r="A18" s="39">
        <v>14100740</v>
      </c>
      <c r="B18" s="40" t="s">
        <v>19</v>
      </c>
      <c r="C18" s="41" t="s">
        <v>589</v>
      </c>
      <c r="D18" s="42" t="s">
        <v>3</v>
      </c>
      <c r="E18" s="43" t="s">
        <v>581</v>
      </c>
      <c r="F18" s="43" t="s">
        <v>582</v>
      </c>
      <c r="G18" s="44">
        <v>92</v>
      </c>
      <c r="H18" s="43" t="s">
        <v>583</v>
      </c>
      <c r="I18" s="45" t="s">
        <v>1051</v>
      </c>
      <c r="J18" s="45" t="s">
        <v>561</v>
      </c>
      <c r="K18" s="126">
        <v>134.18</v>
      </c>
      <c r="L18" s="126">
        <v>134.18</v>
      </c>
      <c r="M18" s="126"/>
      <c r="N18" s="126">
        <v>0</v>
      </c>
      <c r="O18" s="126">
        <v>0</v>
      </c>
      <c r="P18" s="132"/>
      <c r="Q18" s="133"/>
      <c r="R18" s="147"/>
      <c r="S18" s="46">
        <v>268.36</v>
      </c>
      <c r="T18" s="112"/>
      <c r="U18" s="56" t="s">
        <v>953</v>
      </c>
      <c r="V18" s="105" t="s">
        <v>585</v>
      </c>
    </row>
    <row r="19" spans="1:22" customFormat="1" ht="21.75" customHeight="1" x14ac:dyDescent="0.3">
      <c r="A19" s="39">
        <v>14100751</v>
      </c>
      <c r="B19" s="40" t="s">
        <v>325</v>
      </c>
      <c r="C19" s="41" t="s">
        <v>590</v>
      </c>
      <c r="D19" s="42" t="s">
        <v>3</v>
      </c>
      <c r="E19" s="43" t="s">
        <v>581</v>
      </c>
      <c r="F19" s="43" t="s">
        <v>582</v>
      </c>
      <c r="G19" s="44">
        <v>91</v>
      </c>
      <c r="H19" s="43" t="s">
        <v>583</v>
      </c>
      <c r="I19" s="45" t="s">
        <v>583</v>
      </c>
      <c r="J19" s="45" t="s">
        <v>561</v>
      </c>
      <c r="K19" s="126">
        <v>134.18</v>
      </c>
      <c r="L19" s="126">
        <v>134.18</v>
      </c>
      <c r="M19" s="126"/>
      <c r="N19" s="126">
        <v>200</v>
      </c>
      <c r="O19" s="126">
        <v>177.44</v>
      </c>
      <c r="P19" s="132"/>
      <c r="Q19" s="133"/>
      <c r="R19" s="147"/>
      <c r="S19" s="46">
        <v>645.79999999999995</v>
      </c>
      <c r="T19" s="112"/>
      <c r="U19" s="56" t="s">
        <v>953</v>
      </c>
      <c r="V19" s="105" t="s">
        <v>585</v>
      </c>
    </row>
    <row r="20" spans="1:22" s="127" customFormat="1" ht="21.75" customHeight="1" x14ac:dyDescent="0.3">
      <c r="A20" s="39">
        <v>14100777</v>
      </c>
      <c r="B20" s="40" t="s">
        <v>20</v>
      </c>
      <c r="C20" s="41" t="s">
        <v>584</v>
      </c>
      <c r="D20" s="42" t="s">
        <v>3</v>
      </c>
      <c r="E20" s="43" t="s">
        <v>581</v>
      </c>
      <c r="F20" s="43" t="s">
        <v>582</v>
      </c>
      <c r="G20" s="44" t="s">
        <v>1609</v>
      </c>
      <c r="H20" s="43" t="s">
        <v>585</v>
      </c>
      <c r="I20" s="45" t="s">
        <v>583</v>
      </c>
      <c r="J20" s="45" t="s">
        <v>587</v>
      </c>
      <c r="K20" s="126">
        <v>0</v>
      </c>
      <c r="L20" s="126">
        <v>0</v>
      </c>
      <c r="M20" s="126"/>
      <c r="N20" s="126">
        <v>0</v>
      </c>
      <c r="O20" s="126">
        <v>0</v>
      </c>
      <c r="P20" s="132"/>
      <c r="Q20" s="133"/>
      <c r="R20" s="147"/>
      <c r="S20" s="46">
        <v>0</v>
      </c>
      <c r="T20" s="112"/>
      <c r="U20" s="56" t="s">
        <v>585</v>
      </c>
      <c r="V20" s="105" t="s">
        <v>585</v>
      </c>
    </row>
    <row r="21" spans="1:22" customFormat="1" ht="21.75" customHeight="1" x14ac:dyDescent="0.3">
      <c r="A21" s="39">
        <v>14100787</v>
      </c>
      <c r="B21" s="40" t="s">
        <v>21</v>
      </c>
      <c r="C21" s="41" t="s">
        <v>584</v>
      </c>
      <c r="D21" s="42" t="s">
        <v>3</v>
      </c>
      <c r="E21" s="43" t="s">
        <v>581</v>
      </c>
      <c r="F21" s="43" t="s">
        <v>582</v>
      </c>
      <c r="G21" s="44">
        <v>93</v>
      </c>
      <c r="H21" s="43" t="s">
        <v>583</v>
      </c>
      <c r="I21" s="45" t="s">
        <v>1051</v>
      </c>
      <c r="J21" s="45" t="s">
        <v>561</v>
      </c>
      <c r="K21" s="126">
        <v>134.18</v>
      </c>
      <c r="L21" s="126">
        <v>134.18</v>
      </c>
      <c r="M21" s="126"/>
      <c r="N21" s="126">
        <v>0</v>
      </c>
      <c r="O21" s="126">
        <v>0</v>
      </c>
      <c r="P21" s="145"/>
      <c r="Q21" s="146"/>
      <c r="R21" s="147"/>
      <c r="S21" s="46">
        <v>268.36</v>
      </c>
      <c r="T21" s="112"/>
      <c r="U21" s="56" t="s">
        <v>953</v>
      </c>
      <c r="V21" s="105" t="s">
        <v>585</v>
      </c>
    </row>
    <row r="22" spans="1:22" customFormat="1" ht="21.75" customHeight="1" x14ac:dyDescent="0.3">
      <c r="A22" s="39">
        <v>14100795</v>
      </c>
      <c r="B22" s="40" t="s">
        <v>22</v>
      </c>
      <c r="C22" s="41" t="s">
        <v>584</v>
      </c>
      <c r="D22" s="42" t="s">
        <v>3</v>
      </c>
      <c r="E22" s="43" t="s">
        <v>581</v>
      </c>
      <c r="F22" s="43" t="s">
        <v>582</v>
      </c>
      <c r="G22" s="44">
        <v>94</v>
      </c>
      <c r="H22" s="43" t="s">
        <v>583</v>
      </c>
      <c r="I22" s="45" t="s">
        <v>583</v>
      </c>
      <c r="J22" s="45" t="s">
        <v>587</v>
      </c>
      <c r="K22" s="126">
        <v>134.18</v>
      </c>
      <c r="L22" s="126">
        <v>134.18</v>
      </c>
      <c r="M22" s="126"/>
      <c r="N22" s="126">
        <v>200</v>
      </c>
      <c r="O22" s="126">
        <v>0</v>
      </c>
      <c r="P22" s="132"/>
      <c r="Q22" s="133"/>
      <c r="R22" s="147"/>
      <c r="S22" s="46">
        <v>468.36</v>
      </c>
      <c r="T22" s="112"/>
      <c r="U22" s="56" t="s">
        <v>953</v>
      </c>
      <c r="V22" s="105" t="s">
        <v>585</v>
      </c>
    </row>
    <row r="23" spans="1:22" s="127" customFormat="1" ht="21.75" customHeight="1" x14ac:dyDescent="0.3">
      <c r="A23" s="39">
        <v>14100798</v>
      </c>
      <c r="B23" s="40" t="s">
        <v>23</v>
      </c>
      <c r="C23" s="41" t="s">
        <v>584</v>
      </c>
      <c r="D23" s="42" t="s">
        <v>3</v>
      </c>
      <c r="E23" s="43" t="s">
        <v>581</v>
      </c>
      <c r="F23" s="43" t="s">
        <v>582</v>
      </c>
      <c r="G23" s="44">
        <v>94</v>
      </c>
      <c r="H23" s="43" t="s">
        <v>583</v>
      </c>
      <c r="I23" s="45" t="s">
        <v>583</v>
      </c>
      <c r="J23" s="45" t="s">
        <v>561</v>
      </c>
      <c r="K23" s="126">
        <v>134.18</v>
      </c>
      <c r="L23" s="126">
        <v>134.18</v>
      </c>
      <c r="M23" s="126"/>
      <c r="N23" s="126">
        <v>200</v>
      </c>
      <c r="O23" s="126">
        <v>177.44</v>
      </c>
      <c r="P23" s="145"/>
      <c r="Q23" s="146"/>
      <c r="R23" s="147"/>
      <c r="S23" s="46">
        <v>645.79999999999995</v>
      </c>
      <c r="T23" s="112"/>
      <c r="U23" s="56" t="s">
        <v>953</v>
      </c>
      <c r="V23" s="105" t="s">
        <v>585</v>
      </c>
    </row>
    <row r="24" spans="1:22" customFormat="1" ht="21.75" customHeight="1" x14ac:dyDescent="0.3">
      <c r="A24" s="39">
        <v>14100807</v>
      </c>
      <c r="B24" s="40" t="s">
        <v>24</v>
      </c>
      <c r="C24" s="41" t="s">
        <v>591</v>
      </c>
      <c r="D24" s="42" t="s">
        <v>3</v>
      </c>
      <c r="E24" s="43" t="s">
        <v>581</v>
      </c>
      <c r="F24" s="43" t="s">
        <v>582</v>
      </c>
      <c r="G24" s="44">
        <v>93</v>
      </c>
      <c r="H24" s="43" t="s">
        <v>583</v>
      </c>
      <c r="I24" s="45" t="s">
        <v>1051</v>
      </c>
      <c r="J24" s="45" t="s">
        <v>561</v>
      </c>
      <c r="K24" s="126">
        <v>134.18</v>
      </c>
      <c r="L24" s="126">
        <v>134.18</v>
      </c>
      <c r="M24" s="126"/>
      <c r="N24" s="126">
        <v>0</v>
      </c>
      <c r="O24" s="126">
        <v>0</v>
      </c>
      <c r="P24" s="145"/>
      <c r="Q24" s="146"/>
      <c r="R24" s="147"/>
      <c r="S24" s="46">
        <v>268.36</v>
      </c>
      <c r="T24" s="112"/>
      <c r="U24" s="56" t="s">
        <v>953</v>
      </c>
      <c r="V24" s="105" t="s">
        <v>585</v>
      </c>
    </row>
    <row r="25" spans="1:22" s="47" customFormat="1" ht="21.75" customHeight="1" x14ac:dyDescent="0.3">
      <c r="A25" s="39">
        <v>14100823</v>
      </c>
      <c r="B25" s="40" t="s">
        <v>275</v>
      </c>
      <c r="C25" s="41" t="s">
        <v>592</v>
      </c>
      <c r="D25" s="42" t="s">
        <v>3</v>
      </c>
      <c r="E25" s="43" t="s">
        <v>581</v>
      </c>
      <c r="F25" s="43" t="s">
        <v>582</v>
      </c>
      <c r="G25" s="44">
        <v>95</v>
      </c>
      <c r="H25" s="43" t="s">
        <v>583</v>
      </c>
      <c r="I25" s="45" t="s">
        <v>583</v>
      </c>
      <c r="J25" s="45" t="s">
        <v>561</v>
      </c>
      <c r="K25" s="126">
        <v>134.18</v>
      </c>
      <c r="L25" s="126">
        <v>134.18</v>
      </c>
      <c r="M25" s="126"/>
      <c r="N25" s="126">
        <v>200</v>
      </c>
      <c r="O25" s="126">
        <v>177.44</v>
      </c>
      <c r="P25" s="132"/>
      <c r="Q25" s="133"/>
      <c r="R25" s="147"/>
      <c r="S25" s="46">
        <v>645.79999999999995</v>
      </c>
      <c r="T25" s="112"/>
      <c r="U25" s="56" t="s">
        <v>953</v>
      </c>
      <c r="V25" s="105" t="s">
        <v>2034</v>
      </c>
    </row>
    <row r="26" spans="1:22" customFormat="1" ht="21.75" customHeight="1" x14ac:dyDescent="0.3">
      <c r="A26" s="39">
        <v>14100842</v>
      </c>
      <c r="B26" s="40" t="s">
        <v>25</v>
      </c>
      <c r="C26" s="41" t="s">
        <v>584</v>
      </c>
      <c r="D26" s="42" t="s">
        <v>3</v>
      </c>
      <c r="E26" s="43" t="s">
        <v>581</v>
      </c>
      <c r="F26" s="43" t="s">
        <v>582</v>
      </c>
      <c r="G26" s="44">
        <v>93</v>
      </c>
      <c r="H26" s="43" t="s">
        <v>583</v>
      </c>
      <c r="I26" s="45" t="s">
        <v>1051</v>
      </c>
      <c r="J26" s="45" t="s">
        <v>561</v>
      </c>
      <c r="K26" s="126">
        <v>134.18</v>
      </c>
      <c r="L26" s="126">
        <v>134.18</v>
      </c>
      <c r="M26" s="126"/>
      <c r="N26" s="126">
        <v>0</v>
      </c>
      <c r="O26" s="126">
        <v>0</v>
      </c>
      <c r="P26" s="132"/>
      <c r="Q26" s="133"/>
      <c r="R26" s="147"/>
      <c r="S26" s="46">
        <v>268.36</v>
      </c>
      <c r="T26" s="112"/>
      <c r="U26" s="56" t="s">
        <v>953</v>
      </c>
      <c r="V26" s="105" t="s">
        <v>585</v>
      </c>
    </row>
    <row r="27" spans="1:22" customFormat="1" ht="21.75" customHeight="1" x14ac:dyDescent="0.3">
      <c r="A27" s="40">
        <v>14100843</v>
      </c>
      <c r="B27" s="40" t="s">
        <v>223</v>
      </c>
      <c r="C27" s="41" t="s">
        <v>593</v>
      </c>
      <c r="D27" s="42" t="s">
        <v>3</v>
      </c>
      <c r="E27" s="43" t="s">
        <v>581</v>
      </c>
      <c r="F27" s="43" t="s">
        <v>582</v>
      </c>
      <c r="G27" s="44">
        <v>94</v>
      </c>
      <c r="H27" s="43" t="s">
        <v>583</v>
      </c>
      <c r="I27" s="45" t="s">
        <v>583</v>
      </c>
      <c r="J27" s="45" t="s">
        <v>561</v>
      </c>
      <c r="K27" s="126">
        <v>134.18</v>
      </c>
      <c r="L27" s="126">
        <v>134.18</v>
      </c>
      <c r="M27" s="126"/>
      <c r="N27" s="126">
        <v>200</v>
      </c>
      <c r="O27" s="126">
        <v>177.44</v>
      </c>
      <c r="P27" s="132"/>
      <c r="Q27" s="133"/>
      <c r="R27" s="147"/>
      <c r="S27" s="46">
        <v>645.79999999999995</v>
      </c>
      <c r="T27" s="112"/>
      <c r="U27" s="56" t="s">
        <v>953</v>
      </c>
      <c r="V27" s="105" t="s">
        <v>2034</v>
      </c>
    </row>
    <row r="28" spans="1:22" customFormat="1" ht="21.75" customHeight="1" x14ac:dyDescent="0.3">
      <c r="A28" s="39">
        <v>14100858</v>
      </c>
      <c r="B28" s="40" t="s">
        <v>262</v>
      </c>
      <c r="C28" s="41" t="s">
        <v>594</v>
      </c>
      <c r="D28" s="42" t="s">
        <v>3</v>
      </c>
      <c r="E28" s="43" t="s">
        <v>581</v>
      </c>
      <c r="F28" s="43" t="s">
        <v>582</v>
      </c>
      <c r="G28" s="44">
        <v>92</v>
      </c>
      <c r="H28" s="43" t="s">
        <v>583</v>
      </c>
      <c r="I28" s="45" t="s">
        <v>1051</v>
      </c>
      <c r="J28" s="45" t="s">
        <v>561</v>
      </c>
      <c r="K28" s="126">
        <v>134.18</v>
      </c>
      <c r="L28" s="126">
        <v>134.18</v>
      </c>
      <c r="M28" s="126"/>
      <c r="N28" s="126">
        <v>0</v>
      </c>
      <c r="O28" s="126">
        <v>0</v>
      </c>
      <c r="P28" s="145"/>
      <c r="Q28" s="146"/>
      <c r="R28" s="147"/>
      <c r="S28" s="46">
        <v>268.36</v>
      </c>
      <c r="T28" s="112"/>
      <c r="U28" s="56" t="s">
        <v>953</v>
      </c>
      <c r="V28" s="105" t="s">
        <v>585</v>
      </c>
    </row>
    <row r="29" spans="1:22" s="128" customFormat="1" ht="21.75" customHeight="1" x14ac:dyDescent="0.3">
      <c r="A29" s="39">
        <v>14100863</v>
      </c>
      <c r="B29" s="40" t="s">
        <v>26</v>
      </c>
      <c r="C29" s="41" t="s">
        <v>584</v>
      </c>
      <c r="D29" s="42" t="s">
        <v>3</v>
      </c>
      <c r="E29" s="43" t="s">
        <v>581</v>
      </c>
      <c r="F29" s="43" t="s">
        <v>582</v>
      </c>
      <c r="G29" s="44">
        <v>95</v>
      </c>
      <c r="H29" s="43" t="s">
        <v>583</v>
      </c>
      <c r="I29" s="45" t="s">
        <v>1051</v>
      </c>
      <c r="J29" s="45" t="s">
        <v>561</v>
      </c>
      <c r="K29" s="126">
        <v>134.18</v>
      </c>
      <c r="L29" s="126">
        <v>134.18</v>
      </c>
      <c r="M29" s="126"/>
      <c r="N29" s="126">
        <v>0</v>
      </c>
      <c r="O29" s="126">
        <v>0</v>
      </c>
      <c r="P29" s="132"/>
      <c r="Q29" s="133"/>
      <c r="R29" s="147"/>
      <c r="S29" s="46">
        <v>268.36</v>
      </c>
      <c r="T29" s="112"/>
      <c r="U29" s="56" t="s">
        <v>953</v>
      </c>
      <c r="V29" s="105" t="s">
        <v>585</v>
      </c>
    </row>
    <row r="30" spans="1:22" customFormat="1" ht="21.75" customHeight="1" x14ac:dyDescent="0.3">
      <c r="A30" s="39">
        <v>14100902</v>
      </c>
      <c r="B30" s="40" t="s">
        <v>354</v>
      </c>
      <c r="C30" s="41" t="s">
        <v>596</v>
      </c>
      <c r="D30" s="42" t="s">
        <v>3</v>
      </c>
      <c r="E30" s="43" t="s">
        <v>581</v>
      </c>
      <c r="F30" s="43" t="s">
        <v>582</v>
      </c>
      <c r="G30" s="44">
        <v>87</v>
      </c>
      <c r="H30" s="43" t="s">
        <v>585</v>
      </c>
      <c r="I30" s="45" t="s">
        <v>1051</v>
      </c>
      <c r="J30" s="45" t="s">
        <v>587</v>
      </c>
      <c r="K30" s="126">
        <v>134.18</v>
      </c>
      <c r="L30" s="126">
        <v>134.18</v>
      </c>
      <c r="M30" s="126"/>
      <c r="N30" s="126">
        <v>0</v>
      </c>
      <c r="O30" s="126">
        <v>0</v>
      </c>
      <c r="P30" s="145"/>
      <c r="Q30" s="146"/>
      <c r="R30" s="147"/>
      <c r="S30" s="46">
        <v>268.36</v>
      </c>
      <c r="T30" s="112"/>
      <c r="U30" s="56" t="s">
        <v>953</v>
      </c>
      <c r="V30" s="105" t="s">
        <v>925</v>
      </c>
    </row>
    <row r="31" spans="1:22" s="47" customFormat="1" ht="21.75" customHeight="1" x14ac:dyDescent="0.3">
      <c r="A31" s="39">
        <v>14101881</v>
      </c>
      <c r="B31" s="40" t="s">
        <v>27</v>
      </c>
      <c r="C31" s="41" t="s">
        <v>597</v>
      </c>
      <c r="D31" s="42" t="s">
        <v>3</v>
      </c>
      <c r="E31" s="43" t="s">
        <v>581</v>
      </c>
      <c r="F31" s="43" t="s">
        <v>582</v>
      </c>
      <c r="G31" s="44">
        <v>91</v>
      </c>
      <c r="H31" s="43" t="s">
        <v>583</v>
      </c>
      <c r="I31" s="45" t="s">
        <v>1051</v>
      </c>
      <c r="J31" s="45" t="s">
        <v>561</v>
      </c>
      <c r="K31" s="126">
        <v>134.18</v>
      </c>
      <c r="L31" s="126">
        <v>134.18</v>
      </c>
      <c r="M31" s="126"/>
      <c r="N31" s="126">
        <v>0</v>
      </c>
      <c r="O31" s="126">
        <v>0</v>
      </c>
      <c r="P31" s="132"/>
      <c r="Q31" s="133"/>
      <c r="R31" s="147"/>
      <c r="S31" s="46">
        <v>268.36</v>
      </c>
      <c r="T31" s="112"/>
      <c r="U31" s="56" t="s">
        <v>953</v>
      </c>
      <c r="V31" s="105" t="s">
        <v>585</v>
      </c>
    </row>
    <row r="32" spans="1:22" customFormat="1" ht="21.75" customHeight="1" x14ac:dyDescent="0.3">
      <c r="A32" s="39">
        <v>14101984</v>
      </c>
      <c r="B32" s="40" t="s">
        <v>28</v>
      </c>
      <c r="C32" s="41" t="s">
        <v>598</v>
      </c>
      <c r="D32" s="42" t="s">
        <v>3</v>
      </c>
      <c r="E32" s="43" t="s">
        <v>581</v>
      </c>
      <c r="F32" s="43" t="s">
        <v>582</v>
      </c>
      <c r="G32" s="44">
        <v>72</v>
      </c>
      <c r="H32" s="43" t="s">
        <v>585</v>
      </c>
      <c r="I32" s="45" t="s">
        <v>583</v>
      </c>
      <c r="J32" s="45" t="s">
        <v>561</v>
      </c>
      <c r="K32" s="126">
        <v>134.18</v>
      </c>
      <c r="L32" s="126">
        <v>134.18</v>
      </c>
      <c r="M32" s="126"/>
      <c r="N32" s="126">
        <v>0</v>
      </c>
      <c r="O32" s="126">
        <v>177.44</v>
      </c>
      <c r="P32" s="132"/>
      <c r="Q32" s="133"/>
      <c r="R32" s="148"/>
      <c r="S32" s="46">
        <v>445.8</v>
      </c>
      <c r="T32" s="112"/>
      <c r="U32" s="56" t="s">
        <v>953</v>
      </c>
      <c r="V32" s="105" t="s">
        <v>925</v>
      </c>
    </row>
    <row r="33" spans="1:24" customFormat="1" ht="17.25" x14ac:dyDescent="0.3">
      <c r="A33" s="40">
        <v>14102081</v>
      </c>
      <c r="B33" s="40" t="s">
        <v>29</v>
      </c>
      <c r="C33" s="41" t="s">
        <v>599</v>
      </c>
      <c r="D33" s="42" t="s">
        <v>3</v>
      </c>
      <c r="E33" s="43" t="s">
        <v>581</v>
      </c>
      <c r="F33" s="43" t="s">
        <v>582</v>
      </c>
      <c r="G33" s="44">
        <v>91</v>
      </c>
      <c r="H33" s="43" t="s">
        <v>583</v>
      </c>
      <c r="I33" s="45" t="s">
        <v>583</v>
      </c>
      <c r="J33" s="45" t="s">
        <v>561</v>
      </c>
      <c r="K33" s="126">
        <v>134.18</v>
      </c>
      <c r="L33" s="126">
        <v>134.18</v>
      </c>
      <c r="M33" s="126"/>
      <c r="N33" s="126">
        <v>200</v>
      </c>
      <c r="O33" s="126">
        <v>177.44</v>
      </c>
      <c r="P33" s="132"/>
      <c r="Q33" s="133"/>
      <c r="R33" s="132"/>
      <c r="S33" s="46">
        <v>645.79999999999995</v>
      </c>
      <c r="T33" s="112"/>
      <c r="U33" s="56" t="s">
        <v>953</v>
      </c>
      <c r="V33" s="105" t="s">
        <v>2034</v>
      </c>
    </row>
    <row r="34" spans="1:24" ht="17.25" x14ac:dyDescent="0.3">
      <c r="A34" s="40">
        <v>14102288</v>
      </c>
      <c r="B34" s="48" t="s">
        <v>30</v>
      </c>
      <c r="C34" s="41" t="s">
        <v>600</v>
      </c>
      <c r="D34" s="42" t="s">
        <v>3</v>
      </c>
      <c r="E34" s="43" t="s">
        <v>581</v>
      </c>
      <c r="F34" s="43" t="s">
        <v>582</v>
      </c>
      <c r="G34" s="44">
        <v>94</v>
      </c>
      <c r="H34" s="43" t="s">
        <v>583</v>
      </c>
      <c r="I34" s="45" t="s">
        <v>583</v>
      </c>
      <c r="J34" s="45" t="s">
        <v>561</v>
      </c>
      <c r="K34" s="126">
        <v>134.18</v>
      </c>
      <c r="L34" s="126">
        <v>134.18</v>
      </c>
      <c r="M34" s="126"/>
      <c r="N34" s="126">
        <v>200</v>
      </c>
      <c r="O34" s="126">
        <v>177.44</v>
      </c>
      <c r="P34" s="132"/>
      <c r="Q34" s="133"/>
      <c r="R34" s="132"/>
      <c r="S34" s="46">
        <v>645.79999999999995</v>
      </c>
      <c r="T34" s="112"/>
      <c r="U34" s="56" t="s">
        <v>953</v>
      </c>
      <c r="V34" s="105" t="s">
        <v>585</v>
      </c>
    </row>
    <row r="35" spans="1:24" customFormat="1" ht="17.25" x14ac:dyDescent="0.3">
      <c r="A35" s="40">
        <v>14102701</v>
      </c>
      <c r="B35" s="40" t="s">
        <v>31</v>
      </c>
      <c r="C35" s="41" t="s">
        <v>601</v>
      </c>
      <c r="D35" s="42" t="s">
        <v>3</v>
      </c>
      <c r="E35" s="43" t="s">
        <v>581</v>
      </c>
      <c r="F35" s="43" t="s">
        <v>582</v>
      </c>
      <c r="G35" s="44">
        <v>90</v>
      </c>
      <c r="H35" s="43" t="s">
        <v>583</v>
      </c>
      <c r="I35" s="45" t="s">
        <v>1051</v>
      </c>
      <c r="J35" s="45" t="s">
        <v>561</v>
      </c>
      <c r="K35" s="126">
        <v>134.18</v>
      </c>
      <c r="L35" s="126">
        <v>134.18</v>
      </c>
      <c r="M35" s="126"/>
      <c r="N35" s="126">
        <v>0</v>
      </c>
      <c r="O35" s="126">
        <v>0</v>
      </c>
      <c r="P35" s="132"/>
      <c r="Q35" s="133"/>
      <c r="R35" s="147"/>
      <c r="S35" s="46">
        <v>268.36</v>
      </c>
      <c r="T35" s="112"/>
      <c r="U35" s="56" t="s">
        <v>953</v>
      </c>
      <c r="V35" s="105" t="s">
        <v>585</v>
      </c>
    </row>
    <row r="36" spans="1:24" customFormat="1" ht="21.75" customHeight="1" x14ac:dyDescent="0.3">
      <c r="A36" s="40">
        <v>14102730</v>
      </c>
      <c r="B36" s="40" t="s">
        <v>32</v>
      </c>
      <c r="C36" s="41" t="s">
        <v>602</v>
      </c>
      <c r="D36" s="42" t="s">
        <v>3</v>
      </c>
      <c r="E36" s="43" t="s">
        <v>581</v>
      </c>
      <c r="F36" s="43" t="s">
        <v>582</v>
      </c>
      <c r="G36" s="44">
        <v>95</v>
      </c>
      <c r="H36" s="43" t="s">
        <v>583</v>
      </c>
      <c r="I36" s="45" t="s">
        <v>1051</v>
      </c>
      <c r="J36" s="45" t="s">
        <v>561</v>
      </c>
      <c r="K36" s="126">
        <v>134.18</v>
      </c>
      <c r="L36" s="126">
        <v>134.18</v>
      </c>
      <c r="M36" s="126"/>
      <c r="N36" s="126">
        <v>0</v>
      </c>
      <c r="O36" s="126">
        <v>0</v>
      </c>
      <c r="P36" s="132"/>
      <c r="Q36" s="133"/>
      <c r="R36" s="147"/>
      <c r="S36" s="46">
        <v>268.36</v>
      </c>
      <c r="T36" s="112"/>
      <c r="U36" s="56" t="s">
        <v>953</v>
      </c>
      <c r="V36" s="105" t="s">
        <v>585</v>
      </c>
    </row>
    <row r="37" spans="1:24" customFormat="1" ht="21.75" customHeight="1" x14ac:dyDescent="0.3">
      <c r="A37" s="39">
        <v>14102875</v>
      </c>
      <c r="B37" s="40" t="s">
        <v>33</v>
      </c>
      <c r="C37" s="41" t="s">
        <v>604</v>
      </c>
      <c r="D37" s="42" t="s">
        <v>3</v>
      </c>
      <c r="E37" s="43" t="s">
        <v>581</v>
      </c>
      <c r="F37" s="43" t="s">
        <v>582</v>
      </c>
      <c r="G37" s="44">
        <v>93</v>
      </c>
      <c r="H37" s="43" t="s">
        <v>583</v>
      </c>
      <c r="I37" s="45" t="s">
        <v>583</v>
      </c>
      <c r="J37" s="45" t="s">
        <v>561</v>
      </c>
      <c r="K37" s="126">
        <v>134.18</v>
      </c>
      <c r="L37" s="126">
        <v>134.18</v>
      </c>
      <c r="M37" s="126"/>
      <c r="N37" s="126">
        <v>200</v>
      </c>
      <c r="O37" s="126">
        <v>177.44</v>
      </c>
      <c r="P37" s="132"/>
      <c r="Q37" s="133"/>
      <c r="R37" s="147"/>
      <c r="S37" s="46">
        <v>645.79999999999995</v>
      </c>
      <c r="T37" s="112"/>
      <c r="U37" s="56" t="s">
        <v>953</v>
      </c>
      <c r="V37" s="105" t="s">
        <v>2034</v>
      </c>
    </row>
    <row r="38" spans="1:24" customFormat="1" ht="21.75" customHeight="1" x14ac:dyDescent="0.3">
      <c r="A38" s="39">
        <v>14102890</v>
      </c>
      <c r="B38" s="40" t="s">
        <v>34</v>
      </c>
      <c r="C38" s="41" t="s">
        <v>605</v>
      </c>
      <c r="D38" s="42" t="s">
        <v>3</v>
      </c>
      <c r="E38" s="43" t="s">
        <v>581</v>
      </c>
      <c r="F38" s="43" t="s">
        <v>582</v>
      </c>
      <c r="G38" s="44" t="s">
        <v>1609</v>
      </c>
      <c r="H38" s="43" t="s">
        <v>585</v>
      </c>
      <c r="I38" s="45" t="s">
        <v>583</v>
      </c>
      <c r="J38" s="45" t="s">
        <v>587</v>
      </c>
      <c r="K38" s="126">
        <v>0</v>
      </c>
      <c r="L38" s="126">
        <v>0</v>
      </c>
      <c r="M38" s="126"/>
      <c r="N38" s="126">
        <v>0</v>
      </c>
      <c r="O38" s="126">
        <v>0</v>
      </c>
      <c r="P38" s="145"/>
      <c r="Q38" s="146"/>
      <c r="R38" s="147"/>
      <c r="S38" s="46">
        <v>0</v>
      </c>
      <c r="T38" s="112"/>
      <c r="U38" s="56" t="s">
        <v>585</v>
      </c>
      <c r="V38" s="105" t="s">
        <v>585</v>
      </c>
      <c r="X38" s="127"/>
    </row>
    <row r="39" spans="1:24" customFormat="1" ht="21.75" customHeight="1" x14ac:dyDescent="0.3">
      <c r="A39" s="39">
        <v>14103061</v>
      </c>
      <c r="B39" s="40" t="s">
        <v>398</v>
      </c>
      <c r="C39" s="41" t="s">
        <v>606</v>
      </c>
      <c r="D39" s="42" t="s">
        <v>3</v>
      </c>
      <c r="E39" s="43" t="s">
        <v>581</v>
      </c>
      <c r="F39" s="43" t="s">
        <v>582</v>
      </c>
      <c r="G39" s="44">
        <v>94</v>
      </c>
      <c r="H39" s="43" t="s">
        <v>583</v>
      </c>
      <c r="I39" s="45" t="s">
        <v>583</v>
      </c>
      <c r="J39" s="45" t="s">
        <v>587</v>
      </c>
      <c r="K39" s="126">
        <v>134.18</v>
      </c>
      <c r="L39" s="126">
        <v>134.18</v>
      </c>
      <c r="M39" s="126"/>
      <c r="N39" s="126">
        <v>200</v>
      </c>
      <c r="O39" s="126">
        <v>0</v>
      </c>
      <c r="P39" s="126"/>
      <c r="Q39" s="126"/>
      <c r="R39" s="147"/>
      <c r="S39" s="46">
        <v>468.36</v>
      </c>
      <c r="T39" s="112"/>
      <c r="U39" s="56" t="s">
        <v>953</v>
      </c>
      <c r="V39" s="105" t="s">
        <v>585</v>
      </c>
    </row>
    <row r="40" spans="1:24" customFormat="1" ht="21.75" customHeight="1" x14ac:dyDescent="0.3">
      <c r="A40" s="39">
        <v>14103106</v>
      </c>
      <c r="B40" s="40" t="s">
        <v>35</v>
      </c>
      <c r="C40" s="41" t="s">
        <v>607</v>
      </c>
      <c r="D40" s="42" t="s">
        <v>3</v>
      </c>
      <c r="E40" s="43" t="s">
        <v>581</v>
      </c>
      <c r="F40" s="43" t="s">
        <v>582</v>
      </c>
      <c r="G40" s="44">
        <v>93</v>
      </c>
      <c r="H40" s="43" t="s">
        <v>583</v>
      </c>
      <c r="I40" s="45" t="s">
        <v>1051</v>
      </c>
      <c r="J40" s="45" t="s">
        <v>561</v>
      </c>
      <c r="K40" s="126">
        <v>134.18</v>
      </c>
      <c r="L40" s="126">
        <v>134.18</v>
      </c>
      <c r="M40" s="126"/>
      <c r="N40" s="126">
        <v>0</v>
      </c>
      <c r="O40" s="126">
        <v>0</v>
      </c>
      <c r="P40" s="145"/>
      <c r="Q40" s="146"/>
      <c r="R40" s="147"/>
      <c r="S40" s="46">
        <v>268.36</v>
      </c>
      <c r="T40" s="112"/>
      <c r="U40" s="56" t="s">
        <v>953</v>
      </c>
      <c r="V40" s="105" t="s">
        <v>585</v>
      </c>
    </row>
    <row r="41" spans="1:24" customFormat="1" ht="21.75" customHeight="1" x14ac:dyDescent="0.3">
      <c r="A41" s="40">
        <v>14103183</v>
      </c>
      <c r="B41" s="40" t="s">
        <v>36</v>
      </c>
      <c r="C41" s="41" t="s">
        <v>608</v>
      </c>
      <c r="D41" s="42" t="s">
        <v>3</v>
      </c>
      <c r="E41" s="43" t="s">
        <v>581</v>
      </c>
      <c r="F41" s="43" t="s">
        <v>582</v>
      </c>
      <c r="G41" s="44">
        <v>95</v>
      </c>
      <c r="H41" s="43" t="s">
        <v>583</v>
      </c>
      <c r="I41" s="45" t="s">
        <v>1051</v>
      </c>
      <c r="J41" s="45" t="s">
        <v>561</v>
      </c>
      <c r="K41" s="126">
        <v>134.18</v>
      </c>
      <c r="L41" s="126">
        <v>134.18</v>
      </c>
      <c r="M41" s="126"/>
      <c r="N41" s="126">
        <v>0</v>
      </c>
      <c r="O41" s="126">
        <v>0</v>
      </c>
      <c r="P41" s="132"/>
      <c r="Q41" s="133"/>
      <c r="R41" s="132"/>
      <c r="S41" s="46">
        <v>268.36</v>
      </c>
      <c r="T41" s="112"/>
      <c r="U41" s="56" t="s">
        <v>953</v>
      </c>
      <c r="V41" s="105" t="s">
        <v>585</v>
      </c>
    </row>
    <row r="42" spans="1:24" customFormat="1" ht="21.75" customHeight="1" x14ac:dyDescent="0.3">
      <c r="A42" s="39">
        <v>14103335</v>
      </c>
      <c r="B42" s="40" t="s">
        <v>37</v>
      </c>
      <c r="C42" s="41" t="s">
        <v>609</v>
      </c>
      <c r="D42" s="42" t="s">
        <v>3</v>
      </c>
      <c r="E42" s="43" t="s">
        <v>581</v>
      </c>
      <c r="F42" s="43" t="s">
        <v>582</v>
      </c>
      <c r="G42" s="44">
        <v>93</v>
      </c>
      <c r="H42" s="43" t="s">
        <v>583</v>
      </c>
      <c r="I42" s="45" t="s">
        <v>1051</v>
      </c>
      <c r="J42" s="45" t="s">
        <v>561</v>
      </c>
      <c r="K42" s="126">
        <v>134.18</v>
      </c>
      <c r="L42" s="126">
        <v>134.18</v>
      </c>
      <c r="M42" s="126"/>
      <c r="N42" s="126">
        <v>0</v>
      </c>
      <c r="O42" s="126">
        <v>0</v>
      </c>
      <c r="P42" s="145"/>
      <c r="Q42" s="146"/>
      <c r="R42" s="147"/>
      <c r="S42" s="46">
        <v>268.36</v>
      </c>
      <c r="T42" s="112"/>
      <c r="U42" s="56" t="s">
        <v>953</v>
      </c>
      <c r="V42" s="105" t="s">
        <v>585</v>
      </c>
    </row>
    <row r="43" spans="1:24" customFormat="1" ht="21.75" customHeight="1" x14ac:dyDescent="0.3">
      <c r="A43" s="40">
        <v>14103679</v>
      </c>
      <c r="B43" s="49" t="s">
        <v>38</v>
      </c>
      <c r="C43" s="41" t="s">
        <v>611</v>
      </c>
      <c r="D43" s="42" t="s">
        <v>3</v>
      </c>
      <c r="E43" s="43" t="s">
        <v>581</v>
      </c>
      <c r="F43" s="43" t="s">
        <v>582</v>
      </c>
      <c r="G43" s="44">
        <v>90</v>
      </c>
      <c r="H43" s="43" t="s">
        <v>583</v>
      </c>
      <c r="I43" s="45" t="s">
        <v>583</v>
      </c>
      <c r="J43" s="45" t="s">
        <v>561</v>
      </c>
      <c r="K43" s="126">
        <v>134.18</v>
      </c>
      <c r="L43" s="126">
        <v>134.18</v>
      </c>
      <c r="M43" s="126"/>
      <c r="N43" s="126">
        <v>200</v>
      </c>
      <c r="O43" s="126">
        <v>177.44</v>
      </c>
      <c r="P43" s="132"/>
      <c r="Q43" s="133"/>
      <c r="R43" s="132"/>
      <c r="S43" s="46">
        <v>645.79999999999995</v>
      </c>
      <c r="T43" s="112"/>
      <c r="U43" s="56" t="s">
        <v>953</v>
      </c>
      <c r="V43" s="105" t="s">
        <v>585</v>
      </c>
    </row>
    <row r="44" spans="1:24" customFormat="1" ht="21.75" customHeight="1" x14ac:dyDescent="0.3">
      <c r="A44" s="39">
        <v>14103936</v>
      </c>
      <c r="B44" s="40" t="s">
        <v>294</v>
      </c>
      <c r="C44" s="41" t="s">
        <v>613</v>
      </c>
      <c r="D44" s="42" t="s">
        <v>3</v>
      </c>
      <c r="E44" s="43" t="s">
        <v>581</v>
      </c>
      <c r="F44" s="43" t="s">
        <v>582</v>
      </c>
      <c r="G44" s="44">
        <v>86</v>
      </c>
      <c r="H44" s="43" t="s">
        <v>585</v>
      </c>
      <c r="I44" s="45" t="s">
        <v>583</v>
      </c>
      <c r="J44" s="45" t="s">
        <v>561</v>
      </c>
      <c r="K44" s="126">
        <v>134.18</v>
      </c>
      <c r="L44" s="126">
        <v>134.18</v>
      </c>
      <c r="M44" s="126"/>
      <c r="N44" s="126">
        <v>0</v>
      </c>
      <c r="O44" s="126">
        <v>177.44</v>
      </c>
      <c r="P44" s="145"/>
      <c r="Q44" s="146"/>
      <c r="R44" s="147"/>
      <c r="S44" s="46">
        <v>445.8</v>
      </c>
      <c r="T44" s="112"/>
      <c r="U44" s="56" t="s">
        <v>953</v>
      </c>
      <c r="V44" s="105" t="s">
        <v>585</v>
      </c>
    </row>
    <row r="45" spans="1:24" customFormat="1" ht="21.75" customHeight="1" x14ac:dyDescent="0.3">
      <c r="A45" s="39">
        <v>14103952</v>
      </c>
      <c r="B45" s="40" t="s">
        <v>39</v>
      </c>
      <c r="C45" s="41" t="s">
        <v>614</v>
      </c>
      <c r="D45" s="42" t="s">
        <v>3</v>
      </c>
      <c r="E45" s="43" t="s">
        <v>581</v>
      </c>
      <c r="F45" s="43" t="s">
        <v>582</v>
      </c>
      <c r="G45" s="44" t="s">
        <v>1609</v>
      </c>
      <c r="H45" s="43" t="s">
        <v>585</v>
      </c>
      <c r="I45" s="45" t="s">
        <v>583</v>
      </c>
      <c r="J45" s="45" t="s">
        <v>587</v>
      </c>
      <c r="K45" s="126">
        <v>0</v>
      </c>
      <c r="L45" s="126">
        <v>0</v>
      </c>
      <c r="M45" s="126"/>
      <c r="N45" s="126">
        <v>0</v>
      </c>
      <c r="O45" s="126">
        <v>0</v>
      </c>
      <c r="P45" s="132"/>
      <c r="Q45" s="133"/>
      <c r="R45" s="148"/>
      <c r="S45" s="46">
        <v>0</v>
      </c>
      <c r="T45" s="112"/>
      <c r="U45" s="56" t="s">
        <v>585</v>
      </c>
      <c r="V45" s="105" t="s">
        <v>585</v>
      </c>
      <c r="X45" s="127"/>
    </row>
    <row r="46" spans="1:24" customFormat="1" ht="21.75" customHeight="1" x14ac:dyDescent="0.3">
      <c r="A46" s="39">
        <v>14104315</v>
      </c>
      <c r="B46" s="40" t="s">
        <v>334</v>
      </c>
      <c r="C46" s="41" t="s">
        <v>615</v>
      </c>
      <c r="D46" s="42" t="s">
        <v>3</v>
      </c>
      <c r="E46" s="43" t="s">
        <v>581</v>
      </c>
      <c r="F46" s="43" t="s">
        <v>582</v>
      </c>
      <c r="G46" s="44">
        <v>87</v>
      </c>
      <c r="H46" s="43" t="s">
        <v>585</v>
      </c>
      <c r="I46" s="45" t="s">
        <v>583</v>
      </c>
      <c r="J46" s="45" t="s">
        <v>587</v>
      </c>
      <c r="K46" s="126">
        <v>0</v>
      </c>
      <c r="L46" s="126">
        <v>0</v>
      </c>
      <c r="M46" s="126"/>
      <c r="N46" s="126">
        <v>0</v>
      </c>
      <c r="O46" s="126">
        <v>0</v>
      </c>
      <c r="P46" s="145"/>
      <c r="Q46" s="146"/>
      <c r="R46" s="147"/>
      <c r="S46" s="46">
        <v>0</v>
      </c>
      <c r="T46" s="112"/>
      <c r="U46" s="56" t="s">
        <v>585</v>
      </c>
      <c r="V46" s="105" t="s">
        <v>585</v>
      </c>
      <c r="X46" s="127"/>
    </row>
    <row r="47" spans="1:24" customFormat="1" ht="21.75" customHeight="1" x14ac:dyDescent="0.3">
      <c r="A47" s="40">
        <v>14104316</v>
      </c>
      <c r="B47" s="40" t="s">
        <v>40</v>
      </c>
      <c r="C47" s="41" t="s">
        <v>616</v>
      </c>
      <c r="D47" s="42" t="s">
        <v>3</v>
      </c>
      <c r="E47" s="43" t="s">
        <v>581</v>
      </c>
      <c r="F47" s="43" t="s">
        <v>582</v>
      </c>
      <c r="G47" s="44">
        <v>94</v>
      </c>
      <c r="H47" s="43" t="s">
        <v>583</v>
      </c>
      <c r="I47" s="45" t="s">
        <v>583</v>
      </c>
      <c r="J47" s="45" t="s">
        <v>587</v>
      </c>
      <c r="K47" s="126">
        <v>0</v>
      </c>
      <c r="L47" s="126">
        <v>0</v>
      </c>
      <c r="M47" s="126"/>
      <c r="N47" s="126">
        <v>0</v>
      </c>
      <c r="O47" s="126">
        <v>0</v>
      </c>
      <c r="P47" s="132"/>
      <c r="Q47" s="133"/>
      <c r="R47" s="132"/>
      <c r="S47" s="46">
        <v>0</v>
      </c>
      <c r="T47" s="112"/>
      <c r="U47" s="56" t="s">
        <v>585</v>
      </c>
      <c r="V47" s="105" t="s">
        <v>585</v>
      </c>
      <c r="X47" s="127"/>
    </row>
    <row r="48" spans="1:24" customFormat="1" ht="17.25" x14ac:dyDescent="0.3">
      <c r="A48" s="39">
        <v>14104599</v>
      </c>
      <c r="B48" s="40" t="s">
        <v>41</v>
      </c>
      <c r="C48" s="41" t="s">
        <v>617</v>
      </c>
      <c r="D48" s="42" t="s">
        <v>3</v>
      </c>
      <c r="E48" s="43" t="s">
        <v>581</v>
      </c>
      <c r="F48" s="43" t="s">
        <v>582</v>
      </c>
      <c r="G48" s="44">
        <v>92</v>
      </c>
      <c r="H48" s="43" t="s">
        <v>583</v>
      </c>
      <c r="I48" s="45" t="s">
        <v>1051</v>
      </c>
      <c r="J48" s="45" t="s">
        <v>561</v>
      </c>
      <c r="K48" s="126">
        <v>134.18</v>
      </c>
      <c r="L48" s="126">
        <v>134.18</v>
      </c>
      <c r="M48" s="126"/>
      <c r="N48" s="126">
        <v>0</v>
      </c>
      <c r="O48" s="126">
        <v>0</v>
      </c>
      <c r="P48" s="132"/>
      <c r="Q48" s="133"/>
      <c r="R48" s="148"/>
      <c r="S48" s="46">
        <v>268.36</v>
      </c>
      <c r="T48" s="112"/>
      <c r="U48" s="56" t="s">
        <v>953</v>
      </c>
      <c r="V48" s="105" t="s">
        <v>585</v>
      </c>
    </row>
    <row r="49" spans="1:24" customFormat="1" ht="21.75" customHeight="1" x14ac:dyDescent="0.3">
      <c r="A49" s="39">
        <v>14104822</v>
      </c>
      <c r="B49" s="40" t="s">
        <v>42</v>
      </c>
      <c r="C49" s="41" t="s">
        <v>618</v>
      </c>
      <c r="D49" s="42" t="s">
        <v>3</v>
      </c>
      <c r="E49" s="43" t="s">
        <v>581</v>
      </c>
      <c r="F49" s="43" t="s">
        <v>582</v>
      </c>
      <c r="G49" s="44">
        <v>94</v>
      </c>
      <c r="H49" s="43" t="s">
        <v>583</v>
      </c>
      <c r="I49" s="45" t="s">
        <v>583</v>
      </c>
      <c r="J49" s="45" t="s">
        <v>561</v>
      </c>
      <c r="K49" s="126">
        <v>134.18</v>
      </c>
      <c r="L49" s="126">
        <v>134.18</v>
      </c>
      <c r="M49" s="126"/>
      <c r="N49" s="126">
        <v>200</v>
      </c>
      <c r="O49" s="126">
        <v>177.44</v>
      </c>
      <c r="P49" s="145"/>
      <c r="Q49" s="146"/>
      <c r="R49" s="147"/>
      <c r="S49" s="46">
        <v>645.79999999999995</v>
      </c>
      <c r="T49" s="112"/>
      <c r="U49" s="56" t="s">
        <v>953</v>
      </c>
      <c r="V49" s="105" t="s">
        <v>2034</v>
      </c>
    </row>
    <row r="50" spans="1:24" customFormat="1" ht="21.75" customHeight="1" x14ac:dyDescent="0.3">
      <c r="A50" s="39">
        <v>14104839</v>
      </c>
      <c r="B50" s="40" t="s">
        <v>226</v>
      </c>
      <c r="C50" s="41" t="s">
        <v>619</v>
      </c>
      <c r="D50" s="42" t="s">
        <v>3</v>
      </c>
      <c r="E50" s="43" t="s">
        <v>581</v>
      </c>
      <c r="F50" s="43" t="s">
        <v>740</v>
      </c>
      <c r="G50" s="44">
        <v>93</v>
      </c>
      <c r="H50" s="43" t="s">
        <v>583</v>
      </c>
      <c r="I50" s="45" t="s">
        <v>583</v>
      </c>
      <c r="J50" s="45" t="s">
        <v>561</v>
      </c>
      <c r="K50" s="126">
        <v>134.18</v>
      </c>
      <c r="L50" s="126">
        <v>0</v>
      </c>
      <c r="M50" s="126"/>
      <c r="N50" s="126">
        <v>200</v>
      </c>
      <c r="O50" s="126">
        <v>177.44</v>
      </c>
      <c r="P50" s="132"/>
      <c r="Q50" s="133"/>
      <c r="R50" s="147"/>
      <c r="S50" s="46">
        <v>511.62</v>
      </c>
      <c r="T50" s="112"/>
      <c r="U50" s="56" t="s">
        <v>953</v>
      </c>
      <c r="V50" s="105" t="s">
        <v>585</v>
      </c>
    </row>
    <row r="51" spans="1:24" customFormat="1" ht="21.75" customHeight="1" x14ac:dyDescent="0.3">
      <c r="A51" s="39">
        <v>14104853</v>
      </c>
      <c r="B51" s="40" t="s">
        <v>185</v>
      </c>
      <c r="C51" s="41" t="s">
        <v>620</v>
      </c>
      <c r="D51" s="42" t="s">
        <v>3</v>
      </c>
      <c r="E51" s="43" t="s">
        <v>581</v>
      </c>
      <c r="F51" s="43" t="s">
        <v>582</v>
      </c>
      <c r="G51" s="44">
        <v>92</v>
      </c>
      <c r="H51" s="43" t="s">
        <v>583</v>
      </c>
      <c r="I51" s="45" t="s">
        <v>583</v>
      </c>
      <c r="J51" s="45" t="s">
        <v>561</v>
      </c>
      <c r="K51" s="126">
        <v>134.18</v>
      </c>
      <c r="L51" s="126">
        <v>134.18</v>
      </c>
      <c r="M51" s="126"/>
      <c r="N51" s="126">
        <v>200</v>
      </c>
      <c r="O51" s="126">
        <v>177.44</v>
      </c>
      <c r="P51" s="145"/>
      <c r="Q51" s="146"/>
      <c r="R51" s="147"/>
      <c r="S51" s="46">
        <v>645.79999999999995</v>
      </c>
      <c r="T51" s="112"/>
      <c r="U51" s="56" t="s">
        <v>953</v>
      </c>
      <c r="V51" s="105" t="s">
        <v>585</v>
      </c>
    </row>
    <row r="52" spans="1:24" customFormat="1" ht="21.75" customHeight="1" x14ac:dyDescent="0.3">
      <c r="A52" s="39">
        <v>14104932</v>
      </c>
      <c r="B52" s="40" t="s">
        <v>43</v>
      </c>
      <c r="C52" s="41" t="s">
        <v>621</v>
      </c>
      <c r="D52" s="42" t="s">
        <v>3</v>
      </c>
      <c r="E52" s="43" t="s">
        <v>581</v>
      </c>
      <c r="F52" s="43" t="s">
        <v>582</v>
      </c>
      <c r="G52" s="44">
        <v>86</v>
      </c>
      <c r="H52" s="43" t="s">
        <v>585</v>
      </c>
      <c r="I52" s="45" t="s">
        <v>1051</v>
      </c>
      <c r="J52" s="45" t="s">
        <v>561</v>
      </c>
      <c r="K52" s="126">
        <v>134.18</v>
      </c>
      <c r="L52" s="126">
        <v>134.18</v>
      </c>
      <c r="M52" s="126"/>
      <c r="N52" s="126">
        <v>0</v>
      </c>
      <c r="O52" s="126">
        <v>0</v>
      </c>
      <c r="P52" s="145"/>
      <c r="Q52" s="146"/>
      <c r="R52" s="147"/>
      <c r="S52" s="46">
        <v>268.36</v>
      </c>
      <c r="T52" s="112"/>
      <c r="U52" s="56" t="s">
        <v>953</v>
      </c>
      <c r="V52" s="105" t="s">
        <v>585</v>
      </c>
    </row>
    <row r="53" spans="1:24" customFormat="1" ht="21.75" customHeight="1" x14ac:dyDescent="0.3">
      <c r="A53" s="39">
        <v>14104957</v>
      </c>
      <c r="B53" s="40" t="s">
        <v>308</v>
      </c>
      <c r="C53" s="41" t="s">
        <v>622</v>
      </c>
      <c r="D53" s="42" t="s">
        <v>3</v>
      </c>
      <c r="E53" s="43" t="s">
        <v>581</v>
      </c>
      <c r="F53" s="43" t="s">
        <v>582</v>
      </c>
      <c r="G53" s="44">
        <v>95</v>
      </c>
      <c r="H53" s="43" t="s">
        <v>583</v>
      </c>
      <c r="I53" s="45" t="s">
        <v>583</v>
      </c>
      <c r="J53" s="45" t="s">
        <v>561</v>
      </c>
      <c r="K53" s="126">
        <v>134.18</v>
      </c>
      <c r="L53" s="126">
        <v>134.18</v>
      </c>
      <c r="M53" s="126"/>
      <c r="N53" s="126">
        <v>200</v>
      </c>
      <c r="O53" s="126">
        <v>177.44</v>
      </c>
      <c r="P53" s="145"/>
      <c r="Q53" s="146"/>
      <c r="R53" s="147"/>
      <c r="S53" s="46">
        <v>645.79999999999995</v>
      </c>
      <c r="T53" s="112"/>
      <c r="U53" s="56" t="s">
        <v>953</v>
      </c>
      <c r="V53" s="105" t="s">
        <v>585</v>
      </c>
    </row>
    <row r="54" spans="1:24" customFormat="1" ht="21.75" customHeight="1" x14ac:dyDescent="0.3">
      <c r="A54" s="39">
        <v>14105437</v>
      </c>
      <c r="B54" s="40" t="s">
        <v>45</v>
      </c>
      <c r="C54" s="41" t="s">
        <v>623</v>
      </c>
      <c r="D54" s="42" t="s">
        <v>3</v>
      </c>
      <c r="E54" s="43" t="s">
        <v>581</v>
      </c>
      <c r="F54" s="43" t="s">
        <v>582</v>
      </c>
      <c r="G54" s="44">
        <v>94</v>
      </c>
      <c r="H54" s="43" t="s">
        <v>583</v>
      </c>
      <c r="I54" s="45" t="s">
        <v>1051</v>
      </c>
      <c r="J54" s="45" t="s">
        <v>561</v>
      </c>
      <c r="K54" s="126">
        <v>134.18</v>
      </c>
      <c r="L54" s="126">
        <v>134.18</v>
      </c>
      <c r="M54" s="126"/>
      <c r="N54" s="126">
        <v>0</v>
      </c>
      <c r="O54" s="126">
        <v>0</v>
      </c>
      <c r="P54" s="132"/>
      <c r="Q54" s="133"/>
      <c r="R54" s="147"/>
      <c r="S54" s="46">
        <v>268.36</v>
      </c>
      <c r="T54" s="112"/>
      <c r="U54" s="56" t="s">
        <v>953</v>
      </c>
      <c r="V54" s="105" t="s">
        <v>585</v>
      </c>
    </row>
    <row r="55" spans="1:24" customFormat="1" ht="21.75" customHeight="1" x14ac:dyDescent="0.3">
      <c r="A55" s="40">
        <v>14105531</v>
      </c>
      <c r="B55" s="40" t="s">
        <v>46</v>
      </c>
      <c r="C55" s="41" t="s">
        <v>624</v>
      </c>
      <c r="D55" s="42" t="s">
        <v>3</v>
      </c>
      <c r="E55" s="43" t="s">
        <v>581</v>
      </c>
      <c r="F55" s="43" t="s">
        <v>582</v>
      </c>
      <c r="G55" s="44">
        <v>80</v>
      </c>
      <c r="H55" s="43" t="s">
        <v>585</v>
      </c>
      <c r="I55" s="45" t="s">
        <v>583</v>
      </c>
      <c r="J55" s="45" t="s">
        <v>561</v>
      </c>
      <c r="K55" s="126">
        <v>134.18</v>
      </c>
      <c r="L55" s="126">
        <v>134.18</v>
      </c>
      <c r="M55" s="126"/>
      <c r="N55" s="126">
        <v>0</v>
      </c>
      <c r="O55" s="126">
        <v>177.44</v>
      </c>
      <c r="P55" s="132"/>
      <c r="Q55" s="133"/>
      <c r="R55" s="132"/>
      <c r="S55" s="46">
        <v>445.8</v>
      </c>
      <c r="T55" s="112"/>
      <c r="U55" s="56" t="s">
        <v>953</v>
      </c>
      <c r="V55" s="105" t="s">
        <v>585</v>
      </c>
    </row>
    <row r="56" spans="1:24" customFormat="1" ht="21.75" customHeight="1" x14ac:dyDescent="0.3">
      <c r="A56" s="39">
        <v>14105586</v>
      </c>
      <c r="B56" s="40" t="s">
        <v>47</v>
      </c>
      <c r="C56" s="41" t="s">
        <v>625</v>
      </c>
      <c r="D56" s="42" t="s">
        <v>3</v>
      </c>
      <c r="E56" s="43" t="s">
        <v>581</v>
      </c>
      <c r="F56" s="43" t="s">
        <v>582</v>
      </c>
      <c r="G56" s="44">
        <v>93</v>
      </c>
      <c r="H56" s="43" t="s">
        <v>583</v>
      </c>
      <c r="I56" s="45" t="s">
        <v>583</v>
      </c>
      <c r="J56" s="45" t="s">
        <v>561</v>
      </c>
      <c r="K56" s="126">
        <v>134.18</v>
      </c>
      <c r="L56" s="126">
        <v>134.18</v>
      </c>
      <c r="M56" s="126"/>
      <c r="N56" s="126">
        <v>200</v>
      </c>
      <c r="O56" s="126">
        <v>177.44</v>
      </c>
      <c r="P56" s="132"/>
      <c r="Q56" s="133"/>
      <c r="R56" s="148"/>
      <c r="S56" s="46">
        <v>645.79999999999995</v>
      </c>
      <c r="T56" s="112"/>
      <c r="U56" s="56" t="s">
        <v>953</v>
      </c>
      <c r="V56" s="105" t="s">
        <v>585</v>
      </c>
    </row>
    <row r="57" spans="1:24" ht="21.75" customHeight="1" x14ac:dyDescent="0.3">
      <c r="A57" s="39">
        <v>14105645</v>
      </c>
      <c r="B57" s="40" t="s">
        <v>161</v>
      </c>
      <c r="C57" s="41" t="s">
        <v>626</v>
      </c>
      <c r="D57" s="42" t="s">
        <v>3</v>
      </c>
      <c r="E57" s="43" t="s">
        <v>581</v>
      </c>
      <c r="F57" s="43" t="s">
        <v>582</v>
      </c>
      <c r="G57" s="44">
        <v>92</v>
      </c>
      <c r="H57" s="43" t="s">
        <v>583</v>
      </c>
      <c r="I57" s="45" t="s">
        <v>583</v>
      </c>
      <c r="J57" s="45" t="s">
        <v>561</v>
      </c>
      <c r="K57" s="126">
        <v>134.18</v>
      </c>
      <c r="L57" s="126">
        <v>134.18</v>
      </c>
      <c r="M57" s="126"/>
      <c r="N57" s="126">
        <v>200</v>
      </c>
      <c r="O57" s="126">
        <v>177.44</v>
      </c>
      <c r="P57" s="145"/>
      <c r="Q57" s="146"/>
      <c r="R57" s="147"/>
      <c r="S57" s="46">
        <v>645.79999999999995</v>
      </c>
      <c r="T57" s="112"/>
      <c r="U57" s="56" t="s">
        <v>953</v>
      </c>
      <c r="V57" s="105" t="s">
        <v>2034</v>
      </c>
    </row>
    <row r="58" spans="1:24" customFormat="1" ht="21.75" customHeight="1" x14ac:dyDescent="0.3">
      <c r="A58" s="39">
        <v>14106033</v>
      </c>
      <c r="B58" s="40" t="s">
        <v>48</v>
      </c>
      <c r="C58" s="41" t="s">
        <v>627</v>
      </c>
      <c r="D58" s="42" t="s">
        <v>3</v>
      </c>
      <c r="E58" s="43" t="s">
        <v>581</v>
      </c>
      <c r="F58" s="43" t="s">
        <v>582</v>
      </c>
      <c r="G58" s="44">
        <v>90</v>
      </c>
      <c r="H58" s="43" t="s">
        <v>583</v>
      </c>
      <c r="I58" s="45" t="s">
        <v>583</v>
      </c>
      <c r="J58" s="45" t="s">
        <v>561</v>
      </c>
      <c r="K58" s="126">
        <v>134.18</v>
      </c>
      <c r="L58" s="126">
        <v>134.18</v>
      </c>
      <c r="M58" s="126"/>
      <c r="N58" s="126">
        <v>200</v>
      </c>
      <c r="O58" s="126">
        <v>177.44</v>
      </c>
      <c r="P58" s="132"/>
      <c r="Q58" s="133"/>
      <c r="R58" s="147"/>
      <c r="S58" s="46">
        <v>645.79999999999995</v>
      </c>
      <c r="T58" s="112"/>
      <c r="U58" s="56" t="s">
        <v>953</v>
      </c>
      <c r="V58" s="105" t="s">
        <v>585</v>
      </c>
    </row>
    <row r="59" spans="1:24" customFormat="1" ht="21.75" customHeight="1" x14ac:dyDescent="0.3">
      <c r="A59" s="39">
        <v>14106035</v>
      </c>
      <c r="B59" s="40" t="s">
        <v>49</v>
      </c>
      <c r="C59" s="41" t="s">
        <v>2573</v>
      </c>
      <c r="D59" s="42" t="s">
        <v>3</v>
      </c>
      <c r="E59" s="43" t="s">
        <v>581</v>
      </c>
      <c r="F59" s="43" t="s">
        <v>582</v>
      </c>
      <c r="G59" s="44" t="s">
        <v>1609</v>
      </c>
      <c r="H59" s="43" t="s">
        <v>585</v>
      </c>
      <c r="I59" s="45" t="s">
        <v>583</v>
      </c>
      <c r="J59" s="45" t="s">
        <v>587</v>
      </c>
      <c r="K59" s="126">
        <v>0</v>
      </c>
      <c r="L59" s="126">
        <v>0</v>
      </c>
      <c r="M59" s="126"/>
      <c r="N59" s="126">
        <v>0</v>
      </c>
      <c r="O59" s="126">
        <v>0</v>
      </c>
      <c r="P59" s="145"/>
      <c r="Q59" s="146"/>
      <c r="R59" s="147"/>
      <c r="S59" s="46">
        <v>0</v>
      </c>
      <c r="T59" s="112"/>
      <c r="U59" s="56" t="s">
        <v>585</v>
      </c>
      <c r="V59" s="105" t="s">
        <v>585</v>
      </c>
      <c r="X59" s="127"/>
    </row>
    <row r="60" spans="1:24" customFormat="1" ht="21.75" customHeight="1" x14ac:dyDescent="0.3">
      <c r="A60" s="39">
        <v>14106066</v>
      </c>
      <c r="B60" s="40" t="s">
        <v>50</v>
      </c>
      <c r="C60" s="41" t="s">
        <v>628</v>
      </c>
      <c r="D60" s="42" t="s">
        <v>3</v>
      </c>
      <c r="E60" s="43" t="s">
        <v>581</v>
      </c>
      <c r="F60" s="43" t="s">
        <v>582</v>
      </c>
      <c r="G60" s="44">
        <v>84</v>
      </c>
      <c r="H60" s="43" t="s">
        <v>585</v>
      </c>
      <c r="I60" s="45" t="s">
        <v>583</v>
      </c>
      <c r="J60" s="45" t="s">
        <v>561</v>
      </c>
      <c r="K60" s="126">
        <v>134.18</v>
      </c>
      <c r="L60" s="126">
        <v>134.18</v>
      </c>
      <c r="M60" s="126"/>
      <c r="N60" s="126">
        <v>0</v>
      </c>
      <c r="O60" s="126">
        <v>177.44</v>
      </c>
      <c r="P60" s="145"/>
      <c r="Q60" s="146"/>
      <c r="R60" s="147"/>
      <c r="S60" s="46">
        <v>445.8</v>
      </c>
      <c r="T60" s="112"/>
      <c r="U60" s="56" t="s">
        <v>953</v>
      </c>
      <c r="V60" s="105" t="s">
        <v>585</v>
      </c>
    </row>
    <row r="61" spans="1:24" customFormat="1" ht="21.75" customHeight="1" x14ac:dyDescent="0.3">
      <c r="A61" s="39">
        <v>14106233</v>
      </c>
      <c r="B61" s="40" t="s">
        <v>347</v>
      </c>
      <c r="C61" s="41" t="s">
        <v>629</v>
      </c>
      <c r="D61" s="42" t="s">
        <v>3</v>
      </c>
      <c r="E61" s="43" t="s">
        <v>581</v>
      </c>
      <c r="F61" s="43" t="s">
        <v>582</v>
      </c>
      <c r="G61" s="44">
        <v>94</v>
      </c>
      <c r="H61" s="43" t="s">
        <v>583</v>
      </c>
      <c r="I61" s="45" t="s">
        <v>583</v>
      </c>
      <c r="J61" s="45" t="s">
        <v>587</v>
      </c>
      <c r="K61" s="126">
        <v>134.18</v>
      </c>
      <c r="L61" s="126">
        <v>134.18</v>
      </c>
      <c r="M61" s="126"/>
      <c r="N61" s="126">
        <v>200</v>
      </c>
      <c r="O61" s="126">
        <v>0</v>
      </c>
      <c r="P61" s="145"/>
      <c r="Q61" s="146"/>
      <c r="R61" s="147"/>
      <c r="S61" s="46">
        <v>468.36</v>
      </c>
      <c r="T61" s="112"/>
      <c r="U61" s="56" t="s">
        <v>953</v>
      </c>
      <c r="V61" s="105" t="s">
        <v>925</v>
      </c>
    </row>
    <row r="62" spans="1:24" customFormat="1" ht="21.75" customHeight="1" x14ac:dyDescent="0.3">
      <c r="A62" s="39">
        <v>14106368</v>
      </c>
      <c r="B62" s="48" t="s">
        <v>51</v>
      </c>
      <c r="C62" s="41" t="s">
        <v>630</v>
      </c>
      <c r="D62" s="42" t="s">
        <v>3</v>
      </c>
      <c r="E62" s="43" t="s">
        <v>581</v>
      </c>
      <c r="F62" s="43" t="s">
        <v>582</v>
      </c>
      <c r="G62" s="44">
        <v>91</v>
      </c>
      <c r="H62" s="43" t="s">
        <v>583</v>
      </c>
      <c r="I62" s="45" t="s">
        <v>1051</v>
      </c>
      <c r="J62" s="45" t="s">
        <v>561</v>
      </c>
      <c r="K62" s="126">
        <v>134.18</v>
      </c>
      <c r="L62" s="126">
        <v>134.18</v>
      </c>
      <c r="M62" s="126"/>
      <c r="N62" s="126">
        <v>0</v>
      </c>
      <c r="O62" s="126">
        <v>0</v>
      </c>
      <c r="P62" s="132"/>
      <c r="Q62" s="133"/>
      <c r="R62" s="148"/>
      <c r="S62" s="46">
        <v>268.36</v>
      </c>
      <c r="T62" s="112"/>
      <c r="U62" s="56" t="s">
        <v>953</v>
      </c>
      <c r="V62" s="105" t="s">
        <v>585</v>
      </c>
    </row>
    <row r="63" spans="1:24" customFormat="1" ht="21.75" customHeight="1" x14ac:dyDescent="0.3">
      <c r="A63" s="39">
        <v>14106438</v>
      </c>
      <c r="B63" s="48" t="s">
        <v>52</v>
      </c>
      <c r="C63" s="41" t="s">
        <v>631</v>
      </c>
      <c r="D63" s="42" t="s">
        <v>3</v>
      </c>
      <c r="E63" s="43" t="s">
        <v>581</v>
      </c>
      <c r="F63" s="43" t="s">
        <v>582</v>
      </c>
      <c r="G63" s="44">
        <v>95</v>
      </c>
      <c r="H63" s="43" t="s">
        <v>583</v>
      </c>
      <c r="I63" s="45" t="s">
        <v>1051</v>
      </c>
      <c r="J63" s="45" t="s">
        <v>561</v>
      </c>
      <c r="K63" s="126">
        <v>134.18</v>
      </c>
      <c r="L63" s="126">
        <v>134.18</v>
      </c>
      <c r="M63" s="126"/>
      <c r="N63" s="126">
        <v>0</v>
      </c>
      <c r="O63" s="126">
        <v>0</v>
      </c>
      <c r="P63" s="145"/>
      <c r="Q63" s="146"/>
      <c r="R63" s="147"/>
      <c r="S63" s="46">
        <v>268.36</v>
      </c>
      <c r="T63" s="112"/>
      <c r="U63" s="56" t="s">
        <v>953</v>
      </c>
      <c r="V63" s="105" t="s">
        <v>585</v>
      </c>
    </row>
    <row r="64" spans="1:24" customFormat="1" ht="21.75" customHeight="1" x14ac:dyDescent="0.3">
      <c r="A64" s="39">
        <v>14106778</v>
      </c>
      <c r="B64" s="40" t="s">
        <v>53</v>
      </c>
      <c r="C64" s="41" t="s">
        <v>632</v>
      </c>
      <c r="D64" s="42" t="s">
        <v>3</v>
      </c>
      <c r="E64" s="43" t="s">
        <v>581</v>
      </c>
      <c r="F64" s="43" t="s">
        <v>582</v>
      </c>
      <c r="G64" s="44">
        <v>93</v>
      </c>
      <c r="H64" s="43" t="s">
        <v>583</v>
      </c>
      <c r="I64" s="45" t="s">
        <v>1051</v>
      </c>
      <c r="J64" s="45" t="s">
        <v>587</v>
      </c>
      <c r="K64" s="126">
        <v>134.18</v>
      </c>
      <c r="L64" s="126">
        <v>134.18</v>
      </c>
      <c r="M64" s="126"/>
      <c r="N64" s="126">
        <v>0</v>
      </c>
      <c r="O64" s="126">
        <v>0</v>
      </c>
      <c r="P64" s="132"/>
      <c r="Q64" s="133"/>
      <c r="R64" s="147"/>
      <c r="S64" s="46">
        <v>268.36</v>
      </c>
      <c r="T64" s="112"/>
      <c r="U64" s="56" t="s">
        <v>953</v>
      </c>
      <c r="V64" s="105" t="s">
        <v>585</v>
      </c>
    </row>
    <row r="65" spans="1:24" customFormat="1" ht="21.75" customHeight="1" x14ac:dyDescent="0.3">
      <c r="A65" s="39">
        <v>14106949</v>
      </c>
      <c r="B65" s="40" t="s">
        <v>54</v>
      </c>
      <c r="C65" s="41" t="s">
        <v>633</v>
      </c>
      <c r="D65" s="42" t="s">
        <v>3</v>
      </c>
      <c r="E65" s="43" t="s">
        <v>581</v>
      </c>
      <c r="F65" s="43" t="s">
        <v>582</v>
      </c>
      <c r="G65" s="44">
        <v>94</v>
      </c>
      <c r="H65" s="43" t="s">
        <v>583</v>
      </c>
      <c r="I65" s="45" t="s">
        <v>583</v>
      </c>
      <c r="J65" s="45" t="s">
        <v>561</v>
      </c>
      <c r="K65" s="126">
        <v>134.18</v>
      </c>
      <c r="L65" s="126">
        <v>134.18</v>
      </c>
      <c r="M65" s="126"/>
      <c r="N65" s="126">
        <v>200</v>
      </c>
      <c r="O65" s="126">
        <v>177.44</v>
      </c>
      <c r="P65" s="132"/>
      <c r="Q65" s="132"/>
      <c r="R65" s="147"/>
      <c r="S65" s="46">
        <v>645.79999999999995</v>
      </c>
      <c r="T65" s="112"/>
      <c r="U65" s="56" t="s">
        <v>953</v>
      </c>
      <c r="V65" s="105" t="s">
        <v>585</v>
      </c>
    </row>
    <row r="66" spans="1:24" customFormat="1" ht="21.75" customHeight="1" x14ac:dyDescent="0.3">
      <c r="A66" s="39">
        <v>14106980</v>
      </c>
      <c r="B66" s="40" t="s">
        <v>55</v>
      </c>
      <c r="C66" s="41" t="s">
        <v>634</v>
      </c>
      <c r="D66" s="42" t="s">
        <v>3</v>
      </c>
      <c r="E66" s="43" t="s">
        <v>581</v>
      </c>
      <c r="F66" s="43" t="s">
        <v>582</v>
      </c>
      <c r="G66" s="44">
        <v>95</v>
      </c>
      <c r="H66" s="43" t="s">
        <v>583</v>
      </c>
      <c r="I66" s="45" t="s">
        <v>583</v>
      </c>
      <c r="J66" s="45" t="s">
        <v>561</v>
      </c>
      <c r="K66" s="126">
        <v>134.18</v>
      </c>
      <c r="L66" s="126">
        <v>134.18</v>
      </c>
      <c r="M66" s="126"/>
      <c r="N66" s="126">
        <v>200</v>
      </c>
      <c r="O66" s="126">
        <v>177.44</v>
      </c>
      <c r="P66" s="132"/>
      <c r="Q66" s="133"/>
      <c r="R66" s="147"/>
      <c r="S66" s="46">
        <v>645.79999999999995</v>
      </c>
      <c r="T66" s="112"/>
      <c r="U66" s="56" t="s">
        <v>953</v>
      </c>
      <c r="V66" s="105" t="s">
        <v>585</v>
      </c>
    </row>
    <row r="67" spans="1:24" customFormat="1" ht="21.75" customHeight="1" x14ac:dyDescent="0.3">
      <c r="A67" s="39">
        <v>14107081</v>
      </c>
      <c r="B67" s="40" t="s">
        <v>56</v>
      </c>
      <c r="C67" s="41" t="s">
        <v>635</v>
      </c>
      <c r="D67" s="42" t="s">
        <v>3</v>
      </c>
      <c r="E67" s="43" t="s">
        <v>581</v>
      </c>
      <c r="F67" s="43" t="s">
        <v>582</v>
      </c>
      <c r="G67" s="44">
        <v>94</v>
      </c>
      <c r="H67" s="43" t="s">
        <v>583</v>
      </c>
      <c r="I67" s="45" t="s">
        <v>583</v>
      </c>
      <c r="J67" s="45" t="s">
        <v>587</v>
      </c>
      <c r="K67" s="126">
        <v>0</v>
      </c>
      <c r="L67" s="126">
        <v>0</v>
      </c>
      <c r="M67" s="126"/>
      <c r="N67" s="126">
        <v>0</v>
      </c>
      <c r="O67" s="126">
        <v>0</v>
      </c>
      <c r="P67" s="145"/>
      <c r="Q67" s="146"/>
      <c r="R67" s="148"/>
      <c r="S67" s="46">
        <v>0</v>
      </c>
      <c r="T67" s="112"/>
      <c r="U67" s="56" t="s">
        <v>585</v>
      </c>
      <c r="V67" s="105" t="s">
        <v>585</v>
      </c>
      <c r="X67" s="127"/>
    </row>
    <row r="68" spans="1:24" customFormat="1" ht="21.75" customHeight="1" x14ac:dyDescent="0.3">
      <c r="A68" s="39">
        <v>14107167</v>
      </c>
      <c r="B68" s="40" t="s">
        <v>57</v>
      </c>
      <c r="C68" s="41" t="s">
        <v>636</v>
      </c>
      <c r="D68" s="42" t="s">
        <v>3</v>
      </c>
      <c r="E68" s="43" t="s">
        <v>581</v>
      </c>
      <c r="F68" s="43" t="s">
        <v>582</v>
      </c>
      <c r="G68" s="44">
        <v>94</v>
      </c>
      <c r="H68" s="43" t="s">
        <v>583</v>
      </c>
      <c r="I68" s="45" t="s">
        <v>1051</v>
      </c>
      <c r="J68" s="45" t="s">
        <v>561</v>
      </c>
      <c r="K68" s="126">
        <v>134.18</v>
      </c>
      <c r="L68" s="126">
        <v>134.18</v>
      </c>
      <c r="M68" s="126"/>
      <c r="N68" s="126">
        <v>0</v>
      </c>
      <c r="O68" s="126">
        <v>0</v>
      </c>
      <c r="P68" s="149"/>
      <c r="Q68" s="149"/>
      <c r="R68" s="132"/>
      <c r="S68" s="46">
        <v>268.36</v>
      </c>
      <c r="T68" s="112"/>
      <c r="U68" s="56" t="s">
        <v>953</v>
      </c>
      <c r="V68" s="105" t="s">
        <v>585</v>
      </c>
    </row>
    <row r="69" spans="1:24" customFormat="1" ht="21.75" customHeight="1" x14ac:dyDescent="0.3">
      <c r="A69" s="39">
        <v>14107202</v>
      </c>
      <c r="B69" s="40" t="s">
        <v>58</v>
      </c>
      <c r="C69" s="41" t="s">
        <v>637</v>
      </c>
      <c r="D69" s="42" t="s">
        <v>3</v>
      </c>
      <c r="E69" s="43" t="s">
        <v>581</v>
      </c>
      <c r="F69" s="43" t="s">
        <v>582</v>
      </c>
      <c r="G69" s="44">
        <v>89</v>
      </c>
      <c r="H69" s="43" t="s">
        <v>585</v>
      </c>
      <c r="I69" s="45" t="s">
        <v>583</v>
      </c>
      <c r="J69" s="45" t="s">
        <v>561</v>
      </c>
      <c r="K69" s="126">
        <v>134.18</v>
      </c>
      <c r="L69" s="126">
        <v>134.18</v>
      </c>
      <c r="M69" s="126"/>
      <c r="N69" s="126">
        <v>0</v>
      </c>
      <c r="O69" s="126">
        <v>177.44</v>
      </c>
      <c r="P69" s="145"/>
      <c r="Q69" s="146"/>
      <c r="R69" s="147"/>
      <c r="S69" s="46">
        <v>445.8</v>
      </c>
      <c r="T69" s="112"/>
      <c r="U69" s="56" t="s">
        <v>953</v>
      </c>
      <c r="V69" s="105" t="s">
        <v>585</v>
      </c>
    </row>
    <row r="70" spans="1:24" customFormat="1" ht="21.75" customHeight="1" x14ac:dyDescent="0.3">
      <c r="A70" s="39">
        <v>14107206</v>
      </c>
      <c r="B70" s="40" t="s">
        <v>59</v>
      </c>
      <c r="C70" s="41" t="s">
        <v>638</v>
      </c>
      <c r="D70" s="42" t="s">
        <v>3</v>
      </c>
      <c r="E70" s="43" t="s">
        <v>581</v>
      </c>
      <c r="F70" s="43" t="s">
        <v>582</v>
      </c>
      <c r="G70" s="44">
        <v>91</v>
      </c>
      <c r="H70" s="43" t="s">
        <v>583</v>
      </c>
      <c r="I70" s="45" t="s">
        <v>583</v>
      </c>
      <c r="J70" s="45" t="s">
        <v>561</v>
      </c>
      <c r="K70" s="126">
        <v>134.18</v>
      </c>
      <c r="L70" s="126">
        <v>134.18</v>
      </c>
      <c r="M70" s="126"/>
      <c r="N70" s="126">
        <v>200</v>
      </c>
      <c r="O70" s="126">
        <v>177.44</v>
      </c>
      <c r="P70" s="132"/>
      <c r="Q70" s="133"/>
      <c r="R70" s="147"/>
      <c r="S70" s="46">
        <v>645.79999999999995</v>
      </c>
      <c r="T70" s="112"/>
      <c r="U70" s="56" t="s">
        <v>953</v>
      </c>
      <c r="V70" s="105" t="s">
        <v>2034</v>
      </c>
    </row>
    <row r="71" spans="1:24" customFormat="1" ht="21.75" customHeight="1" x14ac:dyDescent="0.3">
      <c r="A71" s="39">
        <v>14107271</v>
      </c>
      <c r="B71" s="40" t="s">
        <v>61</v>
      </c>
      <c r="C71" s="41" t="s">
        <v>639</v>
      </c>
      <c r="D71" s="42" t="s">
        <v>3</v>
      </c>
      <c r="E71" s="43" t="s">
        <v>581</v>
      </c>
      <c r="F71" s="43" t="s">
        <v>582</v>
      </c>
      <c r="G71" s="44">
        <v>84</v>
      </c>
      <c r="H71" s="43" t="s">
        <v>585</v>
      </c>
      <c r="I71" s="45" t="s">
        <v>583</v>
      </c>
      <c r="J71" s="45" t="s">
        <v>587</v>
      </c>
      <c r="K71" s="126">
        <v>134.18</v>
      </c>
      <c r="L71" s="126">
        <v>134.18</v>
      </c>
      <c r="M71" s="126"/>
      <c r="N71" s="126">
        <v>0</v>
      </c>
      <c r="O71" s="126">
        <v>0</v>
      </c>
      <c r="P71" s="145"/>
      <c r="Q71" s="146"/>
      <c r="R71" s="147"/>
      <c r="S71" s="46">
        <v>268.36</v>
      </c>
      <c r="T71" s="112"/>
      <c r="U71" s="56" t="s">
        <v>953</v>
      </c>
      <c r="V71" s="105" t="s">
        <v>585</v>
      </c>
    </row>
    <row r="72" spans="1:24" customFormat="1" ht="21.75" customHeight="1" x14ac:dyDescent="0.3">
      <c r="A72" s="39">
        <v>14107293</v>
      </c>
      <c r="B72" s="40" t="s">
        <v>196</v>
      </c>
      <c r="C72" s="41" t="s">
        <v>640</v>
      </c>
      <c r="D72" s="42" t="s">
        <v>3</v>
      </c>
      <c r="E72" s="43" t="s">
        <v>581</v>
      </c>
      <c r="F72" s="43" t="s">
        <v>582</v>
      </c>
      <c r="G72" s="44" t="s">
        <v>1609</v>
      </c>
      <c r="H72" s="43" t="s">
        <v>585</v>
      </c>
      <c r="I72" s="45" t="s">
        <v>583</v>
      </c>
      <c r="J72" s="45" t="s">
        <v>587</v>
      </c>
      <c r="K72" s="126">
        <v>0</v>
      </c>
      <c r="L72" s="126">
        <v>0</v>
      </c>
      <c r="M72" s="126"/>
      <c r="N72" s="126">
        <v>0</v>
      </c>
      <c r="O72" s="126">
        <v>0</v>
      </c>
      <c r="P72" s="145"/>
      <c r="Q72" s="146"/>
      <c r="R72" s="147"/>
      <c r="S72" s="46">
        <v>0</v>
      </c>
      <c r="T72" s="112"/>
      <c r="U72" s="56" t="s">
        <v>585</v>
      </c>
      <c r="V72" s="105" t="s">
        <v>585</v>
      </c>
      <c r="X72" s="127"/>
    </row>
    <row r="73" spans="1:24" customFormat="1" ht="21.75" customHeight="1" x14ac:dyDescent="0.3">
      <c r="A73" s="39">
        <v>14107393</v>
      </c>
      <c r="B73" s="40" t="s">
        <v>62</v>
      </c>
      <c r="C73" s="41" t="s">
        <v>641</v>
      </c>
      <c r="D73" s="42" t="s">
        <v>3</v>
      </c>
      <c r="E73" s="43" t="s">
        <v>581</v>
      </c>
      <c r="F73" s="43" t="s">
        <v>582</v>
      </c>
      <c r="G73" s="44">
        <v>91</v>
      </c>
      <c r="H73" s="43" t="s">
        <v>583</v>
      </c>
      <c r="I73" s="45" t="s">
        <v>1051</v>
      </c>
      <c r="J73" s="45" t="s">
        <v>561</v>
      </c>
      <c r="K73" s="126">
        <v>134.18</v>
      </c>
      <c r="L73" s="126">
        <v>134.18</v>
      </c>
      <c r="M73" s="126"/>
      <c r="N73" s="126">
        <v>0</v>
      </c>
      <c r="O73" s="126">
        <v>0</v>
      </c>
      <c r="P73" s="132"/>
      <c r="Q73" s="133"/>
      <c r="R73" s="147"/>
      <c r="S73" s="46">
        <v>268.36</v>
      </c>
      <c r="T73" s="112"/>
      <c r="U73" s="56" t="s">
        <v>953</v>
      </c>
      <c r="V73" s="105" t="s">
        <v>585</v>
      </c>
    </row>
    <row r="74" spans="1:24" customFormat="1" ht="21.75" customHeight="1" x14ac:dyDescent="0.3">
      <c r="A74" s="39">
        <v>14107484</v>
      </c>
      <c r="B74" s="40" t="s">
        <v>63</v>
      </c>
      <c r="C74" s="41" t="s">
        <v>642</v>
      </c>
      <c r="D74" s="42" t="s">
        <v>3</v>
      </c>
      <c r="E74" s="43" t="s">
        <v>581</v>
      </c>
      <c r="F74" s="43" t="s">
        <v>582</v>
      </c>
      <c r="G74" s="44">
        <v>95</v>
      </c>
      <c r="H74" s="43" t="s">
        <v>583</v>
      </c>
      <c r="I74" s="45" t="s">
        <v>583</v>
      </c>
      <c r="J74" s="45" t="s">
        <v>561</v>
      </c>
      <c r="K74" s="126">
        <v>134.18</v>
      </c>
      <c r="L74" s="126">
        <v>134.18</v>
      </c>
      <c r="M74" s="126"/>
      <c r="N74" s="126">
        <v>200</v>
      </c>
      <c r="O74" s="126">
        <v>177.44</v>
      </c>
      <c r="P74" s="132"/>
      <c r="Q74" s="133"/>
      <c r="R74" s="147"/>
      <c r="S74" s="46">
        <v>645.79999999999995</v>
      </c>
      <c r="T74" s="112"/>
      <c r="U74" s="56" t="s">
        <v>953</v>
      </c>
      <c r="V74" s="105" t="s">
        <v>585</v>
      </c>
    </row>
    <row r="75" spans="1:24" customFormat="1" ht="21.75" customHeight="1" x14ac:dyDescent="0.3">
      <c r="A75" s="39">
        <v>14107552</v>
      </c>
      <c r="B75" s="40" t="s">
        <v>64</v>
      </c>
      <c r="C75" s="41" t="s">
        <v>643</v>
      </c>
      <c r="D75" s="42" t="s">
        <v>3</v>
      </c>
      <c r="E75" s="43" t="s">
        <v>581</v>
      </c>
      <c r="F75" s="43" t="s">
        <v>582</v>
      </c>
      <c r="G75" s="44">
        <v>90</v>
      </c>
      <c r="H75" s="43" t="s">
        <v>583</v>
      </c>
      <c r="I75" s="45" t="s">
        <v>1051</v>
      </c>
      <c r="J75" s="45" t="s">
        <v>587</v>
      </c>
      <c r="K75" s="126">
        <v>134.18</v>
      </c>
      <c r="L75" s="126">
        <v>134.18</v>
      </c>
      <c r="M75" s="126"/>
      <c r="N75" s="126">
        <v>0</v>
      </c>
      <c r="O75" s="126">
        <v>0</v>
      </c>
      <c r="P75" s="145"/>
      <c r="Q75" s="146"/>
      <c r="R75" s="147"/>
      <c r="S75" s="46">
        <v>268.36</v>
      </c>
      <c r="T75" s="112"/>
      <c r="U75" s="56" t="s">
        <v>953</v>
      </c>
      <c r="V75" s="105" t="s">
        <v>585</v>
      </c>
    </row>
    <row r="76" spans="1:24" customFormat="1" ht="21.75" customHeight="1" x14ac:dyDescent="0.3">
      <c r="A76" s="39">
        <v>14107735</v>
      </c>
      <c r="B76" s="40" t="s">
        <v>65</v>
      </c>
      <c r="C76" s="41" t="s">
        <v>644</v>
      </c>
      <c r="D76" s="42" t="s">
        <v>3</v>
      </c>
      <c r="E76" s="43" t="s">
        <v>581</v>
      </c>
      <c r="F76" s="43" t="s">
        <v>582</v>
      </c>
      <c r="G76" s="44">
        <v>95</v>
      </c>
      <c r="H76" s="43" t="s">
        <v>583</v>
      </c>
      <c r="I76" s="45" t="s">
        <v>583</v>
      </c>
      <c r="J76" s="45" t="s">
        <v>561</v>
      </c>
      <c r="K76" s="126">
        <v>134.18</v>
      </c>
      <c r="L76" s="126">
        <v>134.18</v>
      </c>
      <c r="M76" s="126"/>
      <c r="N76" s="126">
        <v>200</v>
      </c>
      <c r="O76" s="126">
        <v>177.44</v>
      </c>
      <c r="P76" s="132"/>
      <c r="Q76" s="133"/>
      <c r="R76" s="147"/>
      <c r="S76" s="46">
        <v>645.79999999999995</v>
      </c>
      <c r="T76" s="112"/>
      <c r="U76" s="56" t="s">
        <v>953</v>
      </c>
      <c r="V76" s="105" t="s">
        <v>585</v>
      </c>
    </row>
    <row r="77" spans="1:24" customFormat="1" ht="21.75" customHeight="1" x14ac:dyDescent="0.3">
      <c r="A77" s="40">
        <v>14107754</v>
      </c>
      <c r="B77" s="40" t="s">
        <v>66</v>
      </c>
      <c r="C77" s="41" t="s">
        <v>645</v>
      </c>
      <c r="D77" s="42" t="s">
        <v>3</v>
      </c>
      <c r="E77" s="43" t="s">
        <v>581</v>
      </c>
      <c r="F77" s="43" t="s">
        <v>582</v>
      </c>
      <c r="G77" s="44">
        <v>93</v>
      </c>
      <c r="H77" s="43" t="s">
        <v>583</v>
      </c>
      <c r="I77" s="45" t="s">
        <v>583</v>
      </c>
      <c r="J77" s="45" t="s">
        <v>561</v>
      </c>
      <c r="K77" s="126">
        <v>134.18</v>
      </c>
      <c r="L77" s="126">
        <v>134.18</v>
      </c>
      <c r="M77" s="126"/>
      <c r="N77" s="126">
        <v>200</v>
      </c>
      <c r="O77" s="126">
        <v>177.44</v>
      </c>
      <c r="P77" s="132"/>
      <c r="Q77" s="133"/>
      <c r="R77" s="147"/>
      <c r="S77" s="46">
        <v>645.79999999999995</v>
      </c>
      <c r="T77" s="112"/>
      <c r="U77" s="56" t="s">
        <v>953</v>
      </c>
      <c r="V77" s="105" t="s">
        <v>585</v>
      </c>
    </row>
    <row r="78" spans="1:24" customFormat="1" ht="21.75" customHeight="1" x14ac:dyDescent="0.3">
      <c r="A78" s="39">
        <v>14107840</v>
      </c>
      <c r="B78" s="40" t="s">
        <v>67</v>
      </c>
      <c r="C78" s="41" t="s">
        <v>646</v>
      </c>
      <c r="D78" s="42" t="s">
        <v>3</v>
      </c>
      <c r="E78" s="43" t="s">
        <v>581</v>
      </c>
      <c r="F78" s="43" t="s">
        <v>582</v>
      </c>
      <c r="G78" s="44">
        <v>94</v>
      </c>
      <c r="H78" s="43" t="s">
        <v>583</v>
      </c>
      <c r="I78" s="45" t="s">
        <v>583</v>
      </c>
      <c r="J78" s="45" t="s">
        <v>587</v>
      </c>
      <c r="K78" s="126">
        <v>134.18</v>
      </c>
      <c r="L78" s="126">
        <v>134.18</v>
      </c>
      <c r="M78" s="126"/>
      <c r="N78" s="126">
        <v>200</v>
      </c>
      <c r="O78" s="126">
        <v>0</v>
      </c>
      <c r="P78" s="145"/>
      <c r="Q78" s="146"/>
      <c r="R78" s="147"/>
      <c r="S78" s="46">
        <v>468.36</v>
      </c>
      <c r="T78" s="112"/>
      <c r="U78" s="56" t="s">
        <v>953</v>
      </c>
      <c r="V78" s="105" t="s">
        <v>585</v>
      </c>
    </row>
    <row r="79" spans="1:24" customFormat="1" ht="21.75" customHeight="1" x14ac:dyDescent="0.3">
      <c r="A79" s="39">
        <v>14107967</v>
      </c>
      <c r="B79" s="40" t="s">
        <v>68</v>
      </c>
      <c r="C79" s="41" t="s">
        <v>647</v>
      </c>
      <c r="D79" s="42" t="s">
        <v>3</v>
      </c>
      <c r="E79" s="43" t="s">
        <v>581</v>
      </c>
      <c r="F79" s="43" t="s">
        <v>582</v>
      </c>
      <c r="G79" s="44">
        <v>95</v>
      </c>
      <c r="H79" s="43" t="s">
        <v>583</v>
      </c>
      <c r="I79" s="45" t="s">
        <v>1051</v>
      </c>
      <c r="J79" s="45" t="s">
        <v>587</v>
      </c>
      <c r="K79" s="126">
        <v>0</v>
      </c>
      <c r="L79" s="126">
        <v>0</v>
      </c>
      <c r="M79" s="126"/>
      <c r="N79" s="126">
        <v>0</v>
      </c>
      <c r="O79" s="126">
        <v>0</v>
      </c>
      <c r="P79" s="145"/>
      <c r="Q79" s="146"/>
      <c r="R79" s="147"/>
      <c r="S79" s="46">
        <v>0</v>
      </c>
      <c r="T79" s="112"/>
      <c r="U79" s="56" t="s">
        <v>585</v>
      </c>
      <c r="V79" s="105" t="s">
        <v>585</v>
      </c>
      <c r="X79" s="127"/>
    </row>
    <row r="80" spans="1:24" customFormat="1" ht="21.75" customHeight="1" x14ac:dyDescent="0.3">
      <c r="A80" s="39">
        <v>14107978</v>
      </c>
      <c r="B80" s="40" t="s">
        <v>69</v>
      </c>
      <c r="C80" s="41" t="s">
        <v>648</v>
      </c>
      <c r="D80" s="42" t="s">
        <v>3</v>
      </c>
      <c r="E80" s="43" t="s">
        <v>2035</v>
      </c>
      <c r="F80" s="43" t="s">
        <v>582</v>
      </c>
      <c r="G80" s="44">
        <v>91</v>
      </c>
      <c r="H80" s="43" t="s">
        <v>583</v>
      </c>
      <c r="I80" s="45" t="s">
        <v>583</v>
      </c>
      <c r="J80" s="45" t="s">
        <v>561</v>
      </c>
      <c r="K80" s="126">
        <v>0</v>
      </c>
      <c r="L80" s="126">
        <v>134.18</v>
      </c>
      <c r="M80" s="126"/>
      <c r="N80" s="126">
        <v>200</v>
      </c>
      <c r="O80" s="126">
        <v>177.44</v>
      </c>
      <c r="P80" s="132"/>
      <c r="Q80" s="133"/>
      <c r="R80" s="147"/>
      <c r="S80" s="46">
        <v>511.62</v>
      </c>
      <c r="T80" s="112"/>
      <c r="U80" s="56" t="s">
        <v>953</v>
      </c>
      <c r="V80" s="105" t="s">
        <v>585</v>
      </c>
    </row>
    <row r="81" spans="1:24" customFormat="1" ht="21.75" customHeight="1" x14ac:dyDescent="0.3">
      <c r="A81" s="39">
        <v>14108111</v>
      </c>
      <c r="B81" s="40" t="s">
        <v>70</v>
      </c>
      <c r="C81" s="41" t="s">
        <v>649</v>
      </c>
      <c r="D81" s="42" t="s">
        <v>3</v>
      </c>
      <c r="E81" s="43" t="s">
        <v>581</v>
      </c>
      <c r="F81" s="43" t="s">
        <v>582</v>
      </c>
      <c r="G81" s="44">
        <v>92</v>
      </c>
      <c r="H81" s="43" t="s">
        <v>583</v>
      </c>
      <c r="I81" s="45" t="s">
        <v>1051</v>
      </c>
      <c r="J81" s="45" t="s">
        <v>561</v>
      </c>
      <c r="K81" s="126">
        <v>134.18</v>
      </c>
      <c r="L81" s="126">
        <v>134.18</v>
      </c>
      <c r="M81" s="126"/>
      <c r="N81" s="126">
        <v>0</v>
      </c>
      <c r="O81" s="126">
        <v>0</v>
      </c>
      <c r="P81" s="132"/>
      <c r="Q81" s="133"/>
      <c r="R81" s="147"/>
      <c r="S81" s="46">
        <v>268.36</v>
      </c>
      <c r="T81" s="112"/>
      <c r="U81" s="56" t="s">
        <v>953</v>
      </c>
      <c r="V81" s="105" t="s">
        <v>585</v>
      </c>
    </row>
    <row r="82" spans="1:24" customFormat="1" ht="21.75" customHeight="1" x14ac:dyDescent="0.3">
      <c r="A82" s="39">
        <v>14108150</v>
      </c>
      <c r="B82" s="40" t="s">
        <v>71</v>
      </c>
      <c r="C82" s="41" t="s">
        <v>650</v>
      </c>
      <c r="D82" s="42" t="s">
        <v>3</v>
      </c>
      <c r="E82" s="43" t="s">
        <v>581</v>
      </c>
      <c r="F82" s="43" t="s">
        <v>582</v>
      </c>
      <c r="G82" s="44">
        <v>92</v>
      </c>
      <c r="H82" s="43" t="s">
        <v>583</v>
      </c>
      <c r="I82" s="45" t="s">
        <v>583</v>
      </c>
      <c r="J82" s="45" t="s">
        <v>587</v>
      </c>
      <c r="K82" s="126">
        <v>0</v>
      </c>
      <c r="L82" s="126">
        <v>0</v>
      </c>
      <c r="M82" s="126"/>
      <c r="N82" s="126">
        <v>0</v>
      </c>
      <c r="O82" s="126">
        <v>0</v>
      </c>
      <c r="P82" s="145"/>
      <c r="Q82" s="146"/>
      <c r="R82" s="147"/>
      <c r="S82" s="46">
        <v>0</v>
      </c>
      <c r="T82" s="112"/>
      <c r="U82" s="56" t="s">
        <v>585</v>
      </c>
      <c r="V82" s="105" t="s">
        <v>585</v>
      </c>
      <c r="X82" s="127"/>
    </row>
    <row r="83" spans="1:24" customFormat="1" ht="21.75" customHeight="1" x14ac:dyDescent="0.3">
      <c r="A83" s="39">
        <v>14108222</v>
      </c>
      <c r="B83" s="40" t="s">
        <v>72</v>
      </c>
      <c r="C83" s="41" t="s">
        <v>652</v>
      </c>
      <c r="D83" s="42" t="s">
        <v>3</v>
      </c>
      <c r="E83" s="43" t="s">
        <v>581</v>
      </c>
      <c r="F83" s="43" t="s">
        <v>582</v>
      </c>
      <c r="G83" s="44">
        <v>91</v>
      </c>
      <c r="H83" s="43" t="s">
        <v>583</v>
      </c>
      <c r="I83" s="45" t="s">
        <v>1051</v>
      </c>
      <c r="J83" s="45" t="s">
        <v>561</v>
      </c>
      <c r="K83" s="126">
        <v>134.18</v>
      </c>
      <c r="L83" s="126">
        <v>134.18</v>
      </c>
      <c r="M83" s="126"/>
      <c r="N83" s="126">
        <v>0</v>
      </c>
      <c r="O83" s="126">
        <v>0</v>
      </c>
      <c r="P83" s="132"/>
      <c r="Q83" s="133"/>
      <c r="R83" s="147"/>
      <c r="S83" s="46">
        <v>268.36</v>
      </c>
      <c r="T83" s="112"/>
      <c r="U83" s="56" t="s">
        <v>953</v>
      </c>
      <c r="V83" s="105" t="s">
        <v>585</v>
      </c>
    </row>
    <row r="84" spans="1:24" customFormat="1" ht="21.75" customHeight="1" x14ac:dyDescent="0.3">
      <c r="A84" s="39">
        <v>14108267</v>
      </c>
      <c r="B84" s="40" t="s">
        <v>73</v>
      </c>
      <c r="C84" s="41" t="s">
        <v>653</v>
      </c>
      <c r="D84" s="42" t="s">
        <v>3</v>
      </c>
      <c r="E84" s="43" t="s">
        <v>581</v>
      </c>
      <c r="F84" s="43" t="s">
        <v>582</v>
      </c>
      <c r="G84" s="44">
        <v>83</v>
      </c>
      <c r="H84" s="43" t="s">
        <v>585</v>
      </c>
      <c r="I84" s="45" t="s">
        <v>1051</v>
      </c>
      <c r="J84" s="45" t="s">
        <v>561</v>
      </c>
      <c r="K84" s="126">
        <v>134.18</v>
      </c>
      <c r="L84" s="126">
        <v>134.18</v>
      </c>
      <c r="M84" s="126"/>
      <c r="N84" s="126">
        <v>0</v>
      </c>
      <c r="O84" s="126">
        <v>0</v>
      </c>
      <c r="P84" s="132"/>
      <c r="Q84" s="133"/>
      <c r="R84" s="147"/>
      <c r="S84" s="46">
        <v>268.36</v>
      </c>
      <c r="T84" s="112"/>
      <c r="U84" s="56" t="s">
        <v>953</v>
      </c>
      <c r="V84" s="105" t="s">
        <v>585</v>
      </c>
    </row>
    <row r="85" spans="1:24" customFormat="1" ht="21.75" customHeight="1" x14ac:dyDescent="0.3">
      <c r="A85" s="40">
        <v>14108271</v>
      </c>
      <c r="B85" s="40" t="s">
        <v>74</v>
      </c>
      <c r="C85" s="41" t="s">
        <v>653</v>
      </c>
      <c r="D85" s="42" t="s">
        <v>3</v>
      </c>
      <c r="E85" s="43" t="s">
        <v>581</v>
      </c>
      <c r="F85" s="43" t="s">
        <v>582</v>
      </c>
      <c r="G85" s="44">
        <v>93</v>
      </c>
      <c r="H85" s="43" t="s">
        <v>583</v>
      </c>
      <c r="I85" s="45" t="s">
        <v>583</v>
      </c>
      <c r="J85" s="45" t="s">
        <v>561</v>
      </c>
      <c r="K85" s="126">
        <v>134.18</v>
      </c>
      <c r="L85" s="126">
        <v>134.18</v>
      </c>
      <c r="M85" s="126"/>
      <c r="N85" s="126">
        <v>200</v>
      </c>
      <c r="O85" s="126">
        <v>177.44</v>
      </c>
      <c r="P85" s="132"/>
      <c r="Q85" s="133"/>
      <c r="R85" s="147"/>
      <c r="S85" s="46">
        <v>645.79999999999995</v>
      </c>
      <c r="T85" s="112"/>
      <c r="U85" s="56" t="s">
        <v>953</v>
      </c>
      <c r="V85" s="105" t="s">
        <v>2034</v>
      </c>
    </row>
    <row r="86" spans="1:24" customFormat="1" ht="21.75" customHeight="1" x14ac:dyDescent="0.3">
      <c r="A86" s="39">
        <v>14108361</v>
      </c>
      <c r="B86" s="40" t="s">
        <v>75</v>
      </c>
      <c r="C86" s="41" t="s">
        <v>654</v>
      </c>
      <c r="D86" s="42" t="s">
        <v>3</v>
      </c>
      <c r="E86" s="43" t="s">
        <v>581</v>
      </c>
      <c r="F86" s="43" t="s">
        <v>582</v>
      </c>
      <c r="G86" s="44">
        <v>33</v>
      </c>
      <c r="H86" s="43" t="s">
        <v>585</v>
      </c>
      <c r="I86" s="45" t="s">
        <v>1051</v>
      </c>
      <c r="J86" s="45" t="s">
        <v>587</v>
      </c>
      <c r="K86" s="126">
        <v>134.18</v>
      </c>
      <c r="L86" s="126">
        <v>134.18</v>
      </c>
      <c r="M86" s="126"/>
      <c r="N86" s="126">
        <v>0</v>
      </c>
      <c r="O86" s="126">
        <v>0</v>
      </c>
      <c r="P86" s="132"/>
      <c r="Q86" s="133"/>
      <c r="R86" s="148"/>
      <c r="S86" s="46">
        <v>268.36</v>
      </c>
      <c r="T86" s="112"/>
      <c r="U86" s="56" t="s">
        <v>953</v>
      </c>
      <c r="V86" s="105" t="s">
        <v>585</v>
      </c>
    </row>
    <row r="87" spans="1:24" customFormat="1" ht="21.75" customHeight="1" x14ac:dyDescent="0.3">
      <c r="A87" s="39">
        <v>14108382</v>
      </c>
      <c r="B87" s="48" t="s">
        <v>76</v>
      </c>
      <c r="C87" s="41" t="s">
        <v>654</v>
      </c>
      <c r="D87" s="42" t="s">
        <v>3</v>
      </c>
      <c r="E87" s="43" t="s">
        <v>581</v>
      </c>
      <c r="F87" s="43" t="s">
        <v>582</v>
      </c>
      <c r="G87" s="44">
        <v>39</v>
      </c>
      <c r="H87" s="43" t="s">
        <v>585</v>
      </c>
      <c r="I87" s="45" t="s">
        <v>1051</v>
      </c>
      <c r="J87" s="45" t="s">
        <v>587</v>
      </c>
      <c r="K87" s="126">
        <v>0</v>
      </c>
      <c r="L87" s="126">
        <v>0</v>
      </c>
      <c r="M87" s="126"/>
      <c r="N87" s="126">
        <v>0</v>
      </c>
      <c r="O87" s="126">
        <v>0</v>
      </c>
      <c r="P87" s="145"/>
      <c r="Q87" s="146"/>
      <c r="R87" s="147"/>
      <c r="S87" s="46">
        <v>0</v>
      </c>
      <c r="T87" s="112"/>
      <c r="U87" s="56" t="s">
        <v>585</v>
      </c>
      <c r="V87" s="105" t="s">
        <v>585</v>
      </c>
      <c r="X87" s="127"/>
    </row>
    <row r="88" spans="1:24" customFormat="1" ht="21.75" customHeight="1" x14ac:dyDescent="0.3">
      <c r="A88" s="39">
        <v>14108483</v>
      </c>
      <c r="B88" s="40" t="s">
        <v>77</v>
      </c>
      <c r="C88" s="41" t="s">
        <v>655</v>
      </c>
      <c r="D88" s="42" t="s">
        <v>3</v>
      </c>
      <c r="E88" s="43" t="s">
        <v>581</v>
      </c>
      <c r="F88" s="43" t="s">
        <v>582</v>
      </c>
      <c r="G88" s="44">
        <v>88</v>
      </c>
      <c r="H88" s="43" t="s">
        <v>585</v>
      </c>
      <c r="I88" s="45" t="s">
        <v>583</v>
      </c>
      <c r="J88" s="45" t="s">
        <v>587</v>
      </c>
      <c r="K88" s="126">
        <v>134.18</v>
      </c>
      <c r="L88" s="126">
        <v>134.18</v>
      </c>
      <c r="M88" s="126"/>
      <c r="N88" s="126">
        <v>0</v>
      </c>
      <c r="O88" s="126">
        <v>0</v>
      </c>
      <c r="P88" s="132"/>
      <c r="Q88" s="133"/>
      <c r="R88" s="147"/>
      <c r="S88" s="46">
        <v>268.36</v>
      </c>
      <c r="T88" s="112"/>
      <c r="U88" s="56" t="s">
        <v>953</v>
      </c>
      <c r="V88" s="105" t="s">
        <v>585</v>
      </c>
    </row>
    <row r="89" spans="1:24" customFormat="1" ht="21.75" customHeight="1" x14ac:dyDescent="0.3">
      <c r="A89" s="39">
        <v>14108552</v>
      </c>
      <c r="B89" s="40" t="s">
        <v>314</v>
      </c>
      <c r="C89" s="41" t="s">
        <v>656</v>
      </c>
      <c r="D89" s="42" t="s">
        <v>3</v>
      </c>
      <c r="E89" s="43" t="s">
        <v>581</v>
      </c>
      <c r="F89" s="43" t="s">
        <v>582</v>
      </c>
      <c r="G89" s="44">
        <v>87</v>
      </c>
      <c r="H89" s="43" t="s">
        <v>585</v>
      </c>
      <c r="I89" s="45" t="s">
        <v>1051</v>
      </c>
      <c r="J89" s="45" t="s">
        <v>561</v>
      </c>
      <c r="K89" s="126">
        <v>134.18</v>
      </c>
      <c r="L89" s="126">
        <v>134.18</v>
      </c>
      <c r="M89" s="126"/>
      <c r="N89" s="126">
        <v>0</v>
      </c>
      <c r="O89" s="126">
        <v>0</v>
      </c>
      <c r="P89" s="149"/>
      <c r="Q89" s="149"/>
      <c r="R89" s="147"/>
      <c r="S89" s="46">
        <v>268.36</v>
      </c>
      <c r="T89" s="112"/>
      <c r="U89" s="56" t="s">
        <v>953</v>
      </c>
      <c r="V89" s="105" t="s">
        <v>2034</v>
      </c>
    </row>
    <row r="90" spans="1:24" customFormat="1" ht="21.75" customHeight="1" x14ac:dyDescent="0.3">
      <c r="A90" s="39">
        <v>14108553</v>
      </c>
      <c r="B90" s="40" t="s">
        <v>156</v>
      </c>
      <c r="C90" s="41" t="s">
        <v>657</v>
      </c>
      <c r="D90" s="42" t="s">
        <v>3</v>
      </c>
      <c r="E90" s="43" t="s">
        <v>581</v>
      </c>
      <c r="F90" s="43" t="s">
        <v>582</v>
      </c>
      <c r="G90" s="44" t="s">
        <v>1609</v>
      </c>
      <c r="H90" s="43" t="s">
        <v>585</v>
      </c>
      <c r="I90" s="45" t="s">
        <v>583</v>
      </c>
      <c r="J90" s="45" t="s">
        <v>587</v>
      </c>
      <c r="K90" s="126">
        <v>0</v>
      </c>
      <c r="L90" s="126">
        <v>0</v>
      </c>
      <c r="M90" s="126"/>
      <c r="N90" s="126">
        <v>0</v>
      </c>
      <c r="O90" s="126">
        <v>0</v>
      </c>
      <c r="P90" s="145"/>
      <c r="Q90" s="146"/>
      <c r="R90" s="147"/>
      <c r="S90" s="46">
        <v>0</v>
      </c>
      <c r="T90" s="112"/>
      <c r="U90" s="56" t="s">
        <v>585</v>
      </c>
      <c r="V90" s="105" t="s">
        <v>585</v>
      </c>
      <c r="X90" s="127"/>
    </row>
    <row r="91" spans="1:24" customFormat="1" ht="21.75" customHeight="1" x14ac:dyDescent="0.3">
      <c r="A91" s="39">
        <v>14108571</v>
      </c>
      <c r="B91" s="40" t="s">
        <v>78</v>
      </c>
      <c r="C91" s="41" t="s">
        <v>658</v>
      </c>
      <c r="D91" s="42" t="s">
        <v>3</v>
      </c>
      <c r="E91" s="43" t="s">
        <v>581</v>
      </c>
      <c r="F91" s="43" t="s">
        <v>582</v>
      </c>
      <c r="G91" s="44">
        <v>88</v>
      </c>
      <c r="H91" s="43" t="s">
        <v>585</v>
      </c>
      <c r="I91" s="45" t="s">
        <v>583</v>
      </c>
      <c r="J91" s="45" t="s">
        <v>561</v>
      </c>
      <c r="K91" s="126">
        <v>134.18</v>
      </c>
      <c r="L91" s="126">
        <v>134.18</v>
      </c>
      <c r="M91" s="126"/>
      <c r="N91" s="126">
        <v>0</v>
      </c>
      <c r="O91" s="126">
        <v>177.44</v>
      </c>
      <c r="P91" s="145"/>
      <c r="Q91" s="146"/>
      <c r="R91" s="147"/>
      <c r="S91" s="46">
        <v>445.8</v>
      </c>
      <c r="T91" s="112"/>
      <c r="U91" s="56" t="s">
        <v>953</v>
      </c>
      <c r="V91" s="105" t="s">
        <v>585</v>
      </c>
    </row>
    <row r="92" spans="1:24" customFormat="1" ht="21.75" customHeight="1" x14ac:dyDescent="0.3">
      <c r="A92" s="39">
        <v>14108775</v>
      </c>
      <c r="B92" s="40" t="s">
        <v>182</v>
      </c>
      <c r="C92" s="41" t="s">
        <v>659</v>
      </c>
      <c r="D92" s="42" t="s">
        <v>3</v>
      </c>
      <c r="E92" s="43" t="s">
        <v>581</v>
      </c>
      <c r="F92" s="43" t="s">
        <v>582</v>
      </c>
      <c r="G92" s="44" t="s">
        <v>1609</v>
      </c>
      <c r="H92" s="43" t="s">
        <v>585</v>
      </c>
      <c r="I92" s="45" t="s">
        <v>583</v>
      </c>
      <c r="J92" s="45" t="s">
        <v>587</v>
      </c>
      <c r="K92" s="126">
        <v>0</v>
      </c>
      <c r="L92" s="126">
        <v>0</v>
      </c>
      <c r="M92" s="126"/>
      <c r="N92" s="126">
        <v>0</v>
      </c>
      <c r="O92" s="126">
        <v>0</v>
      </c>
      <c r="P92" s="132"/>
      <c r="Q92" s="133"/>
      <c r="R92" s="147"/>
      <c r="S92" s="46">
        <v>0</v>
      </c>
      <c r="T92" s="112"/>
      <c r="U92" s="56" t="s">
        <v>585</v>
      </c>
      <c r="V92" s="105" t="s">
        <v>585</v>
      </c>
      <c r="X92" s="127"/>
    </row>
    <row r="93" spans="1:24" customFormat="1" ht="21.75" customHeight="1" x14ac:dyDescent="0.3">
      <c r="A93" s="39">
        <v>14108828</v>
      </c>
      <c r="B93" s="40" t="s">
        <v>227</v>
      </c>
      <c r="C93" s="41" t="s">
        <v>619</v>
      </c>
      <c r="D93" s="42" t="s">
        <v>3</v>
      </c>
      <c r="E93" s="43" t="s">
        <v>581</v>
      </c>
      <c r="F93" s="43" t="s">
        <v>582</v>
      </c>
      <c r="G93" s="44">
        <v>93</v>
      </c>
      <c r="H93" s="43" t="s">
        <v>583</v>
      </c>
      <c r="I93" s="45" t="s">
        <v>583</v>
      </c>
      <c r="J93" s="45" t="s">
        <v>561</v>
      </c>
      <c r="K93" s="126">
        <v>134.18</v>
      </c>
      <c r="L93" s="126">
        <v>134.18</v>
      </c>
      <c r="M93" s="126"/>
      <c r="N93" s="126">
        <v>200</v>
      </c>
      <c r="O93" s="126">
        <v>177.44</v>
      </c>
      <c r="P93" s="132"/>
      <c r="Q93" s="133"/>
      <c r="R93" s="147"/>
      <c r="S93" s="46">
        <v>645.79999999999995</v>
      </c>
      <c r="T93" s="112"/>
      <c r="U93" s="56" t="s">
        <v>953</v>
      </c>
      <c r="V93" s="105" t="s">
        <v>585</v>
      </c>
    </row>
    <row r="94" spans="1:24" customFormat="1" ht="21.75" customHeight="1" x14ac:dyDescent="0.3">
      <c r="A94" s="39">
        <v>14108916</v>
      </c>
      <c r="B94" s="40" t="s">
        <v>80</v>
      </c>
      <c r="C94" s="41" t="s">
        <v>660</v>
      </c>
      <c r="D94" s="42" t="s">
        <v>3</v>
      </c>
      <c r="E94" s="43" t="s">
        <v>581</v>
      </c>
      <c r="F94" s="43" t="s">
        <v>582</v>
      </c>
      <c r="G94" s="44">
        <v>75</v>
      </c>
      <c r="H94" s="43" t="s">
        <v>585</v>
      </c>
      <c r="I94" s="45" t="s">
        <v>1051</v>
      </c>
      <c r="J94" s="45" t="s">
        <v>561</v>
      </c>
      <c r="K94" s="126">
        <v>134.18</v>
      </c>
      <c r="L94" s="126">
        <v>134.18</v>
      </c>
      <c r="M94" s="126"/>
      <c r="N94" s="126">
        <v>0</v>
      </c>
      <c r="O94" s="126">
        <v>0</v>
      </c>
      <c r="P94" s="132"/>
      <c r="Q94" s="133"/>
      <c r="R94" s="147"/>
      <c r="S94" s="46">
        <v>268.36</v>
      </c>
      <c r="T94" s="112"/>
      <c r="U94" s="56" t="s">
        <v>953</v>
      </c>
      <c r="V94" s="105" t="s">
        <v>585</v>
      </c>
    </row>
    <row r="95" spans="1:24" ht="21.75" customHeight="1" x14ac:dyDescent="0.3">
      <c r="A95" s="39">
        <v>14109032</v>
      </c>
      <c r="B95" s="40" t="s">
        <v>81</v>
      </c>
      <c r="C95" s="41" t="s">
        <v>661</v>
      </c>
      <c r="D95" s="42" t="s">
        <v>3</v>
      </c>
      <c r="E95" s="43" t="s">
        <v>581</v>
      </c>
      <c r="F95" s="43" t="s">
        <v>582</v>
      </c>
      <c r="G95" s="44">
        <v>94</v>
      </c>
      <c r="H95" s="43" t="s">
        <v>583</v>
      </c>
      <c r="I95" s="45" t="s">
        <v>583</v>
      </c>
      <c r="J95" s="45" t="s">
        <v>561</v>
      </c>
      <c r="K95" s="126">
        <v>134.18</v>
      </c>
      <c r="L95" s="126">
        <v>134.18</v>
      </c>
      <c r="M95" s="126"/>
      <c r="N95" s="126">
        <v>200</v>
      </c>
      <c r="O95" s="126">
        <v>177.44</v>
      </c>
      <c r="P95" s="145"/>
      <c r="Q95" s="146"/>
      <c r="R95" s="147"/>
      <c r="S95" s="46">
        <v>645.79999999999995</v>
      </c>
      <c r="T95" s="112"/>
      <c r="U95" s="56" t="s">
        <v>953</v>
      </c>
      <c r="V95" s="105" t="s">
        <v>585</v>
      </c>
    </row>
    <row r="96" spans="1:24" customFormat="1" ht="21.75" customHeight="1" x14ac:dyDescent="0.3">
      <c r="A96" s="39">
        <v>14109097</v>
      </c>
      <c r="B96" s="40" t="s">
        <v>82</v>
      </c>
      <c r="C96" s="41" t="s">
        <v>662</v>
      </c>
      <c r="D96" s="42" t="s">
        <v>3</v>
      </c>
      <c r="E96" s="43" t="s">
        <v>581</v>
      </c>
      <c r="F96" s="43" t="s">
        <v>582</v>
      </c>
      <c r="G96" s="44">
        <v>94</v>
      </c>
      <c r="H96" s="43" t="s">
        <v>583</v>
      </c>
      <c r="I96" s="45" t="s">
        <v>583</v>
      </c>
      <c r="J96" s="45" t="s">
        <v>561</v>
      </c>
      <c r="K96" s="126">
        <v>134.18</v>
      </c>
      <c r="L96" s="126">
        <v>134.18</v>
      </c>
      <c r="M96" s="126"/>
      <c r="N96" s="126">
        <v>200</v>
      </c>
      <c r="O96" s="126">
        <v>177.44</v>
      </c>
      <c r="P96" s="149"/>
      <c r="Q96" s="149"/>
      <c r="R96" s="148"/>
      <c r="S96" s="46">
        <v>645.79999999999995</v>
      </c>
      <c r="T96" s="112"/>
      <c r="U96" s="56" t="s">
        <v>953</v>
      </c>
      <c r="V96" s="105" t="s">
        <v>585</v>
      </c>
    </row>
    <row r="97" spans="1:24" customFormat="1" ht="21.75" customHeight="1" x14ac:dyDescent="0.3">
      <c r="A97" s="39">
        <v>14109131</v>
      </c>
      <c r="B97" s="40" t="s">
        <v>83</v>
      </c>
      <c r="C97" s="41" t="s">
        <v>662</v>
      </c>
      <c r="D97" s="42" t="s">
        <v>3</v>
      </c>
      <c r="E97" s="43" t="s">
        <v>581</v>
      </c>
      <c r="F97" s="43" t="s">
        <v>582</v>
      </c>
      <c r="G97" s="44">
        <v>93</v>
      </c>
      <c r="H97" s="43" t="s">
        <v>583</v>
      </c>
      <c r="I97" s="45" t="s">
        <v>583</v>
      </c>
      <c r="J97" s="45" t="s">
        <v>561</v>
      </c>
      <c r="K97" s="126">
        <v>134.18</v>
      </c>
      <c r="L97" s="126">
        <v>134.18</v>
      </c>
      <c r="M97" s="126"/>
      <c r="N97" s="126">
        <v>200</v>
      </c>
      <c r="O97" s="126">
        <v>177.44</v>
      </c>
      <c r="P97" s="145"/>
      <c r="Q97" s="146"/>
      <c r="R97" s="147"/>
      <c r="S97" s="46">
        <v>645.79999999999995</v>
      </c>
      <c r="T97" s="112"/>
      <c r="U97" s="56" t="s">
        <v>953</v>
      </c>
      <c r="V97" s="105" t="s">
        <v>585</v>
      </c>
    </row>
    <row r="98" spans="1:24" customFormat="1" ht="21.75" customHeight="1" x14ac:dyDescent="0.3">
      <c r="A98" s="39">
        <v>14109133</v>
      </c>
      <c r="B98" s="40" t="s">
        <v>84</v>
      </c>
      <c r="C98" s="41" t="s">
        <v>662</v>
      </c>
      <c r="D98" s="42" t="s">
        <v>3</v>
      </c>
      <c r="E98" s="43" t="s">
        <v>581</v>
      </c>
      <c r="F98" s="43" t="s">
        <v>582</v>
      </c>
      <c r="G98" s="44">
        <v>92</v>
      </c>
      <c r="H98" s="43" t="s">
        <v>583</v>
      </c>
      <c r="I98" s="45" t="s">
        <v>583</v>
      </c>
      <c r="J98" s="45" t="s">
        <v>561</v>
      </c>
      <c r="K98" s="126">
        <v>134.18</v>
      </c>
      <c r="L98" s="126">
        <v>134.18</v>
      </c>
      <c r="M98" s="126"/>
      <c r="N98" s="126">
        <v>200</v>
      </c>
      <c r="O98" s="126">
        <v>177.44</v>
      </c>
      <c r="P98" s="145"/>
      <c r="Q98" s="146"/>
      <c r="R98" s="147"/>
      <c r="S98" s="46">
        <v>645.79999999999995</v>
      </c>
      <c r="T98" s="112"/>
      <c r="U98" s="56" t="s">
        <v>953</v>
      </c>
      <c r="V98" s="105" t="s">
        <v>585</v>
      </c>
    </row>
    <row r="99" spans="1:24" ht="21.75" customHeight="1" x14ac:dyDescent="0.3">
      <c r="A99" s="39">
        <v>14109134</v>
      </c>
      <c r="B99" s="40" t="s">
        <v>85</v>
      </c>
      <c r="C99" s="41" t="s">
        <v>662</v>
      </c>
      <c r="D99" s="42" t="s">
        <v>3</v>
      </c>
      <c r="E99" s="43" t="s">
        <v>581</v>
      </c>
      <c r="F99" s="43" t="s">
        <v>582</v>
      </c>
      <c r="G99" s="44">
        <v>94</v>
      </c>
      <c r="H99" s="43" t="s">
        <v>583</v>
      </c>
      <c r="I99" s="45" t="s">
        <v>1051</v>
      </c>
      <c r="J99" s="45" t="s">
        <v>561</v>
      </c>
      <c r="K99" s="126">
        <v>134.18</v>
      </c>
      <c r="L99" s="126">
        <v>134.18</v>
      </c>
      <c r="M99" s="126"/>
      <c r="N99" s="126">
        <v>0</v>
      </c>
      <c r="O99" s="126">
        <v>0</v>
      </c>
      <c r="P99" s="132"/>
      <c r="Q99" s="133"/>
      <c r="R99" s="147"/>
      <c r="S99" s="46">
        <v>268.36</v>
      </c>
      <c r="T99" s="112"/>
      <c r="U99" s="56" t="s">
        <v>953</v>
      </c>
      <c r="V99" s="105" t="s">
        <v>585</v>
      </c>
    </row>
    <row r="100" spans="1:24" customFormat="1" ht="21.75" customHeight="1" x14ac:dyDescent="0.3">
      <c r="A100" s="39">
        <v>14109378</v>
      </c>
      <c r="B100" s="40" t="s">
        <v>86</v>
      </c>
      <c r="C100" s="41" t="s">
        <v>663</v>
      </c>
      <c r="D100" s="42" t="s">
        <v>3</v>
      </c>
      <c r="E100" s="43" t="s">
        <v>581</v>
      </c>
      <c r="F100" s="43" t="s">
        <v>582</v>
      </c>
      <c r="G100" s="44">
        <v>95</v>
      </c>
      <c r="H100" s="43" t="s">
        <v>583</v>
      </c>
      <c r="I100" s="45" t="s">
        <v>583</v>
      </c>
      <c r="J100" s="45" t="s">
        <v>561</v>
      </c>
      <c r="K100" s="126">
        <v>134.18</v>
      </c>
      <c r="L100" s="126">
        <v>134.18</v>
      </c>
      <c r="M100" s="126"/>
      <c r="N100" s="126">
        <v>200</v>
      </c>
      <c r="O100" s="126">
        <v>177.44</v>
      </c>
      <c r="P100" s="145"/>
      <c r="Q100" s="146"/>
      <c r="R100" s="147"/>
      <c r="S100" s="46">
        <v>645.79999999999995</v>
      </c>
      <c r="T100" s="112"/>
      <c r="U100" s="56" t="s">
        <v>953</v>
      </c>
      <c r="V100" s="105" t="s">
        <v>585</v>
      </c>
    </row>
    <row r="101" spans="1:24" customFormat="1" ht="21.75" customHeight="1" x14ac:dyDescent="0.3">
      <c r="A101" s="40">
        <v>14109408</v>
      </c>
      <c r="B101" s="40" t="s">
        <v>87</v>
      </c>
      <c r="C101" s="41" t="s">
        <v>664</v>
      </c>
      <c r="D101" s="42" t="s">
        <v>3</v>
      </c>
      <c r="E101" s="43" t="s">
        <v>581</v>
      </c>
      <c r="F101" s="43" t="s">
        <v>582</v>
      </c>
      <c r="G101" s="44">
        <v>93</v>
      </c>
      <c r="H101" s="43" t="s">
        <v>583</v>
      </c>
      <c r="I101" s="45" t="s">
        <v>583</v>
      </c>
      <c r="J101" s="45" t="s">
        <v>587</v>
      </c>
      <c r="K101" s="126">
        <v>134.18</v>
      </c>
      <c r="L101" s="126">
        <v>134.18</v>
      </c>
      <c r="M101" s="126"/>
      <c r="N101" s="126">
        <v>200</v>
      </c>
      <c r="O101" s="126">
        <v>0</v>
      </c>
      <c r="P101" s="132"/>
      <c r="Q101" s="133"/>
      <c r="R101" s="132"/>
      <c r="S101" s="46">
        <v>468.36</v>
      </c>
      <c r="T101" s="112"/>
      <c r="U101" s="56" t="s">
        <v>953</v>
      </c>
      <c r="V101" s="105" t="s">
        <v>585</v>
      </c>
    </row>
    <row r="102" spans="1:24" customFormat="1" ht="21.75" customHeight="1" x14ac:dyDescent="0.3">
      <c r="A102" s="40">
        <v>14109435</v>
      </c>
      <c r="B102" s="40" t="s">
        <v>89</v>
      </c>
      <c r="C102" s="41" t="s">
        <v>665</v>
      </c>
      <c r="D102" s="42" t="s">
        <v>3</v>
      </c>
      <c r="E102" s="43" t="s">
        <v>581</v>
      </c>
      <c r="F102" s="43" t="s">
        <v>582</v>
      </c>
      <c r="G102" s="44">
        <v>95</v>
      </c>
      <c r="H102" s="43" t="s">
        <v>583</v>
      </c>
      <c r="I102" s="45" t="s">
        <v>583</v>
      </c>
      <c r="J102" s="45" t="s">
        <v>561</v>
      </c>
      <c r="K102" s="126">
        <v>134.18</v>
      </c>
      <c r="L102" s="126">
        <v>134.18</v>
      </c>
      <c r="M102" s="126"/>
      <c r="N102" s="126">
        <v>200</v>
      </c>
      <c r="O102" s="126">
        <v>177.44</v>
      </c>
      <c r="P102" s="132"/>
      <c r="Q102" s="133"/>
      <c r="R102" s="132"/>
      <c r="S102" s="46">
        <v>645.79999999999995</v>
      </c>
      <c r="T102" s="112"/>
      <c r="U102" s="56" t="s">
        <v>953</v>
      </c>
      <c r="V102" s="105" t="s">
        <v>2034</v>
      </c>
    </row>
    <row r="103" spans="1:24" customFormat="1" ht="21.75" customHeight="1" x14ac:dyDescent="0.3">
      <c r="A103" s="40">
        <v>14109436</v>
      </c>
      <c r="B103" s="40" t="s">
        <v>371</v>
      </c>
      <c r="C103" s="41" t="s">
        <v>666</v>
      </c>
      <c r="D103" s="42" t="s">
        <v>3</v>
      </c>
      <c r="E103" s="43" t="s">
        <v>581</v>
      </c>
      <c r="F103" s="43" t="s">
        <v>582</v>
      </c>
      <c r="G103" s="44">
        <v>93</v>
      </c>
      <c r="H103" s="43" t="s">
        <v>583</v>
      </c>
      <c r="I103" s="45" t="s">
        <v>583</v>
      </c>
      <c r="J103" s="45" t="s">
        <v>561</v>
      </c>
      <c r="K103" s="126">
        <v>134.18</v>
      </c>
      <c r="L103" s="126">
        <v>134.18</v>
      </c>
      <c r="M103" s="126"/>
      <c r="N103" s="126">
        <v>200</v>
      </c>
      <c r="O103" s="126">
        <v>177.44</v>
      </c>
      <c r="P103" s="132"/>
      <c r="Q103" s="133"/>
      <c r="R103" s="147"/>
      <c r="S103" s="46">
        <v>645.79999999999995</v>
      </c>
      <c r="T103" s="112"/>
      <c r="U103" s="56" t="s">
        <v>953</v>
      </c>
      <c r="V103" s="105" t="s">
        <v>585</v>
      </c>
    </row>
    <row r="104" spans="1:24" customFormat="1" ht="21.75" customHeight="1" x14ac:dyDescent="0.3">
      <c r="A104" s="40">
        <v>14109648</v>
      </c>
      <c r="B104" s="40" t="s">
        <v>214</v>
      </c>
      <c r="C104" s="41" t="s">
        <v>667</v>
      </c>
      <c r="D104" s="42" t="s">
        <v>3</v>
      </c>
      <c r="E104" s="43" t="s">
        <v>581</v>
      </c>
      <c r="F104" s="43" t="s">
        <v>582</v>
      </c>
      <c r="G104" s="44">
        <v>94</v>
      </c>
      <c r="H104" s="43" t="s">
        <v>583</v>
      </c>
      <c r="I104" s="45" t="s">
        <v>583</v>
      </c>
      <c r="J104" s="45" t="s">
        <v>561</v>
      </c>
      <c r="K104" s="126">
        <v>134.18</v>
      </c>
      <c r="L104" s="126">
        <v>134.18</v>
      </c>
      <c r="M104" s="126"/>
      <c r="N104" s="126">
        <v>200</v>
      </c>
      <c r="O104" s="126">
        <v>177.44</v>
      </c>
      <c r="P104" s="132"/>
      <c r="Q104" s="133"/>
      <c r="R104" s="147"/>
      <c r="S104" s="46">
        <v>645.79999999999995</v>
      </c>
      <c r="T104" s="112"/>
      <c r="U104" s="56" t="s">
        <v>953</v>
      </c>
      <c r="V104" s="105" t="s">
        <v>585</v>
      </c>
    </row>
    <row r="105" spans="1:24" customFormat="1" ht="21.75" customHeight="1" x14ac:dyDescent="0.3">
      <c r="A105" s="39">
        <v>14109664</v>
      </c>
      <c r="B105" s="40" t="s">
        <v>90</v>
      </c>
      <c r="C105" s="41" t="s">
        <v>668</v>
      </c>
      <c r="D105" s="42" t="s">
        <v>3</v>
      </c>
      <c r="E105" s="43" t="s">
        <v>581</v>
      </c>
      <c r="F105" s="43" t="s">
        <v>582</v>
      </c>
      <c r="G105" s="44" t="s">
        <v>1609</v>
      </c>
      <c r="H105" s="43" t="s">
        <v>585</v>
      </c>
      <c r="I105" s="45" t="s">
        <v>583</v>
      </c>
      <c r="J105" s="45" t="s">
        <v>587</v>
      </c>
      <c r="K105" s="126">
        <v>0</v>
      </c>
      <c r="L105" s="126">
        <v>0</v>
      </c>
      <c r="M105" s="126"/>
      <c r="N105" s="126">
        <v>0</v>
      </c>
      <c r="O105" s="126">
        <v>0</v>
      </c>
      <c r="P105" s="132"/>
      <c r="Q105" s="133"/>
      <c r="R105" s="148"/>
      <c r="S105" s="46">
        <v>0</v>
      </c>
      <c r="T105" s="112"/>
      <c r="U105" s="56" t="s">
        <v>585</v>
      </c>
      <c r="V105" s="105" t="s">
        <v>585</v>
      </c>
      <c r="X105" s="127"/>
    </row>
    <row r="106" spans="1:24" customFormat="1" ht="21.75" customHeight="1" x14ac:dyDescent="0.3">
      <c r="A106" s="39">
        <v>14109674</v>
      </c>
      <c r="B106" s="40" t="s">
        <v>91</v>
      </c>
      <c r="C106" s="41" t="s">
        <v>669</v>
      </c>
      <c r="D106" s="42" t="s">
        <v>3</v>
      </c>
      <c r="E106" s="43" t="s">
        <v>581</v>
      </c>
      <c r="F106" s="43" t="s">
        <v>582</v>
      </c>
      <c r="G106" s="44">
        <v>90</v>
      </c>
      <c r="H106" s="43" t="s">
        <v>583</v>
      </c>
      <c r="I106" s="45" t="s">
        <v>583</v>
      </c>
      <c r="J106" s="45" t="s">
        <v>561</v>
      </c>
      <c r="K106" s="126">
        <v>134.18</v>
      </c>
      <c r="L106" s="126">
        <v>134.18</v>
      </c>
      <c r="M106" s="126"/>
      <c r="N106" s="126">
        <v>200</v>
      </c>
      <c r="O106" s="126">
        <v>177.44</v>
      </c>
      <c r="P106" s="132"/>
      <c r="Q106" s="133"/>
      <c r="R106" s="147"/>
      <c r="S106" s="46">
        <v>645.79999999999995</v>
      </c>
      <c r="T106" s="112"/>
      <c r="U106" s="56" t="s">
        <v>953</v>
      </c>
      <c r="V106" s="105" t="s">
        <v>585</v>
      </c>
    </row>
    <row r="107" spans="1:24" customFormat="1" ht="21.75" customHeight="1" x14ac:dyDescent="0.3">
      <c r="A107" s="39">
        <v>14109677</v>
      </c>
      <c r="B107" s="40" t="s">
        <v>92</v>
      </c>
      <c r="C107" s="41" t="s">
        <v>669</v>
      </c>
      <c r="D107" s="42" t="s">
        <v>3</v>
      </c>
      <c r="E107" s="43" t="s">
        <v>581</v>
      </c>
      <c r="F107" s="43" t="s">
        <v>582</v>
      </c>
      <c r="G107" s="44" t="s">
        <v>1609</v>
      </c>
      <c r="H107" s="43" t="s">
        <v>585</v>
      </c>
      <c r="I107" s="45" t="s">
        <v>583</v>
      </c>
      <c r="J107" s="45" t="s">
        <v>587</v>
      </c>
      <c r="K107" s="126">
        <v>0</v>
      </c>
      <c r="L107" s="126">
        <v>0</v>
      </c>
      <c r="M107" s="126"/>
      <c r="N107" s="126">
        <v>0</v>
      </c>
      <c r="O107" s="126">
        <v>0</v>
      </c>
      <c r="P107" s="149"/>
      <c r="Q107" s="149"/>
      <c r="R107" s="147"/>
      <c r="S107" s="46">
        <v>0</v>
      </c>
      <c r="T107" s="112"/>
      <c r="U107" s="56" t="s">
        <v>585</v>
      </c>
      <c r="V107" s="105" t="s">
        <v>585</v>
      </c>
      <c r="X107" s="127"/>
    </row>
    <row r="108" spans="1:24" customFormat="1" ht="21.75" customHeight="1" x14ac:dyDescent="0.3">
      <c r="A108" s="39">
        <v>14109707</v>
      </c>
      <c r="B108" s="40" t="s">
        <v>93</v>
      </c>
      <c r="C108" s="41" t="s">
        <v>670</v>
      </c>
      <c r="D108" s="42" t="s">
        <v>3</v>
      </c>
      <c r="E108" s="43" t="s">
        <v>581</v>
      </c>
      <c r="F108" s="43" t="s">
        <v>582</v>
      </c>
      <c r="G108" s="44">
        <v>95</v>
      </c>
      <c r="H108" s="43" t="s">
        <v>583</v>
      </c>
      <c r="I108" s="45" t="s">
        <v>583</v>
      </c>
      <c r="J108" s="45" t="s">
        <v>561</v>
      </c>
      <c r="K108" s="126">
        <v>134.18</v>
      </c>
      <c r="L108" s="126">
        <v>134.18</v>
      </c>
      <c r="M108" s="126"/>
      <c r="N108" s="126">
        <v>200</v>
      </c>
      <c r="O108" s="126">
        <v>177.44</v>
      </c>
      <c r="P108" s="132"/>
      <c r="Q108" s="133"/>
      <c r="R108" s="147"/>
      <c r="S108" s="46">
        <v>645.79999999999995</v>
      </c>
      <c r="T108" s="112"/>
      <c r="U108" s="56" t="s">
        <v>953</v>
      </c>
      <c r="V108" s="105" t="s">
        <v>585</v>
      </c>
    </row>
    <row r="109" spans="1:24" customFormat="1" ht="21.75" customHeight="1" x14ac:dyDescent="0.3">
      <c r="A109" s="39">
        <v>14109738</v>
      </c>
      <c r="B109" s="40" t="s">
        <v>94</v>
      </c>
      <c r="C109" s="41" t="s">
        <v>671</v>
      </c>
      <c r="D109" s="42" t="s">
        <v>3</v>
      </c>
      <c r="E109" s="43" t="s">
        <v>581</v>
      </c>
      <c r="F109" s="43" t="s">
        <v>582</v>
      </c>
      <c r="G109" s="44">
        <v>89</v>
      </c>
      <c r="H109" s="43" t="s">
        <v>585</v>
      </c>
      <c r="I109" s="45" t="s">
        <v>583</v>
      </c>
      <c r="J109" s="45" t="s">
        <v>587</v>
      </c>
      <c r="K109" s="126">
        <v>134.18</v>
      </c>
      <c r="L109" s="126">
        <v>134.18</v>
      </c>
      <c r="M109" s="126"/>
      <c r="N109" s="126">
        <v>0</v>
      </c>
      <c r="O109" s="126">
        <v>0</v>
      </c>
      <c r="P109" s="132"/>
      <c r="Q109" s="133"/>
      <c r="R109" s="147"/>
      <c r="S109" s="46">
        <v>268.36</v>
      </c>
      <c r="T109" s="112"/>
      <c r="U109" s="56" t="s">
        <v>953</v>
      </c>
      <c r="V109" s="105" t="s">
        <v>585</v>
      </c>
    </row>
    <row r="110" spans="1:24" customFormat="1" ht="21.75" customHeight="1" x14ac:dyDescent="0.3">
      <c r="A110" s="40">
        <v>14109748</v>
      </c>
      <c r="B110" s="40" t="s">
        <v>95</v>
      </c>
      <c r="C110" s="41" t="s">
        <v>672</v>
      </c>
      <c r="D110" s="42" t="s">
        <v>3</v>
      </c>
      <c r="E110" s="43" t="s">
        <v>581</v>
      </c>
      <c r="F110" s="43" t="s">
        <v>582</v>
      </c>
      <c r="G110" s="44">
        <v>90</v>
      </c>
      <c r="H110" s="43" t="s">
        <v>583</v>
      </c>
      <c r="I110" s="45" t="s">
        <v>1051</v>
      </c>
      <c r="J110" s="45" t="s">
        <v>561</v>
      </c>
      <c r="K110" s="126">
        <v>134.18</v>
      </c>
      <c r="L110" s="126">
        <v>134.18</v>
      </c>
      <c r="M110" s="126"/>
      <c r="N110" s="126">
        <v>0</v>
      </c>
      <c r="O110" s="126">
        <v>0</v>
      </c>
      <c r="P110" s="132"/>
      <c r="Q110" s="133"/>
      <c r="R110" s="132"/>
      <c r="S110" s="46">
        <v>268.36</v>
      </c>
      <c r="T110" s="112"/>
      <c r="U110" s="56" t="s">
        <v>953</v>
      </c>
      <c r="V110" s="105" t="s">
        <v>585</v>
      </c>
    </row>
    <row r="111" spans="1:24" customFormat="1" ht="21.75" customHeight="1" x14ac:dyDescent="0.3">
      <c r="A111" s="40">
        <v>14109802</v>
      </c>
      <c r="B111" s="48" t="s">
        <v>96</v>
      </c>
      <c r="C111" s="41" t="s">
        <v>673</v>
      </c>
      <c r="D111" s="42" t="s">
        <v>3</v>
      </c>
      <c r="E111" s="43" t="s">
        <v>581</v>
      </c>
      <c r="F111" s="43" t="s">
        <v>582</v>
      </c>
      <c r="G111" s="44">
        <v>93</v>
      </c>
      <c r="H111" s="43" t="s">
        <v>583</v>
      </c>
      <c r="I111" s="45" t="s">
        <v>583</v>
      </c>
      <c r="J111" s="45" t="s">
        <v>561</v>
      </c>
      <c r="K111" s="126">
        <v>134.18</v>
      </c>
      <c r="L111" s="126">
        <v>134.18</v>
      </c>
      <c r="M111" s="126"/>
      <c r="N111" s="126">
        <v>200</v>
      </c>
      <c r="O111" s="126">
        <v>177.44</v>
      </c>
      <c r="P111" s="132"/>
      <c r="Q111" s="133"/>
      <c r="R111" s="132"/>
      <c r="S111" s="46">
        <v>645.79999999999995</v>
      </c>
      <c r="T111" s="112"/>
      <c r="U111" s="56" t="s">
        <v>953</v>
      </c>
      <c r="V111" s="105" t="s">
        <v>2034</v>
      </c>
    </row>
    <row r="112" spans="1:24" s="1" customFormat="1" ht="21.75" customHeight="1" x14ac:dyDescent="0.3">
      <c r="A112" s="39">
        <v>14109808</v>
      </c>
      <c r="B112" s="40" t="s">
        <v>97</v>
      </c>
      <c r="C112" s="41" t="s">
        <v>674</v>
      </c>
      <c r="D112" s="42" t="s">
        <v>3</v>
      </c>
      <c r="E112" s="43" t="s">
        <v>581</v>
      </c>
      <c r="F112" s="43" t="s">
        <v>582</v>
      </c>
      <c r="G112" s="44">
        <v>95</v>
      </c>
      <c r="H112" s="43" t="s">
        <v>583</v>
      </c>
      <c r="I112" s="45" t="s">
        <v>583</v>
      </c>
      <c r="J112" s="45" t="s">
        <v>561</v>
      </c>
      <c r="K112" s="126">
        <v>134.18</v>
      </c>
      <c r="L112" s="126">
        <v>134.18</v>
      </c>
      <c r="M112" s="126"/>
      <c r="N112" s="126">
        <v>200</v>
      </c>
      <c r="O112" s="126">
        <v>177.44</v>
      </c>
      <c r="P112" s="145"/>
      <c r="Q112" s="146"/>
      <c r="R112" s="147"/>
      <c r="S112" s="46">
        <v>645.79999999999995</v>
      </c>
      <c r="T112" s="112"/>
      <c r="U112" s="56" t="s">
        <v>953</v>
      </c>
      <c r="V112" s="105" t="s">
        <v>585</v>
      </c>
    </row>
    <row r="113" spans="1:24" s="1" customFormat="1" ht="21.75" customHeight="1" x14ac:dyDescent="0.3">
      <c r="A113" s="39">
        <v>14109874</v>
      </c>
      <c r="B113" s="48" t="s">
        <v>98</v>
      </c>
      <c r="C113" s="41" t="s">
        <v>675</v>
      </c>
      <c r="D113" s="42" t="s">
        <v>3</v>
      </c>
      <c r="E113" s="43" t="s">
        <v>581</v>
      </c>
      <c r="F113" s="43" t="s">
        <v>582</v>
      </c>
      <c r="G113" s="44">
        <v>71</v>
      </c>
      <c r="H113" s="43" t="s">
        <v>585</v>
      </c>
      <c r="I113" s="45" t="s">
        <v>583</v>
      </c>
      <c r="J113" s="45" t="s">
        <v>561</v>
      </c>
      <c r="K113" s="126">
        <v>134.18</v>
      </c>
      <c r="L113" s="126">
        <v>134.18</v>
      </c>
      <c r="M113" s="126"/>
      <c r="N113" s="126">
        <v>0</v>
      </c>
      <c r="O113" s="126">
        <v>177.44</v>
      </c>
      <c r="P113" s="145"/>
      <c r="Q113" s="146"/>
      <c r="R113" s="147"/>
      <c r="S113" s="46">
        <v>445.8</v>
      </c>
      <c r="T113" s="112"/>
      <c r="U113" s="56" t="s">
        <v>953</v>
      </c>
      <c r="V113" s="105" t="s">
        <v>925</v>
      </c>
    </row>
    <row r="114" spans="1:24" s="1" customFormat="1" ht="21.75" customHeight="1" x14ac:dyDescent="0.3">
      <c r="A114" s="40">
        <v>14109948</v>
      </c>
      <c r="B114" s="40" t="s">
        <v>166</v>
      </c>
      <c r="C114" s="41" t="s">
        <v>676</v>
      </c>
      <c r="D114" s="42" t="s">
        <v>3</v>
      </c>
      <c r="E114" s="43" t="s">
        <v>581</v>
      </c>
      <c r="F114" s="43" t="s">
        <v>582</v>
      </c>
      <c r="G114" s="44">
        <v>83</v>
      </c>
      <c r="H114" s="43" t="s">
        <v>585</v>
      </c>
      <c r="I114" s="45" t="s">
        <v>1051</v>
      </c>
      <c r="J114" s="45" t="s">
        <v>561</v>
      </c>
      <c r="K114" s="126">
        <v>134.18</v>
      </c>
      <c r="L114" s="126">
        <v>134.18</v>
      </c>
      <c r="M114" s="126"/>
      <c r="N114" s="126">
        <v>0</v>
      </c>
      <c r="O114" s="126">
        <v>0</v>
      </c>
      <c r="P114" s="132"/>
      <c r="Q114" s="133"/>
      <c r="R114" s="132"/>
      <c r="S114" s="46">
        <v>268.36</v>
      </c>
      <c r="T114" s="112"/>
      <c r="U114" s="56" t="s">
        <v>953</v>
      </c>
      <c r="V114" s="105" t="s">
        <v>585</v>
      </c>
    </row>
    <row r="115" spans="1:24" s="1" customFormat="1" ht="21.75" customHeight="1" x14ac:dyDescent="0.3">
      <c r="A115" s="39">
        <v>14110039</v>
      </c>
      <c r="B115" s="40" t="s">
        <v>99</v>
      </c>
      <c r="C115" s="41" t="s">
        <v>677</v>
      </c>
      <c r="D115" s="42" t="s">
        <v>3</v>
      </c>
      <c r="E115" s="43" t="s">
        <v>581</v>
      </c>
      <c r="F115" s="43" t="s">
        <v>582</v>
      </c>
      <c r="G115" s="44" t="s">
        <v>1609</v>
      </c>
      <c r="H115" s="43" t="s">
        <v>585</v>
      </c>
      <c r="I115" s="45" t="s">
        <v>583</v>
      </c>
      <c r="J115" s="45" t="s">
        <v>587</v>
      </c>
      <c r="K115" s="126">
        <v>0</v>
      </c>
      <c r="L115" s="126">
        <v>0</v>
      </c>
      <c r="M115" s="126"/>
      <c r="N115" s="126">
        <v>0</v>
      </c>
      <c r="O115" s="126">
        <v>0</v>
      </c>
      <c r="P115" s="132"/>
      <c r="Q115" s="133"/>
      <c r="R115" s="147"/>
      <c r="S115" s="46">
        <v>0</v>
      </c>
      <c r="T115" s="112"/>
      <c r="U115" s="56" t="s">
        <v>585</v>
      </c>
      <c r="V115" s="105" t="s">
        <v>585</v>
      </c>
      <c r="X115" s="127"/>
    </row>
    <row r="116" spans="1:24" s="18" customFormat="1" ht="21.75" customHeight="1" x14ac:dyDescent="0.3">
      <c r="A116" s="40">
        <v>14110040</v>
      </c>
      <c r="B116" s="40" t="s">
        <v>100</v>
      </c>
      <c r="C116" s="41" t="s">
        <v>677</v>
      </c>
      <c r="D116" s="42" t="s">
        <v>3</v>
      </c>
      <c r="E116" s="43" t="s">
        <v>581</v>
      </c>
      <c r="F116" s="43" t="s">
        <v>582</v>
      </c>
      <c r="G116" s="44">
        <v>93</v>
      </c>
      <c r="H116" s="43" t="s">
        <v>583</v>
      </c>
      <c r="I116" s="45" t="s">
        <v>1051</v>
      </c>
      <c r="J116" s="45" t="s">
        <v>561</v>
      </c>
      <c r="K116" s="126">
        <v>134.18</v>
      </c>
      <c r="L116" s="126">
        <v>134.18</v>
      </c>
      <c r="M116" s="126"/>
      <c r="N116" s="126">
        <v>0</v>
      </c>
      <c r="O116" s="126">
        <v>0</v>
      </c>
      <c r="P116" s="132"/>
      <c r="Q116" s="133"/>
      <c r="R116" s="132"/>
      <c r="S116" s="46">
        <v>268.36</v>
      </c>
      <c r="T116" s="112"/>
      <c r="U116" s="56" t="s">
        <v>953</v>
      </c>
      <c r="V116" s="105" t="s">
        <v>585</v>
      </c>
    </row>
    <row r="117" spans="1:24" s="1" customFormat="1" ht="21.75" customHeight="1" x14ac:dyDescent="0.3">
      <c r="A117" s="39">
        <v>14110042</v>
      </c>
      <c r="B117" s="40" t="s">
        <v>335</v>
      </c>
      <c r="C117" s="41" t="s">
        <v>677</v>
      </c>
      <c r="D117" s="42" t="s">
        <v>3</v>
      </c>
      <c r="E117" s="43" t="s">
        <v>581</v>
      </c>
      <c r="F117" s="43" t="s">
        <v>582</v>
      </c>
      <c r="G117" s="44">
        <v>85</v>
      </c>
      <c r="H117" s="43" t="s">
        <v>585</v>
      </c>
      <c r="I117" s="45" t="s">
        <v>583</v>
      </c>
      <c r="J117" s="45" t="s">
        <v>561</v>
      </c>
      <c r="K117" s="126">
        <v>134.18</v>
      </c>
      <c r="L117" s="126">
        <v>134.18</v>
      </c>
      <c r="M117" s="126"/>
      <c r="N117" s="126">
        <v>0</v>
      </c>
      <c r="O117" s="126">
        <v>177.44</v>
      </c>
      <c r="P117" s="145"/>
      <c r="Q117" s="146"/>
      <c r="R117" s="147"/>
      <c r="S117" s="46">
        <v>445.8</v>
      </c>
      <c r="T117" s="112"/>
      <c r="U117" s="56" t="s">
        <v>953</v>
      </c>
      <c r="V117" s="105" t="s">
        <v>585</v>
      </c>
    </row>
    <row r="118" spans="1:24" s="1" customFormat="1" ht="21.75" customHeight="1" x14ac:dyDescent="0.3">
      <c r="A118" s="39">
        <v>14110044</v>
      </c>
      <c r="B118" s="40" t="s">
        <v>145</v>
      </c>
      <c r="C118" s="41" t="s">
        <v>678</v>
      </c>
      <c r="D118" s="42" t="s">
        <v>3</v>
      </c>
      <c r="E118" s="43" t="s">
        <v>581</v>
      </c>
      <c r="F118" s="43" t="s">
        <v>582</v>
      </c>
      <c r="G118" s="44">
        <v>94</v>
      </c>
      <c r="H118" s="43" t="s">
        <v>583</v>
      </c>
      <c r="I118" s="45" t="s">
        <v>1051</v>
      </c>
      <c r="J118" s="45" t="s">
        <v>561</v>
      </c>
      <c r="K118" s="126">
        <v>134.18</v>
      </c>
      <c r="L118" s="126">
        <v>134.18</v>
      </c>
      <c r="M118" s="126"/>
      <c r="N118" s="126">
        <v>0</v>
      </c>
      <c r="O118" s="126">
        <v>0</v>
      </c>
      <c r="P118" s="132"/>
      <c r="Q118" s="133"/>
      <c r="R118" s="147"/>
      <c r="S118" s="46">
        <v>268.36</v>
      </c>
      <c r="T118" s="112"/>
      <c r="U118" s="56" t="s">
        <v>953</v>
      </c>
      <c r="V118" s="105" t="s">
        <v>585</v>
      </c>
    </row>
    <row r="119" spans="1:24" s="1" customFormat="1" ht="21.75" customHeight="1" x14ac:dyDescent="0.3">
      <c r="A119" s="39">
        <v>14110292</v>
      </c>
      <c r="B119" s="40" t="s">
        <v>101</v>
      </c>
      <c r="C119" s="41" t="s">
        <v>679</v>
      </c>
      <c r="D119" s="42" t="s">
        <v>3</v>
      </c>
      <c r="E119" s="43" t="s">
        <v>581</v>
      </c>
      <c r="F119" s="43" t="s">
        <v>582</v>
      </c>
      <c r="G119" s="44">
        <v>61</v>
      </c>
      <c r="H119" s="43" t="s">
        <v>585</v>
      </c>
      <c r="I119" s="45" t="s">
        <v>1051</v>
      </c>
      <c r="J119" s="45" t="s">
        <v>587</v>
      </c>
      <c r="K119" s="126">
        <v>0</v>
      </c>
      <c r="L119" s="126">
        <v>0</v>
      </c>
      <c r="M119" s="126"/>
      <c r="N119" s="126">
        <v>0</v>
      </c>
      <c r="O119" s="126">
        <v>0</v>
      </c>
      <c r="P119" s="132"/>
      <c r="Q119" s="133"/>
      <c r="R119" s="147"/>
      <c r="S119" s="46">
        <v>0</v>
      </c>
      <c r="T119" s="112"/>
      <c r="U119" s="56" t="s">
        <v>585</v>
      </c>
      <c r="V119" s="105" t="s">
        <v>585</v>
      </c>
      <c r="X119" s="127"/>
    </row>
    <row r="120" spans="1:24" s="1" customFormat="1" ht="21.75" customHeight="1" x14ac:dyDescent="0.3">
      <c r="A120" s="39">
        <v>14110336</v>
      </c>
      <c r="B120" s="40" t="s">
        <v>983</v>
      </c>
      <c r="C120" s="41" t="s">
        <v>984</v>
      </c>
      <c r="D120" s="42" t="s">
        <v>3</v>
      </c>
      <c r="E120" s="43" t="s">
        <v>581</v>
      </c>
      <c r="F120" s="43" t="s">
        <v>582</v>
      </c>
      <c r="G120" s="44">
        <v>91</v>
      </c>
      <c r="H120" s="43" t="s">
        <v>583</v>
      </c>
      <c r="I120" s="45" t="s">
        <v>1051</v>
      </c>
      <c r="J120" s="45" t="s">
        <v>587</v>
      </c>
      <c r="K120" s="126">
        <v>134.18</v>
      </c>
      <c r="L120" s="126">
        <v>134.18</v>
      </c>
      <c r="M120" s="126"/>
      <c r="N120" s="126">
        <v>0</v>
      </c>
      <c r="O120" s="126">
        <v>0</v>
      </c>
      <c r="P120" s="145"/>
      <c r="Q120" s="146"/>
      <c r="R120" s="147"/>
      <c r="S120" s="46">
        <v>268.36</v>
      </c>
      <c r="T120" s="112"/>
      <c r="U120" s="56" t="s">
        <v>953</v>
      </c>
      <c r="V120" s="105" t="s">
        <v>925</v>
      </c>
    </row>
    <row r="121" spans="1:24" s="1" customFormat="1" ht="21.75" customHeight="1" x14ac:dyDescent="0.3">
      <c r="A121" s="39">
        <v>14110339</v>
      </c>
      <c r="B121" s="40" t="s">
        <v>102</v>
      </c>
      <c r="C121" s="41" t="s">
        <v>681</v>
      </c>
      <c r="D121" s="42" t="s">
        <v>3</v>
      </c>
      <c r="E121" s="43" t="s">
        <v>581</v>
      </c>
      <c r="F121" s="43" t="s">
        <v>582</v>
      </c>
      <c r="G121" s="44">
        <v>92</v>
      </c>
      <c r="H121" s="43" t="s">
        <v>583</v>
      </c>
      <c r="I121" s="45" t="s">
        <v>1051</v>
      </c>
      <c r="J121" s="45" t="s">
        <v>587</v>
      </c>
      <c r="K121" s="126">
        <v>134.18</v>
      </c>
      <c r="L121" s="126">
        <v>134.18</v>
      </c>
      <c r="M121" s="126"/>
      <c r="N121" s="126">
        <v>0</v>
      </c>
      <c r="O121" s="126">
        <v>0</v>
      </c>
      <c r="P121" s="132"/>
      <c r="Q121" s="133"/>
      <c r="R121" s="148"/>
      <c r="S121" s="46">
        <v>268.36</v>
      </c>
      <c r="T121" s="112"/>
      <c r="U121" s="56" t="s">
        <v>953</v>
      </c>
      <c r="V121" s="105" t="s">
        <v>585</v>
      </c>
    </row>
    <row r="122" spans="1:24" s="1" customFormat="1" ht="21.75" customHeight="1" x14ac:dyDescent="0.3">
      <c r="A122" s="40">
        <v>14110465</v>
      </c>
      <c r="B122" s="40" t="s">
        <v>103</v>
      </c>
      <c r="C122" s="41" t="s">
        <v>682</v>
      </c>
      <c r="D122" s="42" t="s">
        <v>3</v>
      </c>
      <c r="E122" s="43" t="s">
        <v>581</v>
      </c>
      <c r="F122" s="43" t="s">
        <v>582</v>
      </c>
      <c r="G122" s="44">
        <v>94</v>
      </c>
      <c r="H122" s="43" t="s">
        <v>583</v>
      </c>
      <c r="I122" s="45" t="s">
        <v>1051</v>
      </c>
      <c r="J122" s="45" t="s">
        <v>561</v>
      </c>
      <c r="K122" s="126">
        <v>134.18</v>
      </c>
      <c r="L122" s="126">
        <v>134.18</v>
      </c>
      <c r="M122" s="126"/>
      <c r="N122" s="126">
        <v>0</v>
      </c>
      <c r="O122" s="126">
        <v>0</v>
      </c>
      <c r="P122" s="132"/>
      <c r="Q122" s="133"/>
      <c r="R122" s="132"/>
      <c r="S122" s="46">
        <v>268.36</v>
      </c>
      <c r="T122" s="112"/>
      <c r="U122" s="56" t="s">
        <v>953</v>
      </c>
      <c r="V122" s="105" t="s">
        <v>585</v>
      </c>
    </row>
    <row r="123" spans="1:24" s="1" customFormat="1" ht="21.75" customHeight="1" x14ac:dyDescent="0.3">
      <c r="A123" s="39">
        <v>14110506</v>
      </c>
      <c r="B123" s="40" t="s">
        <v>427</v>
      </c>
      <c r="C123" s="41" t="s">
        <v>683</v>
      </c>
      <c r="D123" s="42" t="s">
        <v>3</v>
      </c>
      <c r="E123" s="43" t="s">
        <v>2035</v>
      </c>
      <c r="F123" s="43" t="s">
        <v>582</v>
      </c>
      <c r="G123" s="44">
        <v>88</v>
      </c>
      <c r="H123" s="43" t="s">
        <v>585</v>
      </c>
      <c r="I123" s="45" t="s">
        <v>583</v>
      </c>
      <c r="J123" s="45" t="s">
        <v>561</v>
      </c>
      <c r="K123" s="126">
        <v>0</v>
      </c>
      <c r="L123" s="126">
        <v>134.18</v>
      </c>
      <c r="M123" s="126"/>
      <c r="N123" s="126">
        <v>0</v>
      </c>
      <c r="O123" s="126">
        <v>177.44</v>
      </c>
      <c r="P123" s="145"/>
      <c r="Q123" s="146"/>
      <c r="R123" s="147"/>
      <c r="S123" s="46">
        <v>311.62</v>
      </c>
      <c r="T123" s="112"/>
      <c r="U123" s="56" t="s">
        <v>953</v>
      </c>
      <c r="V123" s="105" t="s">
        <v>585</v>
      </c>
    </row>
    <row r="124" spans="1:24" s="1" customFormat="1" ht="21.75" customHeight="1" x14ac:dyDescent="0.3">
      <c r="A124" s="113">
        <v>14110512</v>
      </c>
      <c r="B124" s="114" t="s">
        <v>187</v>
      </c>
      <c r="C124" s="115" t="s">
        <v>684</v>
      </c>
      <c r="D124" s="116" t="s">
        <v>3</v>
      </c>
      <c r="E124" s="43" t="s">
        <v>581</v>
      </c>
      <c r="F124" s="43" t="s">
        <v>582</v>
      </c>
      <c r="G124" s="44">
        <v>49</v>
      </c>
      <c r="H124" s="43" t="s">
        <v>585</v>
      </c>
      <c r="I124" s="45" t="s">
        <v>583</v>
      </c>
      <c r="J124" s="45" t="s">
        <v>561</v>
      </c>
      <c r="K124" s="126">
        <v>134.18</v>
      </c>
      <c r="L124" s="126">
        <v>134.18</v>
      </c>
      <c r="M124" s="126"/>
      <c r="N124" s="126">
        <v>0</v>
      </c>
      <c r="O124" s="126">
        <v>177.44</v>
      </c>
      <c r="P124" s="132"/>
      <c r="Q124" s="133"/>
      <c r="R124" s="148"/>
      <c r="S124" s="46">
        <v>445.8</v>
      </c>
      <c r="T124" s="112"/>
      <c r="U124" s="56" t="s">
        <v>953</v>
      </c>
      <c r="V124" s="105" t="s">
        <v>585</v>
      </c>
    </row>
    <row r="125" spans="1:24" s="1" customFormat="1" ht="21.75" customHeight="1" x14ac:dyDescent="0.3">
      <c r="A125" s="39">
        <v>14110550</v>
      </c>
      <c r="B125" s="40" t="s">
        <v>104</v>
      </c>
      <c r="C125" s="41" t="s">
        <v>685</v>
      </c>
      <c r="D125" s="42" t="s">
        <v>3</v>
      </c>
      <c r="E125" s="43" t="s">
        <v>581</v>
      </c>
      <c r="F125" s="43" t="s">
        <v>582</v>
      </c>
      <c r="G125" s="44">
        <v>94</v>
      </c>
      <c r="H125" s="43" t="s">
        <v>583</v>
      </c>
      <c r="I125" s="45" t="s">
        <v>583</v>
      </c>
      <c r="J125" s="45" t="s">
        <v>561</v>
      </c>
      <c r="K125" s="126">
        <v>134.18</v>
      </c>
      <c r="L125" s="126">
        <v>134.18</v>
      </c>
      <c r="M125" s="126"/>
      <c r="N125" s="126">
        <v>200</v>
      </c>
      <c r="O125" s="126">
        <v>177.44</v>
      </c>
      <c r="P125" s="132"/>
      <c r="Q125" s="133"/>
      <c r="R125" s="147"/>
      <c r="S125" s="46">
        <v>645.79999999999995</v>
      </c>
      <c r="T125" s="112"/>
      <c r="U125" s="56" t="s">
        <v>953</v>
      </c>
      <c r="V125" s="105" t="s">
        <v>585</v>
      </c>
    </row>
    <row r="126" spans="1:24" s="1" customFormat="1" ht="21.75" customHeight="1" x14ac:dyDescent="0.3">
      <c r="A126" s="39">
        <v>14110604</v>
      </c>
      <c r="B126" s="40" t="s">
        <v>336</v>
      </c>
      <c r="C126" s="41" t="s">
        <v>686</v>
      </c>
      <c r="D126" s="42" t="s">
        <v>3</v>
      </c>
      <c r="E126" s="43" t="s">
        <v>581</v>
      </c>
      <c r="F126" s="43" t="s">
        <v>582</v>
      </c>
      <c r="G126" s="44">
        <v>30</v>
      </c>
      <c r="H126" s="43" t="s">
        <v>585</v>
      </c>
      <c r="I126" s="45" t="s">
        <v>1051</v>
      </c>
      <c r="J126" s="45" t="s">
        <v>587</v>
      </c>
      <c r="K126" s="126">
        <v>134.18</v>
      </c>
      <c r="L126" s="126">
        <v>134.18</v>
      </c>
      <c r="M126" s="126"/>
      <c r="N126" s="126">
        <v>0</v>
      </c>
      <c r="O126" s="126">
        <v>0</v>
      </c>
      <c r="P126" s="132"/>
      <c r="Q126" s="133"/>
      <c r="R126" s="148"/>
      <c r="S126" s="46">
        <v>268.36</v>
      </c>
      <c r="T126" s="112"/>
      <c r="U126" s="56" t="s">
        <v>953</v>
      </c>
      <c r="V126" s="105" t="s">
        <v>585</v>
      </c>
    </row>
    <row r="127" spans="1:24" s="1" customFormat="1" ht="21.75" customHeight="1" x14ac:dyDescent="0.3">
      <c r="A127" s="39">
        <v>14110707</v>
      </c>
      <c r="B127" s="48" t="s">
        <v>268</v>
      </c>
      <c r="C127" s="41" t="s">
        <v>687</v>
      </c>
      <c r="D127" s="42" t="s">
        <v>3</v>
      </c>
      <c r="E127" s="43" t="s">
        <v>581</v>
      </c>
      <c r="F127" s="43" t="s">
        <v>582</v>
      </c>
      <c r="G127" s="44">
        <v>83</v>
      </c>
      <c r="H127" s="43" t="s">
        <v>585</v>
      </c>
      <c r="I127" s="45" t="s">
        <v>583</v>
      </c>
      <c r="J127" s="45" t="s">
        <v>561</v>
      </c>
      <c r="K127" s="126">
        <v>134.18</v>
      </c>
      <c r="L127" s="126">
        <v>134.18</v>
      </c>
      <c r="M127" s="126"/>
      <c r="N127" s="126">
        <v>0</v>
      </c>
      <c r="O127" s="126">
        <v>177.44</v>
      </c>
      <c r="P127" s="145"/>
      <c r="Q127" s="146"/>
      <c r="R127" s="147"/>
      <c r="S127" s="46">
        <v>445.8</v>
      </c>
      <c r="T127" s="112"/>
      <c r="U127" s="56" t="s">
        <v>953</v>
      </c>
      <c r="V127" s="105" t="s">
        <v>585</v>
      </c>
    </row>
    <row r="128" spans="1:24" s="1" customFormat="1" ht="21.75" customHeight="1" x14ac:dyDescent="0.3">
      <c r="A128" s="40">
        <v>14110761</v>
      </c>
      <c r="B128" s="40" t="s">
        <v>105</v>
      </c>
      <c r="C128" s="41" t="s">
        <v>689</v>
      </c>
      <c r="D128" s="42" t="s">
        <v>3</v>
      </c>
      <c r="E128" s="43" t="s">
        <v>581</v>
      </c>
      <c r="F128" s="43" t="s">
        <v>582</v>
      </c>
      <c r="G128" s="44">
        <v>83</v>
      </c>
      <c r="H128" s="43" t="s">
        <v>585</v>
      </c>
      <c r="I128" s="45" t="s">
        <v>1051</v>
      </c>
      <c r="J128" s="45" t="s">
        <v>561</v>
      </c>
      <c r="K128" s="126">
        <v>134.18</v>
      </c>
      <c r="L128" s="126">
        <v>134.18</v>
      </c>
      <c r="M128" s="126"/>
      <c r="N128" s="126">
        <v>0</v>
      </c>
      <c r="O128" s="126">
        <v>0</v>
      </c>
      <c r="P128" s="132"/>
      <c r="Q128" s="133"/>
      <c r="R128" s="147"/>
      <c r="S128" s="46">
        <v>268.36</v>
      </c>
      <c r="T128" s="112"/>
      <c r="U128" s="56" t="s">
        <v>953</v>
      </c>
      <c r="V128" s="105" t="s">
        <v>585</v>
      </c>
    </row>
    <row r="129" spans="1:24" s="18" customFormat="1" ht="21.75" customHeight="1" x14ac:dyDescent="0.3">
      <c r="A129" s="39">
        <v>14110765</v>
      </c>
      <c r="B129" s="40" t="s">
        <v>106</v>
      </c>
      <c r="C129" s="41" t="s">
        <v>689</v>
      </c>
      <c r="D129" s="42" t="s">
        <v>3</v>
      </c>
      <c r="E129" s="43" t="s">
        <v>581</v>
      </c>
      <c r="F129" s="43" t="s">
        <v>582</v>
      </c>
      <c r="G129" s="44">
        <v>86</v>
      </c>
      <c r="H129" s="43" t="s">
        <v>585</v>
      </c>
      <c r="I129" s="45" t="s">
        <v>583</v>
      </c>
      <c r="J129" s="45" t="s">
        <v>587</v>
      </c>
      <c r="K129" s="126">
        <v>0</v>
      </c>
      <c r="L129" s="126">
        <v>0</v>
      </c>
      <c r="M129" s="126"/>
      <c r="N129" s="126">
        <v>0</v>
      </c>
      <c r="O129" s="126">
        <v>0</v>
      </c>
      <c r="P129" s="145"/>
      <c r="Q129" s="146"/>
      <c r="R129" s="147"/>
      <c r="S129" s="46">
        <v>0</v>
      </c>
      <c r="T129" s="112"/>
      <c r="U129" s="56" t="s">
        <v>585</v>
      </c>
      <c r="V129" s="105" t="s">
        <v>585</v>
      </c>
      <c r="X129" s="127"/>
    </row>
    <row r="130" spans="1:24" s="1" customFormat="1" ht="21.75" customHeight="1" x14ac:dyDescent="0.3">
      <c r="A130" s="40">
        <v>14110799</v>
      </c>
      <c r="B130" s="40" t="s">
        <v>462</v>
      </c>
      <c r="C130" s="41" t="s">
        <v>612</v>
      </c>
      <c r="D130" s="42" t="s">
        <v>3</v>
      </c>
      <c r="E130" s="43" t="s">
        <v>581</v>
      </c>
      <c r="F130" s="43" t="s">
        <v>582</v>
      </c>
      <c r="G130" s="44">
        <v>92</v>
      </c>
      <c r="H130" s="43" t="s">
        <v>583</v>
      </c>
      <c r="I130" s="45" t="s">
        <v>1051</v>
      </c>
      <c r="J130" s="45" t="s">
        <v>587</v>
      </c>
      <c r="K130" s="126">
        <v>134.18</v>
      </c>
      <c r="L130" s="126">
        <v>134.18</v>
      </c>
      <c r="M130" s="126"/>
      <c r="N130" s="126">
        <v>0</v>
      </c>
      <c r="O130" s="126">
        <v>0</v>
      </c>
      <c r="P130" s="132"/>
      <c r="Q130" s="133"/>
      <c r="R130" s="147"/>
      <c r="S130" s="46">
        <v>268.36</v>
      </c>
      <c r="T130" s="112"/>
      <c r="U130" s="56" t="s">
        <v>953</v>
      </c>
      <c r="V130" s="105" t="s">
        <v>585</v>
      </c>
    </row>
    <row r="131" spans="1:24" s="1" customFormat="1" ht="21.75" customHeight="1" x14ac:dyDescent="0.3">
      <c r="A131" s="39">
        <v>14110929</v>
      </c>
      <c r="B131" s="40" t="s">
        <v>183</v>
      </c>
      <c r="C131" s="41" t="s">
        <v>659</v>
      </c>
      <c r="D131" s="42" t="s">
        <v>3</v>
      </c>
      <c r="E131" s="43" t="s">
        <v>581</v>
      </c>
      <c r="F131" s="43" t="s">
        <v>582</v>
      </c>
      <c r="G131" s="44">
        <v>93</v>
      </c>
      <c r="H131" s="43" t="s">
        <v>583</v>
      </c>
      <c r="I131" s="45" t="s">
        <v>583</v>
      </c>
      <c r="J131" s="45" t="s">
        <v>561</v>
      </c>
      <c r="K131" s="126">
        <v>134.18</v>
      </c>
      <c r="L131" s="126">
        <v>134.18</v>
      </c>
      <c r="M131" s="126"/>
      <c r="N131" s="126">
        <v>200</v>
      </c>
      <c r="O131" s="126">
        <v>177.44</v>
      </c>
      <c r="P131" s="145"/>
      <c r="Q131" s="146"/>
      <c r="R131" s="147"/>
      <c r="S131" s="46">
        <v>645.79999999999995</v>
      </c>
      <c r="T131" s="112"/>
      <c r="U131" s="56" t="s">
        <v>953</v>
      </c>
      <c r="V131" s="105" t="s">
        <v>585</v>
      </c>
    </row>
    <row r="132" spans="1:24" s="1" customFormat="1" ht="21.75" customHeight="1" x14ac:dyDescent="0.3">
      <c r="A132" s="39">
        <v>14110973</v>
      </c>
      <c r="B132" s="40" t="s">
        <v>107</v>
      </c>
      <c r="C132" s="41" t="s">
        <v>690</v>
      </c>
      <c r="D132" s="42" t="s">
        <v>3</v>
      </c>
      <c r="E132" s="43" t="s">
        <v>581</v>
      </c>
      <c r="F132" s="43" t="s">
        <v>582</v>
      </c>
      <c r="G132" s="44">
        <v>89</v>
      </c>
      <c r="H132" s="43" t="s">
        <v>585</v>
      </c>
      <c r="I132" s="45" t="s">
        <v>583</v>
      </c>
      <c r="J132" s="45" t="s">
        <v>561</v>
      </c>
      <c r="K132" s="126">
        <v>134.18</v>
      </c>
      <c r="L132" s="126">
        <v>134.18</v>
      </c>
      <c r="M132" s="126"/>
      <c r="N132" s="126">
        <v>0</v>
      </c>
      <c r="O132" s="126">
        <v>177.44</v>
      </c>
      <c r="P132" s="145"/>
      <c r="Q132" s="146"/>
      <c r="R132" s="147"/>
      <c r="S132" s="46">
        <v>445.8</v>
      </c>
      <c r="T132" s="112"/>
      <c r="U132" s="56" t="s">
        <v>953</v>
      </c>
      <c r="V132" s="105" t="s">
        <v>585</v>
      </c>
    </row>
    <row r="133" spans="1:24" s="1" customFormat="1" ht="21.75" customHeight="1" x14ac:dyDescent="0.3">
      <c r="A133" s="39">
        <v>14110974</v>
      </c>
      <c r="B133" s="48" t="s">
        <v>108</v>
      </c>
      <c r="C133" s="41" t="s">
        <v>690</v>
      </c>
      <c r="D133" s="42" t="s">
        <v>3</v>
      </c>
      <c r="E133" s="43" t="s">
        <v>581</v>
      </c>
      <c r="F133" s="43" t="s">
        <v>582</v>
      </c>
      <c r="G133" s="44" t="s">
        <v>1609</v>
      </c>
      <c r="H133" s="43" t="s">
        <v>585</v>
      </c>
      <c r="I133" s="45" t="s">
        <v>583</v>
      </c>
      <c r="J133" s="45" t="s">
        <v>587</v>
      </c>
      <c r="K133" s="126">
        <v>0</v>
      </c>
      <c r="L133" s="126">
        <v>0</v>
      </c>
      <c r="M133" s="126"/>
      <c r="N133" s="126">
        <v>0</v>
      </c>
      <c r="O133" s="126">
        <v>0</v>
      </c>
      <c r="P133" s="145"/>
      <c r="Q133" s="146"/>
      <c r="R133" s="147"/>
      <c r="S133" s="46">
        <v>0</v>
      </c>
      <c r="T133" s="112"/>
      <c r="U133" s="56" t="s">
        <v>585</v>
      </c>
      <c r="V133" s="105" t="s">
        <v>585</v>
      </c>
      <c r="X133" s="127"/>
    </row>
    <row r="134" spans="1:24" s="1" customFormat="1" ht="21.75" customHeight="1" x14ac:dyDescent="0.3">
      <c r="A134" s="39">
        <v>14110978</v>
      </c>
      <c r="B134" s="40" t="s">
        <v>109</v>
      </c>
      <c r="C134" s="41" t="s">
        <v>690</v>
      </c>
      <c r="D134" s="42" t="s">
        <v>3</v>
      </c>
      <c r="E134" s="43" t="s">
        <v>581</v>
      </c>
      <c r="F134" s="43" t="s">
        <v>582</v>
      </c>
      <c r="G134" s="44">
        <v>94</v>
      </c>
      <c r="H134" s="43" t="s">
        <v>583</v>
      </c>
      <c r="I134" s="45" t="s">
        <v>583</v>
      </c>
      <c r="J134" s="45" t="s">
        <v>561</v>
      </c>
      <c r="K134" s="126">
        <v>134.18</v>
      </c>
      <c r="L134" s="126">
        <v>134.18</v>
      </c>
      <c r="M134" s="126"/>
      <c r="N134" s="126">
        <v>200</v>
      </c>
      <c r="O134" s="126">
        <v>177.44</v>
      </c>
      <c r="P134" s="145"/>
      <c r="Q134" s="146"/>
      <c r="R134" s="147"/>
      <c r="S134" s="46">
        <v>645.79999999999995</v>
      </c>
      <c r="T134" s="112"/>
      <c r="U134" s="56" t="s">
        <v>953</v>
      </c>
      <c r="V134" s="105" t="s">
        <v>585</v>
      </c>
    </row>
    <row r="135" spans="1:24" s="1" customFormat="1" ht="21.75" customHeight="1" x14ac:dyDescent="0.3">
      <c r="A135" s="40">
        <v>14111143</v>
      </c>
      <c r="B135" s="40" t="s">
        <v>110</v>
      </c>
      <c r="C135" s="41" t="s">
        <v>691</v>
      </c>
      <c r="D135" s="42" t="s">
        <v>3</v>
      </c>
      <c r="E135" s="43" t="s">
        <v>581</v>
      </c>
      <c r="F135" s="43" t="s">
        <v>582</v>
      </c>
      <c r="G135" s="44">
        <v>90</v>
      </c>
      <c r="H135" s="43" t="s">
        <v>583</v>
      </c>
      <c r="I135" s="45" t="s">
        <v>583</v>
      </c>
      <c r="J135" s="45" t="s">
        <v>561</v>
      </c>
      <c r="K135" s="126">
        <v>134.18</v>
      </c>
      <c r="L135" s="126">
        <v>134.18</v>
      </c>
      <c r="M135" s="126"/>
      <c r="N135" s="126">
        <v>200</v>
      </c>
      <c r="O135" s="126">
        <v>177.44</v>
      </c>
      <c r="P135" s="132"/>
      <c r="Q135" s="133"/>
      <c r="R135" s="132"/>
      <c r="S135" s="46">
        <v>645.79999999999995</v>
      </c>
      <c r="T135" s="112"/>
      <c r="U135" s="56" t="s">
        <v>953</v>
      </c>
      <c r="V135" s="105" t="s">
        <v>585</v>
      </c>
    </row>
    <row r="136" spans="1:24" s="1" customFormat="1" ht="21.75" customHeight="1" x14ac:dyDescent="0.3">
      <c r="A136" s="39">
        <v>14111266</v>
      </c>
      <c r="B136" s="40" t="s">
        <v>111</v>
      </c>
      <c r="C136" s="41" t="s">
        <v>692</v>
      </c>
      <c r="D136" s="42" t="s">
        <v>3</v>
      </c>
      <c r="E136" s="43" t="s">
        <v>581</v>
      </c>
      <c r="F136" s="43" t="s">
        <v>582</v>
      </c>
      <c r="G136" s="44">
        <v>94</v>
      </c>
      <c r="H136" s="43" t="s">
        <v>583</v>
      </c>
      <c r="I136" s="45" t="s">
        <v>583</v>
      </c>
      <c r="J136" s="45" t="s">
        <v>561</v>
      </c>
      <c r="K136" s="126">
        <v>134.18</v>
      </c>
      <c r="L136" s="126">
        <v>134.18</v>
      </c>
      <c r="M136" s="126"/>
      <c r="N136" s="126">
        <v>200</v>
      </c>
      <c r="O136" s="126">
        <v>177.44</v>
      </c>
      <c r="P136" s="145"/>
      <c r="Q136" s="146"/>
      <c r="R136" s="147"/>
      <c r="S136" s="46">
        <v>645.79999999999995</v>
      </c>
      <c r="T136" s="112"/>
      <c r="U136" s="56" t="s">
        <v>953</v>
      </c>
      <c r="V136" s="105" t="s">
        <v>585</v>
      </c>
    </row>
    <row r="137" spans="1:24" s="1" customFormat="1" ht="21.75" customHeight="1" x14ac:dyDescent="0.3">
      <c r="A137" s="39">
        <v>14111557</v>
      </c>
      <c r="B137" s="40" t="s">
        <v>112</v>
      </c>
      <c r="C137" s="41" t="s">
        <v>693</v>
      </c>
      <c r="D137" s="42" t="s">
        <v>3</v>
      </c>
      <c r="E137" s="43" t="s">
        <v>581</v>
      </c>
      <c r="F137" s="43" t="s">
        <v>582</v>
      </c>
      <c r="G137" s="44">
        <v>95</v>
      </c>
      <c r="H137" s="43" t="s">
        <v>583</v>
      </c>
      <c r="I137" s="45" t="s">
        <v>1051</v>
      </c>
      <c r="J137" s="45" t="s">
        <v>561</v>
      </c>
      <c r="K137" s="126">
        <v>134.18</v>
      </c>
      <c r="L137" s="126">
        <v>134.18</v>
      </c>
      <c r="M137" s="126"/>
      <c r="N137" s="126">
        <v>0</v>
      </c>
      <c r="O137" s="126">
        <v>0</v>
      </c>
      <c r="P137" s="132"/>
      <c r="Q137" s="133"/>
      <c r="R137" s="148"/>
      <c r="S137" s="46">
        <v>268.36</v>
      </c>
      <c r="T137" s="112"/>
      <c r="U137" s="56" t="s">
        <v>953</v>
      </c>
      <c r="V137" s="105" t="s">
        <v>585</v>
      </c>
    </row>
    <row r="138" spans="1:24" s="1" customFormat="1" ht="21.75" customHeight="1" x14ac:dyDescent="0.3">
      <c r="A138" s="39">
        <v>14111675</v>
      </c>
      <c r="B138" s="40" t="s">
        <v>113</v>
      </c>
      <c r="C138" s="41" t="s">
        <v>694</v>
      </c>
      <c r="D138" s="42" t="s">
        <v>3</v>
      </c>
      <c r="E138" s="43" t="s">
        <v>581</v>
      </c>
      <c r="F138" s="43" t="s">
        <v>582</v>
      </c>
      <c r="G138" s="44">
        <v>95</v>
      </c>
      <c r="H138" s="43" t="s">
        <v>583</v>
      </c>
      <c r="I138" s="45" t="s">
        <v>583</v>
      </c>
      <c r="J138" s="45" t="s">
        <v>561</v>
      </c>
      <c r="K138" s="126">
        <v>134.18</v>
      </c>
      <c r="L138" s="126">
        <v>134.18</v>
      </c>
      <c r="M138" s="126"/>
      <c r="N138" s="126">
        <v>200</v>
      </c>
      <c r="O138" s="126">
        <v>177.44</v>
      </c>
      <c r="P138" s="145"/>
      <c r="Q138" s="146"/>
      <c r="R138" s="147"/>
      <c r="S138" s="46">
        <v>645.79999999999995</v>
      </c>
      <c r="T138" s="112"/>
      <c r="U138" s="56" t="s">
        <v>953</v>
      </c>
      <c r="V138" s="105" t="s">
        <v>585</v>
      </c>
    </row>
    <row r="139" spans="1:24" s="1" customFormat="1" ht="21.75" customHeight="1" x14ac:dyDescent="0.3">
      <c r="A139" s="39">
        <v>14111678</v>
      </c>
      <c r="B139" s="48" t="s">
        <v>284</v>
      </c>
      <c r="C139" s="41" t="s">
        <v>695</v>
      </c>
      <c r="D139" s="42" t="s">
        <v>3</v>
      </c>
      <c r="E139" s="43" t="s">
        <v>581</v>
      </c>
      <c r="F139" s="43" t="s">
        <v>582</v>
      </c>
      <c r="G139" s="44">
        <v>93</v>
      </c>
      <c r="H139" s="43" t="s">
        <v>583</v>
      </c>
      <c r="I139" s="45" t="s">
        <v>1051</v>
      </c>
      <c r="J139" s="45" t="s">
        <v>561</v>
      </c>
      <c r="K139" s="126">
        <v>134.18</v>
      </c>
      <c r="L139" s="126">
        <v>134.18</v>
      </c>
      <c r="M139" s="126"/>
      <c r="N139" s="126">
        <v>0</v>
      </c>
      <c r="O139" s="126">
        <v>0</v>
      </c>
      <c r="P139" s="132"/>
      <c r="Q139" s="133"/>
      <c r="R139" s="147"/>
      <c r="S139" s="46">
        <v>268.36</v>
      </c>
      <c r="T139" s="112"/>
      <c r="U139" s="56" t="s">
        <v>953</v>
      </c>
      <c r="V139" s="105" t="s">
        <v>925</v>
      </c>
    </row>
    <row r="140" spans="1:24" s="1" customFormat="1" ht="21.75" customHeight="1" x14ac:dyDescent="0.3">
      <c r="A140" s="40">
        <v>14111754</v>
      </c>
      <c r="B140" s="40" t="s">
        <v>316</v>
      </c>
      <c r="C140" s="41" t="s">
        <v>696</v>
      </c>
      <c r="D140" s="42" t="s">
        <v>3</v>
      </c>
      <c r="E140" s="43" t="s">
        <v>581</v>
      </c>
      <c r="F140" s="43" t="s">
        <v>582</v>
      </c>
      <c r="G140" s="44">
        <v>89</v>
      </c>
      <c r="H140" s="43" t="s">
        <v>585</v>
      </c>
      <c r="I140" s="45" t="s">
        <v>583</v>
      </c>
      <c r="J140" s="45" t="s">
        <v>561</v>
      </c>
      <c r="K140" s="126">
        <v>134.18</v>
      </c>
      <c r="L140" s="126">
        <v>134.18</v>
      </c>
      <c r="M140" s="126"/>
      <c r="N140" s="126">
        <v>0</v>
      </c>
      <c r="O140" s="126">
        <v>177.44</v>
      </c>
      <c r="P140" s="132"/>
      <c r="Q140" s="133"/>
      <c r="R140" s="147"/>
      <c r="S140" s="46">
        <v>445.8</v>
      </c>
      <c r="T140" s="112"/>
      <c r="U140" s="56" t="s">
        <v>953</v>
      </c>
      <c r="V140" s="105" t="s">
        <v>585</v>
      </c>
    </row>
    <row r="141" spans="1:24" s="1" customFormat="1" ht="21.75" customHeight="1" x14ac:dyDescent="0.3">
      <c r="A141" s="39">
        <v>14112026</v>
      </c>
      <c r="B141" s="40" t="s">
        <v>114</v>
      </c>
      <c r="C141" s="41" t="s">
        <v>697</v>
      </c>
      <c r="D141" s="42" t="s">
        <v>3</v>
      </c>
      <c r="E141" s="43" t="s">
        <v>581</v>
      </c>
      <c r="F141" s="43" t="s">
        <v>582</v>
      </c>
      <c r="G141" s="44">
        <v>93</v>
      </c>
      <c r="H141" s="43" t="s">
        <v>583</v>
      </c>
      <c r="I141" s="45" t="s">
        <v>1051</v>
      </c>
      <c r="J141" s="45" t="s">
        <v>561</v>
      </c>
      <c r="K141" s="126">
        <v>134.18</v>
      </c>
      <c r="L141" s="126">
        <v>134.18</v>
      </c>
      <c r="M141" s="126"/>
      <c r="N141" s="126">
        <v>0</v>
      </c>
      <c r="O141" s="126">
        <v>0</v>
      </c>
      <c r="P141" s="145"/>
      <c r="Q141" s="146"/>
      <c r="R141" s="147"/>
      <c r="S141" s="46">
        <v>268.36</v>
      </c>
      <c r="T141" s="112"/>
      <c r="U141" s="56" t="s">
        <v>953</v>
      </c>
      <c r="V141" s="105" t="s">
        <v>585</v>
      </c>
    </row>
    <row r="142" spans="1:24" s="1" customFormat="1" ht="21.75" customHeight="1" x14ac:dyDescent="0.3">
      <c r="A142" s="39">
        <v>14112124</v>
      </c>
      <c r="B142" s="40" t="s">
        <v>251</v>
      </c>
      <c r="C142" s="41" t="s">
        <v>698</v>
      </c>
      <c r="D142" s="42" t="s">
        <v>3</v>
      </c>
      <c r="E142" s="43" t="s">
        <v>581</v>
      </c>
      <c r="F142" s="43" t="s">
        <v>740</v>
      </c>
      <c r="G142" s="44">
        <v>61</v>
      </c>
      <c r="H142" s="43" t="s">
        <v>585</v>
      </c>
      <c r="I142" s="45" t="s">
        <v>583</v>
      </c>
      <c r="J142" s="45" t="s">
        <v>561</v>
      </c>
      <c r="K142" s="126">
        <v>134.18</v>
      </c>
      <c r="L142" s="126">
        <v>0</v>
      </c>
      <c r="M142" s="126"/>
      <c r="N142" s="126">
        <v>0</v>
      </c>
      <c r="O142" s="126">
        <v>177.44</v>
      </c>
      <c r="P142" s="132"/>
      <c r="Q142" s="133"/>
      <c r="R142" s="147"/>
      <c r="S142" s="46">
        <v>311.62</v>
      </c>
      <c r="T142" s="112"/>
      <c r="U142" s="56" t="s">
        <v>953</v>
      </c>
      <c r="V142" s="105" t="s">
        <v>2034</v>
      </c>
    </row>
    <row r="143" spans="1:24" s="1" customFormat="1" ht="21.75" customHeight="1" x14ac:dyDescent="0.3">
      <c r="A143" s="39">
        <v>14112174</v>
      </c>
      <c r="B143" s="40" t="s">
        <v>115</v>
      </c>
      <c r="C143" s="41" t="s">
        <v>699</v>
      </c>
      <c r="D143" s="42" t="s">
        <v>3</v>
      </c>
      <c r="E143" s="43" t="s">
        <v>581</v>
      </c>
      <c r="F143" s="43" t="s">
        <v>582</v>
      </c>
      <c r="G143" s="44">
        <v>89</v>
      </c>
      <c r="H143" s="43" t="s">
        <v>585</v>
      </c>
      <c r="I143" s="45" t="s">
        <v>1051</v>
      </c>
      <c r="J143" s="45" t="s">
        <v>561</v>
      </c>
      <c r="K143" s="126">
        <v>134.18</v>
      </c>
      <c r="L143" s="126">
        <v>134.18</v>
      </c>
      <c r="M143" s="126"/>
      <c r="N143" s="126">
        <v>0</v>
      </c>
      <c r="O143" s="126">
        <v>0</v>
      </c>
      <c r="P143" s="132"/>
      <c r="Q143" s="133"/>
      <c r="R143" s="148"/>
      <c r="S143" s="46">
        <v>268.36</v>
      </c>
      <c r="T143" s="112"/>
      <c r="U143" s="56" t="s">
        <v>953</v>
      </c>
      <c r="V143" s="105" t="s">
        <v>585</v>
      </c>
    </row>
    <row r="144" spans="1:24" s="1" customFormat="1" ht="21.75" customHeight="1" x14ac:dyDescent="0.3">
      <c r="A144" s="39">
        <v>14112197</v>
      </c>
      <c r="B144" s="40" t="s">
        <v>244</v>
      </c>
      <c r="C144" s="41" t="s">
        <v>700</v>
      </c>
      <c r="D144" s="42" t="s">
        <v>3</v>
      </c>
      <c r="E144" s="43" t="s">
        <v>581</v>
      </c>
      <c r="F144" s="43" t="s">
        <v>582</v>
      </c>
      <c r="G144" s="44">
        <v>88</v>
      </c>
      <c r="H144" s="43" t="s">
        <v>585</v>
      </c>
      <c r="I144" s="45" t="s">
        <v>1051</v>
      </c>
      <c r="J144" s="45" t="s">
        <v>561</v>
      </c>
      <c r="K144" s="126">
        <v>134.18</v>
      </c>
      <c r="L144" s="126">
        <v>134.18</v>
      </c>
      <c r="M144" s="126"/>
      <c r="N144" s="126">
        <v>0</v>
      </c>
      <c r="O144" s="126">
        <v>0</v>
      </c>
      <c r="P144" s="145"/>
      <c r="Q144" s="146"/>
      <c r="R144" s="147"/>
      <c r="S144" s="46">
        <v>268.36</v>
      </c>
      <c r="T144" s="112"/>
      <c r="U144" s="56" t="s">
        <v>953</v>
      </c>
      <c r="V144" s="105" t="s">
        <v>585</v>
      </c>
    </row>
    <row r="145" spans="1:24" s="1" customFormat="1" ht="21.75" customHeight="1" x14ac:dyDescent="0.3">
      <c r="A145" s="39">
        <v>14112292</v>
      </c>
      <c r="B145" s="40" t="s">
        <v>195</v>
      </c>
      <c r="C145" s="41" t="s">
        <v>701</v>
      </c>
      <c r="D145" s="42" t="s">
        <v>3</v>
      </c>
      <c r="E145" s="43" t="s">
        <v>581</v>
      </c>
      <c r="F145" s="43" t="s">
        <v>582</v>
      </c>
      <c r="G145" s="44">
        <v>86</v>
      </c>
      <c r="H145" s="43" t="s">
        <v>585</v>
      </c>
      <c r="I145" s="45" t="s">
        <v>1051</v>
      </c>
      <c r="J145" s="45" t="s">
        <v>561</v>
      </c>
      <c r="K145" s="126">
        <v>134.18</v>
      </c>
      <c r="L145" s="126">
        <v>134.18</v>
      </c>
      <c r="M145" s="126"/>
      <c r="N145" s="126">
        <v>0</v>
      </c>
      <c r="O145" s="126">
        <v>0</v>
      </c>
      <c r="P145" s="132"/>
      <c r="Q145" s="133"/>
      <c r="R145" s="147"/>
      <c r="S145" s="46">
        <v>268.36</v>
      </c>
      <c r="T145" s="112"/>
      <c r="U145" s="56" t="s">
        <v>953</v>
      </c>
      <c r="V145" s="105" t="s">
        <v>585</v>
      </c>
    </row>
    <row r="146" spans="1:24" s="1" customFormat="1" ht="17.25" x14ac:dyDescent="0.3">
      <c r="A146" s="39">
        <v>14112449</v>
      </c>
      <c r="B146" s="48" t="s">
        <v>197</v>
      </c>
      <c r="C146" s="41" t="s">
        <v>702</v>
      </c>
      <c r="D146" s="42" t="s">
        <v>3</v>
      </c>
      <c r="E146" s="43" t="s">
        <v>581</v>
      </c>
      <c r="F146" s="43" t="s">
        <v>582</v>
      </c>
      <c r="G146" s="44">
        <v>93</v>
      </c>
      <c r="H146" s="43" t="s">
        <v>583</v>
      </c>
      <c r="I146" s="45" t="s">
        <v>583</v>
      </c>
      <c r="J146" s="45" t="s">
        <v>561</v>
      </c>
      <c r="K146" s="126">
        <v>134.18</v>
      </c>
      <c r="L146" s="126">
        <v>134.18</v>
      </c>
      <c r="M146" s="126"/>
      <c r="N146" s="126">
        <v>200</v>
      </c>
      <c r="O146" s="126">
        <v>177.44</v>
      </c>
      <c r="P146" s="132"/>
      <c r="Q146" s="133"/>
      <c r="R146" s="147"/>
      <c r="S146" s="46">
        <v>645.79999999999995</v>
      </c>
      <c r="T146" s="112"/>
      <c r="U146" s="56" t="s">
        <v>953</v>
      </c>
      <c r="V146" s="105" t="s">
        <v>585</v>
      </c>
    </row>
    <row r="147" spans="1:24" s="1" customFormat="1" ht="17.25" x14ac:dyDescent="0.3">
      <c r="A147" s="40">
        <v>14112588</v>
      </c>
      <c r="B147" s="40" t="s">
        <v>935</v>
      </c>
      <c r="C147" s="41" t="s">
        <v>936</v>
      </c>
      <c r="D147" s="42" t="s">
        <v>3</v>
      </c>
      <c r="E147" s="43" t="s">
        <v>581</v>
      </c>
      <c r="F147" s="43" t="s">
        <v>582</v>
      </c>
      <c r="G147" s="44">
        <v>92</v>
      </c>
      <c r="H147" s="43" t="s">
        <v>583</v>
      </c>
      <c r="I147" s="45" t="s">
        <v>583</v>
      </c>
      <c r="J147" s="45" t="s">
        <v>561</v>
      </c>
      <c r="K147" s="126">
        <v>134.18</v>
      </c>
      <c r="L147" s="126">
        <v>134.18</v>
      </c>
      <c r="M147" s="126"/>
      <c r="N147" s="126">
        <v>200</v>
      </c>
      <c r="O147" s="126">
        <v>177.44</v>
      </c>
      <c r="P147" s="132"/>
      <c r="Q147" s="133"/>
      <c r="R147" s="132"/>
      <c r="S147" s="46">
        <v>645.79999999999995</v>
      </c>
      <c r="T147" s="112"/>
      <c r="U147" s="56" t="s">
        <v>953</v>
      </c>
      <c r="V147" s="105" t="s">
        <v>925</v>
      </c>
    </row>
    <row r="148" spans="1:24" s="1" customFormat="1" ht="17.25" x14ac:dyDescent="0.3">
      <c r="A148" s="39">
        <v>14112591</v>
      </c>
      <c r="B148" s="40" t="s">
        <v>116</v>
      </c>
      <c r="C148" s="41" t="s">
        <v>624</v>
      </c>
      <c r="D148" s="42" t="s">
        <v>3</v>
      </c>
      <c r="E148" s="43" t="s">
        <v>581</v>
      </c>
      <c r="F148" s="43" t="s">
        <v>582</v>
      </c>
      <c r="G148" s="44">
        <v>95</v>
      </c>
      <c r="H148" s="43" t="s">
        <v>583</v>
      </c>
      <c r="I148" s="45" t="s">
        <v>1051</v>
      </c>
      <c r="J148" s="45" t="s">
        <v>561</v>
      </c>
      <c r="K148" s="126">
        <v>134.18</v>
      </c>
      <c r="L148" s="126">
        <v>134.18</v>
      </c>
      <c r="M148" s="126"/>
      <c r="N148" s="126">
        <v>0</v>
      </c>
      <c r="O148" s="126">
        <v>0</v>
      </c>
      <c r="P148" s="132"/>
      <c r="Q148" s="133"/>
      <c r="R148" s="147"/>
      <c r="S148" s="46">
        <v>268.36</v>
      </c>
      <c r="T148" s="112"/>
      <c r="U148" s="56" t="s">
        <v>953</v>
      </c>
      <c r="V148" s="105" t="s">
        <v>585</v>
      </c>
    </row>
    <row r="149" spans="1:24" s="1" customFormat="1" ht="17.25" x14ac:dyDescent="0.3">
      <c r="A149" s="39">
        <v>14112592</v>
      </c>
      <c r="B149" s="40" t="s">
        <v>117</v>
      </c>
      <c r="C149" s="41" t="s">
        <v>624</v>
      </c>
      <c r="D149" s="42" t="s">
        <v>3</v>
      </c>
      <c r="E149" s="43" t="s">
        <v>581</v>
      </c>
      <c r="F149" s="43" t="s">
        <v>582</v>
      </c>
      <c r="G149" s="44">
        <v>95</v>
      </c>
      <c r="H149" s="43" t="s">
        <v>583</v>
      </c>
      <c r="I149" s="45" t="s">
        <v>583</v>
      </c>
      <c r="J149" s="45" t="s">
        <v>561</v>
      </c>
      <c r="K149" s="126">
        <v>134.18</v>
      </c>
      <c r="L149" s="126">
        <v>134.18</v>
      </c>
      <c r="M149" s="126"/>
      <c r="N149" s="126">
        <v>200</v>
      </c>
      <c r="O149" s="126">
        <v>177.44</v>
      </c>
      <c r="P149" s="145"/>
      <c r="Q149" s="146"/>
      <c r="R149" s="147"/>
      <c r="S149" s="46">
        <v>645.79999999999995</v>
      </c>
      <c r="T149" s="112"/>
      <c r="U149" s="56" t="s">
        <v>953</v>
      </c>
      <c r="V149" s="105" t="s">
        <v>585</v>
      </c>
    </row>
    <row r="150" spans="1:24" s="1" customFormat="1" ht="17.25" x14ac:dyDescent="0.3">
      <c r="A150" s="40">
        <v>14112595</v>
      </c>
      <c r="B150" s="40" t="s">
        <v>372</v>
      </c>
      <c r="C150" s="41" t="s">
        <v>666</v>
      </c>
      <c r="D150" s="42" t="s">
        <v>3</v>
      </c>
      <c r="E150" s="43" t="s">
        <v>581</v>
      </c>
      <c r="F150" s="43" t="s">
        <v>582</v>
      </c>
      <c r="G150" s="44">
        <v>93</v>
      </c>
      <c r="H150" s="43" t="s">
        <v>583</v>
      </c>
      <c r="I150" s="45" t="s">
        <v>583</v>
      </c>
      <c r="J150" s="45" t="s">
        <v>561</v>
      </c>
      <c r="K150" s="126">
        <v>134.18</v>
      </c>
      <c r="L150" s="126">
        <v>134.18</v>
      </c>
      <c r="M150" s="126"/>
      <c r="N150" s="126">
        <v>200</v>
      </c>
      <c r="O150" s="126">
        <v>177.44</v>
      </c>
      <c r="P150" s="132"/>
      <c r="Q150" s="133"/>
      <c r="R150" s="132"/>
      <c r="S150" s="46">
        <v>645.79999999999995</v>
      </c>
      <c r="T150" s="112"/>
      <c r="U150" s="56" t="s">
        <v>953</v>
      </c>
      <c r="V150" s="105" t="s">
        <v>585</v>
      </c>
    </row>
    <row r="151" spans="1:24" s="1" customFormat="1" ht="17.25" x14ac:dyDescent="0.3">
      <c r="A151" s="39">
        <v>14112597</v>
      </c>
      <c r="B151" s="40" t="s">
        <v>118</v>
      </c>
      <c r="C151" s="41" t="s">
        <v>703</v>
      </c>
      <c r="D151" s="42" t="s">
        <v>3</v>
      </c>
      <c r="E151" s="43" t="s">
        <v>581</v>
      </c>
      <c r="F151" s="43" t="s">
        <v>582</v>
      </c>
      <c r="G151" s="44">
        <v>95</v>
      </c>
      <c r="H151" s="43" t="s">
        <v>583</v>
      </c>
      <c r="I151" s="45" t="s">
        <v>583</v>
      </c>
      <c r="J151" s="45" t="s">
        <v>561</v>
      </c>
      <c r="K151" s="126">
        <v>134.18</v>
      </c>
      <c r="L151" s="126">
        <v>134.18</v>
      </c>
      <c r="M151" s="126"/>
      <c r="N151" s="126">
        <v>200</v>
      </c>
      <c r="O151" s="126">
        <v>177.44</v>
      </c>
      <c r="P151" s="132"/>
      <c r="Q151" s="133"/>
      <c r="R151" s="147"/>
      <c r="S151" s="46">
        <v>645.79999999999995</v>
      </c>
      <c r="T151" s="112"/>
      <c r="U151" s="56" t="s">
        <v>953</v>
      </c>
      <c r="V151" s="105" t="s">
        <v>585</v>
      </c>
    </row>
    <row r="152" spans="1:24" s="1" customFormat="1" ht="17.25" x14ac:dyDescent="0.3">
      <c r="A152" s="39">
        <v>14112602</v>
      </c>
      <c r="B152" s="48" t="s">
        <v>119</v>
      </c>
      <c r="C152" s="41" t="s">
        <v>703</v>
      </c>
      <c r="D152" s="42" t="s">
        <v>3</v>
      </c>
      <c r="E152" s="43" t="s">
        <v>581</v>
      </c>
      <c r="F152" s="43" t="s">
        <v>582</v>
      </c>
      <c r="G152" s="44">
        <v>94</v>
      </c>
      <c r="H152" s="43" t="s">
        <v>583</v>
      </c>
      <c r="I152" s="45" t="s">
        <v>583</v>
      </c>
      <c r="J152" s="45" t="s">
        <v>561</v>
      </c>
      <c r="K152" s="126">
        <v>134.18</v>
      </c>
      <c r="L152" s="126">
        <v>134.18</v>
      </c>
      <c r="M152" s="126"/>
      <c r="N152" s="126">
        <v>200</v>
      </c>
      <c r="O152" s="126">
        <v>177.44</v>
      </c>
      <c r="P152" s="132"/>
      <c r="Q152" s="133"/>
      <c r="R152" s="147"/>
      <c r="S152" s="46">
        <v>645.79999999999995</v>
      </c>
      <c r="T152" s="112"/>
      <c r="U152" s="56" t="s">
        <v>953</v>
      </c>
      <c r="V152" s="105" t="s">
        <v>585</v>
      </c>
    </row>
    <row r="153" spans="1:24" s="1" customFormat="1" ht="17.25" x14ac:dyDescent="0.3">
      <c r="A153" s="39">
        <v>14112603</v>
      </c>
      <c r="B153" s="40" t="s">
        <v>120</v>
      </c>
      <c r="C153" s="41" t="s">
        <v>703</v>
      </c>
      <c r="D153" s="42" t="s">
        <v>3</v>
      </c>
      <c r="E153" s="43" t="s">
        <v>581</v>
      </c>
      <c r="F153" s="43" t="s">
        <v>582</v>
      </c>
      <c r="G153" s="44">
        <v>91</v>
      </c>
      <c r="H153" s="43" t="s">
        <v>583</v>
      </c>
      <c r="I153" s="45" t="s">
        <v>1051</v>
      </c>
      <c r="J153" s="45" t="s">
        <v>561</v>
      </c>
      <c r="K153" s="126">
        <v>134.18</v>
      </c>
      <c r="L153" s="126">
        <v>134.18</v>
      </c>
      <c r="M153" s="126"/>
      <c r="N153" s="126">
        <v>0</v>
      </c>
      <c r="O153" s="126">
        <v>0</v>
      </c>
      <c r="P153" s="145"/>
      <c r="Q153" s="146"/>
      <c r="R153" s="147"/>
      <c r="S153" s="46">
        <v>268.36</v>
      </c>
      <c r="T153" s="112"/>
      <c r="U153" s="56" t="s">
        <v>953</v>
      </c>
      <c r="V153" s="105" t="s">
        <v>585</v>
      </c>
    </row>
    <row r="154" spans="1:24" s="1" customFormat="1" ht="17.25" x14ac:dyDescent="0.3">
      <c r="A154" s="39">
        <v>14112605</v>
      </c>
      <c r="B154" s="40" t="s">
        <v>121</v>
      </c>
      <c r="C154" s="41" t="s">
        <v>703</v>
      </c>
      <c r="D154" s="42" t="s">
        <v>3</v>
      </c>
      <c r="E154" s="43" t="s">
        <v>581</v>
      </c>
      <c r="F154" s="43" t="s">
        <v>582</v>
      </c>
      <c r="G154" s="44">
        <v>95</v>
      </c>
      <c r="H154" s="43" t="s">
        <v>583</v>
      </c>
      <c r="I154" s="45" t="s">
        <v>583</v>
      </c>
      <c r="J154" s="45" t="s">
        <v>561</v>
      </c>
      <c r="K154" s="126">
        <v>134.18</v>
      </c>
      <c r="L154" s="126">
        <v>134.18</v>
      </c>
      <c r="M154" s="126"/>
      <c r="N154" s="126">
        <v>200</v>
      </c>
      <c r="O154" s="126">
        <v>177.44</v>
      </c>
      <c r="P154" s="145"/>
      <c r="Q154" s="146"/>
      <c r="R154" s="147"/>
      <c r="S154" s="46">
        <v>645.79999999999995</v>
      </c>
      <c r="T154" s="112"/>
      <c r="U154" s="56" t="s">
        <v>953</v>
      </c>
      <c r="V154" s="105" t="s">
        <v>585</v>
      </c>
    </row>
    <row r="155" spans="1:24" s="1" customFormat="1" ht="17.25" x14ac:dyDescent="0.3">
      <c r="A155" s="39">
        <v>14112630</v>
      </c>
      <c r="B155" s="40" t="s">
        <v>122</v>
      </c>
      <c r="C155" s="41" t="s">
        <v>704</v>
      </c>
      <c r="D155" s="42" t="s">
        <v>3</v>
      </c>
      <c r="E155" s="43" t="s">
        <v>581</v>
      </c>
      <c r="F155" s="43" t="s">
        <v>582</v>
      </c>
      <c r="G155" s="44">
        <v>94</v>
      </c>
      <c r="H155" s="43" t="s">
        <v>583</v>
      </c>
      <c r="I155" s="45" t="s">
        <v>1051</v>
      </c>
      <c r="J155" s="45" t="s">
        <v>561</v>
      </c>
      <c r="K155" s="126">
        <v>134.18</v>
      </c>
      <c r="L155" s="126">
        <v>134.18</v>
      </c>
      <c r="M155" s="126"/>
      <c r="N155" s="126">
        <v>0</v>
      </c>
      <c r="O155" s="126">
        <v>0</v>
      </c>
      <c r="P155" s="145"/>
      <c r="Q155" s="146"/>
      <c r="R155" s="148"/>
      <c r="S155" s="46">
        <v>268.36</v>
      </c>
      <c r="T155" s="112"/>
      <c r="U155" s="56" t="s">
        <v>953</v>
      </c>
      <c r="V155" s="105" t="s">
        <v>585</v>
      </c>
    </row>
    <row r="156" spans="1:24" s="1" customFormat="1" ht="17.25" x14ac:dyDescent="0.3">
      <c r="A156" s="39">
        <v>14112635</v>
      </c>
      <c r="B156" s="40" t="s">
        <v>985</v>
      </c>
      <c r="C156" s="41" t="s">
        <v>986</v>
      </c>
      <c r="D156" s="42" t="s">
        <v>3</v>
      </c>
      <c r="E156" s="43" t="s">
        <v>581</v>
      </c>
      <c r="F156" s="43" t="s">
        <v>582</v>
      </c>
      <c r="G156" s="44">
        <v>95</v>
      </c>
      <c r="H156" s="43" t="s">
        <v>583</v>
      </c>
      <c r="I156" s="45" t="s">
        <v>583</v>
      </c>
      <c r="J156" s="45" t="s">
        <v>561</v>
      </c>
      <c r="K156" s="126">
        <v>134.18</v>
      </c>
      <c r="L156" s="126">
        <v>134.18</v>
      </c>
      <c r="M156" s="126"/>
      <c r="N156" s="126">
        <v>200</v>
      </c>
      <c r="O156" s="126">
        <v>177.44</v>
      </c>
      <c r="P156" s="132"/>
      <c r="Q156" s="133"/>
      <c r="R156" s="147"/>
      <c r="S156" s="46">
        <v>645.79999999999995</v>
      </c>
      <c r="T156" s="112"/>
      <c r="U156" s="56" t="s">
        <v>953</v>
      </c>
      <c r="V156" s="105" t="s">
        <v>585</v>
      </c>
    </row>
    <row r="157" spans="1:24" s="1" customFormat="1" ht="17.25" x14ac:dyDescent="0.3">
      <c r="A157" s="39">
        <v>14112730</v>
      </c>
      <c r="B157" s="40" t="s">
        <v>281</v>
      </c>
      <c r="C157" s="41" t="s">
        <v>705</v>
      </c>
      <c r="D157" s="42" t="s">
        <v>3</v>
      </c>
      <c r="E157" s="43" t="s">
        <v>581</v>
      </c>
      <c r="F157" s="43" t="s">
        <v>582</v>
      </c>
      <c r="G157" s="44">
        <v>94</v>
      </c>
      <c r="H157" s="43" t="s">
        <v>583</v>
      </c>
      <c r="I157" s="45" t="s">
        <v>1051</v>
      </c>
      <c r="J157" s="45" t="s">
        <v>561</v>
      </c>
      <c r="K157" s="126">
        <v>134.18</v>
      </c>
      <c r="L157" s="126">
        <v>134.18</v>
      </c>
      <c r="M157" s="126"/>
      <c r="N157" s="126">
        <v>0</v>
      </c>
      <c r="O157" s="126">
        <v>0</v>
      </c>
      <c r="P157" s="145"/>
      <c r="Q157" s="146"/>
      <c r="R157" s="147"/>
      <c r="S157" s="46">
        <v>268.36</v>
      </c>
      <c r="T157" s="112"/>
      <c r="U157" s="56" t="s">
        <v>953</v>
      </c>
      <c r="V157" s="105" t="s">
        <v>585</v>
      </c>
    </row>
    <row r="158" spans="1:24" s="1" customFormat="1" ht="17.25" x14ac:dyDescent="0.3">
      <c r="A158" s="40">
        <v>14112757</v>
      </c>
      <c r="B158" s="40" t="s">
        <v>355</v>
      </c>
      <c r="C158" s="41" t="s">
        <v>706</v>
      </c>
      <c r="D158" s="42" t="s">
        <v>3</v>
      </c>
      <c r="E158" s="43" t="s">
        <v>581</v>
      </c>
      <c r="F158" s="43" t="s">
        <v>740</v>
      </c>
      <c r="G158" s="44">
        <v>80</v>
      </c>
      <c r="H158" s="43" t="s">
        <v>585</v>
      </c>
      <c r="I158" s="45" t="s">
        <v>1051</v>
      </c>
      <c r="J158" s="45" t="s">
        <v>561</v>
      </c>
      <c r="K158" s="126">
        <v>134.18</v>
      </c>
      <c r="L158" s="126">
        <v>0</v>
      </c>
      <c r="M158" s="126"/>
      <c r="N158" s="126">
        <v>0</v>
      </c>
      <c r="O158" s="126">
        <v>0</v>
      </c>
      <c r="P158" s="132"/>
      <c r="Q158" s="133"/>
      <c r="R158" s="132"/>
      <c r="S158" s="46">
        <v>134.18</v>
      </c>
      <c r="T158" s="112"/>
      <c r="U158" s="56" t="s">
        <v>953</v>
      </c>
      <c r="V158" s="105" t="s">
        <v>925</v>
      </c>
    </row>
    <row r="159" spans="1:24" s="1" customFormat="1" ht="17.25" x14ac:dyDescent="0.3">
      <c r="A159" s="39">
        <v>14112962</v>
      </c>
      <c r="B159" s="40" t="s">
        <v>491</v>
      </c>
      <c r="C159" s="41" t="s">
        <v>707</v>
      </c>
      <c r="D159" s="42" t="s">
        <v>3</v>
      </c>
      <c r="E159" s="43" t="s">
        <v>581</v>
      </c>
      <c r="F159" s="43" t="s">
        <v>582</v>
      </c>
      <c r="G159" s="44" t="s">
        <v>1609</v>
      </c>
      <c r="H159" s="43" t="s">
        <v>585</v>
      </c>
      <c r="I159" s="45" t="s">
        <v>583</v>
      </c>
      <c r="J159" s="45" t="s">
        <v>587</v>
      </c>
      <c r="K159" s="126">
        <v>0</v>
      </c>
      <c r="L159" s="126">
        <v>0</v>
      </c>
      <c r="M159" s="126"/>
      <c r="N159" s="126">
        <v>0</v>
      </c>
      <c r="O159" s="126">
        <v>0</v>
      </c>
      <c r="P159" s="132"/>
      <c r="Q159" s="133"/>
      <c r="R159" s="147"/>
      <c r="S159" s="46">
        <v>0</v>
      </c>
      <c r="T159" s="112"/>
      <c r="U159" s="56" t="s">
        <v>585</v>
      </c>
      <c r="V159" s="105" t="s">
        <v>585</v>
      </c>
      <c r="X159" s="127"/>
    </row>
    <row r="160" spans="1:24" s="1" customFormat="1" ht="17.25" x14ac:dyDescent="0.3">
      <c r="A160" s="39">
        <v>14113054</v>
      </c>
      <c r="B160" s="40" t="s">
        <v>123</v>
      </c>
      <c r="C160" s="41" t="s">
        <v>708</v>
      </c>
      <c r="D160" s="42" t="s">
        <v>3</v>
      </c>
      <c r="E160" s="43" t="s">
        <v>581</v>
      </c>
      <c r="F160" s="43" t="s">
        <v>582</v>
      </c>
      <c r="G160" s="44">
        <v>94</v>
      </c>
      <c r="H160" s="43" t="s">
        <v>583</v>
      </c>
      <c r="I160" s="45" t="s">
        <v>1051</v>
      </c>
      <c r="J160" s="45" t="s">
        <v>561</v>
      </c>
      <c r="K160" s="126">
        <v>134.18</v>
      </c>
      <c r="L160" s="126">
        <v>134.18</v>
      </c>
      <c r="M160" s="126"/>
      <c r="N160" s="126">
        <v>0</v>
      </c>
      <c r="O160" s="126">
        <v>0</v>
      </c>
      <c r="P160" s="132"/>
      <c r="Q160" s="133"/>
      <c r="R160" s="147"/>
      <c r="S160" s="46">
        <v>268.36</v>
      </c>
      <c r="T160" s="112"/>
      <c r="U160" s="56" t="s">
        <v>953</v>
      </c>
      <c r="V160" s="105" t="s">
        <v>585</v>
      </c>
    </row>
    <row r="161" spans="1:24" s="1" customFormat="1" ht="17.25" x14ac:dyDescent="0.3">
      <c r="A161" s="39">
        <v>14113056</v>
      </c>
      <c r="B161" s="40" t="s">
        <v>236</v>
      </c>
      <c r="C161" s="41" t="s">
        <v>709</v>
      </c>
      <c r="D161" s="42" t="s">
        <v>3</v>
      </c>
      <c r="E161" s="43" t="s">
        <v>581</v>
      </c>
      <c r="F161" s="43" t="s">
        <v>582</v>
      </c>
      <c r="G161" s="44">
        <v>87</v>
      </c>
      <c r="H161" s="43" t="s">
        <v>585</v>
      </c>
      <c r="I161" s="45" t="s">
        <v>1051</v>
      </c>
      <c r="J161" s="45" t="s">
        <v>561</v>
      </c>
      <c r="K161" s="126">
        <v>134.18</v>
      </c>
      <c r="L161" s="126">
        <v>134.18</v>
      </c>
      <c r="M161" s="126"/>
      <c r="N161" s="126">
        <v>0</v>
      </c>
      <c r="O161" s="126">
        <v>0</v>
      </c>
      <c r="P161" s="145"/>
      <c r="Q161" s="146"/>
      <c r="R161" s="147"/>
      <c r="S161" s="46">
        <v>268.36</v>
      </c>
      <c r="T161" s="112"/>
      <c r="U161" s="56" t="s">
        <v>953</v>
      </c>
      <c r="V161" s="105" t="s">
        <v>585</v>
      </c>
    </row>
    <row r="162" spans="1:24" s="1" customFormat="1" ht="17.25" x14ac:dyDescent="0.3">
      <c r="A162" s="108">
        <v>14113140</v>
      </c>
      <c r="B162" s="109" t="s">
        <v>124</v>
      </c>
      <c r="C162" s="110" t="s">
        <v>710</v>
      </c>
      <c r="D162" s="42" t="s">
        <v>3</v>
      </c>
      <c r="E162" s="43" t="s">
        <v>581</v>
      </c>
      <c r="F162" s="43" t="s">
        <v>582</v>
      </c>
      <c r="G162" s="44">
        <v>95</v>
      </c>
      <c r="H162" s="43" t="s">
        <v>583</v>
      </c>
      <c r="I162" s="45" t="s">
        <v>583</v>
      </c>
      <c r="J162" s="45" t="s">
        <v>561</v>
      </c>
      <c r="K162" s="126">
        <v>134.18</v>
      </c>
      <c r="L162" s="126">
        <v>134.18</v>
      </c>
      <c r="M162" s="126"/>
      <c r="N162" s="126">
        <v>200</v>
      </c>
      <c r="O162" s="126">
        <v>177.44</v>
      </c>
      <c r="P162" s="145"/>
      <c r="Q162" s="146"/>
      <c r="R162" s="147"/>
      <c r="S162" s="46">
        <v>645.79999999999995</v>
      </c>
      <c r="T162" s="112"/>
      <c r="U162" s="56" t="s">
        <v>953</v>
      </c>
      <c r="V162" s="105" t="s">
        <v>585</v>
      </c>
    </row>
    <row r="163" spans="1:24" s="1" customFormat="1" ht="17.25" x14ac:dyDescent="0.3">
      <c r="A163" s="39">
        <v>14113146</v>
      </c>
      <c r="B163" s="40" t="s">
        <v>125</v>
      </c>
      <c r="C163" s="41" t="s">
        <v>710</v>
      </c>
      <c r="D163" s="42" t="s">
        <v>3</v>
      </c>
      <c r="E163" s="43" t="s">
        <v>581</v>
      </c>
      <c r="F163" s="43" t="s">
        <v>582</v>
      </c>
      <c r="G163" s="44">
        <v>93</v>
      </c>
      <c r="H163" s="43" t="s">
        <v>583</v>
      </c>
      <c r="I163" s="45" t="s">
        <v>583</v>
      </c>
      <c r="J163" s="45" t="s">
        <v>561</v>
      </c>
      <c r="K163" s="126">
        <v>134.18</v>
      </c>
      <c r="L163" s="126">
        <v>134.18</v>
      </c>
      <c r="M163" s="126"/>
      <c r="N163" s="126">
        <v>200</v>
      </c>
      <c r="O163" s="126">
        <v>177.44</v>
      </c>
      <c r="P163" s="145"/>
      <c r="Q163" s="146"/>
      <c r="R163" s="147"/>
      <c r="S163" s="46">
        <v>645.79999999999995</v>
      </c>
      <c r="T163" s="112"/>
      <c r="U163" s="56" t="s">
        <v>953</v>
      </c>
      <c r="V163" s="105" t="s">
        <v>585</v>
      </c>
    </row>
    <row r="164" spans="1:24" s="1" customFormat="1" ht="17.25" x14ac:dyDescent="0.3">
      <c r="A164" s="39">
        <v>14113198</v>
      </c>
      <c r="B164" s="40" t="s">
        <v>215</v>
      </c>
      <c r="C164" s="41" t="s">
        <v>711</v>
      </c>
      <c r="D164" s="42" t="s">
        <v>3</v>
      </c>
      <c r="E164" s="43" t="s">
        <v>581</v>
      </c>
      <c r="F164" s="43" t="s">
        <v>582</v>
      </c>
      <c r="G164" s="44">
        <v>86</v>
      </c>
      <c r="H164" s="43" t="s">
        <v>585</v>
      </c>
      <c r="I164" s="45" t="s">
        <v>1051</v>
      </c>
      <c r="J164" s="45" t="s">
        <v>561</v>
      </c>
      <c r="K164" s="126">
        <v>134.18</v>
      </c>
      <c r="L164" s="126">
        <v>134.18</v>
      </c>
      <c r="M164" s="126"/>
      <c r="N164" s="126">
        <v>0</v>
      </c>
      <c r="O164" s="126">
        <v>0</v>
      </c>
      <c r="P164" s="132"/>
      <c r="Q164" s="133"/>
      <c r="R164" s="132"/>
      <c r="S164" s="46">
        <v>268.36</v>
      </c>
      <c r="T164" s="112"/>
      <c r="U164" s="56" t="s">
        <v>953</v>
      </c>
      <c r="V164" s="105" t="s">
        <v>585</v>
      </c>
    </row>
    <row r="165" spans="1:24" s="1" customFormat="1" ht="17.25" x14ac:dyDescent="0.3">
      <c r="A165" s="39">
        <v>14113200</v>
      </c>
      <c r="B165" s="40" t="s">
        <v>126</v>
      </c>
      <c r="C165" s="41" t="s">
        <v>712</v>
      </c>
      <c r="D165" s="42" t="s">
        <v>3</v>
      </c>
      <c r="E165" s="43" t="s">
        <v>581</v>
      </c>
      <c r="F165" s="43" t="s">
        <v>582</v>
      </c>
      <c r="G165" s="44">
        <v>93</v>
      </c>
      <c r="H165" s="43" t="s">
        <v>583</v>
      </c>
      <c r="I165" s="45" t="s">
        <v>583</v>
      </c>
      <c r="J165" s="45" t="s">
        <v>561</v>
      </c>
      <c r="K165" s="126">
        <v>134.18</v>
      </c>
      <c r="L165" s="126">
        <v>134.18</v>
      </c>
      <c r="M165" s="126"/>
      <c r="N165" s="126">
        <v>200</v>
      </c>
      <c r="O165" s="126">
        <v>177.44</v>
      </c>
      <c r="P165" s="132"/>
      <c r="Q165" s="133"/>
      <c r="R165" s="147"/>
      <c r="S165" s="46">
        <v>645.79999999999995</v>
      </c>
      <c r="T165" s="112"/>
      <c r="U165" s="56" t="s">
        <v>953</v>
      </c>
      <c r="V165" s="105" t="s">
        <v>585</v>
      </c>
    </row>
    <row r="166" spans="1:24" s="1" customFormat="1" ht="17.25" x14ac:dyDescent="0.3">
      <c r="A166" s="39">
        <v>14113311</v>
      </c>
      <c r="B166" s="40" t="s">
        <v>127</v>
      </c>
      <c r="C166" s="41" t="s">
        <v>713</v>
      </c>
      <c r="D166" s="42" t="s">
        <v>3</v>
      </c>
      <c r="E166" s="43" t="s">
        <v>581</v>
      </c>
      <c r="F166" s="43" t="s">
        <v>582</v>
      </c>
      <c r="G166" s="44">
        <v>79</v>
      </c>
      <c r="H166" s="43" t="s">
        <v>585</v>
      </c>
      <c r="I166" s="45" t="s">
        <v>583</v>
      </c>
      <c r="J166" s="45" t="s">
        <v>587</v>
      </c>
      <c r="K166" s="126">
        <v>134.18</v>
      </c>
      <c r="L166" s="126">
        <v>134.18</v>
      </c>
      <c r="M166" s="126"/>
      <c r="N166" s="126">
        <v>0</v>
      </c>
      <c r="O166" s="126">
        <v>0</v>
      </c>
      <c r="P166" s="132"/>
      <c r="Q166" s="133"/>
      <c r="R166" s="147"/>
      <c r="S166" s="46">
        <v>268.36</v>
      </c>
      <c r="T166" s="112"/>
      <c r="U166" s="56" t="s">
        <v>953</v>
      </c>
      <c r="V166" s="105" t="s">
        <v>2034</v>
      </c>
    </row>
    <row r="167" spans="1:24" s="1" customFormat="1" ht="17.25" x14ac:dyDescent="0.3">
      <c r="A167" s="39">
        <v>14113317</v>
      </c>
      <c r="B167" s="40" t="s">
        <v>198</v>
      </c>
      <c r="C167" s="41" t="s">
        <v>714</v>
      </c>
      <c r="D167" s="42" t="s">
        <v>3</v>
      </c>
      <c r="E167" s="43" t="s">
        <v>581</v>
      </c>
      <c r="F167" s="43" t="s">
        <v>582</v>
      </c>
      <c r="G167" s="44" t="s">
        <v>1609</v>
      </c>
      <c r="H167" s="43" t="s">
        <v>585</v>
      </c>
      <c r="I167" s="45" t="s">
        <v>583</v>
      </c>
      <c r="J167" s="45" t="s">
        <v>587</v>
      </c>
      <c r="K167" s="126">
        <v>0</v>
      </c>
      <c r="L167" s="126">
        <v>0</v>
      </c>
      <c r="M167" s="126"/>
      <c r="N167" s="126">
        <v>0</v>
      </c>
      <c r="O167" s="126">
        <v>0</v>
      </c>
      <c r="P167" s="132"/>
      <c r="Q167" s="133"/>
      <c r="R167" s="147"/>
      <c r="S167" s="46">
        <v>0</v>
      </c>
      <c r="T167" s="112"/>
      <c r="U167" s="56" t="s">
        <v>585</v>
      </c>
      <c r="V167" s="105" t="s">
        <v>585</v>
      </c>
      <c r="X167" s="127"/>
    </row>
    <row r="168" spans="1:24" s="1" customFormat="1" ht="17.25" x14ac:dyDescent="0.3">
      <c r="A168" s="39">
        <v>14113320</v>
      </c>
      <c r="B168" s="40" t="s">
        <v>128</v>
      </c>
      <c r="C168" s="41" t="s">
        <v>715</v>
      </c>
      <c r="D168" s="42" t="s">
        <v>3</v>
      </c>
      <c r="E168" s="43" t="s">
        <v>581</v>
      </c>
      <c r="F168" s="43" t="s">
        <v>582</v>
      </c>
      <c r="G168" s="44">
        <v>93</v>
      </c>
      <c r="H168" s="43" t="s">
        <v>583</v>
      </c>
      <c r="I168" s="45" t="s">
        <v>1051</v>
      </c>
      <c r="J168" s="45" t="s">
        <v>561</v>
      </c>
      <c r="K168" s="126">
        <v>134.18</v>
      </c>
      <c r="L168" s="126">
        <v>134.18</v>
      </c>
      <c r="M168" s="126"/>
      <c r="N168" s="126">
        <v>0</v>
      </c>
      <c r="O168" s="126">
        <v>0</v>
      </c>
      <c r="P168" s="149"/>
      <c r="Q168" s="149"/>
      <c r="R168" s="148"/>
      <c r="S168" s="46">
        <v>268.36</v>
      </c>
      <c r="T168" s="112"/>
      <c r="U168" s="56" t="s">
        <v>953</v>
      </c>
      <c r="V168" s="105" t="s">
        <v>585</v>
      </c>
    </row>
    <row r="169" spans="1:24" s="1" customFormat="1" ht="17.25" x14ac:dyDescent="0.3">
      <c r="A169" s="39">
        <v>14113349</v>
      </c>
      <c r="B169" s="40" t="s">
        <v>129</v>
      </c>
      <c r="C169" s="41" t="s">
        <v>716</v>
      </c>
      <c r="D169" s="42" t="s">
        <v>3</v>
      </c>
      <c r="E169" s="43" t="s">
        <v>581</v>
      </c>
      <c r="F169" s="43" t="s">
        <v>582</v>
      </c>
      <c r="G169" s="44">
        <v>88</v>
      </c>
      <c r="H169" s="43" t="s">
        <v>585</v>
      </c>
      <c r="I169" s="45" t="s">
        <v>583</v>
      </c>
      <c r="J169" s="45" t="s">
        <v>561</v>
      </c>
      <c r="K169" s="126">
        <v>134.18</v>
      </c>
      <c r="L169" s="126">
        <v>134.18</v>
      </c>
      <c r="M169" s="126"/>
      <c r="N169" s="126">
        <v>0</v>
      </c>
      <c r="O169" s="126">
        <v>177.44</v>
      </c>
      <c r="P169" s="132"/>
      <c r="Q169" s="133"/>
      <c r="R169" s="148"/>
      <c r="S169" s="46">
        <v>445.8</v>
      </c>
      <c r="T169" s="112"/>
      <c r="U169" s="56" t="s">
        <v>953</v>
      </c>
      <c r="V169" s="105" t="s">
        <v>585</v>
      </c>
    </row>
    <row r="170" spans="1:24" s="1" customFormat="1" ht="17.25" x14ac:dyDescent="0.3">
      <c r="A170" s="39">
        <v>14113565</v>
      </c>
      <c r="B170" s="40" t="s">
        <v>130</v>
      </c>
      <c r="C170" s="41" t="s">
        <v>718</v>
      </c>
      <c r="D170" s="42" t="s">
        <v>3</v>
      </c>
      <c r="E170" s="43" t="s">
        <v>581</v>
      </c>
      <c r="F170" s="43" t="s">
        <v>582</v>
      </c>
      <c r="G170" s="44">
        <v>90</v>
      </c>
      <c r="H170" s="43" t="s">
        <v>583</v>
      </c>
      <c r="I170" s="45" t="s">
        <v>583</v>
      </c>
      <c r="J170" s="45" t="s">
        <v>587</v>
      </c>
      <c r="K170" s="126">
        <v>134.18</v>
      </c>
      <c r="L170" s="126">
        <v>134.18</v>
      </c>
      <c r="M170" s="126"/>
      <c r="N170" s="126">
        <v>200</v>
      </c>
      <c r="O170" s="126">
        <v>0</v>
      </c>
      <c r="P170" s="132"/>
      <c r="Q170" s="133"/>
      <c r="R170" s="148"/>
      <c r="S170" s="46">
        <v>468.36</v>
      </c>
      <c r="T170" s="112"/>
      <c r="U170" s="56" t="s">
        <v>953</v>
      </c>
      <c r="V170" s="105" t="s">
        <v>585</v>
      </c>
    </row>
    <row r="171" spans="1:24" s="1" customFormat="1" ht="17.25" x14ac:dyDescent="0.3">
      <c r="A171" s="39">
        <v>14113619</v>
      </c>
      <c r="B171" s="40" t="s">
        <v>131</v>
      </c>
      <c r="C171" s="41" t="s">
        <v>719</v>
      </c>
      <c r="D171" s="42" t="s">
        <v>3</v>
      </c>
      <c r="E171" s="43" t="s">
        <v>581</v>
      </c>
      <c r="F171" s="43" t="s">
        <v>582</v>
      </c>
      <c r="G171" s="44">
        <v>94</v>
      </c>
      <c r="H171" s="43" t="s">
        <v>583</v>
      </c>
      <c r="I171" s="45" t="s">
        <v>583</v>
      </c>
      <c r="J171" s="45" t="s">
        <v>561</v>
      </c>
      <c r="K171" s="126">
        <v>134.18</v>
      </c>
      <c r="L171" s="126">
        <v>134.18</v>
      </c>
      <c r="M171" s="126"/>
      <c r="N171" s="126">
        <v>200</v>
      </c>
      <c r="O171" s="126">
        <v>177.44</v>
      </c>
      <c r="P171" s="145"/>
      <c r="Q171" s="146"/>
      <c r="R171" s="147"/>
      <c r="S171" s="46">
        <v>645.79999999999995</v>
      </c>
      <c r="T171" s="112"/>
      <c r="U171" s="56" t="s">
        <v>953</v>
      </c>
      <c r="V171" s="105" t="s">
        <v>585</v>
      </c>
    </row>
    <row r="172" spans="1:24" s="1" customFormat="1" ht="17.25" x14ac:dyDescent="0.3">
      <c r="A172" s="39">
        <v>14113803</v>
      </c>
      <c r="B172" s="40" t="s">
        <v>299</v>
      </c>
      <c r="C172" s="41" t="s">
        <v>720</v>
      </c>
      <c r="D172" s="42" t="s">
        <v>3</v>
      </c>
      <c r="E172" s="43" t="s">
        <v>581</v>
      </c>
      <c r="F172" s="43" t="s">
        <v>582</v>
      </c>
      <c r="G172" s="44">
        <v>92</v>
      </c>
      <c r="H172" s="43" t="s">
        <v>583</v>
      </c>
      <c r="I172" s="45" t="s">
        <v>1051</v>
      </c>
      <c r="J172" s="45" t="s">
        <v>561</v>
      </c>
      <c r="K172" s="126">
        <v>134.18</v>
      </c>
      <c r="L172" s="126">
        <v>134.18</v>
      </c>
      <c r="M172" s="126"/>
      <c r="N172" s="126">
        <v>0</v>
      </c>
      <c r="O172" s="126">
        <v>0</v>
      </c>
      <c r="P172" s="145"/>
      <c r="Q172" s="146"/>
      <c r="R172" s="147"/>
      <c r="S172" s="46">
        <v>268.36</v>
      </c>
      <c r="T172" s="112"/>
      <c r="U172" s="56" t="s">
        <v>953</v>
      </c>
      <c r="V172" s="105" t="s">
        <v>585</v>
      </c>
    </row>
    <row r="173" spans="1:24" s="1" customFormat="1" ht="17.25" x14ac:dyDescent="0.3">
      <c r="A173" s="40">
        <v>14113837</v>
      </c>
      <c r="B173" s="40" t="s">
        <v>132</v>
      </c>
      <c r="C173" s="41" t="s">
        <v>721</v>
      </c>
      <c r="D173" s="42" t="s">
        <v>3</v>
      </c>
      <c r="E173" s="43" t="s">
        <v>581</v>
      </c>
      <c r="F173" s="43" t="s">
        <v>582</v>
      </c>
      <c r="G173" s="44">
        <v>94</v>
      </c>
      <c r="H173" s="43" t="s">
        <v>583</v>
      </c>
      <c r="I173" s="45" t="s">
        <v>583</v>
      </c>
      <c r="J173" s="45" t="s">
        <v>561</v>
      </c>
      <c r="K173" s="126">
        <v>134.18</v>
      </c>
      <c r="L173" s="126">
        <v>134.18</v>
      </c>
      <c r="M173" s="126"/>
      <c r="N173" s="126">
        <v>200</v>
      </c>
      <c r="O173" s="126">
        <v>177.44</v>
      </c>
      <c r="P173" s="132"/>
      <c r="Q173" s="133"/>
      <c r="R173" s="132"/>
      <c r="S173" s="46">
        <v>645.79999999999995</v>
      </c>
      <c r="T173" s="112"/>
      <c r="U173" s="56" t="s">
        <v>953</v>
      </c>
      <c r="V173" s="105" t="s">
        <v>585</v>
      </c>
    </row>
    <row r="174" spans="1:24" s="1" customFormat="1" ht="17.25" x14ac:dyDescent="0.3">
      <c r="A174" s="39">
        <v>14114030</v>
      </c>
      <c r="B174" s="40" t="s">
        <v>133</v>
      </c>
      <c r="C174" s="41" t="s">
        <v>722</v>
      </c>
      <c r="D174" s="42" t="s">
        <v>3</v>
      </c>
      <c r="E174" s="43" t="s">
        <v>581</v>
      </c>
      <c r="F174" s="43" t="s">
        <v>582</v>
      </c>
      <c r="G174" s="44">
        <v>94</v>
      </c>
      <c r="H174" s="43" t="s">
        <v>583</v>
      </c>
      <c r="I174" s="45" t="s">
        <v>583</v>
      </c>
      <c r="J174" s="45" t="s">
        <v>561</v>
      </c>
      <c r="K174" s="126">
        <v>134.18</v>
      </c>
      <c r="L174" s="126">
        <v>134.18</v>
      </c>
      <c r="M174" s="126"/>
      <c r="N174" s="126">
        <v>200</v>
      </c>
      <c r="O174" s="126">
        <v>177.44</v>
      </c>
      <c r="P174" s="145"/>
      <c r="Q174" s="146"/>
      <c r="R174" s="147"/>
      <c r="S174" s="46">
        <v>645.79999999999995</v>
      </c>
      <c r="T174" s="112"/>
      <c r="U174" s="56" t="s">
        <v>953</v>
      </c>
      <c r="V174" s="105" t="s">
        <v>585</v>
      </c>
    </row>
    <row r="175" spans="1:24" s="1" customFormat="1" ht="17.25" x14ac:dyDescent="0.3">
      <c r="A175" s="39">
        <v>14114037</v>
      </c>
      <c r="B175" s="40" t="s">
        <v>184</v>
      </c>
      <c r="C175" s="41" t="s">
        <v>659</v>
      </c>
      <c r="D175" s="42" t="s">
        <v>3</v>
      </c>
      <c r="E175" s="43" t="s">
        <v>581</v>
      </c>
      <c r="F175" s="43" t="s">
        <v>582</v>
      </c>
      <c r="G175" s="44">
        <v>25</v>
      </c>
      <c r="H175" s="43" t="s">
        <v>585</v>
      </c>
      <c r="I175" s="45" t="s">
        <v>583</v>
      </c>
      <c r="J175" s="45" t="s">
        <v>561</v>
      </c>
      <c r="K175" s="126">
        <v>134.18</v>
      </c>
      <c r="L175" s="126">
        <v>134.18</v>
      </c>
      <c r="M175" s="126"/>
      <c r="N175" s="126">
        <v>0</v>
      </c>
      <c r="O175" s="126">
        <v>177.44</v>
      </c>
      <c r="P175" s="132"/>
      <c r="Q175" s="133"/>
      <c r="R175" s="148"/>
      <c r="S175" s="46">
        <v>445.8</v>
      </c>
      <c r="T175" s="112"/>
      <c r="U175" s="56" t="s">
        <v>953</v>
      </c>
      <c r="V175" s="105" t="s">
        <v>585</v>
      </c>
    </row>
    <row r="176" spans="1:24" s="1" customFormat="1" ht="17.25" x14ac:dyDescent="0.3">
      <c r="A176" s="39">
        <v>14114062</v>
      </c>
      <c r="B176" s="40" t="s">
        <v>134</v>
      </c>
      <c r="C176" s="41" t="s">
        <v>723</v>
      </c>
      <c r="D176" s="42" t="s">
        <v>3</v>
      </c>
      <c r="E176" s="43" t="s">
        <v>581</v>
      </c>
      <c r="F176" s="43" t="s">
        <v>582</v>
      </c>
      <c r="G176" s="44">
        <v>95</v>
      </c>
      <c r="H176" s="43" t="s">
        <v>583</v>
      </c>
      <c r="I176" s="45" t="s">
        <v>583</v>
      </c>
      <c r="J176" s="45" t="s">
        <v>561</v>
      </c>
      <c r="K176" s="126">
        <v>134.18</v>
      </c>
      <c r="L176" s="126">
        <v>134.18</v>
      </c>
      <c r="M176" s="126"/>
      <c r="N176" s="126">
        <v>200</v>
      </c>
      <c r="O176" s="126">
        <v>177.44</v>
      </c>
      <c r="P176" s="132"/>
      <c r="Q176" s="133"/>
      <c r="R176" s="147"/>
      <c r="S176" s="46">
        <v>645.79999999999995</v>
      </c>
      <c r="T176" s="112"/>
      <c r="U176" s="56" t="s">
        <v>953</v>
      </c>
      <c r="V176" s="105" t="s">
        <v>585</v>
      </c>
    </row>
    <row r="177" spans="1:24" s="1" customFormat="1" ht="17.25" x14ac:dyDescent="0.3">
      <c r="A177" s="40">
        <v>14114320</v>
      </c>
      <c r="B177" s="40" t="s">
        <v>317</v>
      </c>
      <c r="C177" s="41" t="s">
        <v>688</v>
      </c>
      <c r="D177" s="42" t="s">
        <v>3</v>
      </c>
      <c r="E177" s="43" t="s">
        <v>581</v>
      </c>
      <c r="F177" s="43" t="s">
        <v>582</v>
      </c>
      <c r="G177" s="44">
        <v>86</v>
      </c>
      <c r="H177" s="43" t="s">
        <v>585</v>
      </c>
      <c r="I177" s="45" t="s">
        <v>583</v>
      </c>
      <c r="J177" s="45" t="s">
        <v>561</v>
      </c>
      <c r="K177" s="126">
        <v>134.18</v>
      </c>
      <c r="L177" s="126">
        <v>134.18</v>
      </c>
      <c r="M177" s="126"/>
      <c r="N177" s="126">
        <v>0</v>
      </c>
      <c r="O177" s="126">
        <v>177.44</v>
      </c>
      <c r="P177" s="132"/>
      <c r="Q177" s="133"/>
      <c r="R177" s="147"/>
      <c r="S177" s="46">
        <v>445.8</v>
      </c>
      <c r="T177" s="112"/>
      <c r="U177" s="56" t="s">
        <v>953</v>
      </c>
      <c r="V177" s="105" t="s">
        <v>585</v>
      </c>
    </row>
    <row r="178" spans="1:24" s="1" customFormat="1" ht="17.25" x14ac:dyDescent="0.3">
      <c r="A178" s="39">
        <v>14114324</v>
      </c>
      <c r="B178" s="40" t="s">
        <v>348</v>
      </c>
      <c r="C178" s="41" t="s">
        <v>724</v>
      </c>
      <c r="D178" s="42" t="s">
        <v>3</v>
      </c>
      <c r="E178" s="43" t="s">
        <v>581</v>
      </c>
      <c r="F178" s="43" t="s">
        <v>582</v>
      </c>
      <c r="G178" s="44">
        <v>86</v>
      </c>
      <c r="H178" s="43" t="s">
        <v>585</v>
      </c>
      <c r="I178" s="45" t="s">
        <v>1051</v>
      </c>
      <c r="J178" s="45" t="s">
        <v>587</v>
      </c>
      <c r="K178" s="126">
        <v>134.18</v>
      </c>
      <c r="L178" s="126">
        <v>134.18</v>
      </c>
      <c r="M178" s="126"/>
      <c r="N178" s="126">
        <v>0</v>
      </c>
      <c r="O178" s="126">
        <v>0</v>
      </c>
      <c r="P178" s="145"/>
      <c r="Q178" s="146"/>
      <c r="R178" s="147"/>
      <c r="S178" s="46">
        <v>268.36</v>
      </c>
      <c r="T178" s="112"/>
      <c r="U178" s="56" t="s">
        <v>953</v>
      </c>
      <c r="V178" s="105" t="s">
        <v>585</v>
      </c>
    </row>
    <row r="179" spans="1:24" s="1" customFormat="1" ht="17.25" x14ac:dyDescent="0.3">
      <c r="A179" s="39">
        <v>14114330</v>
      </c>
      <c r="B179" s="40" t="s">
        <v>135</v>
      </c>
      <c r="C179" s="41" t="s">
        <v>725</v>
      </c>
      <c r="D179" s="42" t="s">
        <v>3</v>
      </c>
      <c r="E179" s="43" t="s">
        <v>581</v>
      </c>
      <c r="F179" s="43" t="s">
        <v>582</v>
      </c>
      <c r="G179" s="44">
        <v>92</v>
      </c>
      <c r="H179" s="43" t="s">
        <v>583</v>
      </c>
      <c r="I179" s="45" t="s">
        <v>583</v>
      </c>
      <c r="J179" s="45" t="s">
        <v>561</v>
      </c>
      <c r="K179" s="126">
        <v>134.18</v>
      </c>
      <c r="L179" s="126">
        <v>134.18</v>
      </c>
      <c r="M179" s="126"/>
      <c r="N179" s="126">
        <v>200</v>
      </c>
      <c r="O179" s="126">
        <v>177.44</v>
      </c>
      <c r="P179" s="149"/>
      <c r="Q179" s="149"/>
      <c r="R179" s="148"/>
      <c r="S179" s="46">
        <v>645.79999999999995</v>
      </c>
      <c r="T179" s="112"/>
      <c r="U179" s="56" t="s">
        <v>953</v>
      </c>
      <c r="V179" s="105" t="s">
        <v>585</v>
      </c>
    </row>
    <row r="180" spans="1:24" s="1" customFormat="1" ht="17.25" x14ac:dyDescent="0.3">
      <c r="A180" s="39">
        <v>14114431</v>
      </c>
      <c r="B180" s="40" t="s">
        <v>136</v>
      </c>
      <c r="C180" s="41" t="s">
        <v>726</v>
      </c>
      <c r="D180" s="42" t="s">
        <v>3</v>
      </c>
      <c r="E180" s="43" t="s">
        <v>581</v>
      </c>
      <c r="F180" s="43" t="s">
        <v>582</v>
      </c>
      <c r="G180" s="44">
        <v>95</v>
      </c>
      <c r="H180" s="43" t="s">
        <v>583</v>
      </c>
      <c r="I180" s="45" t="s">
        <v>1051</v>
      </c>
      <c r="J180" s="45" t="s">
        <v>561</v>
      </c>
      <c r="K180" s="126">
        <v>134.18</v>
      </c>
      <c r="L180" s="126">
        <v>134.18</v>
      </c>
      <c r="M180" s="126"/>
      <c r="N180" s="126">
        <v>0</v>
      </c>
      <c r="O180" s="126">
        <v>0</v>
      </c>
      <c r="P180" s="132"/>
      <c r="Q180" s="133"/>
      <c r="R180" s="147"/>
      <c r="S180" s="46">
        <v>268.36</v>
      </c>
      <c r="T180" s="112"/>
      <c r="U180" s="56" t="s">
        <v>953</v>
      </c>
      <c r="V180" s="105" t="s">
        <v>585</v>
      </c>
    </row>
    <row r="181" spans="1:24" s="1" customFormat="1" ht="17.25" x14ac:dyDescent="0.3">
      <c r="A181" s="39">
        <v>14114665</v>
      </c>
      <c r="B181" s="40" t="s">
        <v>137</v>
      </c>
      <c r="C181" s="41" t="s">
        <v>727</v>
      </c>
      <c r="D181" s="42" t="s">
        <v>3</v>
      </c>
      <c r="E181" s="43" t="s">
        <v>581</v>
      </c>
      <c r="F181" s="43" t="s">
        <v>582</v>
      </c>
      <c r="G181" s="44">
        <v>93</v>
      </c>
      <c r="H181" s="43" t="s">
        <v>583</v>
      </c>
      <c r="I181" s="45" t="s">
        <v>583</v>
      </c>
      <c r="J181" s="45" t="s">
        <v>587</v>
      </c>
      <c r="K181" s="126">
        <v>134.18</v>
      </c>
      <c r="L181" s="126">
        <v>134.18</v>
      </c>
      <c r="M181" s="126"/>
      <c r="N181" s="126">
        <v>200</v>
      </c>
      <c r="O181" s="126">
        <v>0</v>
      </c>
      <c r="P181" s="132"/>
      <c r="Q181" s="133"/>
      <c r="R181" s="148"/>
      <c r="S181" s="46">
        <v>468.36</v>
      </c>
      <c r="T181" s="112"/>
      <c r="U181" s="56" t="s">
        <v>953</v>
      </c>
      <c r="V181" s="105" t="s">
        <v>585</v>
      </c>
    </row>
    <row r="182" spans="1:24" s="1" customFormat="1" ht="17.25" x14ac:dyDescent="0.3">
      <c r="A182" s="39">
        <v>14114667</v>
      </c>
      <c r="B182" s="40" t="s">
        <v>138</v>
      </c>
      <c r="C182" s="41" t="s">
        <v>727</v>
      </c>
      <c r="D182" s="42" t="s">
        <v>3</v>
      </c>
      <c r="E182" s="43" t="s">
        <v>581</v>
      </c>
      <c r="F182" s="43" t="s">
        <v>582</v>
      </c>
      <c r="G182" s="44">
        <v>93</v>
      </c>
      <c r="H182" s="43" t="s">
        <v>583</v>
      </c>
      <c r="I182" s="45" t="s">
        <v>1051</v>
      </c>
      <c r="J182" s="45" t="s">
        <v>561</v>
      </c>
      <c r="K182" s="126">
        <v>134.18</v>
      </c>
      <c r="L182" s="126">
        <v>134.18</v>
      </c>
      <c r="M182" s="126"/>
      <c r="N182" s="126">
        <v>0</v>
      </c>
      <c r="O182" s="126">
        <v>0</v>
      </c>
      <c r="P182" s="145"/>
      <c r="Q182" s="146"/>
      <c r="R182" s="147"/>
      <c r="S182" s="46">
        <v>268.36</v>
      </c>
      <c r="T182" s="112"/>
      <c r="U182" s="56" t="s">
        <v>953</v>
      </c>
      <c r="V182" s="105" t="s">
        <v>585</v>
      </c>
    </row>
    <row r="183" spans="1:24" s="1" customFormat="1" ht="17.25" x14ac:dyDescent="0.3">
      <c r="A183" s="39">
        <v>14114709</v>
      </c>
      <c r="B183" s="40" t="s">
        <v>139</v>
      </c>
      <c r="C183" s="41" t="s">
        <v>728</v>
      </c>
      <c r="D183" s="42" t="s">
        <v>3</v>
      </c>
      <c r="E183" s="43" t="s">
        <v>581</v>
      </c>
      <c r="F183" s="43" t="s">
        <v>582</v>
      </c>
      <c r="G183" s="44">
        <v>93</v>
      </c>
      <c r="H183" s="43" t="s">
        <v>583</v>
      </c>
      <c r="I183" s="45" t="s">
        <v>583</v>
      </c>
      <c r="J183" s="45" t="s">
        <v>561</v>
      </c>
      <c r="K183" s="126">
        <v>134.18</v>
      </c>
      <c r="L183" s="126">
        <v>134.18</v>
      </c>
      <c r="M183" s="126"/>
      <c r="N183" s="126">
        <v>200</v>
      </c>
      <c r="O183" s="126">
        <v>177.44</v>
      </c>
      <c r="P183" s="145"/>
      <c r="Q183" s="146"/>
      <c r="R183" s="147"/>
      <c r="S183" s="46">
        <v>645.79999999999995</v>
      </c>
      <c r="T183" s="112"/>
      <c r="U183" s="56" t="s">
        <v>953</v>
      </c>
      <c r="V183" s="105" t="s">
        <v>585</v>
      </c>
    </row>
    <row r="184" spans="1:24" s="1" customFormat="1" ht="17.25" x14ac:dyDescent="0.3">
      <c r="A184" s="39">
        <v>14115136</v>
      </c>
      <c r="B184" s="48" t="s">
        <v>140</v>
      </c>
      <c r="C184" s="41" t="s">
        <v>729</v>
      </c>
      <c r="D184" s="42" t="s">
        <v>3</v>
      </c>
      <c r="E184" s="43" t="s">
        <v>581</v>
      </c>
      <c r="F184" s="43" t="s">
        <v>582</v>
      </c>
      <c r="G184" s="44">
        <v>94</v>
      </c>
      <c r="H184" s="43" t="s">
        <v>583</v>
      </c>
      <c r="I184" s="45" t="s">
        <v>1051</v>
      </c>
      <c r="J184" s="45" t="s">
        <v>561</v>
      </c>
      <c r="K184" s="126">
        <v>134.18</v>
      </c>
      <c r="L184" s="126">
        <v>134.18</v>
      </c>
      <c r="M184" s="126"/>
      <c r="N184" s="126">
        <v>0</v>
      </c>
      <c r="O184" s="126">
        <v>0</v>
      </c>
      <c r="P184" s="145"/>
      <c r="Q184" s="146"/>
      <c r="R184" s="147"/>
      <c r="S184" s="46">
        <v>268.36</v>
      </c>
      <c r="T184" s="112"/>
      <c r="U184" s="56" t="s">
        <v>953</v>
      </c>
      <c r="V184" s="105" t="s">
        <v>585</v>
      </c>
    </row>
    <row r="185" spans="1:24" s="1" customFormat="1" ht="17.25" x14ac:dyDescent="0.3">
      <c r="A185" s="40">
        <v>14115244</v>
      </c>
      <c r="B185" s="40" t="s">
        <v>141</v>
      </c>
      <c r="C185" s="41" t="s">
        <v>730</v>
      </c>
      <c r="D185" s="42" t="s">
        <v>3</v>
      </c>
      <c r="E185" s="43" t="s">
        <v>581</v>
      </c>
      <c r="F185" s="43" t="s">
        <v>582</v>
      </c>
      <c r="G185" s="44">
        <v>95</v>
      </c>
      <c r="H185" s="43" t="s">
        <v>583</v>
      </c>
      <c r="I185" s="45" t="s">
        <v>583</v>
      </c>
      <c r="J185" s="45" t="s">
        <v>587</v>
      </c>
      <c r="K185" s="126">
        <v>0</v>
      </c>
      <c r="L185" s="126">
        <v>0</v>
      </c>
      <c r="M185" s="126"/>
      <c r="N185" s="126">
        <v>0</v>
      </c>
      <c r="O185" s="126">
        <v>0</v>
      </c>
      <c r="P185" s="132"/>
      <c r="Q185" s="133"/>
      <c r="R185" s="132"/>
      <c r="S185" s="46">
        <v>0</v>
      </c>
      <c r="T185" s="112"/>
      <c r="U185" s="56" t="s">
        <v>585</v>
      </c>
      <c r="V185" s="105" t="s">
        <v>585</v>
      </c>
      <c r="X185" s="127"/>
    </row>
    <row r="186" spans="1:24" s="1" customFormat="1" ht="17.25" x14ac:dyDescent="0.3">
      <c r="A186" s="39">
        <v>14115304</v>
      </c>
      <c r="B186" s="40" t="s">
        <v>142</v>
      </c>
      <c r="C186" s="41" t="s">
        <v>731</v>
      </c>
      <c r="D186" s="42" t="s">
        <v>3</v>
      </c>
      <c r="E186" s="43" t="s">
        <v>581</v>
      </c>
      <c r="F186" s="43" t="s">
        <v>582</v>
      </c>
      <c r="G186" s="44" t="s">
        <v>1609</v>
      </c>
      <c r="H186" s="43" t="s">
        <v>585</v>
      </c>
      <c r="I186" s="45" t="s">
        <v>583</v>
      </c>
      <c r="J186" s="45" t="s">
        <v>587</v>
      </c>
      <c r="K186" s="126">
        <v>0</v>
      </c>
      <c r="L186" s="126">
        <v>0</v>
      </c>
      <c r="M186" s="126"/>
      <c r="N186" s="126">
        <v>0</v>
      </c>
      <c r="O186" s="126">
        <v>0</v>
      </c>
      <c r="P186" s="145"/>
      <c r="Q186" s="146"/>
      <c r="R186" s="147"/>
      <c r="S186" s="46">
        <v>0</v>
      </c>
      <c r="T186" s="112"/>
      <c r="U186" s="56" t="s">
        <v>585</v>
      </c>
      <c r="V186" s="105" t="s">
        <v>585</v>
      </c>
      <c r="X186" s="127"/>
    </row>
    <row r="187" spans="1:24" s="1" customFormat="1" ht="17.25" x14ac:dyDescent="0.3">
      <c r="A187" s="39">
        <v>14115435</v>
      </c>
      <c r="B187" s="40" t="s">
        <v>143</v>
      </c>
      <c r="C187" s="41" t="s">
        <v>732</v>
      </c>
      <c r="D187" s="42" t="s">
        <v>3</v>
      </c>
      <c r="E187" s="43" t="s">
        <v>581</v>
      </c>
      <c r="F187" s="43" t="s">
        <v>582</v>
      </c>
      <c r="G187" s="44">
        <v>91</v>
      </c>
      <c r="H187" s="43" t="s">
        <v>583</v>
      </c>
      <c r="I187" s="45" t="s">
        <v>1051</v>
      </c>
      <c r="J187" s="45" t="s">
        <v>561</v>
      </c>
      <c r="K187" s="126">
        <v>134.18</v>
      </c>
      <c r="L187" s="126">
        <v>134.18</v>
      </c>
      <c r="M187" s="126"/>
      <c r="N187" s="126">
        <v>0</v>
      </c>
      <c r="O187" s="126">
        <v>0</v>
      </c>
      <c r="P187" s="145"/>
      <c r="Q187" s="146"/>
      <c r="R187" s="147"/>
      <c r="S187" s="46">
        <v>268.36</v>
      </c>
      <c r="T187" s="112"/>
      <c r="U187" s="56" t="s">
        <v>953</v>
      </c>
      <c r="V187" s="105" t="s">
        <v>585</v>
      </c>
    </row>
    <row r="188" spans="1:24" s="1" customFormat="1" ht="17.25" x14ac:dyDescent="0.3">
      <c r="A188" s="39">
        <v>14115535</v>
      </c>
      <c r="B188" s="40" t="s">
        <v>289</v>
      </c>
      <c r="C188" s="41" t="s">
        <v>2574</v>
      </c>
      <c r="D188" s="42" t="s">
        <v>3</v>
      </c>
      <c r="E188" s="43" t="s">
        <v>581</v>
      </c>
      <c r="F188" s="43" t="s">
        <v>582</v>
      </c>
      <c r="G188" s="44">
        <v>94</v>
      </c>
      <c r="H188" s="43" t="s">
        <v>583</v>
      </c>
      <c r="I188" s="45" t="s">
        <v>583</v>
      </c>
      <c r="J188" s="45" t="s">
        <v>561</v>
      </c>
      <c r="K188" s="126">
        <v>134.18</v>
      </c>
      <c r="L188" s="126">
        <v>134.18</v>
      </c>
      <c r="M188" s="126"/>
      <c r="N188" s="126">
        <v>200</v>
      </c>
      <c r="O188" s="126">
        <v>177.44</v>
      </c>
      <c r="P188" s="145"/>
      <c r="Q188" s="146"/>
      <c r="R188" s="147"/>
      <c r="S188" s="46">
        <v>645.79999999999995</v>
      </c>
      <c r="T188" s="112"/>
      <c r="U188" s="56" t="s">
        <v>953</v>
      </c>
      <c r="V188" s="105" t="s">
        <v>925</v>
      </c>
    </row>
    <row r="189" spans="1:24" s="1" customFormat="1" ht="17.25" x14ac:dyDescent="0.3">
      <c r="A189" s="39">
        <v>14115536</v>
      </c>
      <c r="B189" s="48" t="s">
        <v>144</v>
      </c>
      <c r="C189" s="41" t="s">
        <v>733</v>
      </c>
      <c r="D189" s="42" t="s">
        <v>3</v>
      </c>
      <c r="E189" s="43" t="s">
        <v>581</v>
      </c>
      <c r="F189" s="43" t="s">
        <v>582</v>
      </c>
      <c r="G189" s="44">
        <v>78</v>
      </c>
      <c r="H189" s="43" t="s">
        <v>585</v>
      </c>
      <c r="I189" s="45" t="s">
        <v>1051</v>
      </c>
      <c r="J189" s="45" t="s">
        <v>561</v>
      </c>
      <c r="K189" s="126">
        <v>134.18</v>
      </c>
      <c r="L189" s="126">
        <v>134.18</v>
      </c>
      <c r="M189" s="126"/>
      <c r="N189" s="126">
        <v>0</v>
      </c>
      <c r="O189" s="126">
        <v>0</v>
      </c>
      <c r="P189" s="145"/>
      <c r="Q189" s="146"/>
      <c r="R189" s="147"/>
      <c r="S189" s="46">
        <v>268.36</v>
      </c>
      <c r="T189" s="112"/>
      <c r="U189" s="56" t="s">
        <v>953</v>
      </c>
      <c r="V189" s="105" t="s">
        <v>2034</v>
      </c>
    </row>
    <row r="190" spans="1:24" s="1" customFormat="1" ht="17.25" x14ac:dyDescent="0.3">
      <c r="A190" s="39">
        <v>14115630</v>
      </c>
      <c r="B190" s="40" t="s">
        <v>146</v>
      </c>
      <c r="C190" s="41" t="s">
        <v>734</v>
      </c>
      <c r="D190" s="42" t="s">
        <v>3</v>
      </c>
      <c r="E190" s="43" t="s">
        <v>581</v>
      </c>
      <c r="F190" s="43" t="s">
        <v>582</v>
      </c>
      <c r="G190" s="44">
        <v>95</v>
      </c>
      <c r="H190" s="43" t="s">
        <v>583</v>
      </c>
      <c r="I190" s="45" t="s">
        <v>583</v>
      </c>
      <c r="J190" s="45" t="s">
        <v>561</v>
      </c>
      <c r="K190" s="126">
        <v>134.18</v>
      </c>
      <c r="L190" s="126">
        <v>134.18</v>
      </c>
      <c r="M190" s="126"/>
      <c r="N190" s="126">
        <v>200</v>
      </c>
      <c r="O190" s="126">
        <v>177.44</v>
      </c>
      <c r="P190" s="145"/>
      <c r="Q190" s="146"/>
      <c r="R190" s="147"/>
      <c r="S190" s="46">
        <v>645.79999999999995</v>
      </c>
      <c r="T190" s="112"/>
      <c r="U190" s="56" t="s">
        <v>953</v>
      </c>
      <c r="V190" s="105" t="s">
        <v>585</v>
      </c>
    </row>
    <row r="191" spans="1:24" s="1" customFormat="1" ht="17.25" x14ac:dyDescent="0.3">
      <c r="A191" s="39">
        <v>14115746</v>
      </c>
      <c r="B191" s="40" t="s">
        <v>147</v>
      </c>
      <c r="C191" s="41" t="s">
        <v>735</v>
      </c>
      <c r="D191" s="42" t="s">
        <v>3</v>
      </c>
      <c r="E191" s="43" t="s">
        <v>581</v>
      </c>
      <c r="F191" s="43" t="s">
        <v>582</v>
      </c>
      <c r="G191" s="44" t="s">
        <v>1609</v>
      </c>
      <c r="H191" s="43" t="s">
        <v>585</v>
      </c>
      <c r="I191" s="45" t="s">
        <v>583</v>
      </c>
      <c r="J191" s="45" t="s">
        <v>587</v>
      </c>
      <c r="K191" s="126">
        <v>0</v>
      </c>
      <c r="L191" s="126">
        <v>0</v>
      </c>
      <c r="M191" s="126"/>
      <c r="N191" s="126">
        <v>0</v>
      </c>
      <c r="O191" s="126">
        <v>0</v>
      </c>
      <c r="P191" s="132"/>
      <c r="Q191" s="133"/>
      <c r="R191" s="147"/>
      <c r="S191" s="46">
        <v>0</v>
      </c>
      <c r="T191" s="112"/>
      <c r="U191" s="56" t="s">
        <v>585</v>
      </c>
      <c r="V191" s="105" t="s">
        <v>585</v>
      </c>
      <c r="X191" s="127"/>
    </row>
    <row r="192" spans="1:24" s="1" customFormat="1" ht="17.25" x14ac:dyDescent="0.3">
      <c r="A192" s="40">
        <v>14115820</v>
      </c>
      <c r="B192" s="40" t="s">
        <v>148</v>
      </c>
      <c r="C192" s="41" t="s">
        <v>736</v>
      </c>
      <c r="D192" s="42" t="s">
        <v>3</v>
      </c>
      <c r="E192" s="43" t="s">
        <v>581</v>
      </c>
      <c r="F192" s="43" t="s">
        <v>582</v>
      </c>
      <c r="G192" s="44">
        <v>75</v>
      </c>
      <c r="H192" s="43" t="s">
        <v>585</v>
      </c>
      <c r="I192" s="45" t="s">
        <v>1051</v>
      </c>
      <c r="J192" s="45" t="s">
        <v>561</v>
      </c>
      <c r="K192" s="126">
        <v>134.18</v>
      </c>
      <c r="L192" s="126">
        <v>134.18</v>
      </c>
      <c r="M192" s="126"/>
      <c r="N192" s="126">
        <v>0</v>
      </c>
      <c r="O192" s="126">
        <v>0</v>
      </c>
      <c r="P192" s="132"/>
      <c r="Q192" s="133"/>
      <c r="R192" s="132"/>
      <c r="S192" s="46">
        <v>268.36</v>
      </c>
      <c r="T192" s="112"/>
      <c r="U192" s="56" t="s">
        <v>953</v>
      </c>
      <c r="V192" s="105" t="s">
        <v>585</v>
      </c>
    </row>
    <row r="193" spans="1:24" s="1" customFormat="1" ht="17.25" x14ac:dyDescent="0.3">
      <c r="A193" s="40">
        <v>14115830</v>
      </c>
      <c r="B193" s="40" t="s">
        <v>149</v>
      </c>
      <c r="C193" s="41" t="s">
        <v>736</v>
      </c>
      <c r="D193" s="42" t="s">
        <v>3</v>
      </c>
      <c r="E193" s="43" t="s">
        <v>581</v>
      </c>
      <c r="F193" s="43" t="s">
        <v>582</v>
      </c>
      <c r="G193" s="44">
        <v>82</v>
      </c>
      <c r="H193" s="43" t="s">
        <v>585</v>
      </c>
      <c r="I193" s="45" t="s">
        <v>1051</v>
      </c>
      <c r="J193" s="45" t="s">
        <v>561</v>
      </c>
      <c r="K193" s="126">
        <v>134.18</v>
      </c>
      <c r="L193" s="126">
        <v>134.18</v>
      </c>
      <c r="M193" s="126"/>
      <c r="N193" s="126">
        <v>0</v>
      </c>
      <c r="O193" s="126">
        <v>0</v>
      </c>
      <c r="P193" s="132"/>
      <c r="Q193" s="133"/>
      <c r="R193" s="147"/>
      <c r="S193" s="46">
        <v>268.36</v>
      </c>
      <c r="T193" s="112"/>
      <c r="U193" s="56" t="s">
        <v>953</v>
      </c>
      <c r="V193" s="105" t="s">
        <v>585</v>
      </c>
    </row>
    <row r="194" spans="1:24" s="1" customFormat="1" ht="17.25" x14ac:dyDescent="0.3">
      <c r="A194" s="39">
        <v>14115908</v>
      </c>
      <c r="B194" s="40" t="s">
        <v>150</v>
      </c>
      <c r="C194" s="41" t="s">
        <v>737</v>
      </c>
      <c r="D194" s="42" t="s">
        <v>3</v>
      </c>
      <c r="E194" s="43" t="s">
        <v>581</v>
      </c>
      <c r="F194" s="43" t="s">
        <v>582</v>
      </c>
      <c r="G194" s="44">
        <v>91</v>
      </c>
      <c r="H194" s="43" t="s">
        <v>583</v>
      </c>
      <c r="I194" s="45" t="s">
        <v>583</v>
      </c>
      <c r="J194" s="45" t="s">
        <v>561</v>
      </c>
      <c r="K194" s="126">
        <v>134.18</v>
      </c>
      <c r="L194" s="126">
        <v>134.18</v>
      </c>
      <c r="M194" s="126"/>
      <c r="N194" s="126">
        <v>200</v>
      </c>
      <c r="O194" s="126">
        <v>177.44</v>
      </c>
      <c r="P194" s="149"/>
      <c r="Q194" s="149"/>
      <c r="R194" s="148"/>
      <c r="S194" s="46">
        <v>645.79999999999995</v>
      </c>
      <c r="T194" s="112"/>
      <c r="U194" s="56" t="s">
        <v>953</v>
      </c>
      <c r="V194" s="105" t="s">
        <v>585</v>
      </c>
    </row>
    <row r="195" spans="1:24" s="1" customFormat="1" ht="17.25" x14ac:dyDescent="0.3">
      <c r="A195" s="40">
        <v>14115909</v>
      </c>
      <c r="B195" s="40" t="s">
        <v>341</v>
      </c>
      <c r="C195" s="41" t="s">
        <v>738</v>
      </c>
      <c r="D195" s="42" t="s">
        <v>3</v>
      </c>
      <c r="E195" s="43" t="s">
        <v>581</v>
      </c>
      <c r="F195" s="43" t="s">
        <v>582</v>
      </c>
      <c r="G195" s="44">
        <v>85</v>
      </c>
      <c r="H195" s="43" t="s">
        <v>585</v>
      </c>
      <c r="I195" s="45" t="s">
        <v>583</v>
      </c>
      <c r="J195" s="45" t="s">
        <v>561</v>
      </c>
      <c r="K195" s="126">
        <v>134.18</v>
      </c>
      <c r="L195" s="126">
        <v>134.18</v>
      </c>
      <c r="M195" s="126"/>
      <c r="N195" s="126">
        <v>0</v>
      </c>
      <c r="O195" s="126">
        <v>177.44</v>
      </c>
      <c r="P195" s="132"/>
      <c r="Q195" s="133"/>
      <c r="R195" s="147"/>
      <c r="S195" s="46">
        <v>445.8</v>
      </c>
      <c r="T195" s="112"/>
      <c r="U195" s="56" t="s">
        <v>953</v>
      </c>
      <c r="V195" s="105" t="s">
        <v>2034</v>
      </c>
    </row>
    <row r="196" spans="1:24" s="1" customFormat="1" ht="17.25" x14ac:dyDescent="0.3">
      <c r="A196" s="39">
        <v>14115917</v>
      </c>
      <c r="B196" s="48" t="s">
        <v>151</v>
      </c>
      <c r="C196" s="41" t="s">
        <v>737</v>
      </c>
      <c r="D196" s="42" t="s">
        <v>3</v>
      </c>
      <c r="E196" s="43" t="s">
        <v>581</v>
      </c>
      <c r="F196" s="43" t="s">
        <v>582</v>
      </c>
      <c r="G196" s="44">
        <v>94</v>
      </c>
      <c r="H196" s="43" t="s">
        <v>583</v>
      </c>
      <c r="I196" s="45" t="s">
        <v>1051</v>
      </c>
      <c r="J196" s="45" t="s">
        <v>561</v>
      </c>
      <c r="K196" s="126">
        <v>134.18</v>
      </c>
      <c r="L196" s="126">
        <v>134.18</v>
      </c>
      <c r="M196" s="126"/>
      <c r="N196" s="126">
        <v>0</v>
      </c>
      <c r="O196" s="126">
        <v>0</v>
      </c>
      <c r="P196" s="145"/>
      <c r="Q196" s="146"/>
      <c r="R196" s="147"/>
      <c r="S196" s="46">
        <v>268.36</v>
      </c>
      <c r="T196" s="112"/>
      <c r="U196" s="56" t="s">
        <v>953</v>
      </c>
      <c r="V196" s="105" t="s">
        <v>585</v>
      </c>
    </row>
    <row r="197" spans="1:24" s="1" customFormat="1" ht="17.25" x14ac:dyDescent="0.3">
      <c r="A197" s="39">
        <v>14116000</v>
      </c>
      <c r="B197" s="48" t="s">
        <v>152</v>
      </c>
      <c r="C197" s="41" t="s">
        <v>739</v>
      </c>
      <c r="D197" s="42" t="s">
        <v>3</v>
      </c>
      <c r="E197" s="43" t="s">
        <v>581</v>
      </c>
      <c r="F197" s="43" t="s">
        <v>582</v>
      </c>
      <c r="G197" s="44">
        <v>92</v>
      </c>
      <c r="H197" s="43" t="s">
        <v>583</v>
      </c>
      <c r="I197" s="45" t="s">
        <v>1051</v>
      </c>
      <c r="J197" s="45" t="s">
        <v>561</v>
      </c>
      <c r="K197" s="126">
        <v>134.18</v>
      </c>
      <c r="L197" s="126">
        <v>134.18</v>
      </c>
      <c r="M197" s="126"/>
      <c r="N197" s="126">
        <v>0</v>
      </c>
      <c r="O197" s="126">
        <v>0</v>
      </c>
      <c r="P197" s="132"/>
      <c r="Q197" s="133"/>
      <c r="R197" s="148"/>
      <c r="S197" s="46">
        <v>268.36</v>
      </c>
      <c r="T197" s="112"/>
      <c r="U197" s="56" t="s">
        <v>953</v>
      </c>
      <c r="V197" s="105" t="s">
        <v>585</v>
      </c>
    </row>
    <row r="198" spans="1:24" s="1" customFormat="1" ht="17.25" x14ac:dyDescent="0.3">
      <c r="A198" s="39">
        <v>14116046</v>
      </c>
      <c r="B198" s="40" t="s">
        <v>153</v>
      </c>
      <c r="C198" s="41" t="s">
        <v>741</v>
      </c>
      <c r="D198" s="42" t="s">
        <v>3</v>
      </c>
      <c r="E198" s="43" t="s">
        <v>581</v>
      </c>
      <c r="F198" s="43" t="s">
        <v>582</v>
      </c>
      <c r="G198" s="44">
        <v>95</v>
      </c>
      <c r="H198" s="43" t="s">
        <v>583</v>
      </c>
      <c r="I198" s="45" t="s">
        <v>583</v>
      </c>
      <c r="J198" s="45" t="s">
        <v>561</v>
      </c>
      <c r="K198" s="126">
        <v>134.18</v>
      </c>
      <c r="L198" s="126">
        <v>134.18</v>
      </c>
      <c r="M198" s="126"/>
      <c r="N198" s="126">
        <v>200</v>
      </c>
      <c r="O198" s="126">
        <v>177.44</v>
      </c>
      <c r="P198" s="132"/>
      <c r="Q198" s="133"/>
      <c r="R198" s="147"/>
      <c r="S198" s="46">
        <v>645.79999999999995</v>
      </c>
      <c r="T198" s="112"/>
      <c r="U198" s="56" t="s">
        <v>953</v>
      </c>
      <c r="V198" s="105" t="s">
        <v>585</v>
      </c>
    </row>
    <row r="199" spans="1:24" s="1" customFormat="1" ht="17.25" x14ac:dyDescent="0.3">
      <c r="A199" s="39">
        <v>14116058</v>
      </c>
      <c r="B199" s="40" t="s">
        <v>154</v>
      </c>
      <c r="C199" s="41" t="s">
        <v>742</v>
      </c>
      <c r="D199" s="42" t="s">
        <v>3</v>
      </c>
      <c r="E199" s="43" t="s">
        <v>581</v>
      </c>
      <c r="F199" s="43" t="s">
        <v>740</v>
      </c>
      <c r="G199" s="44">
        <v>86</v>
      </c>
      <c r="H199" s="43" t="s">
        <v>585</v>
      </c>
      <c r="I199" s="45" t="s">
        <v>583</v>
      </c>
      <c r="J199" s="45" t="s">
        <v>561</v>
      </c>
      <c r="K199" s="126">
        <v>134.18</v>
      </c>
      <c r="L199" s="126">
        <v>0</v>
      </c>
      <c r="M199" s="126"/>
      <c r="N199" s="126">
        <v>0</v>
      </c>
      <c r="O199" s="126">
        <v>177.44</v>
      </c>
      <c r="P199" s="132"/>
      <c r="Q199" s="133"/>
      <c r="R199" s="147"/>
      <c r="S199" s="46">
        <v>311.62</v>
      </c>
      <c r="T199" s="112"/>
      <c r="U199" s="56" t="s">
        <v>953</v>
      </c>
      <c r="V199" s="105" t="s">
        <v>585</v>
      </c>
    </row>
    <row r="200" spans="1:24" s="1" customFormat="1" ht="17.25" x14ac:dyDescent="0.3">
      <c r="A200" s="39">
        <v>14116134</v>
      </c>
      <c r="B200" s="40" t="s">
        <v>157</v>
      </c>
      <c r="C200" s="41" t="s">
        <v>743</v>
      </c>
      <c r="D200" s="42" t="s">
        <v>3</v>
      </c>
      <c r="E200" s="43" t="s">
        <v>581</v>
      </c>
      <c r="F200" s="43" t="s">
        <v>582</v>
      </c>
      <c r="G200" s="44">
        <v>90</v>
      </c>
      <c r="H200" s="43" t="s">
        <v>583</v>
      </c>
      <c r="I200" s="45" t="s">
        <v>1051</v>
      </c>
      <c r="J200" s="45" t="s">
        <v>561</v>
      </c>
      <c r="K200" s="126">
        <v>134.18</v>
      </c>
      <c r="L200" s="126">
        <v>134.18</v>
      </c>
      <c r="M200" s="126"/>
      <c r="N200" s="126">
        <v>0</v>
      </c>
      <c r="O200" s="126">
        <v>0</v>
      </c>
      <c r="P200" s="145"/>
      <c r="Q200" s="146"/>
      <c r="R200" s="147"/>
      <c r="S200" s="46">
        <v>268.36</v>
      </c>
      <c r="T200" s="112"/>
      <c r="U200" s="56" t="s">
        <v>953</v>
      </c>
      <c r="V200" s="105" t="s">
        <v>585</v>
      </c>
    </row>
    <row r="201" spans="1:24" s="1" customFormat="1" ht="17.25" x14ac:dyDescent="0.3">
      <c r="A201" s="40">
        <v>14116250</v>
      </c>
      <c r="B201" s="40" t="s">
        <v>431</v>
      </c>
      <c r="C201" s="41" t="s">
        <v>744</v>
      </c>
      <c r="D201" s="42" t="s">
        <v>3</v>
      </c>
      <c r="E201" s="43" t="s">
        <v>581</v>
      </c>
      <c r="F201" s="43" t="s">
        <v>582</v>
      </c>
      <c r="G201" s="44">
        <v>95</v>
      </c>
      <c r="H201" s="43" t="s">
        <v>583</v>
      </c>
      <c r="I201" s="45" t="s">
        <v>583</v>
      </c>
      <c r="J201" s="45" t="s">
        <v>561</v>
      </c>
      <c r="K201" s="126">
        <v>134.18</v>
      </c>
      <c r="L201" s="126">
        <v>134.18</v>
      </c>
      <c r="M201" s="126"/>
      <c r="N201" s="126">
        <v>200</v>
      </c>
      <c r="O201" s="126">
        <v>177.44</v>
      </c>
      <c r="P201" s="132"/>
      <c r="Q201" s="133"/>
      <c r="R201" s="147"/>
      <c r="S201" s="46">
        <v>645.79999999999995</v>
      </c>
      <c r="T201" s="112"/>
      <c r="U201" s="56" t="s">
        <v>953</v>
      </c>
      <c r="V201" s="105" t="s">
        <v>585</v>
      </c>
    </row>
    <row r="202" spans="1:24" s="1" customFormat="1" ht="17.25" x14ac:dyDescent="0.3">
      <c r="A202" s="39">
        <v>14116262</v>
      </c>
      <c r="B202" s="40" t="s">
        <v>158</v>
      </c>
      <c r="C202" s="41" t="s">
        <v>745</v>
      </c>
      <c r="D202" s="42" t="s">
        <v>3</v>
      </c>
      <c r="E202" s="43" t="s">
        <v>581</v>
      </c>
      <c r="F202" s="43" t="s">
        <v>740</v>
      </c>
      <c r="G202" s="44">
        <v>93</v>
      </c>
      <c r="H202" s="43" t="s">
        <v>583</v>
      </c>
      <c r="I202" s="45" t="s">
        <v>1051</v>
      </c>
      <c r="J202" s="45" t="s">
        <v>561</v>
      </c>
      <c r="K202" s="126">
        <v>134.18</v>
      </c>
      <c r="L202" s="126">
        <v>0</v>
      </c>
      <c r="M202" s="126"/>
      <c r="N202" s="126">
        <v>0</v>
      </c>
      <c r="O202" s="126">
        <v>0</v>
      </c>
      <c r="P202" s="145"/>
      <c r="Q202" s="146"/>
      <c r="R202" s="147"/>
      <c r="S202" s="46">
        <v>134.18</v>
      </c>
      <c r="T202" s="112"/>
      <c r="U202" s="56" t="s">
        <v>953</v>
      </c>
      <c r="V202" s="105" t="s">
        <v>585</v>
      </c>
    </row>
    <row r="203" spans="1:24" s="1" customFormat="1" ht="17.25" x14ac:dyDescent="0.3">
      <c r="A203" s="39">
        <v>14116295</v>
      </c>
      <c r="B203" s="40" t="s">
        <v>159</v>
      </c>
      <c r="C203" s="41" t="s">
        <v>746</v>
      </c>
      <c r="D203" s="42" t="s">
        <v>3</v>
      </c>
      <c r="E203" s="43" t="s">
        <v>581</v>
      </c>
      <c r="F203" s="43" t="s">
        <v>582</v>
      </c>
      <c r="G203" s="44">
        <v>95</v>
      </c>
      <c r="H203" s="43" t="s">
        <v>583</v>
      </c>
      <c r="I203" s="45" t="s">
        <v>583</v>
      </c>
      <c r="J203" s="45" t="s">
        <v>561</v>
      </c>
      <c r="K203" s="126">
        <v>134.18</v>
      </c>
      <c r="L203" s="126">
        <v>134.18</v>
      </c>
      <c r="M203" s="126"/>
      <c r="N203" s="126">
        <v>200</v>
      </c>
      <c r="O203" s="126">
        <v>177.44</v>
      </c>
      <c r="P203" s="132"/>
      <c r="Q203" s="133"/>
      <c r="R203" s="132"/>
      <c r="S203" s="46">
        <v>645.79999999999995</v>
      </c>
      <c r="T203" s="112"/>
      <c r="U203" s="56" t="s">
        <v>953</v>
      </c>
      <c r="V203" s="105" t="s">
        <v>585</v>
      </c>
    </row>
    <row r="204" spans="1:24" s="1" customFormat="1" ht="17.25" x14ac:dyDescent="0.3">
      <c r="A204" s="39">
        <v>14116352</v>
      </c>
      <c r="B204" s="40" t="s">
        <v>160</v>
      </c>
      <c r="C204" s="41" t="s">
        <v>747</v>
      </c>
      <c r="D204" s="42" t="s">
        <v>3</v>
      </c>
      <c r="E204" s="43" t="s">
        <v>581</v>
      </c>
      <c r="F204" s="43" t="s">
        <v>582</v>
      </c>
      <c r="G204" s="44">
        <v>94</v>
      </c>
      <c r="H204" s="43" t="s">
        <v>583</v>
      </c>
      <c r="I204" s="45" t="s">
        <v>583</v>
      </c>
      <c r="J204" s="45" t="s">
        <v>561</v>
      </c>
      <c r="K204" s="126">
        <v>134.18</v>
      </c>
      <c r="L204" s="126">
        <v>134.18</v>
      </c>
      <c r="M204" s="126"/>
      <c r="N204" s="126">
        <v>200</v>
      </c>
      <c r="O204" s="126">
        <v>177.44</v>
      </c>
      <c r="P204" s="132"/>
      <c r="Q204" s="133"/>
      <c r="R204" s="147"/>
      <c r="S204" s="46">
        <v>645.79999999999995</v>
      </c>
      <c r="T204" s="112"/>
      <c r="U204" s="56" t="s">
        <v>953</v>
      </c>
      <c r="V204" s="105" t="s">
        <v>585</v>
      </c>
    </row>
    <row r="205" spans="1:24" s="1" customFormat="1" ht="17.25" x14ac:dyDescent="0.3">
      <c r="A205" s="39">
        <v>14116373</v>
      </c>
      <c r="B205" s="40" t="s">
        <v>162</v>
      </c>
      <c r="C205" s="41" t="s">
        <v>626</v>
      </c>
      <c r="D205" s="42" t="s">
        <v>3</v>
      </c>
      <c r="E205" s="43" t="s">
        <v>581</v>
      </c>
      <c r="F205" s="43" t="s">
        <v>582</v>
      </c>
      <c r="G205" s="44">
        <v>93</v>
      </c>
      <c r="H205" s="43" t="s">
        <v>583</v>
      </c>
      <c r="I205" s="45" t="s">
        <v>583</v>
      </c>
      <c r="J205" s="45" t="s">
        <v>561</v>
      </c>
      <c r="K205" s="126">
        <v>134.18</v>
      </c>
      <c r="L205" s="126">
        <v>134.18</v>
      </c>
      <c r="M205" s="126"/>
      <c r="N205" s="126">
        <v>200</v>
      </c>
      <c r="O205" s="126">
        <v>177.44</v>
      </c>
      <c r="P205" s="145"/>
      <c r="Q205" s="146"/>
      <c r="R205" s="147"/>
      <c r="S205" s="46">
        <v>645.79999999999995</v>
      </c>
      <c r="T205" s="112"/>
      <c r="U205" s="56" t="s">
        <v>953</v>
      </c>
      <c r="V205" s="105" t="s">
        <v>585</v>
      </c>
    </row>
    <row r="206" spans="1:24" s="1" customFormat="1" ht="17.25" x14ac:dyDescent="0.3">
      <c r="A206" s="39">
        <v>14116431</v>
      </c>
      <c r="B206" s="40" t="s">
        <v>163</v>
      </c>
      <c r="C206" s="41" t="s">
        <v>748</v>
      </c>
      <c r="D206" s="42" t="s">
        <v>3</v>
      </c>
      <c r="E206" s="43" t="s">
        <v>581</v>
      </c>
      <c r="F206" s="43" t="s">
        <v>582</v>
      </c>
      <c r="G206" s="44">
        <v>93</v>
      </c>
      <c r="H206" s="43" t="s">
        <v>583</v>
      </c>
      <c r="I206" s="45" t="s">
        <v>1051</v>
      </c>
      <c r="J206" s="45" t="s">
        <v>561</v>
      </c>
      <c r="K206" s="126">
        <v>134.18</v>
      </c>
      <c r="L206" s="126">
        <v>134.18</v>
      </c>
      <c r="M206" s="126"/>
      <c r="N206" s="126">
        <v>0</v>
      </c>
      <c r="O206" s="126">
        <v>0</v>
      </c>
      <c r="P206" s="132"/>
      <c r="Q206" s="133"/>
      <c r="R206" s="148"/>
      <c r="S206" s="46">
        <v>268.36</v>
      </c>
      <c r="T206" s="112"/>
      <c r="U206" s="56" t="s">
        <v>953</v>
      </c>
      <c r="V206" s="105" t="s">
        <v>585</v>
      </c>
    </row>
    <row r="207" spans="1:24" s="1" customFormat="1" ht="17.25" x14ac:dyDescent="0.3">
      <c r="A207" s="39">
        <v>14116433</v>
      </c>
      <c r="B207" s="40" t="s">
        <v>164</v>
      </c>
      <c r="C207" s="41" t="s">
        <v>748</v>
      </c>
      <c r="D207" s="42" t="s">
        <v>3</v>
      </c>
      <c r="E207" s="43" t="s">
        <v>581</v>
      </c>
      <c r="F207" s="43" t="s">
        <v>582</v>
      </c>
      <c r="G207" s="44">
        <v>73</v>
      </c>
      <c r="H207" s="43" t="s">
        <v>585</v>
      </c>
      <c r="I207" s="45" t="s">
        <v>583</v>
      </c>
      <c r="J207" s="45" t="s">
        <v>587</v>
      </c>
      <c r="K207" s="126">
        <v>0</v>
      </c>
      <c r="L207" s="126">
        <v>0</v>
      </c>
      <c r="M207" s="126"/>
      <c r="N207" s="126">
        <v>0</v>
      </c>
      <c r="O207" s="126">
        <v>0</v>
      </c>
      <c r="P207" s="132"/>
      <c r="Q207" s="133"/>
      <c r="R207" s="147"/>
      <c r="S207" s="46">
        <v>0</v>
      </c>
      <c r="T207" s="112"/>
      <c r="U207" s="56" t="s">
        <v>585</v>
      </c>
      <c r="V207" s="105" t="s">
        <v>585</v>
      </c>
      <c r="X207" s="127"/>
    </row>
    <row r="208" spans="1:24" s="1" customFormat="1" ht="17.25" x14ac:dyDescent="0.3">
      <c r="A208" s="40">
        <v>14116504</v>
      </c>
      <c r="B208" s="40" t="s">
        <v>165</v>
      </c>
      <c r="C208" s="41" t="s">
        <v>749</v>
      </c>
      <c r="D208" s="42" t="s">
        <v>3</v>
      </c>
      <c r="E208" s="43" t="s">
        <v>581</v>
      </c>
      <c r="F208" s="43" t="s">
        <v>582</v>
      </c>
      <c r="G208" s="44">
        <v>93</v>
      </c>
      <c r="H208" s="43" t="s">
        <v>583</v>
      </c>
      <c r="I208" s="45" t="s">
        <v>583</v>
      </c>
      <c r="J208" s="45" t="s">
        <v>561</v>
      </c>
      <c r="K208" s="126">
        <v>134.18</v>
      </c>
      <c r="L208" s="126">
        <v>134.18</v>
      </c>
      <c r="M208" s="126"/>
      <c r="N208" s="126">
        <v>200</v>
      </c>
      <c r="O208" s="126">
        <v>177.44</v>
      </c>
      <c r="P208" s="132"/>
      <c r="Q208" s="133"/>
      <c r="R208" s="132"/>
      <c r="S208" s="46">
        <v>645.79999999999995</v>
      </c>
      <c r="T208" s="112"/>
      <c r="U208" s="56" t="s">
        <v>953</v>
      </c>
      <c r="V208" s="105" t="s">
        <v>585</v>
      </c>
    </row>
    <row r="209" spans="1:24" s="1" customFormat="1" ht="17.25" x14ac:dyDescent="0.3">
      <c r="A209" s="40">
        <v>14116564</v>
      </c>
      <c r="B209" s="48" t="s">
        <v>167</v>
      </c>
      <c r="C209" s="41" t="s">
        <v>750</v>
      </c>
      <c r="D209" s="42" t="s">
        <v>3</v>
      </c>
      <c r="E209" s="43" t="s">
        <v>581</v>
      </c>
      <c r="F209" s="43" t="s">
        <v>582</v>
      </c>
      <c r="G209" s="44">
        <v>94</v>
      </c>
      <c r="H209" s="43" t="s">
        <v>583</v>
      </c>
      <c r="I209" s="45" t="s">
        <v>1051</v>
      </c>
      <c r="J209" s="45" t="s">
        <v>561</v>
      </c>
      <c r="K209" s="126">
        <v>134.18</v>
      </c>
      <c r="L209" s="126">
        <v>134.18</v>
      </c>
      <c r="M209" s="126"/>
      <c r="N209" s="126">
        <v>0</v>
      </c>
      <c r="O209" s="126">
        <v>0</v>
      </c>
      <c r="P209" s="132"/>
      <c r="Q209" s="133"/>
      <c r="R209" s="147"/>
      <c r="S209" s="46">
        <v>268.36</v>
      </c>
      <c r="T209" s="112"/>
      <c r="U209" s="56" t="s">
        <v>953</v>
      </c>
      <c r="V209" s="105" t="s">
        <v>585</v>
      </c>
    </row>
    <row r="210" spans="1:24" s="1" customFormat="1" ht="17.25" x14ac:dyDescent="0.3">
      <c r="A210" s="39">
        <v>14116565</v>
      </c>
      <c r="B210" s="40" t="s">
        <v>463</v>
      </c>
      <c r="C210" s="41" t="s">
        <v>751</v>
      </c>
      <c r="D210" s="42" t="s">
        <v>3</v>
      </c>
      <c r="E210" s="43" t="s">
        <v>581</v>
      </c>
      <c r="F210" s="43" t="s">
        <v>582</v>
      </c>
      <c r="G210" s="44">
        <v>93</v>
      </c>
      <c r="H210" s="43" t="s">
        <v>583</v>
      </c>
      <c r="I210" s="45" t="s">
        <v>583</v>
      </c>
      <c r="J210" s="45" t="s">
        <v>561</v>
      </c>
      <c r="K210" s="126">
        <v>134.18</v>
      </c>
      <c r="L210" s="126">
        <v>134.18</v>
      </c>
      <c r="M210" s="126"/>
      <c r="N210" s="126">
        <v>200</v>
      </c>
      <c r="O210" s="126">
        <v>177.44</v>
      </c>
      <c r="P210" s="132"/>
      <c r="Q210" s="133"/>
      <c r="R210" s="147"/>
      <c r="S210" s="46">
        <v>645.79999999999995</v>
      </c>
      <c r="T210" s="112"/>
      <c r="U210" s="56" t="s">
        <v>953</v>
      </c>
      <c r="V210" s="105" t="s">
        <v>585</v>
      </c>
    </row>
    <row r="211" spans="1:24" s="1" customFormat="1" ht="17.25" x14ac:dyDescent="0.3">
      <c r="A211" s="39">
        <v>14116600</v>
      </c>
      <c r="B211" s="40" t="s">
        <v>169</v>
      </c>
      <c r="C211" s="41" t="s">
        <v>752</v>
      </c>
      <c r="D211" s="42" t="s">
        <v>3</v>
      </c>
      <c r="E211" s="43" t="s">
        <v>581</v>
      </c>
      <c r="F211" s="43" t="s">
        <v>582</v>
      </c>
      <c r="G211" s="44" t="s">
        <v>1609</v>
      </c>
      <c r="H211" s="43" t="s">
        <v>585</v>
      </c>
      <c r="I211" s="45" t="s">
        <v>583</v>
      </c>
      <c r="J211" s="45" t="s">
        <v>587</v>
      </c>
      <c r="K211" s="126">
        <v>0</v>
      </c>
      <c r="L211" s="126">
        <v>0</v>
      </c>
      <c r="M211" s="126"/>
      <c r="N211" s="126">
        <v>0</v>
      </c>
      <c r="O211" s="126">
        <v>0</v>
      </c>
      <c r="P211" s="132"/>
      <c r="Q211" s="133"/>
      <c r="R211" s="148"/>
      <c r="S211" s="46">
        <v>0</v>
      </c>
      <c r="T211" s="112"/>
      <c r="U211" s="56" t="s">
        <v>585</v>
      </c>
      <c r="V211" s="105" t="s">
        <v>585</v>
      </c>
      <c r="X211" s="127"/>
    </row>
    <row r="212" spans="1:24" s="1" customFormat="1" ht="17.25" x14ac:dyDescent="0.3">
      <c r="A212" s="39">
        <v>14116643</v>
      </c>
      <c r="B212" s="40" t="s">
        <v>295</v>
      </c>
      <c r="C212" s="41" t="s">
        <v>753</v>
      </c>
      <c r="D212" s="42" t="s">
        <v>3</v>
      </c>
      <c r="E212" s="43" t="s">
        <v>581</v>
      </c>
      <c r="F212" s="43" t="s">
        <v>582</v>
      </c>
      <c r="G212" s="44">
        <v>93</v>
      </c>
      <c r="H212" s="43" t="s">
        <v>583</v>
      </c>
      <c r="I212" s="45" t="s">
        <v>1051</v>
      </c>
      <c r="J212" s="45" t="s">
        <v>561</v>
      </c>
      <c r="K212" s="126">
        <v>134.18</v>
      </c>
      <c r="L212" s="126">
        <v>134.18</v>
      </c>
      <c r="M212" s="126"/>
      <c r="N212" s="126">
        <v>0</v>
      </c>
      <c r="O212" s="126">
        <v>0</v>
      </c>
      <c r="P212" s="145"/>
      <c r="Q212" s="146"/>
      <c r="R212" s="147"/>
      <c r="S212" s="46">
        <v>268.36</v>
      </c>
      <c r="T212" s="112"/>
      <c r="U212" s="56" t="s">
        <v>953</v>
      </c>
      <c r="V212" s="105" t="s">
        <v>585</v>
      </c>
    </row>
    <row r="213" spans="1:24" s="1" customFormat="1" ht="17.25" x14ac:dyDescent="0.3">
      <c r="A213" s="39">
        <v>14116723</v>
      </c>
      <c r="B213" s="40" t="s">
        <v>170</v>
      </c>
      <c r="C213" s="41" t="s">
        <v>754</v>
      </c>
      <c r="D213" s="42" t="s">
        <v>3</v>
      </c>
      <c r="E213" s="43" t="s">
        <v>581</v>
      </c>
      <c r="F213" s="43" t="s">
        <v>582</v>
      </c>
      <c r="G213" s="44">
        <v>83</v>
      </c>
      <c r="H213" s="43" t="s">
        <v>585</v>
      </c>
      <c r="I213" s="45" t="s">
        <v>1051</v>
      </c>
      <c r="J213" s="45" t="s">
        <v>561</v>
      </c>
      <c r="K213" s="126">
        <v>134.18</v>
      </c>
      <c r="L213" s="126">
        <v>134.18</v>
      </c>
      <c r="M213" s="126"/>
      <c r="N213" s="126">
        <v>0</v>
      </c>
      <c r="O213" s="126">
        <v>0</v>
      </c>
      <c r="P213" s="132"/>
      <c r="Q213" s="133"/>
      <c r="R213" s="147"/>
      <c r="S213" s="46">
        <v>268.36</v>
      </c>
      <c r="T213" s="112"/>
      <c r="U213" s="56" t="s">
        <v>953</v>
      </c>
      <c r="V213" s="105" t="s">
        <v>585</v>
      </c>
    </row>
    <row r="214" spans="1:24" s="1" customFormat="1" ht="17.25" x14ac:dyDescent="0.3">
      <c r="A214" s="39">
        <v>14116853</v>
      </c>
      <c r="B214" s="40" t="s">
        <v>256</v>
      </c>
      <c r="C214" s="41" t="s">
        <v>755</v>
      </c>
      <c r="D214" s="42" t="s">
        <v>3</v>
      </c>
      <c r="E214" s="43" t="s">
        <v>581</v>
      </c>
      <c r="F214" s="43" t="s">
        <v>582</v>
      </c>
      <c r="G214" s="44">
        <v>93</v>
      </c>
      <c r="H214" s="43" t="s">
        <v>583</v>
      </c>
      <c r="I214" s="45" t="s">
        <v>1051</v>
      </c>
      <c r="J214" s="45" t="s">
        <v>561</v>
      </c>
      <c r="K214" s="126">
        <v>134.18</v>
      </c>
      <c r="L214" s="126">
        <v>134.18</v>
      </c>
      <c r="M214" s="126"/>
      <c r="N214" s="126">
        <v>0</v>
      </c>
      <c r="O214" s="126">
        <v>0</v>
      </c>
      <c r="P214" s="145"/>
      <c r="Q214" s="146"/>
      <c r="R214" s="147"/>
      <c r="S214" s="46">
        <v>268.36</v>
      </c>
      <c r="T214" s="112"/>
      <c r="U214" s="56" t="s">
        <v>953</v>
      </c>
      <c r="V214" s="105" t="s">
        <v>585</v>
      </c>
    </row>
    <row r="215" spans="1:24" s="1" customFormat="1" ht="17.25" x14ac:dyDescent="0.3">
      <c r="A215" s="39">
        <v>14116855</v>
      </c>
      <c r="B215" s="40" t="s">
        <v>171</v>
      </c>
      <c r="C215" s="41" t="s">
        <v>756</v>
      </c>
      <c r="D215" s="42" t="s">
        <v>3</v>
      </c>
      <c r="E215" s="43" t="s">
        <v>581</v>
      </c>
      <c r="F215" s="43" t="s">
        <v>582</v>
      </c>
      <c r="G215" s="44">
        <v>92</v>
      </c>
      <c r="H215" s="43" t="s">
        <v>583</v>
      </c>
      <c r="I215" s="45" t="s">
        <v>1051</v>
      </c>
      <c r="J215" s="45" t="s">
        <v>561</v>
      </c>
      <c r="K215" s="126">
        <v>134.18</v>
      </c>
      <c r="L215" s="126">
        <v>134.18</v>
      </c>
      <c r="M215" s="126"/>
      <c r="N215" s="126">
        <v>0</v>
      </c>
      <c r="O215" s="126">
        <v>0</v>
      </c>
      <c r="P215" s="132"/>
      <c r="Q215" s="133"/>
      <c r="R215" s="148"/>
      <c r="S215" s="46">
        <v>268.36</v>
      </c>
      <c r="T215" s="112"/>
      <c r="U215" s="56" t="s">
        <v>953</v>
      </c>
      <c r="V215" s="105" t="s">
        <v>585</v>
      </c>
    </row>
    <row r="216" spans="1:24" s="1" customFormat="1" ht="17.25" x14ac:dyDescent="0.3">
      <c r="A216" s="39">
        <v>14116860</v>
      </c>
      <c r="B216" s="40" t="s">
        <v>172</v>
      </c>
      <c r="C216" s="41" t="s">
        <v>756</v>
      </c>
      <c r="D216" s="42" t="s">
        <v>3</v>
      </c>
      <c r="E216" s="43" t="s">
        <v>581</v>
      </c>
      <c r="F216" s="43" t="s">
        <v>582</v>
      </c>
      <c r="G216" s="44">
        <v>90</v>
      </c>
      <c r="H216" s="43" t="s">
        <v>583</v>
      </c>
      <c r="I216" s="45" t="s">
        <v>583</v>
      </c>
      <c r="J216" s="45" t="s">
        <v>587</v>
      </c>
      <c r="K216" s="126">
        <v>134.18</v>
      </c>
      <c r="L216" s="126">
        <v>134.18</v>
      </c>
      <c r="M216" s="126"/>
      <c r="N216" s="126">
        <v>200</v>
      </c>
      <c r="O216" s="126">
        <v>0</v>
      </c>
      <c r="P216" s="132"/>
      <c r="Q216" s="133"/>
      <c r="R216" s="147"/>
      <c r="S216" s="46">
        <v>468.36</v>
      </c>
      <c r="T216" s="112"/>
      <c r="U216" s="56" t="s">
        <v>953</v>
      </c>
      <c r="V216" s="105" t="s">
        <v>585</v>
      </c>
    </row>
    <row r="217" spans="1:24" s="1" customFormat="1" ht="17.25" x14ac:dyDescent="0.3">
      <c r="A217" s="39">
        <v>14116917</v>
      </c>
      <c r="B217" s="40" t="s">
        <v>174</v>
      </c>
      <c r="C217" s="41" t="s">
        <v>757</v>
      </c>
      <c r="D217" s="42" t="s">
        <v>3</v>
      </c>
      <c r="E217" s="43" t="s">
        <v>581</v>
      </c>
      <c r="F217" s="43" t="s">
        <v>582</v>
      </c>
      <c r="G217" s="44">
        <v>94</v>
      </c>
      <c r="H217" s="43" t="s">
        <v>583</v>
      </c>
      <c r="I217" s="45" t="s">
        <v>1051</v>
      </c>
      <c r="J217" s="45" t="s">
        <v>561</v>
      </c>
      <c r="K217" s="126">
        <v>134.18</v>
      </c>
      <c r="L217" s="126">
        <v>134.18</v>
      </c>
      <c r="M217" s="126"/>
      <c r="N217" s="126">
        <v>0</v>
      </c>
      <c r="O217" s="126">
        <v>0</v>
      </c>
      <c r="P217" s="132"/>
      <c r="Q217" s="133"/>
      <c r="R217" s="147"/>
      <c r="S217" s="46">
        <v>268.36</v>
      </c>
      <c r="T217" s="112"/>
      <c r="U217" s="56" t="s">
        <v>953</v>
      </c>
      <c r="V217" s="105" t="s">
        <v>585</v>
      </c>
    </row>
    <row r="218" spans="1:24" s="1" customFormat="1" ht="17.25" x14ac:dyDescent="0.3">
      <c r="A218" s="39">
        <v>14116929</v>
      </c>
      <c r="B218" s="40" t="s">
        <v>373</v>
      </c>
      <c r="C218" s="41" t="s">
        <v>758</v>
      </c>
      <c r="D218" s="42" t="s">
        <v>3</v>
      </c>
      <c r="E218" s="43" t="s">
        <v>581</v>
      </c>
      <c r="F218" s="43" t="s">
        <v>582</v>
      </c>
      <c r="G218" s="44">
        <v>91</v>
      </c>
      <c r="H218" s="43" t="s">
        <v>583</v>
      </c>
      <c r="I218" s="45" t="s">
        <v>1051</v>
      </c>
      <c r="J218" s="45" t="s">
        <v>561</v>
      </c>
      <c r="K218" s="126">
        <v>134.18</v>
      </c>
      <c r="L218" s="126">
        <v>134.18</v>
      </c>
      <c r="M218" s="126"/>
      <c r="N218" s="126">
        <v>0</v>
      </c>
      <c r="O218" s="126">
        <v>0</v>
      </c>
      <c r="P218" s="132"/>
      <c r="Q218" s="133"/>
      <c r="R218" s="148"/>
      <c r="S218" s="46">
        <v>268.36</v>
      </c>
      <c r="T218" s="112"/>
      <c r="U218" s="56" t="s">
        <v>953</v>
      </c>
      <c r="V218" s="105" t="s">
        <v>585</v>
      </c>
    </row>
    <row r="219" spans="1:24" s="1" customFormat="1" ht="17.25" x14ac:dyDescent="0.3">
      <c r="A219" s="39">
        <v>14117156</v>
      </c>
      <c r="B219" s="40" t="s">
        <v>241</v>
      </c>
      <c r="C219" s="41" t="s">
        <v>759</v>
      </c>
      <c r="D219" s="42" t="s">
        <v>3</v>
      </c>
      <c r="E219" s="43" t="s">
        <v>581</v>
      </c>
      <c r="F219" s="43" t="s">
        <v>582</v>
      </c>
      <c r="G219" s="44">
        <v>89</v>
      </c>
      <c r="H219" s="43" t="s">
        <v>585</v>
      </c>
      <c r="I219" s="45" t="s">
        <v>583</v>
      </c>
      <c r="J219" s="45" t="s">
        <v>587</v>
      </c>
      <c r="K219" s="126">
        <v>0</v>
      </c>
      <c r="L219" s="126">
        <v>0</v>
      </c>
      <c r="M219" s="126"/>
      <c r="N219" s="126">
        <v>0</v>
      </c>
      <c r="O219" s="126">
        <v>0</v>
      </c>
      <c r="P219" s="132"/>
      <c r="Q219" s="133"/>
      <c r="R219" s="147"/>
      <c r="S219" s="46">
        <v>0</v>
      </c>
      <c r="T219" s="112"/>
      <c r="U219" s="56" t="s">
        <v>585</v>
      </c>
      <c r="V219" s="105" t="s">
        <v>585</v>
      </c>
      <c r="X219" s="127"/>
    </row>
    <row r="220" spans="1:24" s="1" customFormat="1" ht="17.25" x14ac:dyDescent="0.3">
      <c r="A220" s="39">
        <v>14117157</v>
      </c>
      <c r="B220" s="40" t="s">
        <v>246</v>
      </c>
      <c r="C220" s="41" t="s">
        <v>760</v>
      </c>
      <c r="D220" s="42" t="s">
        <v>3</v>
      </c>
      <c r="E220" s="43" t="s">
        <v>581</v>
      </c>
      <c r="F220" s="43" t="s">
        <v>582</v>
      </c>
      <c r="G220" s="44">
        <v>95</v>
      </c>
      <c r="H220" s="43" t="s">
        <v>583</v>
      </c>
      <c r="I220" s="45" t="s">
        <v>583</v>
      </c>
      <c r="J220" s="45" t="s">
        <v>561</v>
      </c>
      <c r="K220" s="126">
        <v>134.18</v>
      </c>
      <c r="L220" s="126">
        <v>134.18</v>
      </c>
      <c r="M220" s="126"/>
      <c r="N220" s="126">
        <v>200</v>
      </c>
      <c r="O220" s="126">
        <v>177.44</v>
      </c>
      <c r="P220" s="145"/>
      <c r="Q220" s="146"/>
      <c r="R220" s="147"/>
      <c r="S220" s="46">
        <v>645.79999999999995</v>
      </c>
      <c r="T220" s="112"/>
      <c r="U220" s="56" t="s">
        <v>953</v>
      </c>
      <c r="V220" s="105" t="s">
        <v>585</v>
      </c>
    </row>
    <row r="221" spans="1:24" s="1" customFormat="1" ht="17.25" x14ac:dyDescent="0.3">
      <c r="A221" s="39">
        <v>14117158</v>
      </c>
      <c r="B221" s="40" t="s">
        <v>176</v>
      </c>
      <c r="C221" s="41" t="s">
        <v>761</v>
      </c>
      <c r="D221" s="42" t="s">
        <v>3</v>
      </c>
      <c r="E221" s="43" t="s">
        <v>581</v>
      </c>
      <c r="F221" s="43" t="s">
        <v>582</v>
      </c>
      <c r="G221" s="44">
        <v>64</v>
      </c>
      <c r="H221" s="43" t="s">
        <v>585</v>
      </c>
      <c r="I221" s="45" t="s">
        <v>583</v>
      </c>
      <c r="J221" s="45" t="s">
        <v>561</v>
      </c>
      <c r="K221" s="126">
        <v>134.18</v>
      </c>
      <c r="L221" s="126">
        <v>134.18</v>
      </c>
      <c r="M221" s="126"/>
      <c r="N221" s="126">
        <v>0</v>
      </c>
      <c r="O221" s="126">
        <v>177.44</v>
      </c>
      <c r="P221" s="145"/>
      <c r="Q221" s="146"/>
      <c r="R221" s="147"/>
      <c r="S221" s="46">
        <v>445.8</v>
      </c>
      <c r="T221" s="112"/>
      <c r="U221" s="56" t="s">
        <v>953</v>
      </c>
      <c r="V221" s="105" t="s">
        <v>585</v>
      </c>
    </row>
    <row r="222" spans="1:24" s="1" customFormat="1" ht="17.25" x14ac:dyDescent="0.3">
      <c r="A222" s="39">
        <v>14117160</v>
      </c>
      <c r="B222" s="40" t="s">
        <v>177</v>
      </c>
      <c r="C222" s="41" t="s">
        <v>761</v>
      </c>
      <c r="D222" s="42" t="s">
        <v>3</v>
      </c>
      <c r="E222" s="43" t="s">
        <v>581</v>
      </c>
      <c r="F222" s="43" t="s">
        <v>582</v>
      </c>
      <c r="G222" s="44">
        <v>92</v>
      </c>
      <c r="H222" s="43" t="s">
        <v>583</v>
      </c>
      <c r="I222" s="45" t="s">
        <v>1051</v>
      </c>
      <c r="J222" s="45" t="s">
        <v>561</v>
      </c>
      <c r="K222" s="126">
        <v>134.18</v>
      </c>
      <c r="L222" s="126">
        <v>134.18</v>
      </c>
      <c r="M222" s="126"/>
      <c r="N222" s="126">
        <v>0</v>
      </c>
      <c r="O222" s="126">
        <v>0</v>
      </c>
      <c r="P222" s="145"/>
      <c r="Q222" s="146"/>
      <c r="R222" s="147"/>
      <c r="S222" s="46">
        <v>268.36</v>
      </c>
      <c r="T222" s="112"/>
      <c r="U222" s="56" t="s">
        <v>953</v>
      </c>
      <c r="V222" s="105" t="s">
        <v>585</v>
      </c>
    </row>
    <row r="223" spans="1:24" s="1" customFormat="1" ht="17.25" x14ac:dyDescent="0.3">
      <c r="A223" s="39">
        <v>14117297</v>
      </c>
      <c r="B223" s="40" t="s">
        <v>178</v>
      </c>
      <c r="C223" s="41" t="s">
        <v>762</v>
      </c>
      <c r="D223" s="42" t="s">
        <v>3</v>
      </c>
      <c r="E223" s="43" t="s">
        <v>581</v>
      </c>
      <c r="F223" s="43" t="s">
        <v>582</v>
      </c>
      <c r="G223" s="44">
        <v>93</v>
      </c>
      <c r="H223" s="43" t="s">
        <v>583</v>
      </c>
      <c r="I223" s="45" t="s">
        <v>1051</v>
      </c>
      <c r="J223" s="45" t="s">
        <v>561</v>
      </c>
      <c r="K223" s="126">
        <v>134.18</v>
      </c>
      <c r="L223" s="126">
        <v>134.18</v>
      </c>
      <c r="M223" s="126"/>
      <c r="N223" s="126">
        <v>0</v>
      </c>
      <c r="O223" s="126">
        <v>0</v>
      </c>
      <c r="P223" s="145"/>
      <c r="Q223" s="146"/>
      <c r="R223" s="147"/>
      <c r="S223" s="46">
        <v>268.36</v>
      </c>
      <c r="T223" s="112"/>
      <c r="U223" s="56" t="s">
        <v>953</v>
      </c>
      <c r="V223" s="105" t="s">
        <v>585</v>
      </c>
    </row>
    <row r="224" spans="1:24" s="1" customFormat="1" ht="17.25" x14ac:dyDescent="0.3">
      <c r="A224" s="39">
        <v>14117400</v>
      </c>
      <c r="B224" s="40" t="s">
        <v>763</v>
      </c>
      <c r="C224" s="41" t="s">
        <v>764</v>
      </c>
      <c r="D224" s="42" t="s">
        <v>3</v>
      </c>
      <c r="E224" s="43" t="s">
        <v>581</v>
      </c>
      <c r="F224" s="43" t="s">
        <v>582</v>
      </c>
      <c r="G224" s="44">
        <v>87</v>
      </c>
      <c r="H224" s="43" t="s">
        <v>585</v>
      </c>
      <c r="I224" s="45" t="s">
        <v>1051</v>
      </c>
      <c r="J224" s="45" t="s">
        <v>561</v>
      </c>
      <c r="K224" s="126">
        <v>134.18</v>
      </c>
      <c r="L224" s="126">
        <v>134.18</v>
      </c>
      <c r="M224" s="126"/>
      <c r="N224" s="126">
        <v>0</v>
      </c>
      <c r="O224" s="126">
        <v>0</v>
      </c>
      <c r="P224" s="145"/>
      <c r="Q224" s="146"/>
      <c r="R224" s="147"/>
      <c r="S224" s="46">
        <v>268.36</v>
      </c>
      <c r="T224" s="112"/>
      <c r="U224" s="56" t="s">
        <v>953</v>
      </c>
      <c r="V224" s="105" t="s">
        <v>585</v>
      </c>
    </row>
    <row r="225" spans="1:24" s="1" customFormat="1" ht="17.25" x14ac:dyDescent="0.3">
      <c r="A225" s="40">
        <v>14117508</v>
      </c>
      <c r="B225" s="40" t="s">
        <v>318</v>
      </c>
      <c r="C225" s="41" t="s">
        <v>765</v>
      </c>
      <c r="D225" s="42" t="s">
        <v>3</v>
      </c>
      <c r="E225" s="43" t="s">
        <v>581</v>
      </c>
      <c r="F225" s="43" t="s">
        <v>582</v>
      </c>
      <c r="G225" s="44">
        <v>91</v>
      </c>
      <c r="H225" s="43" t="s">
        <v>583</v>
      </c>
      <c r="I225" s="45" t="s">
        <v>583</v>
      </c>
      <c r="J225" s="45" t="s">
        <v>561</v>
      </c>
      <c r="K225" s="126">
        <v>134.18</v>
      </c>
      <c r="L225" s="126">
        <v>134.18</v>
      </c>
      <c r="M225" s="126"/>
      <c r="N225" s="126">
        <v>200</v>
      </c>
      <c r="O225" s="126">
        <v>177.44</v>
      </c>
      <c r="P225" s="132"/>
      <c r="Q225" s="133"/>
      <c r="R225" s="147"/>
      <c r="S225" s="46">
        <v>645.79999999999995</v>
      </c>
      <c r="T225" s="112"/>
      <c r="U225" s="56" t="s">
        <v>953</v>
      </c>
      <c r="V225" s="105" t="s">
        <v>585</v>
      </c>
    </row>
    <row r="226" spans="1:24" s="1" customFormat="1" ht="17.25" x14ac:dyDescent="0.3">
      <c r="A226" s="40">
        <v>14117509</v>
      </c>
      <c r="B226" s="40" t="s">
        <v>237</v>
      </c>
      <c r="C226" s="41" t="s">
        <v>709</v>
      </c>
      <c r="D226" s="42" t="s">
        <v>3</v>
      </c>
      <c r="E226" s="43" t="s">
        <v>581</v>
      </c>
      <c r="F226" s="43" t="s">
        <v>582</v>
      </c>
      <c r="G226" s="44">
        <v>92</v>
      </c>
      <c r="H226" s="43" t="s">
        <v>583</v>
      </c>
      <c r="I226" s="45" t="s">
        <v>1051</v>
      </c>
      <c r="J226" s="45" t="s">
        <v>561</v>
      </c>
      <c r="K226" s="126">
        <v>134.18</v>
      </c>
      <c r="L226" s="126">
        <v>134.18</v>
      </c>
      <c r="M226" s="126"/>
      <c r="N226" s="126">
        <v>0</v>
      </c>
      <c r="O226" s="126">
        <v>0</v>
      </c>
      <c r="P226" s="132"/>
      <c r="Q226" s="133"/>
      <c r="R226" s="147"/>
      <c r="S226" s="46">
        <v>268.36</v>
      </c>
      <c r="T226" s="112"/>
      <c r="U226" s="56" t="s">
        <v>953</v>
      </c>
      <c r="V226" s="105" t="s">
        <v>585</v>
      </c>
    </row>
    <row r="227" spans="1:24" s="1" customFormat="1" ht="17.25" x14ac:dyDescent="0.3">
      <c r="A227" s="39">
        <v>14117542</v>
      </c>
      <c r="B227" s="40" t="s">
        <v>180</v>
      </c>
      <c r="C227" s="41" t="s">
        <v>766</v>
      </c>
      <c r="D227" s="42" t="s">
        <v>3</v>
      </c>
      <c r="E227" s="43" t="s">
        <v>581</v>
      </c>
      <c r="F227" s="43" t="s">
        <v>582</v>
      </c>
      <c r="G227" s="44">
        <v>88</v>
      </c>
      <c r="H227" s="43" t="s">
        <v>585</v>
      </c>
      <c r="I227" s="45" t="s">
        <v>1051</v>
      </c>
      <c r="J227" s="45" t="s">
        <v>561</v>
      </c>
      <c r="K227" s="126">
        <v>134.18</v>
      </c>
      <c r="L227" s="126">
        <v>134.18</v>
      </c>
      <c r="M227" s="126"/>
      <c r="N227" s="126">
        <v>0</v>
      </c>
      <c r="O227" s="126">
        <v>0</v>
      </c>
      <c r="P227" s="145"/>
      <c r="Q227" s="146"/>
      <c r="R227" s="147"/>
      <c r="S227" s="46">
        <v>268.36</v>
      </c>
      <c r="T227" s="112"/>
      <c r="U227" s="56" t="s">
        <v>953</v>
      </c>
      <c r="V227" s="105" t="s">
        <v>585</v>
      </c>
    </row>
    <row r="228" spans="1:24" s="1" customFormat="1" ht="17.25" x14ac:dyDescent="0.3">
      <c r="A228" s="39">
        <v>14117647</v>
      </c>
      <c r="B228" s="40" t="s">
        <v>181</v>
      </c>
      <c r="C228" s="41" t="s">
        <v>767</v>
      </c>
      <c r="D228" s="42" t="s">
        <v>3</v>
      </c>
      <c r="E228" s="43" t="s">
        <v>581</v>
      </c>
      <c r="F228" s="43" t="s">
        <v>582</v>
      </c>
      <c r="G228" s="44" t="s">
        <v>1609</v>
      </c>
      <c r="H228" s="43" t="s">
        <v>585</v>
      </c>
      <c r="I228" s="45" t="s">
        <v>583</v>
      </c>
      <c r="J228" s="45" t="s">
        <v>587</v>
      </c>
      <c r="K228" s="126">
        <v>0</v>
      </c>
      <c r="L228" s="126">
        <v>0</v>
      </c>
      <c r="M228" s="126"/>
      <c r="N228" s="126">
        <v>0</v>
      </c>
      <c r="O228" s="126">
        <v>0</v>
      </c>
      <c r="P228" s="132"/>
      <c r="Q228" s="133"/>
      <c r="R228" s="147"/>
      <c r="S228" s="46">
        <v>0</v>
      </c>
      <c r="T228" s="112"/>
      <c r="U228" s="56" t="s">
        <v>585</v>
      </c>
      <c r="V228" s="105" t="s">
        <v>585</v>
      </c>
      <c r="X228" s="127"/>
    </row>
    <row r="229" spans="1:24" s="1" customFormat="1" ht="17.25" x14ac:dyDescent="0.3">
      <c r="A229" s="39">
        <v>14117905</v>
      </c>
      <c r="B229" s="40" t="s">
        <v>404</v>
      </c>
      <c r="C229" s="41" t="s">
        <v>768</v>
      </c>
      <c r="D229" s="42" t="s">
        <v>3</v>
      </c>
      <c r="E229" s="43" t="s">
        <v>581</v>
      </c>
      <c r="F229" s="43" t="s">
        <v>582</v>
      </c>
      <c r="G229" s="44">
        <v>90</v>
      </c>
      <c r="H229" s="43" t="s">
        <v>583</v>
      </c>
      <c r="I229" s="45" t="s">
        <v>583</v>
      </c>
      <c r="J229" s="45" t="s">
        <v>561</v>
      </c>
      <c r="K229" s="126">
        <v>134.18</v>
      </c>
      <c r="L229" s="126">
        <v>134.18</v>
      </c>
      <c r="M229" s="126"/>
      <c r="N229" s="126">
        <v>200</v>
      </c>
      <c r="O229" s="126">
        <v>177.44</v>
      </c>
      <c r="P229" s="145"/>
      <c r="Q229" s="146"/>
      <c r="R229" s="147"/>
      <c r="S229" s="46">
        <v>645.79999999999995</v>
      </c>
      <c r="T229" s="112"/>
      <c r="U229" s="56" t="s">
        <v>953</v>
      </c>
      <c r="V229" s="105" t="s">
        <v>585</v>
      </c>
    </row>
    <row r="230" spans="1:24" s="1" customFormat="1" ht="17.25" x14ac:dyDescent="0.3">
      <c r="A230" s="39">
        <v>14117967</v>
      </c>
      <c r="B230" s="40" t="s">
        <v>186</v>
      </c>
      <c r="C230" s="41" t="s">
        <v>769</v>
      </c>
      <c r="D230" s="42" t="s">
        <v>3</v>
      </c>
      <c r="E230" s="43" t="s">
        <v>581</v>
      </c>
      <c r="F230" s="43" t="s">
        <v>582</v>
      </c>
      <c r="G230" s="44">
        <v>94</v>
      </c>
      <c r="H230" s="43" t="s">
        <v>583</v>
      </c>
      <c r="I230" s="45" t="s">
        <v>1051</v>
      </c>
      <c r="J230" s="45" t="s">
        <v>561</v>
      </c>
      <c r="K230" s="126">
        <v>134.18</v>
      </c>
      <c r="L230" s="126">
        <v>134.18</v>
      </c>
      <c r="M230" s="126"/>
      <c r="N230" s="126">
        <v>0</v>
      </c>
      <c r="O230" s="126">
        <v>0</v>
      </c>
      <c r="P230" s="132"/>
      <c r="Q230" s="133"/>
      <c r="R230" s="148"/>
      <c r="S230" s="46">
        <v>268.36</v>
      </c>
      <c r="T230" s="112"/>
      <c r="U230" s="56" t="s">
        <v>953</v>
      </c>
      <c r="V230" s="105" t="s">
        <v>585</v>
      </c>
    </row>
    <row r="231" spans="1:24" s="1" customFormat="1" ht="17.25" x14ac:dyDescent="0.3">
      <c r="A231" s="39">
        <v>14117969</v>
      </c>
      <c r="B231" s="48" t="s">
        <v>405</v>
      </c>
      <c r="C231" s="41" t="s">
        <v>770</v>
      </c>
      <c r="D231" s="42" t="s">
        <v>3</v>
      </c>
      <c r="E231" s="43" t="s">
        <v>581</v>
      </c>
      <c r="F231" s="43" t="s">
        <v>582</v>
      </c>
      <c r="G231" s="44">
        <v>43</v>
      </c>
      <c r="H231" s="43" t="s">
        <v>585</v>
      </c>
      <c r="I231" s="45" t="s">
        <v>583</v>
      </c>
      <c r="J231" s="45" t="s">
        <v>587</v>
      </c>
      <c r="K231" s="126">
        <v>134.18</v>
      </c>
      <c r="L231" s="126">
        <v>134.18</v>
      </c>
      <c r="M231" s="126"/>
      <c r="N231" s="126">
        <v>0</v>
      </c>
      <c r="O231" s="126">
        <v>0</v>
      </c>
      <c r="P231" s="132"/>
      <c r="Q231" s="133"/>
      <c r="R231" s="147"/>
      <c r="S231" s="46">
        <v>268.36</v>
      </c>
      <c r="T231" s="112"/>
      <c r="U231" s="56" t="s">
        <v>953</v>
      </c>
      <c r="V231" s="105" t="s">
        <v>585</v>
      </c>
    </row>
    <row r="232" spans="1:24" s="1" customFormat="1" ht="17.25" x14ac:dyDescent="0.3">
      <c r="A232" s="39">
        <v>14117986</v>
      </c>
      <c r="B232" s="40" t="s">
        <v>188</v>
      </c>
      <c r="C232" s="41" t="s">
        <v>684</v>
      </c>
      <c r="D232" s="42" t="s">
        <v>3</v>
      </c>
      <c r="E232" s="43" t="s">
        <v>581</v>
      </c>
      <c r="F232" s="43" t="s">
        <v>582</v>
      </c>
      <c r="G232" s="44">
        <v>94</v>
      </c>
      <c r="H232" s="43" t="s">
        <v>583</v>
      </c>
      <c r="I232" s="45" t="s">
        <v>583</v>
      </c>
      <c r="J232" s="45" t="s">
        <v>561</v>
      </c>
      <c r="K232" s="126">
        <v>134.18</v>
      </c>
      <c r="L232" s="126">
        <v>134.18</v>
      </c>
      <c r="M232" s="126"/>
      <c r="N232" s="126">
        <v>200</v>
      </c>
      <c r="O232" s="126">
        <v>177.44</v>
      </c>
      <c r="P232" s="132"/>
      <c r="Q232" s="133"/>
      <c r="R232" s="147"/>
      <c r="S232" s="46">
        <v>645.79999999999995</v>
      </c>
      <c r="T232" s="112"/>
      <c r="U232" s="56" t="s">
        <v>953</v>
      </c>
      <c r="V232" s="105" t="s">
        <v>585</v>
      </c>
    </row>
    <row r="233" spans="1:24" s="1" customFormat="1" ht="17.25" x14ac:dyDescent="0.3">
      <c r="A233" s="39">
        <v>14118028</v>
      </c>
      <c r="B233" s="40" t="s">
        <v>189</v>
      </c>
      <c r="C233" s="41" t="s">
        <v>771</v>
      </c>
      <c r="D233" s="42" t="s">
        <v>3</v>
      </c>
      <c r="E233" s="43" t="s">
        <v>581</v>
      </c>
      <c r="F233" s="43" t="s">
        <v>582</v>
      </c>
      <c r="G233" s="44">
        <v>93</v>
      </c>
      <c r="H233" s="43" t="s">
        <v>583</v>
      </c>
      <c r="I233" s="45" t="s">
        <v>583</v>
      </c>
      <c r="J233" s="45" t="s">
        <v>561</v>
      </c>
      <c r="K233" s="126">
        <v>134.18</v>
      </c>
      <c r="L233" s="126">
        <v>134.18</v>
      </c>
      <c r="M233" s="126"/>
      <c r="N233" s="126">
        <v>200</v>
      </c>
      <c r="O233" s="126">
        <v>177.44</v>
      </c>
      <c r="P233" s="145"/>
      <c r="Q233" s="146"/>
      <c r="R233" s="147"/>
      <c r="S233" s="46">
        <v>645.79999999999995</v>
      </c>
      <c r="T233" s="112"/>
      <c r="U233" s="56" t="s">
        <v>953</v>
      </c>
      <c r="V233" s="105" t="s">
        <v>585</v>
      </c>
    </row>
    <row r="234" spans="1:24" s="1" customFormat="1" ht="17.25" x14ac:dyDescent="0.3">
      <c r="A234" s="39">
        <v>14118065</v>
      </c>
      <c r="B234" s="40" t="s">
        <v>191</v>
      </c>
      <c r="C234" s="41" t="s">
        <v>772</v>
      </c>
      <c r="D234" s="42" t="s">
        <v>3</v>
      </c>
      <c r="E234" s="43" t="s">
        <v>581</v>
      </c>
      <c r="F234" s="43" t="s">
        <v>582</v>
      </c>
      <c r="G234" s="44">
        <v>89</v>
      </c>
      <c r="H234" s="43" t="s">
        <v>585</v>
      </c>
      <c r="I234" s="45" t="s">
        <v>583</v>
      </c>
      <c r="J234" s="45" t="s">
        <v>587</v>
      </c>
      <c r="K234" s="126">
        <v>134.18</v>
      </c>
      <c r="L234" s="126">
        <v>134.18</v>
      </c>
      <c r="M234" s="126"/>
      <c r="N234" s="126">
        <v>0</v>
      </c>
      <c r="O234" s="126">
        <v>0</v>
      </c>
      <c r="P234" s="145"/>
      <c r="Q234" s="146"/>
      <c r="R234" s="147"/>
      <c r="S234" s="46">
        <v>268.36</v>
      </c>
      <c r="T234" s="112"/>
      <c r="U234" s="56" t="s">
        <v>953</v>
      </c>
      <c r="V234" s="105" t="s">
        <v>585</v>
      </c>
    </row>
    <row r="235" spans="1:24" s="1" customFormat="1" ht="17.25" x14ac:dyDescent="0.3">
      <c r="A235" s="39">
        <v>14118184</v>
      </c>
      <c r="B235" s="40" t="s">
        <v>239</v>
      </c>
      <c r="C235" s="41" t="s">
        <v>773</v>
      </c>
      <c r="D235" s="42" t="s">
        <v>3</v>
      </c>
      <c r="E235" s="43" t="s">
        <v>581</v>
      </c>
      <c r="F235" s="43" t="s">
        <v>582</v>
      </c>
      <c r="G235" s="44">
        <v>94</v>
      </c>
      <c r="H235" s="43" t="s">
        <v>583</v>
      </c>
      <c r="I235" s="45" t="s">
        <v>583</v>
      </c>
      <c r="J235" s="45" t="s">
        <v>561</v>
      </c>
      <c r="K235" s="126">
        <v>134.18</v>
      </c>
      <c r="L235" s="126">
        <v>134.18</v>
      </c>
      <c r="M235" s="126"/>
      <c r="N235" s="126">
        <v>200</v>
      </c>
      <c r="O235" s="126">
        <v>177.44</v>
      </c>
      <c r="P235" s="145"/>
      <c r="Q235" s="146"/>
      <c r="R235" s="148"/>
      <c r="S235" s="46">
        <v>645.79999999999995</v>
      </c>
      <c r="T235" s="112"/>
      <c r="U235" s="56" t="s">
        <v>953</v>
      </c>
      <c r="V235" s="105" t="s">
        <v>585</v>
      </c>
    </row>
    <row r="236" spans="1:24" s="1" customFormat="1" ht="17.25" x14ac:dyDescent="0.3">
      <c r="A236" s="39">
        <v>14118186</v>
      </c>
      <c r="B236" s="40" t="s">
        <v>192</v>
      </c>
      <c r="C236" s="41" t="s">
        <v>774</v>
      </c>
      <c r="D236" s="42" t="s">
        <v>3</v>
      </c>
      <c r="E236" s="43" t="s">
        <v>581</v>
      </c>
      <c r="F236" s="43" t="s">
        <v>740</v>
      </c>
      <c r="G236" s="44">
        <v>93</v>
      </c>
      <c r="H236" s="43" t="s">
        <v>583</v>
      </c>
      <c r="I236" s="45" t="s">
        <v>583</v>
      </c>
      <c r="J236" s="45" t="s">
        <v>561</v>
      </c>
      <c r="K236" s="126">
        <v>134.18</v>
      </c>
      <c r="L236" s="126">
        <v>0</v>
      </c>
      <c r="M236" s="126"/>
      <c r="N236" s="126">
        <v>200</v>
      </c>
      <c r="O236" s="126">
        <v>177.44</v>
      </c>
      <c r="P236" s="145"/>
      <c r="Q236" s="146"/>
      <c r="R236" s="148"/>
      <c r="S236" s="46">
        <v>511.62</v>
      </c>
      <c r="T236" s="112"/>
      <c r="U236" s="56" t="s">
        <v>953</v>
      </c>
      <c r="V236" s="105" t="s">
        <v>2034</v>
      </c>
    </row>
    <row r="237" spans="1:24" s="1" customFormat="1" ht="17.25" x14ac:dyDescent="0.3">
      <c r="A237" s="39">
        <v>14118196</v>
      </c>
      <c r="B237" s="40" t="s">
        <v>193</v>
      </c>
      <c r="C237" s="41" t="s">
        <v>775</v>
      </c>
      <c r="D237" s="42" t="s">
        <v>3</v>
      </c>
      <c r="E237" s="43" t="s">
        <v>581</v>
      </c>
      <c r="F237" s="43" t="s">
        <v>582</v>
      </c>
      <c r="G237" s="44">
        <v>95</v>
      </c>
      <c r="H237" s="43" t="s">
        <v>583</v>
      </c>
      <c r="I237" s="45" t="s">
        <v>583</v>
      </c>
      <c r="J237" s="45" t="s">
        <v>561</v>
      </c>
      <c r="K237" s="126">
        <v>134.18</v>
      </c>
      <c r="L237" s="126">
        <v>134.18</v>
      </c>
      <c r="M237" s="126"/>
      <c r="N237" s="126">
        <v>200</v>
      </c>
      <c r="O237" s="126">
        <v>177.44</v>
      </c>
      <c r="P237" s="145"/>
      <c r="Q237" s="146"/>
      <c r="R237" s="147"/>
      <c r="S237" s="46">
        <v>645.79999999999995</v>
      </c>
      <c r="T237" s="112"/>
      <c r="U237" s="56" t="s">
        <v>953</v>
      </c>
      <c r="V237" s="105" t="s">
        <v>585</v>
      </c>
    </row>
    <row r="238" spans="1:24" s="1" customFormat="1" ht="17.25" x14ac:dyDescent="0.3">
      <c r="A238" s="39">
        <v>14118210</v>
      </c>
      <c r="B238" s="40" t="s">
        <v>194</v>
      </c>
      <c r="C238" s="41" t="s">
        <v>776</v>
      </c>
      <c r="D238" s="42" t="s">
        <v>3</v>
      </c>
      <c r="E238" s="43" t="s">
        <v>581</v>
      </c>
      <c r="F238" s="43" t="s">
        <v>582</v>
      </c>
      <c r="G238" s="44">
        <v>95</v>
      </c>
      <c r="H238" s="43" t="s">
        <v>583</v>
      </c>
      <c r="I238" s="45" t="s">
        <v>583</v>
      </c>
      <c r="J238" s="45" t="s">
        <v>561</v>
      </c>
      <c r="K238" s="126">
        <v>134.18</v>
      </c>
      <c r="L238" s="126">
        <v>134.18</v>
      </c>
      <c r="M238" s="126"/>
      <c r="N238" s="126">
        <v>200</v>
      </c>
      <c r="O238" s="126">
        <v>177.44</v>
      </c>
      <c r="P238" s="145"/>
      <c r="Q238" s="146"/>
      <c r="R238" s="147"/>
      <c r="S238" s="46">
        <v>645.79999999999995</v>
      </c>
      <c r="T238" s="112"/>
      <c r="U238" s="56" t="s">
        <v>953</v>
      </c>
      <c r="V238" s="105" t="s">
        <v>585</v>
      </c>
    </row>
    <row r="239" spans="1:24" s="1" customFormat="1" ht="17.25" x14ac:dyDescent="0.3">
      <c r="A239" s="40">
        <v>14118212</v>
      </c>
      <c r="B239" s="40" t="s">
        <v>432</v>
      </c>
      <c r="C239" s="41" t="s">
        <v>777</v>
      </c>
      <c r="D239" s="42" t="s">
        <v>3</v>
      </c>
      <c r="E239" s="43" t="s">
        <v>581</v>
      </c>
      <c r="F239" s="43" t="s">
        <v>582</v>
      </c>
      <c r="G239" s="44">
        <v>95</v>
      </c>
      <c r="H239" s="43" t="s">
        <v>583</v>
      </c>
      <c r="I239" s="45" t="s">
        <v>583</v>
      </c>
      <c r="J239" s="45" t="s">
        <v>587</v>
      </c>
      <c r="K239" s="126">
        <v>0</v>
      </c>
      <c r="L239" s="126">
        <v>0</v>
      </c>
      <c r="M239" s="126"/>
      <c r="N239" s="126">
        <v>0</v>
      </c>
      <c r="O239" s="126">
        <v>0</v>
      </c>
      <c r="P239" s="132"/>
      <c r="Q239" s="133"/>
      <c r="R239" s="147"/>
      <c r="S239" s="46">
        <v>0</v>
      </c>
      <c r="T239" s="112"/>
      <c r="U239" s="56" t="s">
        <v>585</v>
      </c>
      <c r="V239" s="105" t="s">
        <v>585</v>
      </c>
      <c r="X239" s="127"/>
    </row>
    <row r="240" spans="1:24" s="1" customFormat="1" ht="17.25" x14ac:dyDescent="0.3">
      <c r="A240" s="39">
        <v>14118225</v>
      </c>
      <c r="B240" s="40" t="s">
        <v>272</v>
      </c>
      <c r="C240" s="41" t="s">
        <v>779</v>
      </c>
      <c r="D240" s="42" t="s">
        <v>3</v>
      </c>
      <c r="E240" s="43" t="s">
        <v>581</v>
      </c>
      <c r="F240" s="43" t="s">
        <v>582</v>
      </c>
      <c r="G240" s="44">
        <v>95</v>
      </c>
      <c r="H240" s="43" t="s">
        <v>583</v>
      </c>
      <c r="I240" s="45" t="s">
        <v>583</v>
      </c>
      <c r="J240" s="45" t="s">
        <v>561</v>
      </c>
      <c r="K240" s="126">
        <v>134.18</v>
      </c>
      <c r="L240" s="126">
        <v>134.18</v>
      </c>
      <c r="M240" s="126"/>
      <c r="N240" s="126">
        <v>200</v>
      </c>
      <c r="O240" s="126">
        <v>177.44</v>
      </c>
      <c r="P240" s="132"/>
      <c r="Q240" s="133"/>
      <c r="R240" s="147"/>
      <c r="S240" s="46">
        <v>645.79999999999995</v>
      </c>
      <c r="T240" s="112"/>
      <c r="U240" s="56" t="s">
        <v>953</v>
      </c>
      <c r="V240" s="105" t="s">
        <v>585</v>
      </c>
    </row>
    <row r="241" spans="1:24" s="1" customFormat="1" ht="17.25" x14ac:dyDescent="0.3">
      <c r="A241" s="39">
        <v>14118341</v>
      </c>
      <c r="B241" s="40" t="s">
        <v>199</v>
      </c>
      <c r="C241" s="41" t="s">
        <v>780</v>
      </c>
      <c r="D241" s="42" t="s">
        <v>3</v>
      </c>
      <c r="E241" s="43" t="s">
        <v>581</v>
      </c>
      <c r="F241" s="43" t="s">
        <v>582</v>
      </c>
      <c r="G241" s="44">
        <v>62</v>
      </c>
      <c r="H241" s="43" t="s">
        <v>585</v>
      </c>
      <c r="I241" s="45" t="s">
        <v>583</v>
      </c>
      <c r="J241" s="45" t="s">
        <v>587</v>
      </c>
      <c r="K241" s="126">
        <v>134.18</v>
      </c>
      <c r="L241" s="126">
        <v>134.18</v>
      </c>
      <c r="M241" s="126"/>
      <c r="N241" s="126">
        <v>0</v>
      </c>
      <c r="O241" s="126">
        <v>0</v>
      </c>
      <c r="P241" s="132"/>
      <c r="Q241" s="133"/>
      <c r="R241" s="132"/>
      <c r="S241" s="46">
        <v>268.36</v>
      </c>
      <c r="T241" s="112"/>
      <c r="U241" s="56" t="s">
        <v>953</v>
      </c>
      <c r="V241" s="105" t="s">
        <v>2034</v>
      </c>
    </row>
    <row r="242" spans="1:24" s="1" customFormat="1" ht="17.25" x14ac:dyDescent="0.3">
      <c r="A242" s="39">
        <v>14118397</v>
      </c>
      <c r="B242" s="40" t="s">
        <v>200</v>
      </c>
      <c r="C242" s="41" t="s">
        <v>781</v>
      </c>
      <c r="D242" s="42" t="s">
        <v>3</v>
      </c>
      <c r="E242" s="43" t="s">
        <v>581</v>
      </c>
      <c r="F242" s="43" t="s">
        <v>582</v>
      </c>
      <c r="G242" s="44">
        <v>91</v>
      </c>
      <c r="H242" s="43" t="s">
        <v>583</v>
      </c>
      <c r="I242" s="45" t="s">
        <v>1051</v>
      </c>
      <c r="J242" s="45" t="s">
        <v>561</v>
      </c>
      <c r="K242" s="126">
        <v>134.18</v>
      </c>
      <c r="L242" s="126">
        <v>134.18</v>
      </c>
      <c r="M242" s="126"/>
      <c r="N242" s="126">
        <v>0</v>
      </c>
      <c r="O242" s="126">
        <v>0</v>
      </c>
      <c r="P242" s="132"/>
      <c r="Q242" s="133"/>
      <c r="R242" s="147"/>
      <c r="S242" s="46">
        <v>268.36</v>
      </c>
      <c r="T242" s="112"/>
      <c r="U242" s="56" t="s">
        <v>953</v>
      </c>
      <c r="V242" s="105" t="s">
        <v>585</v>
      </c>
    </row>
    <row r="243" spans="1:24" s="1" customFormat="1" ht="17.25" x14ac:dyDescent="0.3">
      <c r="A243" s="39">
        <v>14118440</v>
      </c>
      <c r="B243" s="40" t="s">
        <v>201</v>
      </c>
      <c r="C243" s="41" t="s">
        <v>782</v>
      </c>
      <c r="D243" s="42" t="s">
        <v>3</v>
      </c>
      <c r="E243" s="43" t="s">
        <v>581</v>
      </c>
      <c r="F243" s="43" t="s">
        <v>582</v>
      </c>
      <c r="G243" s="44">
        <v>93</v>
      </c>
      <c r="H243" s="43" t="s">
        <v>583</v>
      </c>
      <c r="I243" s="45" t="s">
        <v>1051</v>
      </c>
      <c r="J243" s="45" t="s">
        <v>561</v>
      </c>
      <c r="K243" s="126">
        <v>134.18</v>
      </c>
      <c r="L243" s="126">
        <v>134.18</v>
      </c>
      <c r="M243" s="126"/>
      <c r="N243" s="126">
        <v>0</v>
      </c>
      <c r="O243" s="126">
        <v>0</v>
      </c>
      <c r="P243" s="145"/>
      <c r="Q243" s="146"/>
      <c r="R243" s="147"/>
      <c r="S243" s="46">
        <v>268.36</v>
      </c>
      <c r="T243" s="112"/>
      <c r="U243" s="56" t="s">
        <v>953</v>
      </c>
      <c r="V243" s="105" t="s">
        <v>585</v>
      </c>
    </row>
    <row r="244" spans="1:24" s="1" customFormat="1" ht="17.25" x14ac:dyDescent="0.3">
      <c r="A244" s="39">
        <v>14118499</v>
      </c>
      <c r="B244" s="40" t="s">
        <v>202</v>
      </c>
      <c r="C244" s="41" t="s">
        <v>783</v>
      </c>
      <c r="D244" s="42" t="s">
        <v>3</v>
      </c>
      <c r="E244" s="43" t="s">
        <v>581</v>
      </c>
      <c r="F244" s="43" t="s">
        <v>582</v>
      </c>
      <c r="G244" s="44">
        <v>92</v>
      </c>
      <c r="H244" s="43" t="s">
        <v>583</v>
      </c>
      <c r="I244" s="45" t="s">
        <v>583</v>
      </c>
      <c r="J244" s="45" t="s">
        <v>561</v>
      </c>
      <c r="K244" s="126">
        <v>134.18</v>
      </c>
      <c r="L244" s="126">
        <v>134.18</v>
      </c>
      <c r="M244" s="126"/>
      <c r="N244" s="126">
        <v>200</v>
      </c>
      <c r="O244" s="126">
        <v>177.44</v>
      </c>
      <c r="P244" s="145"/>
      <c r="Q244" s="146"/>
      <c r="R244" s="147"/>
      <c r="S244" s="46">
        <v>645.79999999999995</v>
      </c>
      <c r="T244" s="112"/>
      <c r="U244" s="56" t="s">
        <v>953</v>
      </c>
      <c r="V244" s="105" t="s">
        <v>585</v>
      </c>
    </row>
    <row r="245" spans="1:24" s="1" customFormat="1" ht="17.25" x14ac:dyDescent="0.3">
      <c r="A245" s="39">
        <v>14118501</v>
      </c>
      <c r="B245" s="40" t="s">
        <v>203</v>
      </c>
      <c r="C245" s="41" t="s">
        <v>783</v>
      </c>
      <c r="D245" s="42" t="s">
        <v>3</v>
      </c>
      <c r="E245" s="43" t="s">
        <v>581</v>
      </c>
      <c r="F245" s="43" t="s">
        <v>582</v>
      </c>
      <c r="G245" s="44">
        <v>54</v>
      </c>
      <c r="H245" s="43" t="s">
        <v>585</v>
      </c>
      <c r="I245" s="45" t="s">
        <v>1051</v>
      </c>
      <c r="J245" s="45" t="s">
        <v>561</v>
      </c>
      <c r="K245" s="126">
        <v>134.18</v>
      </c>
      <c r="L245" s="126">
        <v>134.18</v>
      </c>
      <c r="M245" s="126"/>
      <c r="N245" s="126">
        <v>0</v>
      </c>
      <c r="O245" s="126">
        <v>0</v>
      </c>
      <c r="P245" s="145"/>
      <c r="Q245" s="146"/>
      <c r="R245" s="147"/>
      <c r="S245" s="46">
        <v>268.36</v>
      </c>
      <c r="T245" s="112"/>
      <c r="U245" s="56" t="s">
        <v>953</v>
      </c>
      <c r="V245" s="105" t="s">
        <v>585</v>
      </c>
    </row>
    <row r="246" spans="1:24" s="1" customFormat="1" ht="17.25" x14ac:dyDescent="0.3">
      <c r="A246" s="39">
        <v>14118505</v>
      </c>
      <c r="B246" s="40" t="s">
        <v>356</v>
      </c>
      <c r="C246" s="41" t="s">
        <v>784</v>
      </c>
      <c r="D246" s="42" t="s">
        <v>3</v>
      </c>
      <c r="E246" s="43" t="s">
        <v>581</v>
      </c>
      <c r="F246" s="43" t="s">
        <v>582</v>
      </c>
      <c r="G246" s="44">
        <v>91</v>
      </c>
      <c r="H246" s="43" t="s">
        <v>583</v>
      </c>
      <c r="I246" s="45" t="s">
        <v>1051</v>
      </c>
      <c r="J246" s="45" t="s">
        <v>561</v>
      </c>
      <c r="K246" s="126">
        <v>134.18</v>
      </c>
      <c r="L246" s="126">
        <v>134.18</v>
      </c>
      <c r="M246" s="126"/>
      <c r="N246" s="126">
        <v>0</v>
      </c>
      <c r="O246" s="126">
        <v>0</v>
      </c>
      <c r="P246" s="132"/>
      <c r="Q246" s="133"/>
      <c r="R246" s="147"/>
      <c r="S246" s="46">
        <v>268.36</v>
      </c>
      <c r="T246" s="112"/>
      <c r="U246" s="56" t="s">
        <v>953</v>
      </c>
      <c r="V246" s="105" t="s">
        <v>585</v>
      </c>
    </row>
    <row r="247" spans="1:24" s="1" customFormat="1" ht="17.25" x14ac:dyDescent="0.3">
      <c r="A247" s="39">
        <v>14118518</v>
      </c>
      <c r="B247" s="40" t="s">
        <v>204</v>
      </c>
      <c r="C247" s="41" t="s">
        <v>785</v>
      </c>
      <c r="D247" s="42" t="s">
        <v>3</v>
      </c>
      <c r="E247" s="43" t="s">
        <v>581</v>
      </c>
      <c r="F247" s="43" t="s">
        <v>582</v>
      </c>
      <c r="G247" s="44">
        <v>83</v>
      </c>
      <c r="H247" s="43" t="s">
        <v>585</v>
      </c>
      <c r="I247" s="45" t="s">
        <v>583</v>
      </c>
      <c r="J247" s="45" t="s">
        <v>587</v>
      </c>
      <c r="K247" s="126">
        <v>134.18</v>
      </c>
      <c r="L247" s="126">
        <v>134.18</v>
      </c>
      <c r="M247" s="126"/>
      <c r="N247" s="126">
        <v>0</v>
      </c>
      <c r="O247" s="126">
        <v>0</v>
      </c>
      <c r="P247" s="132"/>
      <c r="Q247" s="133"/>
      <c r="R247" s="147"/>
      <c r="S247" s="46">
        <v>268.36</v>
      </c>
      <c r="T247" s="112"/>
      <c r="U247" s="56" t="s">
        <v>953</v>
      </c>
      <c r="V247" s="105" t="s">
        <v>585</v>
      </c>
    </row>
    <row r="248" spans="1:24" s="1" customFormat="1" ht="17.25" x14ac:dyDescent="0.3">
      <c r="A248" s="39">
        <v>14118579</v>
      </c>
      <c r="B248" s="40" t="s">
        <v>471</v>
      </c>
      <c r="C248" s="41" t="s">
        <v>786</v>
      </c>
      <c r="D248" s="42" t="s">
        <v>3</v>
      </c>
      <c r="E248" s="43" t="s">
        <v>581</v>
      </c>
      <c r="F248" s="43" t="s">
        <v>582</v>
      </c>
      <c r="G248" s="44">
        <v>94</v>
      </c>
      <c r="H248" s="43" t="s">
        <v>583</v>
      </c>
      <c r="I248" s="45" t="s">
        <v>583</v>
      </c>
      <c r="J248" s="45" t="s">
        <v>561</v>
      </c>
      <c r="K248" s="126">
        <v>134.18</v>
      </c>
      <c r="L248" s="126">
        <v>134.18</v>
      </c>
      <c r="M248" s="126"/>
      <c r="N248" s="126">
        <v>200</v>
      </c>
      <c r="O248" s="126">
        <v>177.44</v>
      </c>
      <c r="P248" s="132"/>
      <c r="Q248" s="133"/>
      <c r="R248" s="148"/>
      <c r="S248" s="46">
        <v>645.79999999999995</v>
      </c>
      <c r="T248" s="112"/>
      <c r="U248" s="56" t="s">
        <v>953</v>
      </c>
      <c r="V248" s="105" t="s">
        <v>585</v>
      </c>
    </row>
    <row r="249" spans="1:24" s="1" customFormat="1" ht="17.25" x14ac:dyDescent="0.3">
      <c r="A249" s="39">
        <v>14118620</v>
      </c>
      <c r="B249" s="40" t="s">
        <v>205</v>
      </c>
      <c r="C249" s="41" t="s">
        <v>787</v>
      </c>
      <c r="D249" s="42" t="s">
        <v>3</v>
      </c>
      <c r="E249" s="43" t="s">
        <v>581</v>
      </c>
      <c r="F249" s="43" t="s">
        <v>582</v>
      </c>
      <c r="G249" s="44">
        <v>95</v>
      </c>
      <c r="H249" s="43" t="s">
        <v>583</v>
      </c>
      <c r="I249" s="45" t="s">
        <v>1051</v>
      </c>
      <c r="J249" s="45" t="s">
        <v>587</v>
      </c>
      <c r="K249" s="126">
        <v>134.18</v>
      </c>
      <c r="L249" s="126">
        <v>134.18</v>
      </c>
      <c r="M249" s="126"/>
      <c r="N249" s="126">
        <v>0</v>
      </c>
      <c r="O249" s="126">
        <v>0</v>
      </c>
      <c r="P249" s="145"/>
      <c r="Q249" s="146"/>
      <c r="R249" s="147"/>
      <c r="S249" s="46">
        <v>268.36</v>
      </c>
      <c r="T249" s="112"/>
      <c r="U249" s="56" t="s">
        <v>953</v>
      </c>
      <c r="V249" s="105" t="s">
        <v>585</v>
      </c>
    </row>
    <row r="250" spans="1:24" s="1" customFormat="1" ht="17.25" x14ac:dyDescent="0.3">
      <c r="A250" s="39">
        <v>14118621</v>
      </c>
      <c r="B250" s="40" t="s">
        <v>206</v>
      </c>
      <c r="C250" s="41" t="s">
        <v>787</v>
      </c>
      <c r="D250" s="42" t="s">
        <v>3</v>
      </c>
      <c r="E250" s="43" t="s">
        <v>581</v>
      </c>
      <c r="F250" s="43" t="s">
        <v>582</v>
      </c>
      <c r="G250" s="44">
        <v>95</v>
      </c>
      <c r="H250" s="43" t="s">
        <v>583</v>
      </c>
      <c r="I250" s="45" t="s">
        <v>583</v>
      </c>
      <c r="J250" s="45" t="s">
        <v>561</v>
      </c>
      <c r="K250" s="126">
        <v>134.18</v>
      </c>
      <c r="L250" s="126">
        <v>134.18</v>
      </c>
      <c r="M250" s="126"/>
      <c r="N250" s="126">
        <v>200</v>
      </c>
      <c r="O250" s="126">
        <v>177.44</v>
      </c>
      <c r="P250" s="132"/>
      <c r="Q250" s="133"/>
      <c r="R250" s="148"/>
      <c r="S250" s="46">
        <v>645.79999999999995</v>
      </c>
      <c r="T250" s="112"/>
      <c r="U250" s="56" t="s">
        <v>953</v>
      </c>
      <c r="V250" s="105" t="s">
        <v>585</v>
      </c>
    </row>
    <row r="251" spans="1:24" s="1" customFormat="1" ht="17.25" x14ac:dyDescent="0.3">
      <c r="A251" s="39">
        <v>14118622</v>
      </c>
      <c r="B251" s="40" t="s">
        <v>207</v>
      </c>
      <c r="C251" s="41" t="s">
        <v>787</v>
      </c>
      <c r="D251" s="42" t="s">
        <v>3</v>
      </c>
      <c r="E251" s="43" t="s">
        <v>581</v>
      </c>
      <c r="F251" s="43" t="s">
        <v>582</v>
      </c>
      <c r="G251" s="44">
        <v>87</v>
      </c>
      <c r="H251" s="43" t="s">
        <v>585</v>
      </c>
      <c r="I251" s="45" t="s">
        <v>1051</v>
      </c>
      <c r="J251" s="45" t="s">
        <v>561</v>
      </c>
      <c r="K251" s="126">
        <v>134.18</v>
      </c>
      <c r="L251" s="126">
        <v>134.18</v>
      </c>
      <c r="M251" s="126"/>
      <c r="N251" s="126">
        <v>0</v>
      </c>
      <c r="O251" s="126">
        <v>0</v>
      </c>
      <c r="P251" s="132"/>
      <c r="Q251" s="133"/>
      <c r="R251" s="147"/>
      <c r="S251" s="46">
        <v>268.36</v>
      </c>
      <c r="T251" s="112"/>
      <c r="U251" s="56" t="s">
        <v>953</v>
      </c>
      <c r="V251" s="105" t="s">
        <v>2034</v>
      </c>
    </row>
    <row r="252" spans="1:24" s="1" customFormat="1" ht="17.25" x14ac:dyDescent="0.3">
      <c r="A252" s="39">
        <v>14118625</v>
      </c>
      <c r="B252" s="40" t="s">
        <v>428</v>
      </c>
      <c r="C252" s="41" t="s">
        <v>788</v>
      </c>
      <c r="D252" s="42" t="s">
        <v>3</v>
      </c>
      <c r="E252" s="43" t="s">
        <v>581</v>
      </c>
      <c r="F252" s="43" t="s">
        <v>582</v>
      </c>
      <c r="G252" s="44">
        <v>77</v>
      </c>
      <c r="H252" s="43" t="s">
        <v>585</v>
      </c>
      <c r="I252" s="45" t="s">
        <v>1051</v>
      </c>
      <c r="J252" s="45" t="s">
        <v>561</v>
      </c>
      <c r="K252" s="126">
        <v>134.18</v>
      </c>
      <c r="L252" s="126">
        <v>134.18</v>
      </c>
      <c r="M252" s="126"/>
      <c r="N252" s="126">
        <v>0</v>
      </c>
      <c r="O252" s="126">
        <v>0</v>
      </c>
      <c r="P252" s="145"/>
      <c r="Q252" s="146"/>
      <c r="R252" s="147"/>
      <c r="S252" s="46">
        <v>268.36</v>
      </c>
      <c r="T252" s="112"/>
      <c r="U252" s="56" t="s">
        <v>953</v>
      </c>
      <c r="V252" s="105" t="s">
        <v>585</v>
      </c>
    </row>
    <row r="253" spans="1:24" s="1" customFormat="1" ht="17.25" x14ac:dyDescent="0.3">
      <c r="A253" s="39">
        <v>14118627</v>
      </c>
      <c r="B253" s="40" t="s">
        <v>208</v>
      </c>
      <c r="C253" s="41" t="s">
        <v>787</v>
      </c>
      <c r="D253" s="42" t="s">
        <v>3</v>
      </c>
      <c r="E253" s="43" t="s">
        <v>581</v>
      </c>
      <c r="F253" s="43" t="s">
        <v>582</v>
      </c>
      <c r="G253" s="44">
        <v>80</v>
      </c>
      <c r="H253" s="43" t="s">
        <v>585</v>
      </c>
      <c r="I253" s="45" t="s">
        <v>583</v>
      </c>
      <c r="J253" s="45" t="s">
        <v>587</v>
      </c>
      <c r="K253" s="126">
        <v>0</v>
      </c>
      <c r="L253" s="126">
        <v>0</v>
      </c>
      <c r="M253" s="126"/>
      <c r="N253" s="126">
        <v>0</v>
      </c>
      <c r="O253" s="126">
        <v>0</v>
      </c>
      <c r="P253" s="145"/>
      <c r="Q253" s="146"/>
      <c r="R253" s="147"/>
      <c r="S253" s="46">
        <v>0</v>
      </c>
      <c r="T253" s="112"/>
      <c r="U253" s="56" t="s">
        <v>585</v>
      </c>
      <c r="V253" s="105" t="s">
        <v>585</v>
      </c>
      <c r="X253" s="127"/>
    </row>
    <row r="254" spans="1:24" s="1" customFormat="1" ht="17.25" x14ac:dyDescent="0.3">
      <c r="A254" s="39">
        <v>14118640</v>
      </c>
      <c r="B254" s="40" t="s">
        <v>209</v>
      </c>
      <c r="C254" s="41" t="s">
        <v>789</v>
      </c>
      <c r="D254" s="42" t="s">
        <v>3</v>
      </c>
      <c r="E254" s="43" t="s">
        <v>581</v>
      </c>
      <c r="F254" s="43" t="s">
        <v>582</v>
      </c>
      <c r="G254" s="44">
        <v>87</v>
      </c>
      <c r="H254" s="43" t="s">
        <v>585</v>
      </c>
      <c r="I254" s="45" t="s">
        <v>583</v>
      </c>
      <c r="J254" s="45" t="s">
        <v>561</v>
      </c>
      <c r="K254" s="126">
        <v>134.18</v>
      </c>
      <c r="L254" s="126">
        <v>134.18</v>
      </c>
      <c r="M254" s="126"/>
      <c r="N254" s="126">
        <v>0</v>
      </c>
      <c r="O254" s="126">
        <v>177.44</v>
      </c>
      <c r="P254" s="145"/>
      <c r="Q254" s="146"/>
      <c r="R254" s="147"/>
      <c r="S254" s="46">
        <v>445.8</v>
      </c>
      <c r="T254" s="112"/>
      <c r="U254" s="56" t="s">
        <v>953</v>
      </c>
      <c r="V254" s="105" t="s">
        <v>585</v>
      </c>
    </row>
    <row r="255" spans="1:24" s="1" customFormat="1" ht="17.25" x14ac:dyDescent="0.3">
      <c r="A255" s="39">
        <v>14118660</v>
      </c>
      <c r="B255" s="40" t="s">
        <v>210</v>
      </c>
      <c r="C255" s="41" t="s">
        <v>790</v>
      </c>
      <c r="D255" s="42" t="s">
        <v>3</v>
      </c>
      <c r="E255" s="43" t="s">
        <v>581</v>
      </c>
      <c r="F255" s="43" t="s">
        <v>582</v>
      </c>
      <c r="G255" s="44">
        <v>94</v>
      </c>
      <c r="H255" s="43" t="s">
        <v>583</v>
      </c>
      <c r="I255" s="45" t="s">
        <v>1051</v>
      </c>
      <c r="J255" s="45" t="s">
        <v>561</v>
      </c>
      <c r="K255" s="126">
        <v>134.18</v>
      </c>
      <c r="L255" s="126">
        <v>134.18</v>
      </c>
      <c r="M255" s="126"/>
      <c r="N255" s="126">
        <v>0</v>
      </c>
      <c r="O255" s="126">
        <v>0</v>
      </c>
      <c r="P255" s="145"/>
      <c r="Q255" s="146"/>
      <c r="R255" s="147"/>
      <c r="S255" s="46">
        <v>268.36</v>
      </c>
      <c r="T255" s="112"/>
      <c r="U255" s="56" t="s">
        <v>953</v>
      </c>
      <c r="V255" s="105" t="s">
        <v>585</v>
      </c>
    </row>
    <row r="256" spans="1:24" s="1" customFormat="1" ht="17.25" x14ac:dyDescent="0.3">
      <c r="A256" s="39">
        <v>14118663</v>
      </c>
      <c r="B256" s="48" t="s">
        <v>211</v>
      </c>
      <c r="C256" s="41" t="s">
        <v>790</v>
      </c>
      <c r="D256" s="42" t="s">
        <v>3</v>
      </c>
      <c r="E256" s="43" t="s">
        <v>581</v>
      </c>
      <c r="F256" s="43" t="s">
        <v>582</v>
      </c>
      <c r="G256" s="44">
        <v>91</v>
      </c>
      <c r="H256" s="43" t="s">
        <v>583</v>
      </c>
      <c r="I256" s="45" t="s">
        <v>583</v>
      </c>
      <c r="J256" s="45" t="s">
        <v>561</v>
      </c>
      <c r="K256" s="126">
        <v>134.18</v>
      </c>
      <c r="L256" s="126">
        <v>134.18</v>
      </c>
      <c r="M256" s="126"/>
      <c r="N256" s="126">
        <v>200</v>
      </c>
      <c r="O256" s="126">
        <v>177.44</v>
      </c>
      <c r="P256" s="132"/>
      <c r="Q256" s="133"/>
      <c r="R256" s="147"/>
      <c r="S256" s="46">
        <v>645.79999999999995</v>
      </c>
      <c r="T256" s="112"/>
      <c r="U256" s="56" t="s">
        <v>953</v>
      </c>
      <c r="V256" s="105" t="s">
        <v>585</v>
      </c>
    </row>
    <row r="257" spans="1:24" s="1" customFormat="1" ht="17.25" x14ac:dyDescent="0.3">
      <c r="A257" s="39">
        <v>14118745</v>
      </c>
      <c r="B257" s="40" t="s">
        <v>212</v>
      </c>
      <c r="C257" s="41" t="s">
        <v>791</v>
      </c>
      <c r="D257" s="42" t="s">
        <v>3</v>
      </c>
      <c r="E257" s="43" t="s">
        <v>581</v>
      </c>
      <c r="F257" s="43" t="s">
        <v>582</v>
      </c>
      <c r="G257" s="44">
        <v>92</v>
      </c>
      <c r="H257" s="43" t="s">
        <v>583</v>
      </c>
      <c r="I257" s="45" t="s">
        <v>1051</v>
      </c>
      <c r="J257" s="45" t="s">
        <v>561</v>
      </c>
      <c r="K257" s="126">
        <v>134.18</v>
      </c>
      <c r="L257" s="126">
        <v>134.18</v>
      </c>
      <c r="M257" s="126"/>
      <c r="N257" s="126">
        <v>0</v>
      </c>
      <c r="O257" s="126">
        <v>0</v>
      </c>
      <c r="P257" s="150"/>
      <c r="Q257" s="151"/>
      <c r="R257" s="147"/>
      <c r="S257" s="46">
        <v>268.36</v>
      </c>
      <c r="T257" s="112"/>
      <c r="U257" s="56" t="s">
        <v>953</v>
      </c>
      <c r="V257" s="105" t="s">
        <v>585</v>
      </c>
    </row>
    <row r="258" spans="1:24" s="1" customFormat="1" ht="17.25" x14ac:dyDescent="0.3">
      <c r="A258" s="39">
        <v>14118773</v>
      </c>
      <c r="B258" s="40" t="s">
        <v>213</v>
      </c>
      <c r="C258" s="41" t="s">
        <v>792</v>
      </c>
      <c r="D258" s="42" t="s">
        <v>3</v>
      </c>
      <c r="E258" s="43" t="s">
        <v>581</v>
      </c>
      <c r="F258" s="43" t="s">
        <v>582</v>
      </c>
      <c r="G258" s="44">
        <v>56</v>
      </c>
      <c r="H258" s="43" t="s">
        <v>585</v>
      </c>
      <c r="I258" s="45" t="s">
        <v>1051</v>
      </c>
      <c r="J258" s="45" t="s">
        <v>561</v>
      </c>
      <c r="K258" s="126">
        <v>134.18</v>
      </c>
      <c r="L258" s="126">
        <v>134.18</v>
      </c>
      <c r="M258" s="126"/>
      <c r="N258" s="126">
        <v>0</v>
      </c>
      <c r="O258" s="126">
        <v>0</v>
      </c>
      <c r="Q258" s="134"/>
      <c r="R258" s="148"/>
      <c r="S258" s="46">
        <v>268.36</v>
      </c>
      <c r="T258" s="112"/>
      <c r="U258" s="56" t="s">
        <v>953</v>
      </c>
      <c r="V258" s="105" t="s">
        <v>585</v>
      </c>
    </row>
    <row r="259" spans="1:24" s="1" customFormat="1" ht="17.25" x14ac:dyDescent="0.3">
      <c r="A259" s="39">
        <v>14118809</v>
      </c>
      <c r="B259" s="40" t="s">
        <v>216</v>
      </c>
      <c r="C259" s="41" t="s">
        <v>793</v>
      </c>
      <c r="D259" s="42" t="s">
        <v>3</v>
      </c>
      <c r="E259" s="43" t="s">
        <v>581</v>
      </c>
      <c r="F259" s="43" t="s">
        <v>582</v>
      </c>
      <c r="G259" s="44">
        <v>90</v>
      </c>
      <c r="H259" s="43" t="s">
        <v>583</v>
      </c>
      <c r="I259" s="45" t="s">
        <v>583</v>
      </c>
      <c r="J259" s="45" t="s">
        <v>561</v>
      </c>
      <c r="K259" s="126">
        <v>134.18</v>
      </c>
      <c r="L259" s="126">
        <v>134.18</v>
      </c>
      <c r="M259" s="126"/>
      <c r="N259" s="126">
        <v>200</v>
      </c>
      <c r="O259" s="126">
        <v>177.44</v>
      </c>
      <c r="Q259" s="134"/>
      <c r="R259" s="148"/>
      <c r="S259" s="46">
        <v>645.79999999999995</v>
      </c>
      <c r="T259" s="112"/>
      <c r="U259" s="56" t="s">
        <v>953</v>
      </c>
      <c r="V259" s="105" t="s">
        <v>2034</v>
      </c>
    </row>
    <row r="260" spans="1:24" s="1" customFormat="1" ht="17.25" x14ac:dyDescent="0.3">
      <c r="A260" s="39">
        <v>14118811</v>
      </c>
      <c r="B260" s="40" t="s">
        <v>217</v>
      </c>
      <c r="C260" s="41" t="s">
        <v>793</v>
      </c>
      <c r="D260" s="42" t="s">
        <v>3</v>
      </c>
      <c r="E260" s="43" t="s">
        <v>581</v>
      </c>
      <c r="F260" s="43" t="s">
        <v>582</v>
      </c>
      <c r="G260" s="44">
        <v>78</v>
      </c>
      <c r="H260" s="43" t="s">
        <v>585</v>
      </c>
      <c r="I260" s="45" t="s">
        <v>1051</v>
      </c>
      <c r="J260" s="45" t="s">
        <v>561</v>
      </c>
      <c r="K260" s="126">
        <v>134.18</v>
      </c>
      <c r="L260" s="126">
        <v>134.18</v>
      </c>
      <c r="M260" s="126"/>
      <c r="N260" s="126">
        <v>0</v>
      </c>
      <c r="O260" s="126">
        <v>0</v>
      </c>
      <c r="Q260" s="134"/>
      <c r="R260" s="147"/>
      <c r="S260" s="46">
        <v>268.36</v>
      </c>
      <c r="T260" s="112"/>
      <c r="U260" s="56" t="s">
        <v>953</v>
      </c>
      <c r="V260" s="105" t="s">
        <v>585</v>
      </c>
    </row>
    <row r="261" spans="1:24" s="1" customFormat="1" ht="17.25" x14ac:dyDescent="0.3">
      <c r="A261" s="39">
        <v>14118815</v>
      </c>
      <c r="B261" s="40" t="s">
        <v>218</v>
      </c>
      <c r="C261" s="41" t="s">
        <v>793</v>
      </c>
      <c r="D261" s="42" t="s">
        <v>3</v>
      </c>
      <c r="E261" s="43" t="s">
        <v>581</v>
      </c>
      <c r="F261" s="43" t="s">
        <v>582</v>
      </c>
      <c r="G261" s="44" t="s">
        <v>1609</v>
      </c>
      <c r="H261" s="43" t="s">
        <v>585</v>
      </c>
      <c r="I261" s="45" t="s">
        <v>583</v>
      </c>
      <c r="J261" s="45" t="s">
        <v>587</v>
      </c>
      <c r="K261" s="126">
        <v>0</v>
      </c>
      <c r="L261" s="126">
        <v>0</v>
      </c>
      <c r="M261" s="126"/>
      <c r="N261" s="126">
        <v>0</v>
      </c>
      <c r="O261" s="126">
        <v>0</v>
      </c>
      <c r="P261" s="150"/>
      <c r="Q261" s="151"/>
      <c r="R261" s="147"/>
      <c r="S261" s="46">
        <v>0</v>
      </c>
      <c r="T261" s="112"/>
      <c r="U261" s="56" t="s">
        <v>585</v>
      </c>
      <c r="V261" s="105" t="s">
        <v>585</v>
      </c>
      <c r="X261" s="127"/>
    </row>
    <row r="262" spans="1:24" s="1" customFormat="1" ht="17.25" x14ac:dyDescent="0.3">
      <c r="A262" s="39">
        <v>14118849</v>
      </c>
      <c r="B262" s="40" t="s">
        <v>219</v>
      </c>
      <c r="C262" s="41" t="s">
        <v>794</v>
      </c>
      <c r="D262" s="42" t="s">
        <v>3</v>
      </c>
      <c r="E262" s="43" t="s">
        <v>581</v>
      </c>
      <c r="F262" s="43" t="s">
        <v>582</v>
      </c>
      <c r="G262" s="44">
        <v>67</v>
      </c>
      <c r="H262" s="43" t="s">
        <v>585</v>
      </c>
      <c r="I262" s="45" t="s">
        <v>583</v>
      </c>
      <c r="J262" s="45" t="s">
        <v>561</v>
      </c>
      <c r="K262" s="126">
        <v>134.18</v>
      </c>
      <c r="L262" s="126">
        <v>134.18</v>
      </c>
      <c r="M262" s="126"/>
      <c r="N262" s="126">
        <v>0</v>
      </c>
      <c r="O262" s="126">
        <v>177.44</v>
      </c>
      <c r="P262" s="150"/>
      <c r="Q262" s="151"/>
      <c r="R262" s="147"/>
      <c r="S262" s="46">
        <v>445.8</v>
      </c>
      <c r="T262" s="112"/>
      <c r="U262" s="56" t="s">
        <v>953</v>
      </c>
      <c r="V262" s="105" t="s">
        <v>585</v>
      </c>
    </row>
    <row r="263" spans="1:24" s="1" customFormat="1" ht="17.25" x14ac:dyDescent="0.3">
      <c r="A263" s="40">
        <v>14118887</v>
      </c>
      <c r="B263" s="40" t="s">
        <v>220</v>
      </c>
      <c r="C263" s="41" t="s">
        <v>795</v>
      </c>
      <c r="D263" s="42" t="s">
        <v>3</v>
      </c>
      <c r="E263" s="43" t="s">
        <v>581</v>
      </c>
      <c r="F263" s="43" t="s">
        <v>582</v>
      </c>
      <c r="G263" s="44">
        <v>75</v>
      </c>
      <c r="H263" s="43" t="s">
        <v>585</v>
      </c>
      <c r="I263" s="45" t="s">
        <v>1051</v>
      </c>
      <c r="J263" s="45" t="s">
        <v>561</v>
      </c>
      <c r="K263" s="126">
        <v>134.18</v>
      </c>
      <c r="L263" s="126">
        <v>134.18</v>
      </c>
      <c r="M263" s="126"/>
      <c r="N263" s="126">
        <v>0</v>
      </c>
      <c r="O263" s="126">
        <v>0</v>
      </c>
      <c r="Q263" s="134"/>
      <c r="R263" s="132"/>
      <c r="S263" s="46">
        <v>268.36</v>
      </c>
      <c r="T263" s="112"/>
      <c r="U263" s="56" t="s">
        <v>953</v>
      </c>
      <c r="V263" s="105" t="s">
        <v>585</v>
      </c>
    </row>
    <row r="264" spans="1:24" s="1" customFormat="1" ht="17.25" x14ac:dyDescent="0.3">
      <c r="A264" s="39">
        <v>14118889</v>
      </c>
      <c r="B264" s="40" t="s">
        <v>221</v>
      </c>
      <c r="C264" s="41" t="s">
        <v>795</v>
      </c>
      <c r="D264" s="42" t="s">
        <v>3</v>
      </c>
      <c r="E264" s="43" t="s">
        <v>581</v>
      </c>
      <c r="F264" s="43" t="s">
        <v>582</v>
      </c>
      <c r="G264" s="44">
        <v>85</v>
      </c>
      <c r="H264" s="43" t="s">
        <v>585</v>
      </c>
      <c r="I264" s="45" t="s">
        <v>1051</v>
      </c>
      <c r="J264" s="45" t="s">
        <v>561</v>
      </c>
      <c r="K264" s="126">
        <v>134.18</v>
      </c>
      <c r="L264" s="126">
        <v>134.18</v>
      </c>
      <c r="M264" s="126"/>
      <c r="N264" s="126">
        <v>0</v>
      </c>
      <c r="O264" s="126">
        <v>0</v>
      </c>
      <c r="Q264" s="134"/>
      <c r="R264" s="147"/>
      <c r="S264" s="46">
        <v>268.36</v>
      </c>
      <c r="T264" s="112"/>
      <c r="U264" s="56" t="s">
        <v>953</v>
      </c>
      <c r="V264" s="105" t="s">
        <v>585</v>
      </c>
    </row>
    <row r="265" spans="1:24" s="1" customFormat="1" ht="17.25" x14ac:dyDescent="0.3">
      <c r="A265" s="39">
        <v>14118892</v>
      </c>
      <c r="B265" s="40" t="s">
        <v>222</v>
      </c>
      <c r="C265" s="41" t="s">
        <v>795</v>
      </c>
      <c r="D265" s="42" t="s">
        <v>3</v>
      </c>
      <c r="E265" s="43" t="s">
        <v>581</v>
      </c>
      <c r="F265" s="43" t="s">
        <v>582</v>
      </c>
      <c r="G265" s="44">
        <v>95</v>
      </c>
      <c r="H265" s="43" t="s">
        <v>583</v>
      </c>
      <c r="I265" s="45" t="s">
        <v>583</v>
      </c>
      <c r="J265" s="45" t="s">
        <v>561</v>
      </c>
      <c r="K265" s="126">
        <v>134.18</v>
      </c>
      <c r="L265" s="126">
        <v>134.18</v>
      </c>
      <c r="M265" s="126"/>
      <c r="N265" s="126">
        <v>200</v>
      </c>
      <c r="O265" s="126">
        <v>177.44</v>
      </c>
      <c r="Q265" s="134"/>
      <c r="R265" s="147"/>
      <c r="S265" s="46">
        <v>645.79999999999995</v>
      </c>
      <c r="T265" s="112"/>
      <c r="U265" s="56" t="s">
        <v>953</v>
      </c>
      <c r="V265" s="105" t="s">
        <v>585</v>
      </c>
    </row>
    <row r="266" spans="1:24" s="1" customFormat="1" ht="17.25" x14ac:dyDescent="0.3">
      <c r="A266" s="39">
        <v>14118956</v>
      </c>
      <c r="B266" s="40" t="s">
        <v>224</v>
      </c>
      <c r="C266" s="41" t="s">
        <v>796</v>
      </c>
      <c r="D266" s="42" t="s">
        <v>3</v>
      </c>
      <c r="E266" s="43" t="s">
        <v>581</v>
      </c>
      <c r="F266" s="43" t="s">
        <v>582</v>
      </c>
      <c r="G266" s="44">
        <v>88</v>
      </c>
      <c r="H266" s="43" t="s">
        <v>585</v>
      </c>
      <c r="I266" s="45" t="s">
        <v>1051</v>
      </c>
      <c r="J266" s="45" t="s">
        <v>561</v>
      </c>
      <c r="K266" s="126">
        <v>134.18</v>
      </c>
      <c r="L266" s="126">
        <v>134.18</v>
      </c>
      <c r="M266" s="126"/>
      <c r="N266" s="126">
        <v>0</v>
      </c>
      <c r="O266" s="126">
        <v>0</v>
      </c>
      <c r="P266" s="150"/>
      <c r="Q266" s="151"/>
      <c r="R266" s="147"/>
      <c r="S266" s="46">
        <v>268.36</v>
      </c>
      <c r="T266" s="112"/>
      <c r="U266" s="56" t="s">
        <v>953</v>
      </c>
      <c r="V266" s="105" t="s">
        <v>585</v>
      </c>
    </row>
    <row r="267" spans="1:24" s="1" customFormat="1" ht="17.25" x14ac:dyDescent="0.3">
      <c r="A267" s="39">
        <v>14118957</v>
      </c>
      <c r="B267" s="40" t="s">
        <v>225</v>
      </c>
      <c r="C267" s="41" t="s">
        <v>796</v>
      </c>
      <c r="D267" s="42" t="s">
        <v>3</v>
      </c>
      <c r="E267" s="43" t="s">
        <v>581</v>
      </c>
      <c r="F267" s="43" t="s">
        <v>582</v>
      </c>
      <c r="G267" s="44">
        <v>94</v>
      </c>
      <c r="H267" s="43" t="s">
        <v>583</v>
      </c>
      <c r="I267" s="45" t="s">
        <v>583</v>
      </c>
      <c r="J267" s="45" t="s">
        <v>561</v>
      </c>
      <c r="K267" s="126">
        <v>134.18</v>
      </c>
      <c r="L267" s="126">
        <v>134.18</v>
      </c>
      <c r="M267" s="126"/>
      <c r="N267" s="126">
        <v>200</v>
      </c>
      <c r="O267" s="126">
        <v>177.44</v>
      </c>
      <c r="P267" s="150"/>
      <c r="Q267" s="151"/>
      <c r="R267" s="147"/>
      <c r="S267" s="46">
        <v>645.79999999999995</v>
      </c>
      <c r="T267" s="112"/>
      <c r="U267" s="56" t="s">
        <v>953</v>
      </c>
      <c r="V267" s="105" t="s">
        <v>2034</v>
      </c>
    </row>
    <row r="268" spans="1:24" s="1" customFormat="1" ht="17.25" x14ac:dyDescent="0.3">
      <c r="A268" s="39">
        <v>14118958</v>
      </c>
      <c r="B268" s="40" t="s">
        <v>374</v>
      </c>
      <c r="C268" s="41" t="s">
        <v>797</v>
      </c>
      <c r="D268" s="42" t="s">
        <v>3</v>
      </c>
      <c r="E268" s="43" t="s">
        <v>581</v>
      </c>
      <c r="F268" s="43" t="s">
        <v>582</v>
      </c>
      <c r="G268" s="44" t="s">
        <v>1609</v>
      </c>
      <c r="H268" s="43" t="s">
        <v>585</v>
      </c>
      <c r="I268" s="45" t="s">
        <v>583</v>
      </c>
      <c r="J268" s="45" t="s">
        <v>587</v>
      </c>
      <c r="K268" s="126">
        <v>0</v>
      </c>
      <c r="L268" s="126">
        <v>0</v>
      </c>
      <c r="M268" s="126"/>
      <c r="N268" s="126">
        <v>0</v>
      </c>
      <c r="O268" s="126">
        <v>0</v>
      </c>
      <c r="P268" s="150"/>
      <c r="Q268" s="151"/>
      <c r="R268" s="147"/>
      <c r="S268" s="46">
        <v>0</v>
      </c>
      <c r="T268" s="112"/>
      <c r="U268" s="56" t="s">
        <v>585</v>
      </c>
      <c r="V268" s="105" t="s">
        <v>585</v>
      </c>
      <c r="X268" s="127"/>
    </row>
    <row r="269" spans="1:24" s="1" customFormat="1" ht="17.25" x14ac:dyDescent="0.3">
      <c r="A269" s="39">
        <v>14118992</v>
      </c>
      <c r="B269" s="40" t="s">
        <v>228</v>
      </c>
      <c r="C269" s="41" t="s">
        <v>619</v>
      </c>
      <c r="D269" s="42" t="s">
        <v>3</v>
      </c>
      <c r="E269" s="43" t="s">
        <v>581</v>
      </c>
      <c r="F269" s="43" t="s">
        <v>582</v>
      </c>
      <c r="G269" s="44" t="s">
        <v>1609</v>
      </c>
      <c r="H269" s="43" t="s">
        <v>585</v>
      </c>
      <c r="I269" s="45" t="s">
        <v>583</v>
      </c>
      <c r="J269" s="45" t="s">
        <v>587</v>
      </c>
      <c r="K269" s="126">
        <v>0</v>
      </c>
      <c r="L269" s="126">
        <v>0</v>
      </c>
      <c r="M269" s="126"/>
      <c r="N269" s="126">
        <v>0</v>
      </c>
      <c r="O269" s="126">
        <v>0</v>
      </c>
      <c r="Q269" s="134"/>
      <c r="R269" s="147"/>
      <c r="S269" s="46">
        <v>0</v>
      </c>
      <c r="T269" s="112"/>
      <c r="U269" s="56" t="s">
        <v>585</v>
      </c>
      <c r="V269" s="105" t="s">
        <v>585</v>
      </c>
      <c r="X269" s="127"/>
    </row>
    <row r="270" spans="1:24" s="1" customFormat="1" ht="17.25" x14ac:dyDescent="0.3">
      <c r="A270" s="39">
        <v>14119017</v>
      </c>
      <c r="B270" s="40" t="s">
        <v>229</v>
      </c>
      <c r="C270" s="41" t="s">
        <v>798</v>
      </c>
      <c r="D270" s="42" t="s">
        <v>3</v>
      </c>
      <c r="E270" s="43" t="s">
        <v>581</v>
      </c>
      <c r="F270" s="43" t="s">
        <v>582</v>
      </c>
      <c r="G270" s="44">
        <v>94</v>
      </c>
      <c r="H270" s="43" t="s">
        <v>583</v>
      </c>
      <c r="I270" s="45" t="s">
        <v>583</v>
      </c>
      <c r="J270" s="45" t="s">
        <v>587</v>
      </c>
      <c r="K270" s="126">
        <v>134.18</v>
      </c>
      <c r="L270" s="126">
        <v>134.18</v>
      </c>
      <c r="M270" s="126"/>
      <c r="N270" s="126">
        <v>200</v>
      </c>
      <c r="O270" s="126">
        <v>0</v>
      </c>
      <c r="Q270" s="134"/>
      <c r="R270" s="147"/>
      <c r="S270" s="46">
        <v>468.36</v>
      </c>
      <c r="T270" s="112"/>
      <c r="U270" s="56" t="s">
        <v>953</v>
      </c>
      <c r="V270" s="105" t="s">
        <v>585</v>
      </c>
    </row>
    <row r="271" spans="1:24" s="1" customFormat="1" ht="17.25" x14ac:dyDescent="0.3">
      <c r="A271" s="39">
        <v>14119018</v>
      </c>
      <c r="B271" s="40" t="s">
        <v>230</v>
      </c>
      <c r="C271" s="41" t="s">
        <v>798</v>
      </c>
      <c r="D271" s="42" t="s">
        <v>3</v>
      </c>
      <c r="E271" s="43" t="s">
        <v>581</v>
      </c>
      <c r="F271" s="43" t="s">
        <v>582</v>
      </c>
      <c r="G271" s="44">
        <v>94</v>
      </c>
      <c r="H271" s="43" t="s">
        <v>583</v>
      </c>
      <c r="I271" s="45" t="s">
        <v>1051</v>
      </c>
      <c r="J271" s="45" t="s">
        <v>561</v>
      </c>
      <c r="K271" s="126">
        <v>134.18</v>
      </c>
      <c r="L271" s="126">
        <v>134.18</v>
      </c>
      <c r="M271" s="126"/>
      <c r="N271" s="126">
        <v>0</v>
      </c>
      <c r="O271" s="126">
        <v>0</v>
      </c>
      <c r="Q271" s="134"/>
      <c r="R271" s="147"/>
      <c r="S271" s="46">
        <v>268.36</v>
      </c>
      <c r="T271" s="112"/>
      <c r="U271" s="56" t="s">
        <v>953</v>
      </c>
      <c r="V271" s="105" t="s">
        <v>585</v>
      </c>
    </row>
    <row r="272" spans="1:24" s="1" customFormat="1" ht="17.25" x14ac:dyDescent="0.3">
      <c r="A272" s="39">
        <v>14119057</v>
      </c>
      <c r="B272" s="40" t="s">
        <v>231</v>
      </c>
      <c r="C272" s="41" t="s">
        <v>799</v>
      </c>
      <c r="D272" s="42" t="s">
        <v>3</v>
      </c>
      <c r="E272" s="43" t="s">
        <v>581</v>
      </c>
      <c r="F272" s="43" t="s">
        <v>582</v>
      </c>
      <c r="G272" s="44">
        <v>84</v>
      </c>
      <c r="H272" s="43" t="s">
        <v>585</v>
      </c>
      <c r="I272" s="45" t="s">
        <v>1051</v>
      </c>
      <c r="J272" s="45" t="s">
        <v>561</v>
      </c>
      <c r="K272" s="126">
        <v>134.18</v>
      </c>
      <c r="L272" s="126">
        <v>134.18</v>
      </c>
      <c r="M272" s="126"/>
      <c r="N272" s="126">
        <v>0</v>
      </c>
      <c r="O272" s="126">
        <v>0</v>
      </c>
      <c r="Q272" s="134"/>
      <c r="R272" s="147"/>
      <c r="S272" s="46">
        <v>268.36</v>
      </c>
      <c r="T272" s="112"/>
      <c r="U272" s="56" t="s">
        <v>953</v>
      </c>
      <c r="V272" s="105" t="s">
        <v>585</v>
      </c>
    </row>
    <row r="273" spans="1:22" s="1" customFormat="1" ht="17.25" x14ac:dyDescent="0.3">
      <c r="A273" s="39">
        <v>14119076</v>
      </c>
      <c r="B273" s="40" t="s">
        <v>232</v>
      </c>
      <c r="C273" s="41" t="s">
        <v>800</v>
      </c>
      <c r="D273" s="42" t="s">
        <v>3</v>
      </c>
      <c r="E273" s="43" t="s">
        <v>581</v>
      </c>
      <c r="F273" s="43" t="s">
        <v>582</v>
      </c>
      <c r="G273" s="44">
        <v>94</v>
      </c>
      <c r="H273" s="43" t="s">
        <v>583</v>
      </c>
      <c r="I273" s="45" t="s">
        <v>1051</v>
      </c>
      <c r="J273" s="45" t="s">
        <v>561</v>
      </c>
      <c r="K273" s="126">
        <v>134.18</v>
      </c>
      <c r="L273" s="126">
        <v>134.18</v>
      </c>
      <c r="M273" s="126"/>
      <c r="N273" s="126">
        <v>0</v>
      </c>
      <c r="O273" s="126">
        <v>0</v>
      </c>
      <c r="P273" s="150"/>
      <c r="Q273" s="151"/>
      <c r="R273" s="147"/>
      <c r="S273" s="46">
        <v>268.36</v>
      </c>
      <c r="T273" s="112"/>
      <c r="U273" s="56" t="s">
        <v>953</v>
      </c>
      <c r="V273" s="105" t="s">
        <v>585</v>
      </c>
    </row>
    <row r="274" spans="1:22" s="1" customFormat="1" ht="17.25" x14ac:dyDescent="0.3">
      <c r="A274" s="39">
        <v>14119153</v>
      </c>
      <c r="B274" s="40" t="s">
        <v>233</v>
      </c>
      <c r="C274" s="41" t="s">
        <v>801</v>
      </c>
      <c r="D274" s="42" t="s">
        <v>3</v>
      </c>
      <c r="E274" s="43" t="s">
        <v>581</v>
      </c>
      <c r="F274" s="43" t="s">
        <v>582</v>
      </c>
      <c r="G274" s="44">
        <v>92</v>
      </c>
      <c r="H274" s="43" t="s">
        <v>583</v>
      </c>
      <c r="I274" s="45" t="s">
        <v>1051</v>
      </c>
      <c r="J274" s="45" t="s">
        <v>561</v>
      </c>
      <c r="K274" s="126">
        <v>134.18</v>
      </c>
      <c r="L274" s="126">
        <v>134.18</v>
      </c>
      <c r="M274" s="126"/>
      <c r="N274" s="126">
        <v>0</v>
      </c>
      <c r="O274" s="126">
        <v>0</v>
      </c>
      <c r="P274" s="150"/>
      <c r="Q274" s="151"/>
      <c r="R274" s="147"/>
      <c r="S274" s="46">
        <v>268.36</v>
      </c>
      <c r="T274" s="112"/>
      <c r="U274" s="56" t="s">
        <v>953</v>
      </c>
      <c r="V274" s="105" t="s">
        <v>925</v>
      </c>
    </row>
    <row r="275" spans="1:22" s="1" customFormat="1" ht="17.25" x14ac:dyDescent="0.3">
      <c r="A275" s="39">
        <v>14119154</v>
      </c>
      <c r="B275" s="40" t="s">
        <v>234</v>
      </c>
      <c r="C275" s="41" t="s">
        <v>801</v>
      </c>
      <c r="D275" s="42" t="s">
        <v>3</v>
      </c>
      <c r="E275" s="43" t="s">
        <v>581</v>
      </c>
      <c r="F275" s="43" t="s">
        <v>582</v>
      </c>
      <c r="G275" s="44">
        <v>93</v>
      </c>
      <c r="H275" s="43" t="s">
        <v>583</v>
      </c>
      <c r="I275" s="45" t="s">
        <v>1051</v>
      </c>
      <c r="J275" s="45" t="s">
        <v>561</v>
      </c>
      <c r="K275" s="126">
        <v>134.18</v>
      </c>
      <c r="L275" s="126">
        <v>134.18</v>
      </c>
      <c r="M275" s="126"/>
      <c r="N275" s="126">
        <v>0</v>
      </c>
      <c r="O275" s="126">
        <v>0</v>
      </c>
      <c r="Q275" s="134"/>
      <c r="R275" s="147"/>
      <c r="S275" s="46">
        <v>268.36</v>
      </c>
      <c r="T275" s="112"/>
      <c r="U275" s="56" t="s">
        <v>953</v>
      </c>
      <c r="V275" s="105" t="s">
        <v>925</v>
      </c>
    </row>
    <row r="276" spans="1:22" s="1" customFormat="1" ht="17.25" x14ac:dyDescent="0.3">
      <c r="A276" s="39">
        <v>14119155</v>
      </c>
      <c r="B276" s="40" t="s">
        <v>235</v>
      </c>
      <c r="C276" s="41" t="s">
        <v>801</v>
      </c>
      <c r="D276" s="42" t="s">
        <v>3</v>
      </c>
      <c r="E276" s="43" t="s">
        <v>581</v>
      </c>
      <c r="F276" s="43" t="s">
        <v>582</v>
      </c>
      <c r="G276" s="44">
        <v>93</v>
      </c>
      <c r="H276" s="43" t="s">
        <v>583</v>
      </c>
      <c r="I276" s="45" t="s">
        <v>583</v>
      </c>
      <c r="J276" s="45" t="s">
        <v>587</v>
      </c>
      <c r="K276" s="126">
        <v>134.18</v>
      </c>
      <c r="L276" s="126">
        <v>134.18</v>
      </c>
      <c r="M276" s="126"/>
      <c r="N276" s="126">
        <v>200</v>
      </c>
      <c r="O276" s="126">
        <v>0</v>
      </c>
      <c r="R276" s="147"/>
      <c r="S276" s="46">
        <v>468.36</v>
      </c>
      <c r="T276" s="112"/>
      <c r="U276" s="56" t="s">
        <v>953</v>
      </c>
      <c r="V276" s="105" t="s">
        <v>585</v>
      </c>
    </row>
    <row r="277" spans="1:22" s="1" customFormat="1" ht="17.25" x14ac:dyDescent="0.3">
      <c r="A277" s="39">
        <v>14119175</v>
      </c>
      <c r="B277" s="40" t="s">
        <v>238</v>
      </c>
      <c r="C277" s="41" t="s">
        <v>802</v>
      </c>
      <c r="D277" s="42" t="s">
        <v>3</v>
      </c>
      <c r="E277" s="43" t="s">
        <v>581</v>
      </c>
      <c r="F277" s="43" t="s">
        <v>582</v>
      </c>
      <c r="G277" s="44">
        <v>91</v>
      </c>
      <c r="H277" s="43" t="s">
        <v>583</v>
      </c>
      <c r="I277" s="45" t="s">
        <v>583</v>
      </c>
      <c r="J277" s="45" t="s">
        <v>561</v>
      </c>
      <c r="K277" s="126">
        <v>134.18</v>
      </c>
      <c r="L277" s="126">
        <v>134.18</v>
      </c>
      <c r="M277" s="126"/>
      <c r="N277" s="126">
        <v>200</v>
      </c>
      <c r="O277" s="126">
        <v>177.44</v>
      </c>
      <c r="Q277" s="134"/>
      <c r="R277" s="147"/>
      <c r="S277" s="46">
        <v>645.79999999999995</v>
      </c>
      <c r="T277" s="112"/>
      <c r="U277" s="56" t="s">
        <v>953</v>
      </c>
      <c r="V277" s="105" t="s">
        <v>585</v>
      </c>
    </row>
    <row r="278" spans="1:22" s="1" customFormat="1" ht="17.25" x14ac:dyDescent="0.3">
      <c r="A278" s="40">
        <v>14119271</v>
      </c>
      <c r="B278" s="49" t="s">
        <v>240</v>
      </c>
      <c r="C278" s="41" t="s">
        <v>803</v>
      </c>
      <c r="D278" s="42" t="s">
        <v>3</v>
      </c>
      <c r="E278" s="43" t="s">
        <v>581</v>
      </c>
      <c r="F278" s="43" t="s">
        <v>582</v>
      </c>
      <c r="G278" s="44">
        <v>91</v>
      </c>
      <c r="H278" s="43" t="s">
        <v>583</v>
      </c>
      <c r="I278" s="45" t="s">
        <v>1051</v>
      </c>
      <c r="J278" s="45" t="s">
        <v>561</v>
      </c>
      <c r="K278" s="126">
        <v>134.18</v>
      </c>
      <c r="L278" s="126">
        <v>134.18</v>
      </c>
      <c r="M278" s="126"/>
      <c r="N278" s="126">
        <v>0</v>
      </c>
      <c r="O278" s="126">
        <v>0</v>
      </c>
      <c r="Q278" s="134"/>
      <c r="R278" s="147"/>
      <c r="S278" s="46">
        <v>268.36</v>
      </c>
      <c r="T278" s="112"/>
      <c r="U278" s="56" t="s">
        <v>953</v>
      </c>
      <c r="V278" s="105" t="s">
        <v>585</v>
      </c>
    </row>
    <row r="279" spans="1:22" s="1" customFormat="1" ht="17.25" x14ac:dyDescent="0.3">
      <c r="A279" s="40">
        <v>14119323</v>
      </c>
      <c r="B279" s="40" t="s">
        <v>242</v>
      </c>
      <c r="C279" s="41" t="s">
        <v>804</v>
      </c>
      <c r="D279" s="42" t="s">
        <v>3</v>
      </c>
      <c r="E279" s="43" t="s">
        <v>581</v>
      </c>
      <c r="F279" s="43" t="s">
        <v>582</v>
      </c>
      <c r="G279" s="44">
        <v>92</v>
      </c>
      <c r="H279" s="43" t="s">
        <v>583</v>
      </c>
      <c r="I279" s="45" t="s">
        <v>583</v>
      </c>
      <c r="J279" s="45" t="s">
        <v>561</v>
      </c>
      <c r="K279" s="126">
        <v>134.18</v>
      </c>
      <c r="L279" s="126">
        <v>134.18</v>
      </c>
      <c r="M279" s="126"/>
      <c r="N279" s="126">
        <v>200</v>
      </c>
      <c r="O279" s="126">
        <v>177.44</v>
      </c>
      <c r="Q279" s="134"/>
      <c r="R279" s="147"/>
      <c r="S279" s="46">
        <v>645.79999999999995</v>
      </c>
      <c r="T279" s="112"/>
      <c r="U279" s="56" t="s">
        <v>953</v>
      </c>
      <c r="V279" s="105" t="s">
        <v>585</v>
      </c>
    </row>
    <row r="280" spans="1:22" s="1" customFormat="1" ht="17.25" x14ac:dyDescent="0.3">
      <c r="A280" s="40">
        <v>14119324</v>
      </c>
      <c r="B280" s="48" t="s">
        <v>243</v>
      </c>
      <c r="C280" s="41" t="s">
        <v>804</v>
      </c>
      <c r="D280" s="42" t="s">
        <v>3</v>
      </c>
      <c r="E280" s="43" t="s">
        <v>581</v>
      </c>
      <c r="F280" s="43" t="s">
        <v>582</v>
      </c>
      <c r="G280" s="44">
        <v>87</v>
      </c>
      <c r="H280" s="43" t="s">
        <v>585</v>
      </c>
      <c r="I280" s="45" t="s">
        <v>1051</v>
      </c>
      <c r="J280" s="45" t="s">
        <v>561</v>
      </c>
      <c r="K280" s="126">
        <v>134.18</v>
      </c>
      <c r="L280" s="126">
        <v>134.18</v>
      </c>
      <c r="M280" s="126"/>
      <c r="N280" s="126">
        <v>0</v>
      </c>
      <c r="O280" s="126">
        <v>0</v>
      </c>
      <c r="Q280" s="134"/>
      <c r="R280" s="132"/>
      <c r="S280" s="46">
        <v>268.36</v>
      </c>
      <c r="T280" s="112"/>
      <c r="U280" s="56" t="s">
        <v>953</v>
      </c>
      <c r="V280" s="105" t="s">
        <v>585</v>
      </c>
    </row>
    <row r="281" spans="1:22" s="1" customFormat="1" ht="17.25" x14ac:dyDescent="0.3">
      <c r="A281" s="39">
        <v>14119357</v>
      </c>
      <c r="B281" s="40" t="s">
        <v>245</v>
      </c>
      <c r="C281" s="41" t="s">
        <v>805</v>
      </c>
      <c r="D281" s="42" t="s">
        <v>3</v>
      </c>
      <c r="E281" s="43" t="s">
        <v>581</v>
      </c>
      <c r="F281" s="43" t="s">
        <v>582</v>
      </c>
      <c r="G281" s="44">
        <v>95</v>
      </c>
      <c r="H281" s="43" t="s">
        <v>583</v>
      </c>
      <c r="I281" s="45" t="s">
        <v>583</v>
      </c>
      <c r="J281" s="45" t="s">
        <v>561</v>
      </c>
      <c r="K281" s="126">
        <v>134.18</v>
      </c>
      <c r="L281" s="126">
        <v>134.18</v>
      </c>
      <c r="M281" s="126"/>
      <c r="N281" s="126">
        <v>200</v>
      </c>
      <c r="O281" s="126">
        <v>177.44</v>
      </c>
      <c r="Q281" s="134"/>
      <c r="R281" s="148"/>
      <c r="S281" s="46">
        <v>645.79999999999995</v>
      </c>
      <c r="T281" s="112"/>
      <c r="U281" s="56" t="s">
        <v>953</v>
      </c>
      <c r="V281" s="105" t="s">
        <v>585</v>
      </c>
    </row>
    <row r="282" spans="1:22" s="1" customFormat="1" ht="17.25" x14ac:dyDescent="0.3">
      <c r="A282" s="39">
        <v>14119437</v>
      </c>
      <c r="B282" s="40" t="s">
        <v>247</v>
      </c>
      <c r="C282" s="41" t="s">
        <v>760</v>
      </c>
      <c r="D282" s="42" t="s">
        <v>3</v>
      </c>
      <c r="E282" s="43" t="s">
        <v>581</v>
      </c>
      <c r="F282" s="43" t="s">
        <v>582</v>
      </c>
      <c r="G282" s="44">
        <v>94</v>
      </c>
      <c r="H282" s="43" t="s">
        <v>583</v>
      </c>
      <c r="I282" s="45" t="s">
        <v>1051</v>
      </c>
      <c r="J282" s="45" t="s">
        <v>561</v>
      </c>
      <c r="K282" s="126">
        <v>134.18</v>
      </c>
      <c r="L282" s="126">
        <v>134.18</v>
      </c>
      <c r="M282" s="126"/>
      <c r="N282" s="126">
        <v>0</v>
      </c>
      <c r="O282" s="126">
        <v>0</v>
      </c>
      <c r="Q282" s="134"/>
      <c r="R282" s="148"/>
      <c r="S282" s="46">
        <v>268.36</v>
      </c>
      <c r="T282" s="112"/>
      <c r="U282" s="56" t="s">
        <v>953</v>
      </c>
      <c r="V282" s="105" t="s">
        <v>585</v>
      </c>
    </row>
    <row r="283" spans="1:22" s="1" customFormat="1" ht="17.25" x14ac:dyDescent="0.3">
      <c r="A283" s="40">
        <v>14119481</v>
      </c>
      <c r="B283" s="40" t="s">
        <v>248</v>
      </c>
      <c r="C283" s="41" t="s">
        <v>806</v>
      </c>
      <c r="D283" s="42" t="s">
        <v>3</v>
      </c>
      <c r="E283" s="43" t="s">
        <v>581</v>
      </c>
      <c r="F283" s="43" t="s">
        <v>582</v>
      </c>
      <c r="G283" s="44">
        <v>86</v>
      </c>
      <c r="H283" s="43" t="s">
        <v>585</v>
      </c>
      <c r="I283" s="45" t="s">
        <v>1051</v>
      </c>
      <c r="J283" s="45" t="s">
        <v>561</v>
      </c>
      <c r="K283" s="126">
        <v>134.18</v>
      </c>
      <c r="L283" s="126">
        <v>134.18</v>
      </c>
      <c r="M283" s="126"/>
      <c r="N283" s="126">
        <v>0</v>
      </c>
      <c r="O283" s="126">
        <v>0</v>
      </c>
      <c r="Q283" s="134"/>
      <c r="R283" s="147"/>
      <c r="S283" s="46">
        <v>268.36</v>
      </c>
      <c r="T283" s="112"/>
      <c r="U283" s="56" t="s">
        <v>953</v>
      </c>
      <c r="V283" s="105" t="s">
        <v>585</v>
      </c>
    </row>
    <row r="284" spans="1:22" s="1" customFormat="1" ht="17.25" x14ac:dyDescent="0.3">
      <c r="A284" s="39">
        <v>14119517</v>
      </c>
      <c r="B284" s="40" t="s">
        <v>252</v>
      </c>
      <c r="C284" s="41" t="s">
        <v>595</v>
      </c>
      <c r="D284" s="42" t="s">
        <v>3</v>
      </c>
      <c r="E284" s="43" t="s">
        <v>581</v>
      </c>
      <c r="F284" s="43" t="s">
        <v>582</v>
      </c>
      <c r="G284" s="44">
        <v>88</v>
      </c>
      <c r="H284" s="43" t="s">
        <v>585</v>
      </c>
      <c r="I284" s="45" t="s">
        <v>583</v>
      </c>
      <c r="J284" s="45" t="s">
        <v>561</v>
      </c>
      <c r="K284" s="126">
        <v>134.18</v>
      </c>
      <c r="L284" s="126">
        <v>134.18</v>
      </c>
      <c r="M284" s="126"/>
      <c r="N284" s="126">
        <v>0</v>
      </c>
      <c r="O284" s="126">
        <v>177.44</v>
      </c>
      <c r="Q284" s="134"/>
      <c r="R284" s="147"/>
      <c r="S284" s="46">
        <v>445.8</v>
      </c>
      <c r="T284" s="112"/>
      <c r="U284" s="56" t="s">
        <v>953</v>
      </c>
      <c r="V284" s="105" t="s">
        <v>585</v>
      </c>
    </row>
    <row r="285" spans="1:22" s="1" customFormat="1" ht="17.25" x14ac:dyDescent="0.3">
      <c r="A285" s="39">
        <v>14119539</v>
      </c>
      <c r="B285" s="40" t="s">
        <v>253</v>
      </c>
      <c r="C285" s="41" t="s">
        <v>698</v>
      </c>
      <c r="D285" s="42" t="s">
        <v>3</v>
      </c>
      <c r="E285" s="43" t="s">
        <v>581</v>
      </c>
      <c r="F285" s="43" t="s">
        <v>582</v>
      </c>
      <c r="G285" s="44">
        <v>94</v>
      </c>
      <c r="H285" s="43" t="s">
        <v>583</v>
      </c>
      <c r="I285" s="45" t="s">
        <v>583</v>
      </c>
      <c r="J285" s="45" t="s">
        <v>561</v>
      </c>
      <c r="K285" s="126">
        <v>134.18</v>
      </c>
      <c r="L285" s="126">
        <v>134.18</v>
      </c>
      <c r="M285" s="126"/>
      <c r="N285" s="126">
        <v>200</v>
      </c>
      <c r="O285" s="126">
        <v>177.44</v>
      </c>
      <c r="Q285" s="134"/>
      <c r="R285" s="147"/>
      <c r="S285" s="46">
        <v>645.79999999999995</v>
      </c>
      <c r="T285" s="112"/>
      <c r="U285" s="56" t="s">
        <v>953</v>
      </c>
      <c r="V285" s="105" t="s">
        <v>585</v>
      </c>
    </row>
    <row r="286" spans="1:22" s="1" customFormat="1" ht="17.25" x14ac:dyDescent="0.3">
      <c r="A286" s="40">
        <v>14119540</v>
      </c>
      <c r="B286" s="40" t="s">
        <v>254</v>
      </c>
      <c r="C286" s="41" t="s">
        <v>698</v>
      </c>
      <c r="D286" s="42" t="s">
        <v>3</v>
      </c>
      <c r="E286" s="43" t="s">
        <v>581</v>
      </c>
      <c r="F286" s="43" t="s">
        <v>582</v>
      </c>
      <c r="G286" s="44">
        <v>91</v>
      </c>
      <c r="H286" s="43" t="s">
        <v>583</v>
      </c>
      <c r="I286" s="45" t="s">
        <v>583</v>
      </c>
      <c r="J286" s="45" t="s">
        <v>587</v>
      </c>
      <c r="K286" s="126">
        <v>134.18</v>
      </c>
      <c r="L286" s="126">
        <v>134.18</v>
      </c>
      <c r="M286" s="126"/>
      <c r="N286" s="126">
        <v>200</v>
      </c>
      <c r="O286" s="126">
        <v>0</v>
      </c>
      <c r="Q286" s="134"/>
      <c r="R286" s="147"/>
      <c r="S286" s="46">
        <v>468.36</v>
      </c>
      <c r="T286" s="112"/>
      <c r="U286" s="56" t="s">
        <v>953</v>
      </c>
      <c r="V286" s="105" t="s">
        <v>925</v>
      </c>
    </row>
    <row r="287" spans="1:22" s="1" customFormat="1" ht="17.25" x14ac:dyDescent="0.3">
      <c r="A287" s="39">
        <v>14119598</v>
      </c>
      <c r="B287" s="40" t="s">
        <v>255</v>
      </c>
      <c r="C287" s="41" t="s">
        <v>807</v>
      </c>
      <c r="D287" s="42" t="s">
        <v>3</v>
      </c>
      <c r="E287" s="43" t="s">
        <v>581</v>
      </c>
      <c r="F287" s="43" t="s">
        <v>582</v>
      </c>
      <c r="G287" s="44">
        <v>94</v>
      </c>
      <c r="H287" s="43" t="s">
        <v>583</v>
      </c>
      <c r="I287" s="45" t="s">
        <v>583</v>
      </c>
      <c r="J287" s="45" t="s">
        <v>587</v>
      </c>
      <c r="K287" s="126">
        <v>134.18</v>
      </c>
      <c r="L287" s="126">
        <v>134.18</v>
      </c>
      <c r="M287" s="126"/>
      <c r="N287" s="126">
        <v>200</v>
      </c>
      <c r="O287" s="126">
        <v>0</v>
      </c>
      <c r="Q287" s="134"/>
      <c r="R287" s="147"/>
      <c r="S287" s="46">
        <v>468.36</v>
      </c>
      <c r="T287" s="112"/>
      <c r="U287" s="56" t="s">
        <v>953</v>
      </c>
      <c r="V287" s="105" t="s">
        <v>585</v>
      </c>
    </row>
    <row r="288" spans="1:22" s="1" customFormat="1" ht="17.25" x14ac:dyDescent="0.3">
      <c r="A288" s="40">
        <v>14119701</v>
      </c>
      <c r="B288" s="40" t="s">
        <v>257</v>
      </c>
      <c r="C288" s="41" t="s">
        <v>755</v>
      </c>
      <c r="D288" s="42" t="s">
        <v>3</v>
      </c>
      <c r="E288" s="43" t="s">
        <v>581</v>
      </c>
      <c r="F288" s="43" t="s">
        <v>582</v>
      </c>
      <c r="G288" s="44">
        <v>88</v>
      </c>
      <c r="H288" s="43" t="s">
        <v>585</v>
      </c>
      <c r="I288" s="45" t="s">
        <v>1051</v>
      </c>
      <c r="J288" s="45" t="s">
        <v>561</v>
      </c>
      <c r="K288" s="126">
        <v>134.18</v>
      </c>
      <c r="L288" s="126">
        <v>134.18</v>
      </c>
      <c r="M288" s="126"/>
      <c r="N288" s="126">
        <v>0</v>
      </c>
      <c r="O288" s="126">
        <v>0</v>
      </c>
      <c r="Q288" s="134"/>
      <c r="R288" s="147"/>
      <c r="S288" s="46">
        <v>268.36</v>
      </c>
      <c r="T288" s="112"/>
      <c r="U288" s="56" t="s">
        <v>953</v>
      </c>
      <c r="V288" s="105" t="s">
        <v>2034</v>
      </c>
    </row>
    <row r="289" spans="1:24" s="1" customFormat="1" ht="17.25" x14ac:dyDescent="0.3">
      <c r="A289" s="40">
        <v>14119751</v>
      </c>
      <c r="B289" s="40" t="s">
        <v>258</v>
      </c>
      <c r="C289" s="41" t="s">
        <v>808</v>
      </c>
      <c r="D289" s="42" t="s">
        <v>3</v>
      </c>
      <c r="E289" s="43" t="s">
        <v>581</v>
      </c>
      <c r="F289" s="43" t="s">
        <v>582</v>
      </c>
      <c r="G289" s="44">
        <v>93</v>
      </c>
      <c r="H289" s="43" t="s">
        <v>583</v>
      </c>
      <c r="I289" s="45" t="s">
        <v>1051</v>
      </c>
      <c r="J289" s="45" t="s">
        <v>561</v>
      </c>
      <c r="K289" s="126">
        <v>134.18</v>
      </c>
      <c r="L289" s="126">
        <v>134.18</v>
      </c>
      <c r="M289" s="126"/>
      <c r="N289" s="126">
        <v>0</v>
      </c>
      <c r="O289" s="126">
        <v>0</v>
      </c>
      <c r="Q289" s="134"/>
      <c r="R289" s="147"/>
      <c r="S289" s="46">
        <v>268.36</v>
      </c>
      <c r="T289" s="112"/>
      <c r="U289" s="56" t="s">
        <v>953</v>
      </c>
      <c r="V289" s="105" t="s">
        <v>585</v>
      </c>
    </row>
    <row r="290" spans="1:24" s="1" customFormat="1" ht="17.25" x14ac:dyDescent="0.3">
      <c r="A290" s="40">
        <v>14119785</v>
      </c>
      <c r="B290" s="48" t="s">
        <v>259</v>
      </c>
      <c r="C290" s="41" t="s">
        <v>809</v>
      </c>
      <c r="D290" s="42" t="s">
        <v>3</v>
      </c>
      <c r="E290" s="43" t="s">
        <v>581</v>
      </c>
      <c r="F290" s="43" t="s">
        <v>582</v>
      </c>
      <c r="G290" s="44">
        <v>90</v>
      </c>
      <c r="H290" s="43" t="s">
        <v>583</v>
      </c>
      <c r="I290" s="45" t="s">
        <v>583</v>
      </c>
      <c r="J290" s="45" t="s">
        <v>561</v>
      </c>
      <c r="K290" s="126">
        <v>134.18</v>
      </c>
      <c r="L290" s="126">
        <v>134.18</v>
      </c>
      <c r="M290" s="126"/>
      <c r="N290" s="126">
        <v>200</v>
      </c>
      <c r="O290" s="126">
        <v>177.44</v>
      </c>
      <c r="Q290" s="134"/>
      <c r="R290" s="147"/>
      <c r="S290" s="46">
        <v>645.79999999999995</v>
      </c>
      <c r="T290" s="112"/>
      <c r="U290" s="56" t="s">
        <v>953</v>
      </c>
      <c r="V290" s="105" t="s">
        <v>585</v>
      </c>
    </row>
    <row r="291" spans="1:24" s="1" customFormat="1" ht="17.25" x14ac:dyDescent="0.3">
      <c r="A291" s="39">
        <v>14119786</v>
      </c>
      <c r="B291" s="40" t="s">
        <v>260</v>
      </c>
      <c r="C291" s="41" t="s">
        <v>809</v>
      </c>
      <c r="D291" s="42" t="s">
        <v>3</v>
      </c>
      <c r="E291" s="43" t="s">
        <v>581</v>
      </c>
      <c r="F291" s="43" t="s">
        <v>582</v>
      </c>
      <c r="G291" s="44" t="s">
        <v>1609</v>
      </c>
      <c r="H291" s="43" t="s">
        <v>585</v>
      </c>
      <c r="I291" s="45" t="s">
        <v>583</v>
      </c>
      <c r="J291" s="45" t="s">
        <v>587</v>
      </c>
      <c r="K291" s="126">
        <v>0</v>
      </c>
      <c r="L291" s="126">
        <v>0</v>
      </c>
      <c r="M291" s="126"/>
      <c r="N291" s="126">
        <v>0</v>
      </c>
      <c r="O291" s="126">
        <v>0</v>
      </c>
      <c r="Q291" s="134"/>
      <c r="R291" s="147"/>
      <c r="S291" s="46">
        <v>0</v>
      </c>
      <c r="T291" s="112"/>
      <c r="U291" s="56" t="s">
        <v>585</v>
      </c>
      <c r="V291" s="105" t="s">
        <v>585</v>
      </c>
      <c r="X291" s="127"/>
    </row>
    <row r="292" spans="1:24" s="1" customFormat="1" ht="17.25" x14ac:dyDescent="0.3">
      <c r="A292" s="40">
        <v>14119787</v>
      </c>
      <c r="B292" s="40" t="s">
        <v>261</v>
      </c>
      <c r="C292" s="41" t="s">
        <v>809</v>
      </c>
      <c r="D292" s="42" t="s">
        <v>3</v>
      </c>
      <c r="E292" s="43" t="s">
        <v>581</v>
      </c>
      <c r="F292" s="43" t="s">
        <v>582</v>
      </c>
      <c r="G292" s="44">
        <v>93</v>
      </c>
      <c r="H292" s="43" t="s">
        <v>583</v>
      </c>
      <c r="I292" s="45" t="s">
        <v>583</v>
      </c>
      <c r="J292" s="45" t="s">
        <v>587</v>
      </c>
      <c r="K292" s="126">
        <v>134.18</v>
      </c>
      <c r="L292" s="126">
        <v>134.18</v>
      </c>
      <c r="M292" s="126"/>
      <c r="N292" s="126">
        <v>200</v>
      </c>
      <c r="O292" s="126">
        <v>0</v>
      </c>
      <c r="Q292" s="134"/>
      <c r="R292" s="147"/>
      <c r="S292" s="46">
        <v>468.36</v>
      </c>
      <c r="T292" s="112"/>
      <c r="U292" s="56" t="s">
        <v>953</v>
      </c>
      <c r="V292" s="105" t="s">
        <v>585</v>
      </c>
    </row>
    <row r="293" spans="1:24" s="1" customFormat="1" ht="17.25" x14ac:dyDescent="0.3">
      <c r="A293" s="39">
        <v>14119825</v>
      </c>
      <c r="B293" s="48" t="s">
        <v>263</v>
      </c>
      <c r="C293" s="41" t="s">
        <v>810</v>
      </c>
      <c r="D293" s="42" t="s">
        <v>3</v>
      </c>
      <c r="E293" s="43" t="s">
        <v>581</v>
      </c>
      <c r="F293" s="43" t="s">
        <v>582</v>
      </c>
      <c r="G293" s="44">
        <v>90</v>
      </c>
      <c r="H293" s="43" t="s">
        <v>583</v>
      </c>
      <c r="I293" s="45" t="s">
        <v>1051</v>
      </c>
      <c r="J293" s="45" t="s">
        <v>561</v>
      </c>
      <c r="K293" s="126">
        <v>134.18</v>
      </c>
      <c r="L293" s="126">
        <v>134.18</v>
      </c>
      <c r="M293" s="126"/>
      <c r="N293" s="126">
        <v>0</v>
      </c>
      <c r="O293" s="126">
        <v>0</v>
      </c>
      <c r="Q293" s="134"/>
      <c r="R293" s="147"/>
      <c r="S293" s="46">
        <v>268.36</v>
      </c>
      <c r="T293" s="112"/>
      <c r="U293" s="56" t="s">
        <v>953</v>
      </c>
      <c r="V293" s="105" t="s">
        <v>585</v>
      </c>
    </row>
    <row r="294" spans="1:24" s="1" customFormat="1" ht="17.25" x14ac:dyDescent="0.3">
      <c r="A294" s="39">
        <v>14119835</v>
      </c>
      <c r="B294" s="40" t="s">
        <v>264</v>
      </c>
      <c r="C294" s="41" t="s">
        <v>594</v>
      </c>
      <c r="D294" s="42" t="s">
        <v>3</v>
      </c>
      <c r="E294" s="43" t="s">
        <v>581</v>
      </c>
      <c r="F294" s="43" t="s">
        <v>582</v>
      </c>
      <c r="G294" s="44" t="s">
        <v>1609</v>
      </c>
      <c r="H294" s="43" t="s">
        <v>585</v>
      </c>
      <c r="I294" s="45" t="s">
        <v>583</v>
      </c>
      <c r="J294" s="45" t="s">
        <v>587</v>
      </c>
      <c r="K294" s="126">
        <v>0</v>
      </c>
      <c r="L294" s="126">
        <v>0</v>
      </c>
      <c r="M294" s="126"/>
      <c r="N294" s="126">
        <v>0</v>
      </c>
      <c r="O294" s="126">
        <v>0</v>
      </c>
      <c r="Q294" s="134"/>
      <c r="R294" s="147"/>
      <c r="S294" s="46">
        <v>0</v>
      </c>
      <c r="T294" s="112"/>
      <c r="U294" s="56" t="s">
        <v>585</v>
      </c>
      <c r="V294" s="105" t="s">
        <v>585</v>
      </c>
      <c r="X294" s="127"/>
    </row>
    <row r="295" spans="1:24" s="1" customFormat="1" ht="17.25" x14ac:dyDescent="0.3">
      <c r="A295" s="39">
        <v>14119837</v>
      </c>
      <c r="B295" s="48" t="s">
        <v>265</v>
      </c>
      <c r="C295" s="41" t="s">
        <v>594</v>
      </c>
      <c r="D295" s="42" t="s">
        <v>3</v>
      </c>
      <c r="E295" s="43" t="s">
        <v>581</v>
      </c>
      <c r="F295" s="43" t="s">
        <v>582</v>
      </c>
      <c r="G295" s="44">
        <v>93</v>
      </c>
      <c r="H295" s="43" t="s">
        <v>583</v>
      </c>
      <c r="I295" s="45" t="s">
        <v>1051</v>
      </c>
      <c r="J295" s="45" t="s">
        <v>561</v>
      </c>
      <c r="K295" s="126">
        <v>134.18</v>
      </c>
      <c r="L295" s="126">
        <v>134.18</v>
      </c>
      <c r="M295" s="126"/>
      <c r="N295" s="126">
        <v>0</v>
      </c>
      <c r="O295" s="126">
        <v>0</v>
      </c>
      <c r="Q295" s="134"/>
      <c r="R295" s="148"/>
      <c r="S295" s="46">
        <v>268.36</v>
      </c>
      <c r="T295" s="112"/>
      <c r="U295" s="56" t="s">
        <v>953</v>
      </c>
      <c r="V295" s="105" t="s">
        <v>925</v>
      </c>
    </row>
    <row r="296" spans="1:24" s="1" customFormat="1" ht="17.25" x14ac:dyDescent="0.3">
      <c r="A296" s="39">
        <v>14119838</v>
      </c>
      <c r="B296" s="40" t="s">
        <v>509</v>
      </c>
      <c r="C296" s="41" t="s">
        <v>811</v>
      </c>
      <c r="D296" s="42" t="s">
        <v>3</v>
      </c>
      <c r="E296" s="43" t="s">
        <v>581</v>
      </c>
      <c r="F296" s="43" t="s">
        <v>582</v>
      </c>
      <c r="G296" s="44">
        <v>94</v>
      </c>
      <c r="H296" s="43" t="s">
        <v>583</v>
      </c>
      <c r="I296" s="45" t="s">
        <v>583</v>
      </c>
      <c r="J296" s="45" t="s">
        <v>561</v>
      </c>
      <c r="K296" s="126">
        <v>134.18</v>
      </c>
      <c r="L296" s="126">
        <v>134.18</v>
      </c>
      <c r="M296" s="126"/>
      <c r="N296" s="126">
        <v>200</v>
      </c>
      <c r="O296" s="126">
        <v>177.44</v>
      </c>
      <c r="Q296" s="134"/>
      <c r="R296" s="147"/>
      <c r="S296" s="46">
        <v>645.79999999999995</v>
      </c>
      <c r="T296" s="112"/>
      <c r="U296" s="56" t="s">
        <v>953</v>
      </c>
      <c r="V296" s="105" t="s">
        <v>585</v>
      </c>
    </row>
    <row r="297" spans="1:24" s="1" customFormat="1" ht="17.25" x14ac:dyDescent="0.3">
      <c r="A297" s="40">
        <v>14119839</v>
      </c>
      <c r="B297" s="40" t="s">
        <v>266</v>
      </c>
      <c r="C297" s="41" t="s">
        <v>594</v>
      </c>
      <c r="D297" s="42" t="s">
        <v>3</v>
      </c>
      <c r="E297" s="43" t="s">
        <v>581</v>
      </c>
      <c r="F297" s="43" t="s">
        <v>582</v>
      </c>
      <c r="G297" s="44">
        <v>72</v>
      </c>
      <c r="H297" s="43" t="s">
        <v>585</v>
      </c>
      <c r="I297" s="45" t="s">
        <v>583</v>
      </c>
      <c r="J297" s="45" t="s">
        <v>587</v>
      </c>
      <c r="K297" s="126">
        <v>0</v>
      </c>
      <c r="L297" s="126">
        <v>0</v>
      </c>
      <c r="M297" s="126"/>
      <c r="N297" s="126">
        <v>0</v>
      </c>
      <c r="O297" s="126">
        <v>0</v>
      </c>
      <c r="Q297" s="134"/>
      <c r="R297" s="132"/>
      <c r="S297" s="46">
        <v>0</v>
      </c>
      <c r="T297" s="112"/>
      <c r="U297" s="56" t="s">
        <v>585</v>
      </c>
      <c r="V297" s="105" t="s">
        <v>585</v>
      </c>
      <c r="X297" s="127"/>
    </row>
    <row r="298" spans="1:24" s="1" customFormat="1" ht="17.25" x14ac:dyDescent="0.3">
      <c r="A298" s="39">
        <v>14119890</v>
      </c>
      <c r="B298" s="40" t="s">
        <v>267</v>
      </c>
      <c r="C298" s="41" t="s">
        <v>812</v>
      </c>
      <c r="D298" s="42" t="s">
        <v>3</v>
      </c>
      <c r="E298" s="43" t="s">
        <v>581</v>
      </c>
      <c r="F298" s="43" t="s">
        <v>582</v>
      </c>
      <c r="G298" s="44">
        <v>86</v>
      </c>
      <c r="H298" s="43" t="s">
        <v>585</v>
      </c>
      <c r="I298" s="45" t="s">
        <v>583</v>
      </c>
      <c r="J298" s="45" t="s">
        <v>587</v>
      </c>
      <c r="K298" s="126">
        <v>134.18</v>
      </c>
      <c r="L298" s="126">
        <v>134.18</v>
      </c>
      <c r="M298" s="126"/>
      <c r="N298" s="126">
        <v>0</v>
      </c>
      <c r="O298" s="126">
        <v>0</v>
      </c>
      <c r="Q298" s="134"/>
      <c r="R298" s="148"/>
      <c r="S298" s="46">
        <v>268.36</v>
      </c>
      <c r="T298" s="112"/>
      <c r="U298" s="56" t="s">
        <v>953</v>
      </c>
      <c r="V298" s="105" t="s">
        <v>585</v>
      </c>
    </row>
    <row r="299" spans="1:24" s="1" customFormat="1" ht="17.25" x14ac:dyDescent="0.3">
      <c r="A299" s="39">
        <v>14119955</v>
      </c>
      <c r="B299" s="40" t="s">
        <v>269</v>
      </c>
      <c r="C299" s="41" t="s">
        <v>687</v>
      </c>
      <c r="D299" s="42" t="s">
        <v>3</v>
      </c>
      <c r="E299" s="43" t="s">
        <v>581</v>
      </c>
      <c r="F299" s="43" t="s">
        <v>582</v>
      </c>
      <c r="G299" s="44" t="s">
        <v>1609</v>
      </c>
      <c r="H299" s="43" t="s">
        <v>585</v>
      </c>
      <c r="I299" s="45" t="s">
        <v>583</v>
      </c>
      <c r="J299" s="45" t="s">
        <v>587</v>
      </c>
      <c r="K299" s="126">
        <v>0</v>
      </c>
      <c r="L299" s="126">
        <v>0</v>
      </c>
      <c r="M299" s="126"/>
      <c r="N299" s="126">
        <v>0</v>
      </c>
      <c r="O299" s="126">
        <v>0</v>
      </c>
      <c r="Q299" s="134"/>
      <c r="R299" s="147"/>
      <c r="S299" s="46">
        <v>0</v>
      </c>
      <c r="T299" s="112"/>
      <c r="U299" s="56" t="s">
        <v>585</v>
      </c>
      <c r="V299" s="105" t="s">
        <v>585</v>
      </c>
      <c r="X299" s="127"/>
    </row>
    <row r="300" spans="1:24" s="1" customFormat="1" ht="17.25" x14ac:dyDescent="0.3">
      <c r="A300" s="40">
        <v>14119956</v>
      </c>
      <c r="B300" s="40" t="s">
        <v>270</v>
      </c>
      <c r="C300" s="41" t="s">
        <v>687</v>
      </c>
      <c r="D300" s="42" t="s">
        <v>3</v>
      </c>
      <c r="E300" s="43" t="s">
        <v>581</v>
      </c>
      <c r="F300" s="43" t="s">
        <v>582</v>
      </c>
      <c r="G300" s="44">
        <v>79</v>
      </c>
      <c r="H300" s="43" t="s">
        <v>585</v>
      </c>
      <c r="I300" s="45" t="s">
        <v>1051</v>
      </c>
      <c r="J300" s="45" t="s">
        <v>561</v>
      </c>
      <c r="K300" s="126">
        <v>134.18</v>
      </c>
      <c r="L300" s="126">
        <v>134.18</v>
      </c>
      <c r="M300" s="126"/>
      <c r="N300" s="126">
        <v>0</v>
      </c>
      <c r="O300" s="126">
        <v>0</v>
      </c>
      <c r="Q300" s="134"/>
      <c r="R300" s="132"/>
      <c r="S300" s="46">
        <v>268.36</v>
      </c>
      <c r="T300" s="112"/>
      <c r="U300" s="56" t="s">
        <v>953</v>
      </c>
      <c r="V300" s="105" t="s">
        <v>585</v>
      </c>
    </row>
    <row r="301" spans="1:24" s="1" customFormat="1" ht="17.25" x14ac:dyDescent="0.3">
      <c r="A301" s="39">
        <v>14119958</v>
      </c>
      <c r="B301" s="40" t="s">
        <v>271</v>
      </c>
      <c r="C301" s="41" t="s">
        <v>687</v>
      </c>
      <c r="D301" s="42" t="s">
        <v>3</v>
      </c>
      <c r="E301" s="43" t="s">
        <v>581</v>
      </c>
      <c r="F301" s="43" t="s">
        <v>582</v>
      </c>
      <c r="G301" s="44">
        <v>85</v>
      </c>
      <c r="H301" s="43" t="s">
        <v>585</v>
      </c>
      <c r="I301" s="45" t="s">
        <v>1051</v>
      </c>
      <c r="J301" s="45" t="s">
        <v>561</v>
      </c>
      <c r="K301" s="126">
        <v>134.18</v>
      </c>
      <c r="L301" s="126">
        <v>134.18</v>
      </c>
      <c r="M301" s="126"/>
      <c r="N301" s="126">
        <v>0</v>
      </c>
      <c r="O301" s="126">
        <v>0</v>
      </c>
      <c r="Q301" s="134"/>
      <c r="R301" s="147"/>
      <c r="S301" s="46">
        <v>268.36</v>
      </c>
      <c r="T301" s="112"/>
      <c r="U301" s="56" t="s">
        <v>953</v>
      </c>
      <c r="V301" s="105" t="s">
        <v>585</v>
      </c>
    </row>
    <row r="302" spans="1:24" s="1" customFormat="1" ht="17.25" x14ac:dyDescent="0.3">
      <c r="A302" s="39">
        <v>14120041</v>
      </c>
      <c r="B302" s="40" t="s">
        <v>273</v>
      </c>
      <c r="C302" s="41" t="s">
        <v>813</v>
      </c>
      <c r="D302" s="42" t="s">
        <v>3</v>
      </c>
      <c r="E302" s="43" t="s">
        <v>581</v>
      </c>
      <c r="F302" s="43" t="s">
        <v>582</v>
      </c>
      <c r="G302" s="44">
        <v>83</v>
      </c>
      <c r="H302" s="43" t="s">
        <v>585</v>
      </c>
      <c r="I302" s="45" t="s">
        <v>1051</v>
      </c>
      <c r="J302" s="45" t="s">
        <v>561</v>
      </c>
      <c r="K302" s="126">
        <v>134.18</v>
      </c>
      <c r="L302" s="126">
        <v>134.18</v>
      </c>
      <c r="M302" s="126"/>
      <c r="N302" s="126">
        <v>0</v>
      </c>
      <c r="O302" s="126">
        <v>0</v>
      </c>
      <c r="Q302" s="134"/>
      <c r="R302" s="147"/>
      <c r="S302" s="46">
        <v>268.36</v>
      </c>
      <c r="T302" s="112"/>
      <c r="U302" s="56" t="s">
        <v>953</v>
      </c>
      <c r="V302" s="105" t="s">
        <v>585</v>
      </c>
    </row>
    <row r="303" spans="1:24" s="1" customFormat="1" ht="17.25" x14ac:dyDescent="0.3">
      <c r="A303" s="39">
        <v>14120044</v>
      </c>
      <c r="B303" s="48" t="s">
        <v>274</v>
      </c>
      <c r="C303" s="41" t="s">
        <v>813</v>
      </c>
      <c r="D303" s="42" t="s">
        <v>3</v>
      </c>
      <c r="E303" s="43" t="s">
        <v>581</v>
      </c>
      <c r="F303" s="43" t="s">
        <v>582</v>
      </c>
      <c r="G303" s="44">
        <v>93</v>
      </c>
      <c r="H303" s="43" t="s">
        <v>583</v>
      </c>
      <c r="I303" s="45" t="s">
        <v>583</v>
      </c>
      <c r="J303" s="45" t="s">
        <v>561</v>
      </c>
      <c r="K303" s="126">
        <v>134.18</v>
      </c>
      <c r="L303" s="126">
        <v>134.18</v>
      </c>
      <c r="M303" s="126"/>
      <c r="N303" s="126">
        <v>200</v>
      </c>
      <c r="O303" s="126">
        <v>177.44</v>
      </c>
      <c r="Q303" s="134"/>
      <c r="R303" s="147"/>
      <c r="S303" s="46">
        <v>645.79999999999995</v>
      </c>
      <c r="T303" s="112"/>
      <c r="U303" s="56" t="s">
        <v>953</v>
      </c>
      <c r="V303" s="105" t="s">
        <v>585</v>
      </c>
    </row>
    <row r="304" spans="1:24" s="1" customFormat="1" ht="17.25" x14ac:dyDescent="0.3">
      <c r="A304" s="39">
        <v>14120091</v>
      </c>
      <c r="B304" s="40" t="s">
        <v>276</v>
      </c>
      <c r="C304" s="41" t="s">
        <v>814</v>
      </c>
      <c r="D304" s="42" t="s">
        <v>3</v>
      </c>
      <c r="E304" s="43" t="s">
        <v>581</v>
      </c>
      <c r="F304" s="43" t="s">
        <v>582</v>
      </c>
      <c r="G304" s="44">
        <v>63</v>
      </c>
      <c r="H304" s="43" t="s">
        <v>585</v>
      </c>
      <c r="I304" s="45" t="s">
        <v>1051</v>
      </c>
      <c r="J304" s="45" t="s">
        <v>561</v>
      </c>
      <c r="K304" s="126">
        <v>134.18</v>
      </c>
      <c r="L304" s="126">
        <v>134.18</v>
      </c>
      <c r="M304" s="126"/>
      <c r="N304" s="126">
        <v>0</v>
      </c>
      <c r="O304" s="126">
        <v>0</v>
      </c>
      <c r="Q304" s="134"/>
      <c r="R304" s="147"/>
      <c r="S304" s="46">
        <v>268.36</v>
      </c>
      <c r="T304" s="112"/>
      <c r="U304" s="56" t="s">
        <v>953</v>
      </c>
      <c r="V304" s="105" t="s">
        <v>585</v>
      </c>
    </row>
    <row r="305" spans="1:24" s="1" customFormat="1" ht="17.25" x14ac:dyDescent="0.3">
      <c r="A305" s="39">
        <v>14120104</v>
      </c>
      <c r="B305" s="40" t="s">
        <v>277</v>
      </c>
      <c r="C305" s="41" t="s">
        <v>778</v>
      </c>
      <c r="D305" s="42" t="s">
        <v>3</v>
      </c>
      <c r="E305" s="43" t="s">
        <v>581</v>
      </c>
      <c r="F305" s="43" t="s">
        <v>582</v>
      </c>
      <c r="G305" s="44">
        <v>89</v>
      </c>
      <c r="H305" s="43" t="s">
        <v>585</v>
      </c>
      <c r="I305" s="45" t="s">
        <v>1051</v>
      </c>
      <c r="J305" s="45" t="s">
        <v>561</v>
      </c>
      <c r="K305" s="126">
        <v>134.18</v>
      </c>
      <c r="L305" s="126">
        <v>134.18</v>
      </c>
      <c r="M305" s="126"/>
      <c r="N305" s="126">
        <v>0</v>
      </c>
      <c r="O305" s="126">
        <v>0</v>
      </c>
      <c r="Q305" s="134"/>
      <c r="R305" s="147"/>
      <c r="S305" s="46">
        <v>268.36</v>
      </c>
      <c r="T305" s="112"/>
      <c r="U305" s="56" t="s">
        <v>953</v>
      </c>
      <c r="V305" s="105" t="s">
        <v>585</v>
      </c>
    </row>
    <row r="306" spans="1:24" s="1" customFormat="1" ht="17.25" x14ac:dyDescent="0.3">
      <c r="A306" s="40">
        <v>14120106</v>
      </c>
      <c r="B306" s="40" t="s">
        <v>278</v>
      </c>
      <c r="C306" s="41" t="s">
        <v>778</v>
      </c>
      <c r="D306" s="42" t="s">
        <v>3</v>
      </c>
      <c r="E306" s="43" t="s">
        <v>581</v>
      </c>
      <c r="F306" s="43" t="s">
        <v>582</v>
      </c>
      <c r="G306" s="44">
        <v>83</v>
      </c>
      <c r="H306" s="43" t="s">
        <v>585</v>
      </c>
      <c r="I306" s="45" t="s">
        <v>583</v>
      </c>
      <c r="J306" s="45" t="s">
        <v>587</v>
      </c>
      <c r="K306" s="126">
        <v>0</v>
      </c>
      <c r="L306" s="126">
        <v>0</v>
      </c>
      <c r="M306" s="126"/>
      <c r="N306" s="126">
        <v>0</v>
      </c>
      <c r="O306" s="126">
        <v>0</v>
      </c>
      <c r="Q306" s="134"/>
      <c r="R306" s="147"/>
      <c r="S306" s="46">
        <v>0</v>
      </c>
      <c r="T306" s="112"/>
      <c r="U306" s="56" t="s">
        <v>585</v>
      </c>
      <c r="V306" s="105" t="s">
        <v>585</v>
      </c>
      <c r="X306" s="127"/>
    </row>
    <row r="307" spans="1:24" s="1" customFormat="1" ht="17.25" x14ac:dyDescent="0.3">
      <c r="A307" s="39">
        <v>14120121</v>
      </c>
      <c r="B307" s="40" t="s">
        <v>279</v>
      </c>
      <c r="C307" s="41" t="s">
        <v>815</v>
      </c>
      <c r="D307" s="42" t="s">
        <v>3</v>
      </c>
      <c r="E307" s="43" t="s">
        <v>581</v>
      </c>
      <c r="F307" s="43" t="s">
        <v>582</v>
      </c>
      <c r="G307" s="44">
        <v>94</v>
      </c>
      <c r="H307" s="43" t="s">
        <v>583</v>
      </c>
      <c r="I307" s="45" t="s">
        <v>583</v>
      </c>
      <c r="J307" s="45" t="s">
        <v>561</v>
      </c>
      <c r="K307" s="126">
        <v>134.18</v>
      </c>
      <c r="L307" s="126">
        <v>134.18</v>
      </c>
      <c r="M307" s="126"/>
      <c r="N307" s="126">
        <v>200</v>
      </c>
      <c r="O307" s="126">
        <v>177.44</v>
      </c>
      <c r="P307" s="150"/>
      <c r="Q307" s="151"/>
      <c r="R307" s="147"/>
      <c r="S307" s="46">
        <v>645.79999999999995</v>
      </c>
      <c r="T307" s="112"/>
      <c r="U307" s="56" t="s">
        <v>953</v>
      </c>
      <c r="V307" s="105" t="s">
        <v>585</v>
      </c>
    </row>
    <row r="308" spans="1:24" s="1" customFormat="1" ht="17.25" x14ac:dyDescent="0.3">
      <c r="A308" s="39">
        <v>14120196</v>
      </c>
      <c r="B308" s="40" t="s">
        <v>280</v>
      </c>
      <c r="C308" s="41" t="s">
        <v>816</v>
      </c>
      <c r="D308" s="42" t="s">
        <v>3</v>
      </c>
      <c r="E308" s="43" t="s">
        <v>581</v>
      </c>
      <c r="F308" s="43" t="s">
        <v>582</v>
      </c>
      <c r="G308" s="44">
        <v>58</v>
      </c>
      <c r="H308" s="43" t="s">
        <v>585</v>
      </c>
      <c r="I308" s="45" t="s">
        <v>1051</v>
      </c>
      <c r="J308" s="45" t="s">
        <v>561</v>
      </c>
      <c r="K308" s="126">
        <v>134.18</v>
      </c>
      <c r="L308" s="126">
        <v>134.18</v>
      </c>
      <c r="M308" s="126"/>
      <c r="N308" s="126">
        <v>0</v>
      </c>
      <c r="O308" s="126">
        <v>0</v>
      </c>
      <c r="Q308" s="134"/>
      <c r="R308" s="147"/>
      <c r="S308" s="46">
        <v>268.36</v>
      </c>
      <c r="T308" s="112"/>
      <c r="U308" s="56" t="s">
        <v>953</v>
      </c>
      <c r="V308" s="105" t="s">
        <v>585</v>
      </c>
    </row>
    <row r="309" spans="1:24" s="1" customFormat="1" ht="17.25" x14ac:dyDescent="0.3">
      <c r="A309" s="39">
        <v>14120199</v>
      </c>
      <c r="B309" s="48" t="s">
        <v>406</v>
      </c>
      <c r="C309" s="41" t="s">
        <v>770</v>
      </c>
      <c r="D309" s="42" t="s">
        <v>3</v>
      </c>
      <c r="E309" s="43" t="s">
        <v>581</v>
      </c>
      <c r="F309" s="43" t="s">
        <v>582</v>
      </c>
      <c r="G309" s="44">
        <v>59</v>
      </c>
      <c r="H309" s="43" t="s">
        <v>585</v>
      </c>
      <c r="I309" s="45" t="s">
        <v>583</v>
      </c>
      <c r="J309" s="45" t="s">
        <v>561</v>
      </c>
      <c r="K309" s="126">
        <v>134.18</v>
      </c>
      <c r="L309" s="126">
        <v>134.18</v>
      </c>
      <c r="M309" s="126"/>
      <c r="N309" s="126">
        <v>0</v>
      </c>
      <c r="O309" s="126">
        <v>177.44</v>
      </c>
      <c r="P309" s="150"/>
      <c r="Q309" s="151"/>
      <c r="R309" s="147"/>
      <c r="S309" s="46">
        <v>445.8</v>
      </c>
      <c r="T309" s="112"/>
      <c r="U309" s="56" t="s">
        <v>953</v>
      </c>
      <c r="V309" s="105" t="s">
        <v>585</v>
      </c>
    </row>
    <row r="310" spans="1:24" s="1" customFormat="1" ht="17.25" x14ac:dyDescent="0.3">
      <c r="A310" s="39">
        <v>14120270</v>
      </c>
      <c r="B310" s="40" t="s">
        <v>282</v>
      </c>
      <c r="C310" s="41" t="s">
        <v>817</v>
      </c>
      <c r="D310" s="42" t="s">
        <v>3</v>
      </c>
      <c r="E310" s="43" t="s">
        <v>581</v>
      </c>
      <c r="F310" s="43" t="s">
        <v>582</v>
      </c>
      <c r="G310" s="44">
        <v>89</v>
      </c>
      <c r="H310" s="43" t="s">
        <v>585</v>
      </c>
      <c r="I310" s="45" t="s">
        <v>1051</v>
      </c>
      <c r="J310" s="45" t="s">
        <v>561</v>
      </c>
      <c r="K310" s="126">
        <v>134.18</v>
      </c>
      <c r="L310" s="126">
        <v>134.18</v>
      </c>
      <c r="M310" s="126"/>
      <c r="N310" s="126">
        <v>0</v>
      </c>
      <c r="O310" s="126">
        <v>0</v>
      </c>
      <c r="Q310" s="134"/>
      <c r="R310" s="147"/>
      <c r="S310" s="46">
        <v>268.36</v>
      </c>
      <c r="T310" s="112"/>
      <c r="U310" s="56" t="s">
        <v>953</v>
      </c>
      <c r="V310" s="105" t="s">
        <v>585</v>
      </c>
    </row>
    <row r="311" spans="1:24" s="1" customFormat="1" ht="17.25" x14ac:dyDescent="0.3">
      <c r="A311" s="39">
        <v>14120276</v>
      </c>
      <c r="B311" s="40" t="s">
        <v>283</v>
      </c>
      <c r="C311" s="41" t="s">
        <v>817</v>
      </c>
      <c r="D311" s="42" t="s">
        <v>3</v>
      </c>
      <c r="E311" s="43" t="s">
        <v>581</v>
      </c>
      <c r="F311" s="43" t="s">
        <v>582</v>
      </c>
      <c r="G311" s="44">
        <v>95</v>
      </c>
      <c r="H311" s="43" t="s">
        <v>583</v>
      </c>
      <c r="I311" s="45" t="s">
        <v>1051</v>
      </c>
      <c r="J311" s="45" t="s">
        <v>561</v>
      </c>
      <c r="K311" s="126">
        <v>134.18</v>
      </c>
      <c r="L311" s="126">
        <v>134.18</v>
      </c>
      <c r="M311" s="126"/>
      <c r="N311" s="126">
        <v>0</v>
      </c>
      <c r="O311" s="126">
        <v>0</v>
      </c>
      <c r="Q311" s="134"/>
      <c r="R311" s="147"/>
      <c r="S311" s="46">
        <v>268.36</v>
      </c>
      <c r="T311" s="112"/>
      <c r="U311" s="56" t="s">
        <v>953</v>
      </c>
      <c r="V311" s="105" t="s">
        <v>585</v>
      </c>
    </row>
    <row r="312" spans="1:24" s="1" customFormat="1" ht="17.25" x14ac:dyDescent="0.3">
      <c r="A312" s="39">
        <v>14120349</v>
      </c>
      <c r="B312" s="40" t="s">
        <v>285</v>
      </c>
      <c r="C312" s="41" t="s">
        <v>818</v>
      </c>
      <c r="D312" s="42" t="s">
        <v>3</v>
      </c>
      <c r="E312" s="43" t="s">
        <v>581</v>
      </c>
      <c r="F312" s="43" t="s">
        <v>582</v>
      </c>
      <c r="G312" s="44">
        <v>94</v>
      </c>
      <c r="H312" s="43" t="s">
        <v>583</v>
      </c>
      <c r="I312" s="45" t="s">
        <v>583</v>
      </c>
      <c r="J312" s="45" t="s">
        <v>561</v>
      </c>
      <c r="K312" s="126">
        <v>134.18</v>
      </c>
      <c r="L312" s="126">
        <v>134.18</v>
      </c>
      <c r="M312" s="126"/>
      <c r="N312" s="126">
        <v>200</v>
      </c>
      <c r="O312" s="126">
        <v>177.44</v>
      </c>
      <c r="Q312" s="134"/>
      <c r="R312" s="147"/>
      <c r="S312" s="46">
        <v>645.79999999999995</v>
      </c>
      <c r="T312" s="112"/>
      <c r="U312" s="56" t="s">
        <v>953</v>
      </c>
      <c r="V312" s="105" t="s">
        <v>585</v>
      </c>
    </row>
    <row r="313" spans="1:24" s="1" customFormat="1" ht="17.25" x14ac:dyDescent="0.3">
      <c r="A313" s="39">
        <v>14120351</v>
      </c>
      <c r="B313" s="40" t="s">
        <v>286</v>
      </c>
      <c r="C313" s="41" t="s">
        <v>818</v>
      </c>
      <c r="D313" s="42" t="s">
        <v>3</v>
      </c>
      <c r="E313" s="43" t="s">
        <v>581</v>
      </c>
      <c r="F313" s="43" t="s">
        <v>582</v>
      </c>
      <c r="G313" s="44">
        <v>76</v>
      </c>
      <c r="H313" s="43" t="s">
        <v>585</v>
      </c>
      <c r="I313" s="45" t="s">
        <v>583</v>
      </c>
      <c r="J313" s="45" t="s">
        <v>561</v>
      </c>
      <c r="K313" s="126">
        <v>134.18</v>
      </c>
      <c r="L313" s="126">
        <v>134.18</v>
      </c>
      <c r="M313" s="126"/>
      <c r="N313" s="126">
        <v>0</v>
      </c>
      <c r="O313" s="126">
        <v>177.44</v>
      </c>
      <c r="Q313" s="134"/>
      <c r="R313" s="148"/>
      <c r="S313" s="46">
        <v>445.8</v>
      </c>
      <c r="T313" s="112"/>
      <c r="U313" s="56" t="s">
        <v>953</v>
      </c>
      <c r="V313" s="105" t="s">
        <v>585</v>
      </c>
    </row>
    <row r="314" spans="1:24" s="1" customFormat="1" ht="17.25" x14ac:dyDescent="0.3">
      <c r="A314" s="39">
        <v>14120415</v>
      </c>
      <c r="B314" s="40" t="s">
        <v>287</v>
      </c>
      <c r="C314" s="41" t="s">
        <v>819</v>
      </c>
      <c r="D314" s="42" t="s">
        <v>3</v>
      </c>
      <c r="E314" s="43" t="s">
        <v>581</v>
      </c>
      <c r="F314" s="43" t="s">
        <v>582</v>
      </c>
      <c r="G314" s="44">
        <v>93</v>
      </c>
      <c r="H314" s="43" t="s">
        <v>583</v>
      </c>
      <c r="I314" s="45" t="s">
        <v>583</v>
      </c>
      <c r="J314" s="45" t="s">
        <v>561</v>
      </c>
      <c r="K314" s="126">
        <v>134.18</v>
      </c>
      <c r="L314" s="126">
        <v>134.18</v>
      </c>
      <c r="M314" s="126"/>
      <c r="N314" s="126">
        <v>200</v>
      </c>
      <c r="O314" s="126">
        <v>177.44</v>
      </c>
      <c r="Q314" s="134"/>
      <c r="R314" s="147"/>
      <c r="S314" s="46">
        <v>645.79999999999995</v>
      </c>
      <c r="T314" s="112"/>
      <c r="U314" s="56" t="s">
        <v>953</v>
      </c>
      <c r="V314" s="105" t="s">
        <v>585</v>
      </c>
    </row>
    <row r="315" spans="1:24" s="1" customFormat="1" ht="17.25" x14ac:dyDescent="0.3">
      <c r="A315" s="39">
        <v>14120455</v>
      </c>
      <c r="B315" s="40" t="s">
        <v>290</v>
      </c>
      <c r="C315" s="41" t="s">
        <v>820</v>
      </c>
      <c r="D315" s="42" t="s">
        <v>3</v>
      </c>
      <c r="E315" s="43" t="s">
        <v>581</v>
      </c>
      <c r="F315" s="43" t="s">
        <v>582</v>
      </c>
      <c r="G315" s="44">
        <v>92</v>
      </c>
      <c r="H315" s="43" t="s">
        <v>583</v>
      </c>
      <c r="I315" s="45" t="s">
        <v>583</v>
      </c>
      <c r="J315" s="45" t="s">
        <v>561</v>
      </c>
      <c r="K315" s="126">
        <v>134.18</v>
      </c>
      <c r="L315" s="126">
        <v>134.18</v>
      </c>
      <c r="M315" s="126"/>
      <c r="N315" s="126">
        <v>200</v>
      </c>
      <c r="O315" s="126">
        <v>177.44</v>
      </c>
      <c r="P315" s="150"/>
      <c r="Q315" s="151"/>
      <c r="R315" s="147"/>
      <c r="S315" s="46">
        <v>645.79999999999995</v>
      </c>
      <c r="T315" s="112"/>
      <c r="U315" s="56" t="s">
        <v>953</v>
      </c>
      <c r="V315" s="105" t="s">
        <v>585</v>
      </c>
    </row>
    <row r="316" spans="1:24" s="1" customFormat="1" ht="17.25" x14ac:dyDescent="0.3">
      <c r="A316" s="39">
        <v>14120489</v>
      </c>
      <c r="B316" s="40" t="s">
        <v>291</v>
      </c>
      <c r="C316" s="41" t="s">
        <v>821</v>
      </c>
      <c r="D316" s="42" t="s">
        <v>3</v>
      </c>
      <c r="E316" s="43" t="s">
        <v>581</v>
      </c>
      <c r="F316" s="43" t="s">
        <v>740</v>
      </c>
      <c r="G316" s="44">
        <v>94</v>
      </c>
      <c r="H316" s="43" t="s">
        <v>583</v>
      </c>
      <c r="I316" s="45" t="s">
        <v>1051</v>
      </c>
      <c r="J316" s="45" t="s">
        <v>587</v>
      </c>
      <c r="K316" s="126">
        <v>134.18</v>
      </c>
      <c r="L316" s="126">
        <v>0</v>
      </c>
      <c r="M316" s="126"/>
      <c r="N316" s="126">
        <v>0</v>
      </c>
      <c r="O316" s="126">
        <v>0</v>
      </c>
      <c r="Q316" s="134"/>
      <c r="R316" s="148"/>
      <c r="S316" s="46">
        <v>134.18</v>
      </c>
      <c r="T316" s="112"/>
      <c r="U316" s="56" t="s">
        <v>953</v>
      </c>
      <c r="V316" s="105" t="s">
        <v>585</v>
      </c>
    </row>
    <row r="317" spans="1:24" s="1" customFormat="1" ht="17.25" x14ac:dyDescent="0.3">
      <c r="A317" s="40">
        <v>14120611</v>
      </c>
      <c r="B317" s="40" t="s">
        <v>292</v>
      </c>
      <c r="C317" s="41" t="s">
        <v>822</v>
      </c>
      <c r="D317" s="42" t="s">
        <v>3</v>
      </c>
      <c r="E317" s="43" t="s">
        <v>581</v>
      </c>
      <c r="F317" s="43" t="s">
        <v>582</v>
      </c>
      <c r="G317" s="44">
        <v>76</v>
      </c>
      <c r="H317" s="43" t="s">
        <v>585</v>
      </c>
      <c r="I317" s="45" t="s">
        <v>583</v>
      </c>
      <c r="J317" s="45" t="s">
        <v>561</v>
      </c>
      <c r="K317" s="126">
        <v>134.18</v>
      </c>
      <c r="L317" s="126">
        <v>134.18</v>
      </c>
      <c r="M317" s="126"/>
      <c r="N317" s="126">
        <v>0</v>
      </c>
      <c r="O317" s="126">
        <v>177.44</v>
      </c>
      <c r="Q317" s="134"/>
      <c r="R317" s="147"/>
      <c r="S317" s="46">
        <v>445.8</v>
      </c>
      <c r="T317" s="112"/>
      <c r="U317" s="56" t="s">
        <v>953</v>
      </c>
      <c r="V317" s="105" t="s">
        <v>585</v>
      </c>
    </row>
    <row r="318" spans="1:24" s="1" customFormat="1" ht="17.25" x14ac:dyDescent="0.3">
      <c r="A318" s="39">
        <v>14120613</v>
      </c>
      <c r="B318" s="48" t="s">
        <v>293</v>
      </c>
      <c r="C318" s="41" t="s">
        <v>822</v>
      </c>
      <c r="D318" s="42" t="s">
        <v>3</v>
      </c>
      <c r="E318" s="43" t="s">
        <v>581</v>
      </c>
      <c r="F318" s="43" t="s">
        <v>582</v>
      </c>
      <c r="G318" s="44">
        <v>88</v>
      </c>
      <c r="H318" s="43" t="s">
        <v>585</v>
      </c>
      <c r="I318" s="45" t="s">
        <v>583</v>
      </c>
      <c r="J318" s="45" t="s">
        <v>561</v>
      </c>
      <c r="K318" s="126">
        <v>134.18</v>
      </c>
      <c r="L318" s="126">
        <v>134.18</v>
      </c>
      <c r="M318" s="126"/>
      <c r="N318" s="126">
        <v>0</v>
      </c>
      <c r="O318" s="126">
        <v>177.44</v>
      </c>
      <c r="Q318" s="134"/>
      <c r="R318" s="148"/>
      <c r="S318" s="46">
        <v>445.8</v>
      </c>
      <c r="T318" s="112"/>
      <c r="U318" s="56" t="s">
        <v>953</v>
      </c>
      <c r="V318" s="105" t="s">
        <v>585</v>
      </c>
    </row>
    <row r="319" spans="1:24" s="1" customFormat="1" ht="17.25" x14ac:dyDescent="0.3">
      <c r="A319" s="40">
        <v>14120655</v>
      </c>
      <c r="B319" s="40" t="s">
        <v>296</v>
      </c>
      <c r="C319" s="41" t="s">
        <v>823</v>
      </c>
      <c r="D319" s="42" t="s">
        <v>3</v>
      </c>
      <c r="E319" s="43" t="s">
        <v>581</v>
      </c>
      <c r="F319" s="43" t="s">
        <v>582</v>
      </c>
      <c r="G319" s="44">
        <v>83</v>
      </c>
      <c r="H319" s="43" t="s">
        <v>585</v>
      </c>
      <c r="I319" s="45" t="s">
        <v>583</v>
      </c>
      <c r="J319" s="45" t="s">
        <v>561</v>
      </c>
      <c r="K319" s="126">
        <v>134.18</v>
      </c>
      <c r="L319" s="126">
        <v>134.18</v>
      </c>
      <c r="M319" s="126"/>
      <c r="N319" s="126">
        <v>0</v>
      </c>
      <c r="O319" s="126">
        <v>177.44</v>
      </c>
      <c r="Q319" s="134"/>
      <c r="R319" s="132"/>
      <c r="S319" s="46">
        <v>445.8</v>
      </c>
      <c r="T319" s="112"/>
      <c r="U319" s="56" t="s">
        <v>953</v>
      </c>
      <c r="V319" s="105" t="s">
        <v>585</v>
      </c>
    </row>
    <row r="320" spans="1:24" s="1" customFormat="1" ht="17.25" x14ac:dyDescent="0.3">
      <c r="A320" s="39">
        <v>14120668</v>
      </c>
      <c r="B320" s="40" t="s">
        <v>297</v>
      </c>
      <c r="C320" s="41" t="s">
        <v>753</v>
      </c>
      <c r="D320" s="42" t="s">
        <v>3</v>
      </c>
      <c r="E320" s="43" t="s">
        <v>2035</v>
      </c>
      <c r="F320" s="43" t="s">
        <v>582</v>
      </c>
      <c r="G320" s="44">
        <v>93</v>
      </c>
      <c r="H320" s="43" t="s">
        <v>583</v>
      </c>
      <c r="I320" s="45" t="s">
        <v>583</v>
      </c>
      <c r="J320" s="45" t="s">
        <v>561</v>
      </c>
      <c r="K320" s="126">
        <v>0</v>
      </c>
      <c r="L320" s="126">
        <v>134.18</v>
      </c>
      <c r="M320" s="126"/>
      <c r="N320" s="126">
        <v>200</v>
      </c>
      <c r="O320" s="126">
        <v>177.44</v>
      </c>
      <c r="P320" s="150"/>
      <c r="Q320" s="151"/>
      <c r="R320" s="147"/>
      <c r="S320" s="46">
        <v>511.62</v>
      </c>
      <c r="T320" s="112"/>
      <c r="U320" s="56" t="s">
        <v>953</v>
      </c>
      <c r="V320" s="105" t="s">
        <v>585</v>
      </c>
    </row>
    <row r="321" spans="1:22" s="1" customFormat="1" ht="17.25" x14ac:dyDescent="0.3">
      <c r="A321" s="40">
        <v>14120715</v>
      </c>
      <c r="B321" s="40" t="s">
        <v>298</v>
      </c>
      <c r="C321" s="41" t="s">
        <v>613</v>
      </c>
      <c r="D321" s="42" t="s">
        <v>3</v>
      </c>
      <c r="E321" s="43" t="s">
        <v>581</v>
      </c>
      <c r="F321" s="43" t="s">
        <v>582</v>
      </c>
      <c r="G321" s="44">
        <v>90</v>
      </c>
      <c r="H321" s="43" t="s">
        <v>583</v>
      </c>
      <c r="I321" s="45" t="s">
        <v>583</v>
      </c>
      <c r="J321" s="45" t="s">
        <v>561</v>
      </c>
      <c r="K321" s="126">
        <v>134.18</v>
      </c>
      <c r="L321" s="126">
        <v>134.18</v>
      </c>
      <c r="M321" s="126"/>
      <c r="N321" s="126">
        <v>200</v>
      </c>
      <c r="O321" s="126">
        <v>177.44</v>
      </c>
      <c r="Q321" s="134"/>
      <c r="R321" s="147"/>
      <c r="S321" s="46">
        <v>645.79999999999995</v>
      </c>
      <c r="T321" s="112"/>
      <c r="U321" s="56" t="s">
        <v>953</v>
      </c>
      <c r="V321" s="105" t="s">
        <v>585</v>
      </c>
    </row>
    <row r="322" spans="1:22" s="1" customFormat="1" ht="17.25" x14ac:dyDescent="0.3">
      <c r="A322" s="40">
        <v>14120788</v>
      </c>
      <c r="B322" s="40" t="s">
        <v>301</v>
      </c>
      <c r="C322" s="41" t="s">
        <v>720</v>
      </c>
      <c r="D322" s="42" t="s">
        <v>3</v>
      </c>
      <c r="E322" s="43" t="s">
        <v>581</v>
      </c>
      <c r="F322" s="43" t="s">
        <v>582</v>
      </c>
      <c r="G322" s="44">
        <v>92</v>
      </c>
      <c r="H322" s="43" t="s">
        <v>583</v>
      </c>
      <c r="I322" s="45" t="s">
        <v>583</v>
      </c>
      <c r="J322" s="45" t="s">
        <v>561</v>
      </c>
      <c r="K322" s="126">
        <v>134.18</v>
      </c>
      <c r="L322" s="126">
        <v>134.18</v>
      </c>
      <c r="M322" s="126"/>
      <c r="N322" s="126">
        <v>200</v>
      </c>
      <c r="O322" s="126">
        <v>177.44</v>
      </c>
      <c r="Q322" s="134"/>
      <c r="R322" s="132"/>
      <c r="S322" s="46">
        <v>645.79999999999995</v>
      </c>
      <c r="T322" s="112"/>
      <c r="U322" s="56" t="s">
        <v>953</v>
      </c>
      <c r="V322" s="105" t="s">
        <v>585</v>
      </c>
    </row>
    <row r="323" spans="1:22" s="1" customFormat="1" ht="17.25" x14ac:dyDescent="0.3">
      <c r="A323" s="39">
        <v>14120789</v>
      </c>
      <c r="B323" s="40" t="s">
        <v>302</v>
      </c>
      <c r="C323" s="41" t="s">
        <v>720</v>
      </c>
      <c r="D323" s="42" t="s">
        <v>3</v>
      </c>
      <c r="E323" s="43" t="s">
        <v>581</v>
      </c>
      <c r="F323" s="43" t="s">
        <v>582</v>
      </c>
      <c r="G323" s="44">
        <v>95</v>
      </c>
      <c r="H323" s="43" t="s">
        <v>583</v>
      </c>
      <c r="I323" s="45" t="s">
        <v>1051</v>
      </c>
      <c r="J323" s="45" t="s">
        <v>561</v>
      </c>
      <c r="K323" s="126">
        <v>134.18</v>
      </c>
      <c r="L323" s="126">
        <v>134.18</v>
      </c>
      <c r="M323" s="126"/>
      <c r="N323" s="126">
        <v>0</v>
      </c>
      <c r="O323" s="126">
        <v>0</v>
      </c>
      <c r="Q323" s="134"/>
      <c r="R323" s="147"/>
      <c r="S323" s="46">
        <v>268.36</v>
      </c>
      <c r="T323" s="112"/>
      <c r="U323" s="56" t="s">
        <v>953</v>
      </c>
      <c r="V323" s="105" t="s">
        <v>585</v>
      </c>
    </row>
    <row r="324" spans="1:22" s="1" customFormat="1" ht="17.25" x14ac:dyDescent="0.3">
      <c r="A324" s="39">
        <v>14120806</v>
      </c>
      <c r="B324" s="40" t="s">
        <v>303</v>
      </c>
      <c r="C324" s="41" t="s">
        <v>824</v>
      </c>
      <c r="D324" s="42" t="s">
        <v>3</v>
      </c>
      <c r="E324" s="43" t="s">
        <v>581</v>
      </c>
      <c r="F324" s="43" t="s">
        <v>582</v>
      </c>
      <c r="G324" s="44">
        <v>89</v>
      </c>
      <c r="H324" s="43" t="s">
        <v>585</v>
      </c>
      <c r="I324" s="45" t="s">
        <v>1051</v>
      </c>
      <c r="J324" s="45" t="s">
        <v>561</v>
      </c>
      <c r="K324" s="126">
        <v>134.18</v>
      </c>
      <c r="L324" s="126">
        <v>134.18</v>
      </c>
      <c r="M324" s="126"/>
      <c r="N324" s="126">
        <v>0</v>
      </c>
      <c r="O324" s="126">
        <v>0</v>
      </c>
      <c r="P324" s="150"/>
      <c r="Q324" s="151"/>
      <c r="R324" s="147"/>
      <c r="S324" s="46">
        <v>268.36</v>
      </c>
      <c r="T324" s="112"/>
      <c r="U324" s="56" t="s">
        <v>953</v>
      </c>
      <c r="V324" s="105" t="s">
        <v>585</v>
      </c>
    </row>
    <row r="325" spans="1:22" s="18" customFormat="1" ht="17.25" x14ac:dyDescent="0.3">
      <c r="A325" s="39">
        <v>14120807</v>
      </c>
      <c r="B325" s="40" t="s">
        <v>304</v>
      </c>
      <c r="C325" s="41" t="s">
        <v>824</v>
      </c>
      <c r="D325" s="42" t="s">
        <v>3</v>
      </c>
      <c r="E325" s="43" t="s">
        <v>581</v>
      </c>
      <c r="F325" s="43" t="s">
        <v>582</v>
      </c>
      <c r="G325" s="44">
        <v>93</v>
      </c>
      <c r="H325" s="43" t="s">
        <v>583</v>
      </c>
      <c r="I325" s="45" t="s">
        <v>583</v>
      </c>
      <c r="J325" s="45" t="s">
        <v>561</v>
      </c>
      <c r="K325" s="126">
        <v>134.18</v>
      </c>
      <c r="L325" s="126">
        <v>134.18</v>
      </c>
      <c r="M325" s="126"/>
      <c r="N325" s="126">
        <v>200</v>
      </c>
      <c r="O325" s="126">
        <v>177.44</v>
      </c>
      <c r="P325" s="150"/>
      <c r="Q325" s="151"/>
      <c r="R325" s="147"/>
      <c r="S325" s="46">
        <v>645.79999999999995</v>
      </c>
      <c r="T325" s="112"/>
      <c r="U325" s="56" t="s">
        <v>953</v>
      </c>
      <c r="V325" s="105" t="s">
        <v>585</v>
      </c>
    </row>
    <row r="326" spans="1:22" s="1" customFormat="1" ht="17.25" x14ac:dyDescent="0.3">
      <c r="A326" s="40">
        <v>14120850</v>
      </c>
      <c r="B326" s="40" t="s">
        <v>306</v>
      </c>
      <c r="C326" s="41" t="s">
        <v>825</v>
      </c>
      <c r="D326" s="42" t="s">
        <v>3</v>
      </c>
      <c r="E326" s="43" t="s">
        <v>581</v>
      </c>
      <c r="F326" s="43" t="s">
        <v>582</v>
      </c>
      <c r="G326" s="44">
        <v>94</v>
      </c>
      <c r="H326" s="43" t="s">
        <v>583</v>
      </c>
      <c r="I326" s="45" t="s">
        <v>583</v>
      </c>
      <c r="J326" s="45" t="s">
        <v>561</v>
      </c>
      <c r="K326" s="126">
        <v>134.18</v>
      </c>
      <c r="L326" s="126">
        <v>134.18</v>
      </c>
      <c r="M326" s="126"/>
      <c r="N326" s="126">
        <v>200</v>
      </c>
      <c r="O326" s="126">
        <v>177.44</v>
      </c>
      <c r="Q326" s="134"/>
      <c r="R326" s="132"/>
      <c r="S326" s="46">
        <v>645.79999999999995</v>
      </c>
      <c r="T326" s="112"/>
      <c r="U326" s="56" t="s">
        <v>953</v>
      </c>
      <c r="V326" s="105" t="s">
        <v>585</v>
      </c>
    </row>
    <row r="327" spans="1:22" s="1" customFormat="1" ht="17.25" x14ac:dyDescent="0.3">
      <c r="A327" s="39">
        <v>14120885</v>
      </c>
      <c r="B327" s="40" t="s">
        <v>307</v>
      </c>
      <c r="C327" s="41" t="s">
        <v>826</v>
      </c>
      <c r="D327" s="42" t="s">
        <v>3</v>
      </c>
      <c r="E327" s="43" t="s">
        <v>581</v>
      </c>
      <c r="F327" s="43" t="s">
        <v>582</v>
      </c>
      <c r="G327" s="44">
        <v>93</v>
      </c>
      <c r="H327" s="43" t="s">
        <v>583</v>
      </c>
      <c r="I327" s="45" t="s">
        <v>583</v>
      </c>
      <c r="J327" s="45" t="s">
        <v>561</v>
      </c>
      <c r="K327" s="126">
        <v>134.18</v>
      </c>
      <c r="L327" s="126">
        <v>134.18</v>
      </c>
      <c r="M327" s="126"/>
      <c r="N327" s="126">
        <v>200</v>
      </c>
      <c r="O327" s="126">
        <v>177.44</v>
      </c>
      <c r="Q327" s="134"/>
      <c r="R327" s="147"/>
      <c r="S327" s="46">
        <v>645.79999999999995</v>
      </c>
      <c r="T327" s="112"/>
      <c r="U327" s="56" t="s">
        <v>953</v>
      </c>
      <c r="V327" s="105" t="s">
        <v>585</v>
      </c>
    </row>
    <row r="328" spans="1:22" s="1" customFormat="1" ht="17.25" x14ac:dyDescent="0.3">
      <c r="A328" s="39">
        <v>14120925</v>
      </c>
      <c r="B328" s="40" t="s">
        <v>309</v>
      </c>
      <c r="C328" s="41" t="s">
        <v>622</v>
      </c>
      <c r="D328" s="42" t="s">
        <v>3</v>
      </c>
      <c r="E328" s="43" t="s">
        <v>581</v>
      </c>
      <c r="F328" s="43" t="s">
        <v>582</v>
      </c>
      <c r="G328" s="44">
        <v>87</v>
      </c>
      <c r="H328" s="43" t="s">
        <v>585</v>
      </c>
      <c r="I328" s="45" t="s">
        <v>1051</v>
      </c>
      <c r="J328" s="45" t="s">
        <v>561</v>
      </c>
      <c r="K328" s="126">
        <v>134.18</v>
      </c>
      <c r="L328" s="126">
        <v>134.18</v>
      </c>
      <c r="M328" s="126"/>
      <c r="N328" s="126">
        <v>0</v>
      </c>
      <c r="O328" s="126">
        <v>0</v>
      </c>
      <c r="P328" s="150"/>
      <c r="Q328" s="151"/>
      <c r="R328" s="147"/>
      <c r="S328" s="46">
        <v>268.36</v>
      </c>
      <c r="T328" s="112"/>
      <c r="U328" s="56" t="s">
        <v>953</v>
      </c>
      <c r="V328" s="105" t="s">
        <v>585</v>
      </c>
    </row>
    <row r="329" spans="1:22" s="1" customFormat="1" ht="17.25" x14ac:dyDescent="0.3">
      <c r="A329" s="39">
        <v>14121013</v>
      </c>
      <c r="B329" s="50" t="s">
        <v>310</v>
      </c>
      <c r="C329" s="41" t="s">
        <v>827</v>
      </c>
      <c r="D329" s="42" t="s">
        <v>3</v>
      </c>
      <c r="E329" s="43" t="s">
        <v>581</v>
      </c>
      <c r="F329" s="43" t="s">
        <v>582</v>
      </c>
      <c r="G329" s="44">
        <v>93</v>
      </c>
      <c r="H329" s="43" t="s">
        <v>583</v>
      </c>
      <c r="I329" s="45" t="s">
        <v>1051</v>
      </c>
      <c r="J329" s="45" t="s">
        <v>561</v>
      </c>
      <c r="K329" s="126">
        <v>134.18</v>
      </c>
      <c r="L329" s="126">
        <v>134.18</v>
      </c>
      <c r="M329" s="126"/>
      <c r="N329" s="126">
        <v>0</v>
      </c>
      <c r="O329" s="126">
        <v>0</v>
      </c>
      <c r="Q329" s="134"/>
      <c r="R329" s="148"/>
      <c r="S329" s="46">
        <v>268.36</v>
      </c>
      <c r="T329" s="112"/>
      <c r="U329" s="56" t="s">
        <v>953</v>
      </c>
      <c r="V329" s="105" t="s">
        <v>585</v>
      </c>
    </row>
    <row r="330" spans="1:22" s="1" customFormat="1" ht="17.25" x14ac:dyDescent="0.3">
      <c r="A330" s="39">
        <v>14121015</v>
      </c>
      <c r="B330" s="48" t="s">
        <v>311</v>
      </c>
      <c r="C330" s="41" t="s">
        <v>827</v>
      </c>
      <c r="D330" s="42" t="s">
        <v>3</v>
      </c>
      <c r="E330" s="43" t="s">
        <v>581</v>
      </c>
      <c r="F330" s="43" t="s">
        <v>582</v>
      </c>
      <c r="G330" s="44">
        <v>87</v>
      </c>
      <c r="H330" s="43" t="s">
        <v>585</v>
      </c>
      <c r="I330" s="45" t="s">
        <v>1051</v>
      </c>
      <c r="J330" s="45" t="s">
        <v>561</v>
      </c>
      <c r="K330" s="126">
        <v>134.18</v>
      </c>
      <c r="L330" s="126">
        <v>134.18</v>
      </c>
      <c r="M330" s="126"/>
      <c r="N330" s="126">
        <v>0</v>
      </c>
      <c r="O330" s="126">
        <v>0</v>
      </c>
      <c r="P330" s="150"/>
      <c r="Q330" s="151"/>
      <c r="R330" s="147"/>
      <c r="S330" s="46">
        <v>268.36</v>
      </c>
      <c r="T330" s="112"/>
      <c r="U330" s="56" t="s">
        <v>953</v>
      </c>
      <c r="V330" s="105" t="s">
        <v>585</v>
      </c>
    </row>
    <row r="331" spans="1:22" s="1" customFormat="1" ht="17.25" x14ac:dyDescent="0.3">
      <c r="A331" s="39">
        <v>14121103</v>
      </c>
      <c r="B331" s="40" t="s">
        <v>312</v>
      </c>
      <c r="C331" s="41" t="s">
        <v>828</v>
      </c>
      <c r="D331" s="42" t="s">
        <v>3</v>
      </c>
      <c r="E331" s="43" t="s">
        <v>581</v>
      </c>
      <c r="F331" s="43" t="s">
        <v>582</v>
      </c>
      <c r="G331" s="44">
        <v>90</v>
      </c>
      <c r="H331" s="43" t="s">
        <v>583</v>
      </c>
      <c r="I331" s="45" t="s">
        <v>583</v>
      </c>
      <c r="J331" s="45" t="s">
        <v>561</v>
      </c>
      <c r="K331" s="126">
        <v>134.18</v>
      </c>
      <c r="L331" s="126">
        <v>134.18</v>
      </c>
      <c r="M331" s="126"/>
      <c r="N331" s="126">
        <v>200</v>
      </c>
      <c r="O331" s="126">
        <v>177.44</v>
      </c>
      <c r="P331" s="150"/>
      <c r="Q331" s="151"/>
      <c r="R331" s="147"/>
      <c r="S331" s="46">
        <v>645.79999999999995</v>
      </c>
      <c r="T331" s="112"/>
      <c r="U331" s="56" t="s">
        <v>953</v>
      </c>
      <c r="V331" s="105" t="s">
        <v>585</v>
      </c>
    </row>
    <row r="332" spans="1:22" s="1" customFormat="1" ht="17.25" x14ac:dyDescent="0.3">
      <c r="A332" s="39">
        <v>14121104</v>
      </c>
      <c r="B332" s="40" t="s">
        <v>313</v>
      </c>
      <c r="C332" s="41" t="s">
        <v>828</v>
      </c>
      <c r="D332" s="42" t="s">
        <v>3</v>
      </c>
      <c r="E332" s="43" t="s">
        <v>581</v>
      </c>
      <c r="F332" s="43" t="s">
        <v>582</v>
      </c>
      <c r="G332" s="44">
        <v>94</v>
      </c>
      <c r="H332" s="43" t="s">
        <v>583</v>
      </c>
      <c r="I332" s="45" t="s">
        <v>1051</v>
      </c>
      <c r="J332" s="45" t="s">
        <v>561</v>
      </c>
      <c r="K332" s="126">
        <v>134.18</v>
      </c>
      <c r="L332" s="126">
        <v>134.18</v>
      </c>
      <c r="M332" s="126"/>
      <c r="N332" s="126">
        <v>0</v>
      </c>
      <c r="O332" s="126">
        <v>0</v>
      </c>
      <c r="Q332" s="134"/>
      <c r="R332" s="148"/>
      <c r="S332" s="46">
        <v>268.36</v>
      </c>
      <c r="T332" s="112"/>
      <c r="U332" s="56" t="s">
        <v>953</v>
      </c>
      <c r="V332" s="105" t="s">
        <v>585</v>
      </c>
    </row>
    <row r="333" spans="1:22" s="1" customFormat="1" ht="17.25" x14ac:dyDescent="0.3">
      <c r="A333" s="39">
        <v>14121116</v>
      </c>
      <c r="B333" s="40" t="s">
        <v>319</v>
      </c>
      <c r="C333" s="41" t="s">
        <v>688</v>
      </c>
      <c r="D333" s="42" t="s">
        <v>3</v>
      </c>
      <c r="E333" s="43" t="s">
        <v>581</v>
      </c>
      <c r="F333" s="43" t="s">
        <v>582</v>
      </c>
      <c r="G333" s="44">
        <v>92</v>
      </c>
      <c r="H333" s="43" t="s">
        <v>583</v>
      </c>
      <c r="I333" s="45" t="s">
        <v>583</v>
      </c>
      <c r="J333" s="45" t="s">
        <v>561</v>
      </c>
      <c r="K333" s="126">
        <v>134.18</v>
      </c>
      <c r="L333" s="126">
        <v>134.18</v>
      </c>
      <c r="M333" s="126"/>
      <c r="N333" s="126">
        <v>200</v>
      </c>
      <c r="O333" s="126">
        <v>177.44</v>
      </c>
      <c r="P333" s="150"/>
      <c r="Q333" s="151"/>
      <c r="R333" s="147"/>
      <c r="S333" s="46">
        <v>645.79999999999995</v>
      </c>
      <c r="T333" s="112"/>
      <c r="U333" s="56" t="s">
        <v>953</v>
      </c>
      <c r="V333" s="105" t="s">
        <v>585</v>
      </c>
    </row>
    <row r="334" spans="1:22" s="1" customFormat="1" ht="17.25" x14ac:dyDescent="0.3">
      <c r="A334" s="39">
        <v>14121152</v>
      </c>
      <c r="B334" s="40" t="s">
        <v>320</v>
      </c>
      <c r="C334" s="41" t="s">
        <v>829</v>
      </c>
      <c r="D334" s="42" t="s">
        <v>3</v>
      </c>
      <c r="E334" s="43" t="s">
        <v>581</v>
      </c>
      <c r="F334" s="43" t="s">
        <v>582</v>
      </c>
      <c r="G334" s="44">
        <v>94</v>
      </c>
      <c r="H334" s="43" t="s">
        <v>583</v>
      </c>
      <c r="I334" s="45" t="s">
        <v>583</v>
      </c>
      <c r="J334" s="45" t="s">
        <v>561</v>
      </c>
      <c r="K334" s="126">
        <v>134.18</v>
      </c>
      <c r="L334" s="126">
        <v>134.18</v>
      </c>
      <c r="M334" s="126"/>
      <c r="N334" s="126">
        <v>200</v>
      </c>
      <c r="O334" s="126">
        <v>177.44</v>
      </c>
      <c r="P334" s="150"/>
      <c r="Q334" s="151"/>
      <c r="R334" s="147"/>
      <c r="S334" s="46">
        <v>645.79999999999995</v>
      </c>
      <c r="T334" s="112"/>
      <c r="U334" s="56" t="s">
        <v>953</v>
      </c>
      <c r="V334" s="105" t="s">
        <v>2034</v>
      </c>
    </row>
    <row r="335" spans="1:22" s="1" customFormat="1" ht="17.25" x14ac:dyDescent="0.3">
      <c r="A335" s="39">
        <v>14121153</v>
      </c>
      <c r="B335" s="40" t="s">
        <v>321</v>
      </c>
      <c r="C335" s="41" t="s">
        <v>829</v>
      </c>
      <c r="D335" s="42" t="s">
        <v>3</v>
      </c>
      <c r="E335" s="43" t="s">
        <v>581</v>
      </c>
      <c r="F335" s="43" t="s">
        <v>582</v>
      </c>
      <c r="G335" s="44">
        <v>89</v>
      </c>
      <c r="H335" s="43" t="s">
        <v>585</v>
      </c>
      <c r="I335" s="45" t="s">
        <v>583</v>
      </c>
      <c r="J335" s="45" t="s">
        <v>587</v>
      </c>
      <c r="K335" s="126">
        <v>134.18</v>
      </c>
      <c r="L335" s="126">
        <v>134.18</v>
      </c>
      <c r="M335" s="126"/>
      <c r="N335" s="126">
        <v>0</v>
      </c>
      <c r="O335" s="126">
        <v>0</v>
      </c>
      <c r="Q335" s="134"/>
      <c r="R335" s="148"/>
      <c r="S335" s="46">
        <v>268.36</v>
      </c>
      <c r="T335" s="112"/>
      <c r="U335" s="56" t="s">
        <v>953</v>
      </c>
      <c r="V335" s="105" t="s">
        <v>2034</v>
      </c>
    </row>
    <row r="336" spans="1:22" s="1" customFormat="1" ht="17.25" x14ac:dyDescent="0.3">
      <c r="A336" s="39">
        <v>14121158</v>
      </c>
      <c r="B336" s="40" t="s">
        <v>322</v>
      </c>
      <c r="C336" s="41" t="s">
        <v>829</v>
      </c>
      <c r="D336" s="42" t="s">
        <v>3</v>
      </c>
      <c r="E336" s="43" t="s">
        <v>581</v>
      </c>
      <c r="F336" s="43" t="s">
        <v>582</v>
      </c>
      <c r="G336" s="44">
        <v>92</v>
      </c>
      <c r="H336" s="43" t="s">
        <v>583</v>
      </c>
      <c r="I336" s="45" t="s">
        <v>1051</v>
      </c>
      <c r="J336" s="45" t="s">
        <v>561</v>
      </c>
      <c r="K336" s="126">
        <v>134.18</v>
      </c>
      <c r="L336" s="126">
        <v>134.18</v>
      </c>
      <c r="M336" s="126"/>
      <c r="N336" s="126">
        <v>0</v>
      </c>
      <c r="O336" s="126">
        <v>0</v>
      </c>
      <c r="P336" s="150"/>
      <c r="Q336" s="151"/>
      <c r="R336" s="147"/>
      <c r="S336" s="46">
        <v>268.36</v>
      </c>
      <c r="T336" s="112"/>
      <c r="U336" s="56" t="s">
        <v>953</v>
      </c>
      <c r="V336" s="105" t="s">
        <v>585</v>
      </c>
    </row>
    <row r="337" spans="1:22" s="1" customFormat="1" ht="17.25" x14ac:dyDescent="0.3">
      <c r="A337" s="39">
        <v>14121159</v>
      </c>
      <c r="B337" s="40" t="s">
        <v>323</v>
      </c>
      <c r="C337" s="41" t="s">
        <v>829</v>
      </c>
      <c r="D337" s="42" t="s">
        <v>3</v>
      </c>
      <c r="E337" s="43" t="s">
        <v>581</v>
      </c>
      <c r="F337" s="43" t="s">
        <v>582</v>
      </c>
      <c r="G337" s="44">
        <v>91</v>
      </c>
      <c r="H337" s="43" t="s">
        <v>583</v>
      </c>
      <c r="I337" s="45" t="s">
        <v>583</v>
      </c>
      <c r="J337" s="45" t="s">
        <v>587</v>
      </c>
      <c r="K337" s="126">
        <v>134.18</v>
      </c>
      <c r="L337" s="126">
        <v>134.18</v>
      </c>
      <c r="M337" s="126"/>
      <c r="N337" s="126">
        <v>200</v>
      </c>
      <c r="O337" s="126">
        <v>0</v>
      </c>
      <c r="P337" s="150"/>
      <c r="Q337" s="151"/>
      <c r="R337" s="147"/>
      <c r="S337" s="46">
        <v>468.36</v>
      </c>
      <c r="T337" s="112"/>
      <c r="U337" s="56" t="s">
        <v>953</v>
      </c>
      <c r="V337" s="105" t="s">
        <v>585</v>
      </c>
    </row>
    <row r="338" spans="1:22" s="1" customFormat="1" ht="17.25" x14ac:dyDescent="0.3">
      <c r="A338" s="39">
        <v>14121193</v>
      </c>
      <c r="B338" s="40" t="s">
        <v>324</v>
      </c>
      <c r="C338" s="41" t="s">
        <v>765</v>
      </c>
      <c r="D338" s="42" t="s">
        <v>3</v>
      </c>
      <c r="E338" s="43" t="s">
        <v>581</v>
      </c>
      <c r="F338" s="43" t="s">
        <v>582</v>
      </c>
      <c r="G338" s="44">
        <v>94</v>
      </c>
      <c r="H338" s="43" t="s">
        <v>583</v>
      </c>
      <c r="I338" s="45" t="s">
        <v>583</v>
      </c>
      <c r="J338" s="45" t="s">
        <v>561</v>
      </c>
      <c r="K338" s="126">
        <v>134.18</v>
      </c>
      <c r="L338" s="126">
        <v>134.18</v>
      </c>
      <c r="M338" s="126"/>
      <c r="N338" s="126">
        <v>200</v>
      </c>
      <c r="O338" s="126">
        <v>177.44</v>
      </c>
      <c r="P338" s="150"/>
      <c r="Q338" s="151"/>
      <c r="R338" s="147"/>
      <c r="S338" s="46">
        <v>645.79999999999995</v>
      </c>
      <c r="T338" s="112"/>
      <c r="U338" s="56" t="s">
        <v>953</v>
      </c>
      <c r="V338" s="105" t="s">
        <v>585</v>
      </c>
    </row>
    <row r="339" spans="1:22" s="1" customFormat="1" ht="17.25" x14ac:dyDescent="0.3">
      <c r="A339" s="39">
        <v>14121235</v>
      </c>
      <c r="B339" s="40" t="s">
        <v>326</v>
      </c>
      <c r="C339" s="41" t="s">
        <v>590</v>
      </c>
      <c r="D339" s="42" t="s">
        <v>3</v>
      </c>
      <c r="E339" s="43" t="s">
        <v>581</v>
      </c>
      <c r="F339" s="43" t="s">
        <v>582</v>
      </c>
      <c r="G339" s="44">
        <v>92</v>
      </c>
      <c r="H339" s="43" t="s">
        <v>583</v>
      </c>
      <c r="I339" s="45" t="s">
        <v>583</v>
      </c>
      <c r="J339" s="45" t="s">
        <v>561</v>
      </c>
      <c r="K339" s="126">
        <v>134.18</v>
      </c>
      <c r="L339" s="126">
        <v>134.18</v>
      </c>
      <c r="M339" s="126"/>
      <c r="N339" s="126">
        <v>200</v>
      </c>
      <c r="O339" s="126">
        <v>177.44</v>
      </c>
      <c r="P339" s="150"/>
      <c r="Q339" s="151"/>
      <c r="R339" s="147"/>
      <c r="S339" s="46">
        <v>645.79999999999995</v>
      </c>
      <c r="T339" s="112"/>
      <c r="U339" s="56" t="s">
        <v>953</v>
      </c>
      <c r="V339" s="105" t="s">
        <v>585</v>
      </c>
    </row>
    <row r="340" spans="1:22" s="1" customFormat="1" ht="17.25" x14ac:dyDescent="0.3">
      <c r="A340" s="39">
        <v>14121238</v>
      </c>
      <c r="B340" s="40" t="s">
        <v>327</v>
      </c>
      <c r="C340" s="41" t="s">
        <v>590</v>
      </c>
      <c r="D340" s="42" t="s">
        <v>3</v>
      </c>
      <c r="E340" s="43" t="s">
        <v>581</v>
      </c>
      <c r="F340" s="43" t="s">
        <v>740</v>
      </c>
      <c r="G340" s="44">
        <v>92</v>
      </c>
      <c r="H340" s="43" t="s">
        <v>583</v>
      </c>
      <c r="I340" s="45" t="s">
        <v>1051</v>
      </c>
      <c r="J340" s="45" t="s">
        <v>561</v>
      </c>
      <c r="K340" s="126">
        <v>134.18</v>
      </c>
      <c r="L340" s="126">
        <v>0</v>
      </c>
      <c r="M340" s="126"/>
      <c r="N340" s="126">
        <v>0</v>
      </c>
      <c r="O340" s="126">
        <v>0</v>
      </c>
      <c r="Q340" s="134"/>
      <c r="R340" s="148"/>
      <c r="S340" s="46">
        <v>134.18</v>
      </c>
      <c r="T340" s="112"/>
      <c r="U340" s="56" t="s">
        <v>953</v>
      </c>
      <c r="V340" s="105" t="s">
        <v>585</v>
      </c>
    </row>
    <row r="341" spans="1:22" s="1" customFormat="1" ht="17.25" x14ac:dyDescent="0.3">
      <c r="A341" s="39">
        <v>14121239</v>
      </c>
      <c r="B341" s="40" t="s">
        <v>328</v>
      </c>
      <c r="C341" s="41" t="s">
        <v>590</v>
      </c>
      <c r="D341" s="42" t="s">
        <v>3</v>
      </c>
      <c r="E341" s="43" t="s">
        <v>581</v>
      </c>
      <c r="F341" s="43" t="s">
        <v>582</v>
      </c>
      <c r="G341" s="44">
        <v>88</v>
      </c>
      <c r="H341" s="43" t="s">
        <v>585</v>
      </c>
      <c r="I341" s="45" t="s">
        <v>1051</v>
      </c>
      <c r="J341" s="45" t="s">
        <v>561</v>
      </c>
      <c r="K341" s="126">
        <v>134.18</v>
      </c>
      <c r="L341" s="126">
        <v>134.18</v>
      </c>
      <c r="M341" s="126"/>
      <c r="N341" s="126">
        <v>0</v>
      </c>
      <c r="O341" s="126">
        <v>0</v>
      </c>
      <c r="P341" s="150"/>
      <c r="Q341" s="151"/>
      <c r="R341" s="147"/>
      <c r="S341" s="46">
        <v>268.36</v>
      </c>
      <c r="T341" s="112"/>
      <c r="U341" s="56" t="s">
        <v>953</v>
      </c>
      <c r="V341" s="105" t="s">
        <v>585</v>
      </c>
    </row>
    <row r="342" spans="1:22" s="1" customFormat="1" ht="17.25" x14ac:dyDescent="0.3">
      <c r="A342" s="39">
        <v>14121266</v>
      </c>
      <c r="B342" s="40" t="s">
        <v>329</v>
      </c>
      <c r="C342" s="41" t="s">
        <v>830</v>
      </c>
      <c r="D342" s="42" t="s">
        <v>3</v>
      </c>
      <c r="E342" s="43" t="s">
        <v>581</v>
      </c>
      <c r="F342" s="43" t="s">
        <v>582</v>
      </c>
      <c r="G342" s="44">
        <v>92</v>
      </c>
      <c r="H342" s="43" t="s">
        <v>583</v>
      </c>
      <c r="I342" s="45" t="s">
        <v>583</v>
      </c>
      <c r="J342" s="45" t="s">
        <v>561</v>
      </c>
      <c r="K342" s="126">
        <v>134.18</v>
      </c>
      <c r="L342" s="126">
        <v>134.18</v>
      </c>
      <c r="M342" s="126"/>
      <c r="N342" s="126">
        <v>200</v>
      </c>
      <c r="O342" s="126">
        <v>177.44</v>
      </c>
      <c r="P342" s="150"/>
      <c r="Q342" s="151"/>
      <c r="R342" s="147"/>
      <c r="S342" s="46">
        <v>645.79999999999995</v>
      </c>
      <c r="T342" s="112"/>
      <c r="U342" s="56" t="s">
        <v>953</v>
      </c>
      <c r="V342" s="105" t="s">
        <v>585</v>
      </c>
    </row>
    <row r="343" spans="1:22" s="18" customFormat="1" ht="17.25" x14ac:dyDescent="0.3">
      <c r="A343" s="39">
        <v>14121271</v>
      </c>
      <c r="B343" s="40" t="s">
        <v>330</v>
      </c>
      <c r="C343" s="41" t="s">
        <v>830</v>
      </c>
      <c r="D343" s="42" t="s">
        <v>3</v>
      </c>
      <c r="E343" s="43" t="s">
        <v>581</v>
      </c>
      <c r="F343" s="43" t="s">
        <v>582</v>
      </c>
      <c r="G343" s="44">
        <v>68</v>
      </c>
      <c r="H343" s="43" t="s">
        <v>585</v>
      </c>
      <c r="I343" s="45" t="s">
        <v>1051</v>
      </c>
      <c r="J343" s="45" t="s">
        <v>561</v>
      </c>
      <c r="K343" s="126">
        <v>134.18</v>
      </c>
      <c r="L343" s="126">
        <v>134.18</v>
      </c>
      <c r="M343" s="126"/>
      <c r="N343" s="126">
        <v>0</v>
      </c>
      <c r="O343" s="126">
        <v>0</v>
      </c>
      <c r="P343" s="1"/>
      <c r="Q343" s="134"/>
      <c r="R343" s="147"/>
      <c r="S343" s="46">
        <v>268.36</v>
      </c>
      <c r="T343" s="112"/>
      <c r="U343" s="56" t="s">
        <v>953</v>
      </c>
      <c r="V343" s="105" t="s">
        <v>585</v>
      </c>
    </row>
    <row r="344" spans="1:22" s="1" customFormat="1" ht="17.25" x14ac:dyDescent="0.3">
      <c r="A344" s="39">
        <v>14121328</v>
      </c>
      <c r="B344" s="40" t="s">
        <v>331</v>
      </c>
      <c r="C344" s="41" t="s">
        <v>831</v>
      </c>
      <c r="D344" s="42" t="s">
        <v>3</v>
      </c>
      <c r="E344" s="43" t="s">
        <v>581</v>
      </c>
      <c r="F344" s="43" t="s">
        <v>582</v>
      </c>
      <c r="G344" s="44">
        <v>89</v>
      </c>
      <c r="H344" s="43" t="s">
        <v>585</v>
      </c>
      <c r="I344" s="45" t="s">
        <v>1051</v>
      </c>
      <c r="J344" s="45" t="s">
        <v>561</v>
      </c>
      <c r="K344" s="126">
        <v>134.18</v>
      </c>
      <c r="L344" s="126">
        <v>134.18</v>
      </c>
      <c r="M344" s="126"/>
      <c r="N344" s="126">
        <v>0</v>
      </c>
      <c r="O344" s="126">
        <v>0</v>
      </c>
      <c r="P344" s="150"/>
      <c r="Q344" s="151"/>
      <c r="R344" s="147"/>
      <c r="S344" s="46">
        <v>268.36</v>
      </c>
      <c r="T344" s="112"/>
      <c r="U344" s="56" t="s">
        <v>953</v>
      </c>
      <c r="V344" s="105" t="s">
        <v>585</v>
      </c>
    </row>
    <row r="345" spans="1:22" s="18" customFormat="1" ht="17.25" x14ac:dyDescent="0.3">
      <c r="A345" s="39">
        <v>14121398</v>
      </c>
      <c r="B345" s="40" t="s">
        <v>333</v>
      </c>
      <c r="C345" s="41" t="s">
        <v>832</v>
      </c>
      <c r="D345" s="42" t="s">
        <v>3</v>
      </c>
      <c r="E345" s="43" t="s">
        <v>581</v>
      </c>
      <c r="F345" s="43" t="s">
        <v>582</v>
      </c>
      <c r="G345" s="44">
        <v>94</v>
      </c>
      <c r="H345" s="43" t="s">
        <v>583</v>
      </c>
      <c r="I345" s="45" t="s">
        <v>583</v>
      </c>
      <c r="J345" s="45" t="s">
        <v>561</v>
      </c>
      <c r="K345" s="126">
        <v>134.18</v>
      </c>
      <c r="L345" s="126">
        <v>134.18</v>
      </c>
      <c r="M345" s="126"/>
      <c r="N345" s="126">
        <v>200</v>
      </c>
      <c r="O345" s="126">
        <v>177.44</v>
      </c>
      <c r="P345" s="150"/>
      <c r="Q345" s="151"/>
      <c r="R345" s="147"/>
      <c r="S345" s="46">
        <v>645.79999999999995</v>
      </c>
      <c r="T345" s="112"/>
      <c r="U345" s="56" t="s">
        <v>953</v>
      </c>
      <c r="V345" s="105" t="s">
        <v>585</v>
      </c>
    </row>
    <row r="346" spans="1:22" s="1" customFormat="1" ht="17.25" x14ac:dyDescent="0.3">
      <c r="A346" s="39">
        <v>14121522</v>
      </c>
      <c r="B346" s="40" t="s">
        <v>337</v>
      </c>
      <c r="C346" s="41" t="s">
        <v>833</v>
      </c>
      <c r="D346" s="42" t="s">
        <v>3</v>
      </c>
      <c r="E346" s="43" t="s">
        <v>581</v>
      </c>
      <c r="F346" s="43" t="s">
        <v>582</v>
      </c>
      <c r="G346" s="44">
        <v>93</v>
      </c>
      <c r="H346" s="43" t="s">
        <v>583</v>
      </c>
      <c r="I346" s="45" t="s">
        <v>583</v>
      </c>
      <c r="J346" s="45" t="s">
        <v>561</v>
      </c>
      <c r="K346" s="126">
        <v>134.18</v>
      </c>
      <c r="L346" s="126">
        <v>134.18</v>
      </c>
      <c r="M346" s="126"/>
      <c r="N346" s="126">
        <v>200</v>
      </c>
      <c r="O346" s="126">
        <v>177.44</v>
      </c>
      <c r="P346" s="150"/>
      <c r="Q346" s="151"/>
      <c r="R346" s="147"/>
      <c r="S346" s="46">
        <v>645.79999999999995</v>
      </c>
      <c r="T346" s="112"/>
      <c r="U346" s="56" t="s">
        <v>953</v>
      </c>
      <c r="V346" s="105" t="s">
        <v>585</v>
      </c>
    </row>
    <row r="347" spans="1:22" s="1" customFormat="1" ht="17.25" x14ac:dyDescent="0.3">
      <c r="A347" s="39">
        <v>14121523</v>
      </c>
      <c r="B347" s="40" t="s">
        <v>338</v>
      </c>
      <c r="C347" s="41" t="s">
        <v>833</v>
      </c>
      <c r="D347" s="42" t="s">
        <v>3</v>
      </c>
      <c r="E347" s="43" t="s">
        <v>581</v>
      </c>
      <c r="F347" s="43" t="s">
        <v>582</v>
      </c>
      <c r="G347" s="44">
        <v>93</v>
      </c>
      <c r="H347" s="43" t="s">
        <v>583</v>
      </c>
      <c r="I347" s="45" t="s">
        <v>1051</v>
      </c>
      <c r="J347" s="45" t="s">
        <v>561</v>
      </c>
      <c r="K347" s="126">
        <v>134.18</v>
      </c>
      <c r="L347" s="126">
        <v>134.18</v>
      </c>
      <c r="M347" s="126"/>
      <c r="N347" s="126">
        <v>0</v>
      </c>
      <c r="O347" s="126">
        <v>0</v>
      </c>
      <c r="P347" s="150"/>
      <c r="Q347" s="151"/>
      <c r="R347" s="147"/>
      <c r="S347" s="46">
        <v>268.36</v>
      </c>
      <c r="T347" s="112"/>
      <c r="U347" s="56" t="s">
        <v>953</v>
      </c>
      <c r="V347" s="105" t="s">
        <v>585</v>
      </c>
    </row>
    <row r="348" spans="1:22" s="1" customFormat="1" ht="17.25" x14ac:dyDescent="0.3">
      <c r="A348" s="39">
        <v>14121543</v>
      </c>
      <c r="B348" s="40" t="s">
        <v>339</v>
      </c>
      <c r="C348" s="41" t="s">
        <v>834</v>
      </c>
      <c r="D348" s="42" t="s">
        <v>3</v>
      </c>
      <c r="E348" s="43" t="s">
        <v>581</v>
      </c>
      <c r="F348" s="43" t="s">
        <v>582</v>
      </c>
      <c r="G348" s="44">
        <v>93</v>
      </c>
      <c r="H348" s="43" t="s">
        <v>583</v>
      </c>
      <c r="I348" s="45" t="s">
        <v>583</v>
      </c>
      <c r="J348" s="45" t="s">
        <v>561</v>
      </c>
      <c r="K348" s="126">
        <v>134.18</v>
      </c>
      <c r="L348" s="126">
        <v>134.18</v>
      </c>
      <c r="M348" s="126"/>
      <c r="N348" s="126">
        <v>200</v>
      </c>
      <c r="O348" s="126">
        <v>177.44</v>
      </c>
      <c r="Q348" s="134"/>
      <c r="R348" s="148"/>
      <c r="S348" s="46">
        <v>645.79999999999995</v>
      </c>
      <c r="T348" s="112"/>
      <c r="U348" s="56" t="s">
        <v>953</v>
      </c>
      <c r="V348" s="105" t="s">
        <v>585</v>
      </c>
    </row>
    <row r="349" spans="1:22" s="1" customFormat="1" ht="17.25" x14ac:dyDescent="0.3">
      <c r="A349" s="39">
        <v>14121545</v>
      </c>
      <c r="B349" s="40" t="s">
        <v>340</v>
      </c>
      <c r="C349" s="41" t="s">
        <v>834</v>
      </c>
      <c r="D349" s="42" t="s">
        <v>3</v>
      </c>
      <c r="E349" s="43" t="s">
        <v>581</v>
      </c>
      <c r="F349" s="43" t="s">
        <v>582</v>
      </c>
      <c r="G349" s="44">
        <v>92</v>
      </c>
      <c r="H349" s="43" t="s">
        <v>583</v>
      </c>
      <c r="I349" s="45" t="s">
        <v>583</v>
      </c>
      <c r="J349" s="45" t="s">
        <v>561</v>
      </c>
      <c r="K349" s="126">
        <v>134.18</v>
      </c>
      <c r="L349" s="126">
        <v>134.18</v>
      </c>
      <c r="M349" s="126"/>
      <c r="N349" s="126">
        <v>200</v>
      </c>
      <c r="O349" s="126">
        <v>177.44</v>
      </c>
      <c r="Q349" s="134"/>
      <c r="R349" s="147"/>
      <c r="S349" s="46">
        <v>645.79999999999995</v>
      </c>
      <c r="T349" s="112"/>
      <c r="U349" s="56" t="s">
        <v>953</v>
      </c>
      <c r="V349" s="105" t="s">
        <v>585</v>
      </c>
    </row>
    <row r="350" spans="1:22" s="1" customFormat="1" ht="17.25" x14ac:dyDescent="0.3">
      <c r="A350" s="39">
        <v>14121571</v>
      </c>
      <c r="B350" s="40" t="s">
        <v>342</v>
      </c>
      <c r="C350" s="41" t="s">
        <v>835</v>
      </c>
      <c r="D350" s="42" t="s">
        <v>3</v>
      </c>
      <c r="E350" s="43" t="s">
        <v>581</v>
      </c>
      <c r="F350" s="43" t="s">
        <v>582</v>
      </c>
      <c r="G350" s="44">
        <v>93</v>
      </c>
      <c r="H350" s="43" t="s">
        <v>583</v>
      </c>
      <c r="I350" s="45" t="s">
        <v>583</v>
      </c>
      <c r="J350" s="45" t="s">
        <v>561</v>
      </c>
      <c r="K350" s="126">
        <v>134.18</v>
      </c>
      <c r="L350" s="126">
        <v>134.18</v>
      </c>
      <c r="M350" s="126"/>
      <c r="N350" s="126">
        <v>200</v>
      </c>
      <c r="O350" s="126">
        <v>177.44</v>
      </c>
      <c r="P350" s="150"/>
      <c r="Q350" s="151"/>
      <c r="R350" s="147"/>
      <c r="S350" s="46">
        <v>645.79999999999995</v>
      </c>
      <c r="T350" s="112"/>
      <c r="U350" s="56" t="s">
        <v>953</v>
      </c>
      <c r="V350" s="105" t="s">
        <v>585</v>
      </c>
    </row>
    <row r="351" spans="1:22" s="1" customFormat="1" ht="17.25" x14ac:dyDescent="0.3">
      <c r="A351" s="39">
        <v>14121582</v>
      </c>
      <c r="B351" s="40" t="s">
        <v>343</v>
      </c>
      <c r="C351" s="41" t="s">
        <v>836</v>
      </c>
      <c r="D351" s="42" t="s">
        <v>3</v>
      </c>
      <c r="E351" s="43" t="s">
        <v>581</v>
      </c>
      <c r="F351" s="43" t="s">
        <v>582</v>
      </c>
      <c r="G351" s="44">
        <v>91</v>
      </c>
      <c r="H351" s="43" t="s">
        <v>583</v>
      </c>
      <c r="I351" s="45" t="s">
        <v>583</v>
      </c>
      <c r="J351" s="45" t="s">
        <v>561</v>
      </c>
      <c r="K351" s="126">
        <v>134.18</v>
      </c>
      <c r="L351" s="126">
        <v>134.18</v>
      </c>
      <c r="M351" s="126"/>
      <c r="N351" s="126">
        <v>200</v>
      </c>
      <c r="O351" s="126">
        <v>177.44</v>
      </c>
      <c r="P351" s="150"/>
      <c r="Q351" s="151"/>
      <c r="R351" s="147"/>
      <c r="S351" s="46">
        <v>645.79999999999995</v>
      </c>
      <c r="T351" s="112"/>
      <c r="U351" s="56" t="s">
        <v>953</v>
      </c>
      <c r="V351" s="105" t="s">
        <v>585</v>
      </c>
    </row>
    <row r="352" spans="1:22" s="1" customFormat="1" ht="17.25" x14ac:dyDescent="0.3">
      <c r="A352" s="40">
        <v>14121598</v>
      </c>
      <c r="B352" s="40" t="s">
        <v>345</v>
      </c>
      <c r="C352" s="41" t="s">
        <v>837</v>
      </c>
      <c r="D352" s="42" t="s">
        <v>3</v>
      </c>
      <c r="E352" s="43" t="s">
        <v>581</v>
      </c>
      <c r="F352" s="43" t="s">
        <v>582</v>
      </c>
      <c r="G352" s="44">
        <v>93</v>
      </c>
      <c r="H352" s="43" t="s">
        <v>583</v>
      </c>
      <c r="I352" s="45" t="s">
        <v>1051</v>
      </c>
      <c r="J352" s="45" t="s">
        <v>561</v>
      </c>
      <c r="K352" s="126">
        <v>134.18</v>
      </c>
      <c r="L352" s="126">
        <v>134.18</v>
      </c>
      <c r="M352" s="126"/>
      <c r="N352" s="126">
        <v>0</v>
      </c>
      <c r="O352" s="126">
        <v>0</v>
      </c>
      <c r="Q352" s="134"/>
      <c r="R352" s="132"/>
      <c r="S352" s="46">
        <v>268.36</v>
      </c>
      <c r="T352" s="112"/>
      <c r="U352" s="56" t="s">
        <v>953</v>
      </c>
      <c r="V352" s="105" t="s">
        <v>585</v>
      </c>
    </row>
    <row r="353" spans="1:22" s="1" customFormat="1" ht="17.25" x14ac:dyDescent="0.3">
      <c r="A353" s="39">
        <v>14121600</v>
      </c>
      <c r="B353" s="40" t="s">
        <v>346</v>
      </c>
      <c r="C353" s="41" t="s">
        <v>837</v>
      </c>
      <c r="D353" s="42" t="s">
        <v>3</v>
      </c>
      <c r="E353" s="43" t="s">
        <v>581</v>
      </c>
      <c r="F353" s="43" t="s">
        <v>582</v>
      </c>
      <c r="G353" s="44">
        <v>94</v>
      </c>
      <c r="H353" s="43" t="s">
        <v>583</v>
      </c>
      <c r="I353" s="45" t="s">
        <v>1051</v>
      </c>
      <c r="J353" s="45" t="s">
        <v>561</v>
      </c>
      <c r="K353" s="126">
        <v>134.18</v>
      </c>
      <c r="L353" s="126">
        <v>134.18</v>
      </c>
      <c r="M353" s="126"/>
      <c r="N353" s="126">
        <v>0</v>
      </c>
      <c r="O353" s="126">
        <v>0</v>
      </c>
      <c r="P353" s="150"/>
      <c r="Q353" s="151"/>
      <c r="R353" s="147"/>
      <c r="S353" s="46">
        <v>268.36</v>
      </c>
      <c r="T353" s="112"/>
      <c r="U353" s="56" t="s">
        <v>953</v>
      </c>
      <c r="V353" s="105" t="s">
        <v>585</v>
      </c>
    </row>
    <row r="354" spans="1:22" s="1" customFormat="1" ht="17.25" x14ac:dyDescent="0.3">
      <c r="A354" s="39">
        <v>14121672</v>
      </c>
      <c r="B354" s="40" t="s">
        <v>349</v>
      </c>
      <c r="C354" s="41" t="s">
        <v>838</v>
      </c>
      <c r="D354" s="42" t="s">
        <v>3</v>
      </c>
      <c r="E354" s="43" t="s">
        <v>581</v>
      </c>
      <c r="F354" s="43" t="s">
        <v>582</v>
      </c>
      <c r="G354" s="44">
        <v>93</v>
      </c>
      <c r="H354" s="43" t="s">
        <v>583</v>
      </c>
      <c r="I354" s="45" t="s">
        <v>583</v>
      </c>
      <c r="J354" s="45" t="s">
        <v>561</v>
      </c>
      <c r="K354" s="126">
        <v>134.18</v>
      </c>
      <c r="L354" s="126">
        <v>134.18</v>
      </c>
      <c r="M354" s="126"/>
      <c r="N354" s="126">
        <v>200</v>
      </c>
      <c r="O354" s="126">
        <v>177.44</v>
      </c>
      <c r="Q354" s="134"/>
      <c r="R354" s="148"/>
      <c r="S354" s="46">
        <v>645.79999999999995</v>
      </c>
      <c r="T354" s="112"/>
      <c r="U354" s="56" t="s">
        <v>953</v>
      </c>
      <c r="V354" s="105" t="s">
        <v>585</v>
      </c>
    </row>
    <row r="355" spans="1:22" s="1" customFormat="1" ht="17.25" x14ac:dyDescent="0.3">
      <c r="A355" s="39">
        <v>14121677</v>
      </c>
      <c r="B355" s="40" t="s">
        <v>350</v>
      </c>
      <c r="C355" s="41" t="s">
        <v>838</v>
      </c>
      <c r="D355" s="42" t="s">
        <v>3</v>
      </c>
      <c r="E355" s="43" t="s">
        <v>581</v>
      </c>
      <c r="F355" s="43" t="s">
        <v>582</v>
      </c>
      <c r="G355" s="44">
        <v>67</v>
      </c>
      <c r="H355" s="43" t="s">
        <v>585</v>
      </c>
      <c r="I355" s="45" t="s">
        <v>1051</v>
      </c>
      <c r="J355" s="45" t="s">
        <v>561</v>
      </c>
      <c r="K355" s="126">
        <v>134.18</v>
      </c>
      <c r="L355" s="126">
        <v>134.18</v>
      </c>
      <c r="M355" s="126"/>
      <c r="N355" s="126">
        <v>0</v>
      </c>
      <c r="O355" s="126">
        <v>0</v>
      </c>
      <c r="Q355" s="134"/>
      <c r="R355" s="148"/>
      <c r="S355" s="46">
        <v>268.36</v>
      </c>
      <c r="T355" s="112"/>
      <c r="U355" s="56" t="s">
        <v>953</v>
      </c>
      <c r="V355" s="105" t="s">
        <v>585</v>
      </c>
    </row>
    <row r="356" spans="1:22" s="1" customFormat="1" ht="17.25" x14ac:dyDescent="0.3">
      <c r="A356" s="40">
        <v>14121728</v>
      </c>
      <c r="B356" s="40" t="s">
        <v>352</v>
      </c>
      <c r="C356" s="41" t="s">
        <v>839</v>
      </c>
      <c r="D356" s="42" t="s">
        <v>3</v>
      </c>
      <c r="E356" s="43" t="s">
        <v>581</v>
      </c>
      <c r="F356" s="43" t="s">
        <v>582</v>
      </c>
      <c r="G356" s="44">
        <v>71</v>
      </c>
      <c r="H356" s="43" t="s">
        <v>585</v>
      </c>
      <c r="I356" s="45" t="s">
        <v>1051</v>
      </c>
      <c r="J356" s="45" t="s">
        <v>561</v>
      </c>
      <c r="K356" s="126">
        <v>134.18</v>
      </c>
      <c r="L356" s="126">
        <v>134.18</v>
      </c>
      <c r="M356" s="126"/>
      <c r="N356" s="126">
        <v>0</v>
      </c>
      <c r="O356" s="126">
        <v>0</v>
      </c>
      <c r="Q356" s="134"/>
      <c r="R356" s="132"/>
      <c r="S356" s="46">
        <v>268.36</v>
      </c>
      <c r="T356" s="112"/>
      <c r="U356" s="56" t="s">
        <v>953</v>
      </c>
      <c r="V356" s="105" t="s">
        <v>585</v>
      </c>
    </row>
    <row r="357" spans="1:22" s="1" customFormat="1" ht="17.25" x14ac:dyDescent="0.3">
      <c r="A357" s="39">
        <v>14121733</v>
      </c>
      <c r="B357" s="40" t="s">
        <v>353</v>
      </c>
      <c r="C357" s="41" t="s">
        <v>724</v>
      </c>
      <c r="D357" s="42" t="s">
        <v>3</v>
      </c>
      <c r="E357" s="43" t="s">
        <v>581</v>
      </c>
      <c r="F357" s="43" t="s">
        <v>582</v>
      </c>
      <c r="G357" s="44">
        <v>92</v>
      </c>
      <c r="H357" s="43" t="s">
        <v>583</v>
      </c>
      <c r="I357" s="45" t="s">
        <v>1051</v>
      </c>
      <c r="J357" s="45" t="s">
        <v>561</v>
      </c>
      <c r="K357" s="126">
        <v>134.18</v>
      </c>
      <c r="L357" s="126">
        <v>134.18</v>
      </c>
      <c r="M357" s="126"/>
      <c r="N357" s="126">
        <v>0</v>
      </c>
      <c r="O357" s="126">
        <v>0</v>
      </c>
      <c r="P357" s="150"/>
      <c r="Q357" s="151"/>
      <c r="R357" s="147"/>
      <c r="S357" s="46">
        <v>268.36</v>
      </c>
      <c r="T357" s="112"/>
      <c r="U357" s="56" t="s">
        <v>953</v>
      </c>
      <c r="V357" s="105" t="s">
        <v>585</v>
      </c>
    </row>
    <row r="358" spans="1:22" s="1" customFormat="1" ht="17.25" x14ac:dyDescent="0.3">
      <c r="A358" s="39">
        <v>14121756</v>
      </c>
      <c r="B358" s="40" t="s">
        <v>357</v>
      </c>
      <c r="C358" s="41" t="s">
        <v>840</v>
      </c>
      <c r="D358" s="42" t="s">
        <v>3</v>
      </c>
      <c r="E358" s="43" t="s">
        <v>581</v>
      </c>
      <c r="F358" s="43" t="s">
        <v>582</v>
      </c>
      <c r="G358" s="44">
        <v>91</v>
      </c>
      <c r="H358" s="43" t="s">
        <v>583</v>
      </c>
      <c r="I358" s="45" t="s">
        <v>583</v>
      </c>
      <c r="J358" s="45" t="s">
        <v>587</v>
      </c>
      <c r="K358" s="126">
        <v>134.18</v>
      </c>
      <c r="L358" s="126">
        <v>134.18</v>
      </c>
      <c r="M358" s="126"/>
      <c r="N358" s="126">
        <v>200</v>
      </c>
      <c r="O358" s="126">
        <v>0</v>
      </c>
      <c r="P358" s="150"/>
      <c r="Q358" s="151"/>
      <c r="R358" s="147"/>
      <c r="S358" s="46">
        <v>468.36</v>
      </c>
      <c r="T358" s="112"/>
      <c r="U358" s="56" t="s">
        <v>953</v>
      </c>
      <c r="V358" s="105" t="s">
        <v>585</v>
      </c>
    </row>
    <row r="359" spans="1:22" s="1" customFormat="1" ht="17.25" x14ac:dyDescent="0.3">
      <c r="A359" s="39">
        <v>14121766</v>
      </c>
      <c r="B359" s="40" t="s">
        <v>358</v>
      </c>
      <c r="C359" s="41" t="s">
        <v>840</v>
      </c>
      <c r="D359" s="42" t="s">
        <v>3</v>
      </c>
      <c r="E359" s="43" t="s">
        <v>581</v>
      </c>
      <c r="F359" s="43" t="s">
        <v>582</v>
      </c>
      <c r="G359" s="44">
        <v>92</v>
      </c>
      <c r="H359" s="43" t="s">
        <v>583</v>
      </c>
      <c r="I359" s="45" t="s">
        <v>1051</v>
      </c>
      <c r="J359" s="45" t="s">
        <v>561</v>
      </c>
      <c r="K359" s="126">
        <v>134.18</v>
      </c>
      <c r="L359" s="126">
        <v>134.18</v>
      </c>
      <c r="M359" s="126"/>
      <c r="N359" s="126">
        <v>0</v>
      </c>
      <c r="O359" s="126">
        <v>0</v>
      </c>
      <c r="P359" s="150"/>
      <c r="Q359" s="151"/>
      <c r="R359" s="147"/>
      <c r="S359" s="46">
        <v>268.36</v>
      </c>
      <c r="T359" s="112"/>
      <c r="U359" s="56" t="s">
        <v>953</v>
      </c>
      <c r="V359" s="105" t="s">
        <v>585</v>
      </c>
    </row>
    <row r="360" spans="1:22" s="1" customFormat="1" ht="17.25" x14ac:dyDescent="0.3">
      <c r="A360" s="40">
        <v>14121784</v>
      </c>
      <c r="B360" s="40" t="s">
        <v>359</v>
      </c>
      <c r="C360" s="41" t="s">
        <v>841</v>
      </c>
      <c r="D360" s="42" t="s">
        <v>3</v>
      </c>
      <c r="E360" s="43" t="s">
        <v>581</v>
      </c>
      <c r="F360" s="43" t="s">
        <v>582</v>
      </c>
      <c r="G360" s="44">
        <v>88</v>
      </c>
      <c r="H360" s="43" t="s">
        <v>585</v>
      </c>
      <c r="I360" s="45" t="s">
        <v>1051</v>
      </c>
      <c r="J360" s="45" t="s">
        <v>561</v>
      </c>
      <c r="K360" s="126">
        <v>134.18</v>
      </c>
      <c r="L360" s="126">
        <v>134.18</v>
      </c>
      <c r="M360" s="126"/>
      <c r="N360" s="126">
        <v>0</v>
      </c>
      <c r="O360" s="126">
        <v>0</v>
      </c>
      <c r="Q360" s="134"/>
      <c r="R360" s="132"/>
      <c r="S360" s="46">
        <v>268.36</v>
      </c>
      <c r="T360" s="112"/>
      <c r="U360" s="56" t="s">
        <v>953</v>
      </c>
      <c r="V360" s="105" t="s">
        <v>585</v>
      </c>
    </row>
    <row r="361" spans="1:22" s="1" customFormat="1" ht="17.25" x14ac:dyDescent="0.3">
      <c r="A361" s="40">
        <v>14121785</v>
      </c>
      <c r="B361" s="40" t="s">
        <v>360</v>
      </c>
      <c r="C361" s="41" t="s">
        <v>841</v>
      </c>
      <c r="D361" s="42" t="s">
        <v>3</v>
      </c>
      <c r="E361" s="43" t="s">
        <v>581</v>
      </c>
      <c r="F361" s="43" t="s">
        <v>582</v>
      </c>
      <c r="G361" s="44">
        <v>52</v>
      </c>
      <c r="H361" s="43" t="s">
        <v>585</v>
      </c>
      <c r="I361" s="45" t="s">
        <v>583</v>
      </c>
      <c r="J361" s="45" t="s">
        <v>561</v>
      </c>
      <c r="K361" s="126">
        <v>134.18</v>
      </c>
      <c r="L361" s="126">
        <v>134.18</v>
      </c>
      <c r="M361" s="126"/>
      <c r="N361" s="126">
        <v>0</v>
      </c>
      <c r="O361" s="126">
        <v>177.44</v>
      </c>
      <c r="P361" s="132"/>
      <c r="Q361" s="133"/>
      <c r="R361" s="147"/>
      <c r="S361" s="46">
        <v>445.8</v>
      </c>
      <c r="T361" s="112"/>
      <c r="U361" s="56" t="s">
        <v>953</v>
      </c>
      <c r="V361" s="105" t="s">
        <v>585</v>
      </c>
    </row>
    <row r="362" spans="1:22" s="1" customFormat="1" ht="17.25" x14ac:dyDescent="0.3">
      <c r="A362" s="39">
        <v>14121791</v>
      </c>
      <c r="B362" s="40" t="s">
        <v>361</v>
      </c>
      <c r="C362" s="41" t="s">
        <v>841</v>
      </c>
      <c r="D362" s="42" t="s">
        <v>3</v>
      </c>
      <c r="E362" s="43" t="s">
        <v>581</v>
      </c>
      <c r="F362" s="43" t="s">
        <v>582</v>
      </c>
      <c r="G362" s="44">
        <v>86</v>
      </c>
      <c r="H362" s="43" t="s">
        <v>585</v>
      </c>
      <c r="I362" s="45" t="s">
        <v>1051</v>
      </c>
      <c r="J362" s="45" t="s">
        <v>561</v>
      </c>
      <c r="K362" s="126">
        <v>134.18</v>
      </c>
      <c r="L362" s="126">
        <v>134.18</v>
      </c>
      <c r="M362" s="126"/>
      <c r="N362" s="126">
        <v>0</v>
      </c>
      <c r="O362" s="126">
        <v>0</v>
      </c>
      <c r="P362" s="150"/>
      <c r="Q362" s="151"/>
      <c r="R362" s="147"/>
      <c r="S362" s="46">
        <v>268.36</v>
      </c>
      <c r="T362" s="112"/>
      <c r="U362" s="56" t="s">
        <v>953</v>
      </c>
      <c r="V362" s="105" t="s">
        <v>585</v>
      </c>
    </row>
    <row r="363" spans="1:22" s="1" customFormat="1" ht="17.25" x14ac:dyDescent="0.3">
      <c r="A363" s="39">
        <v>14121809</v>
      </c>
      <c r="B363" s="40" t="s">
        <v>362</v>
      </c>
      <c r="C363" s="41" t="s">
        <v>842</v>
      </c>
      <c r="D363" s="42" t="s">
        <v>3</v>
      </c>
      <c r="E363" s="43" t="s">
        <v>581</v>
      </c>
      <c r="F363" s="43" t="s">
        <v>582</v>
      </c>
      <c r="G363" s="44">
        <v>83</v>
      </c>
      <c r="H363" s="43" t="s">
        <v>585</v>
      </c>
      <c r="I363" s="45" t="s">
        <v>583</v>
      </c>
      <c r="J363" s="45" t="s">
        <v>561</v>
      </c>
      <c r="K363" s="126">
        <v>134.18</v>
      </c>
      <c r="L363" s="126">
        <v>134.18</v>
      </c>
      <c r="M363" s="126"/>
      <c r="N363" s="126">
        <v>0</v>
      </c>
      <c r="O363" s="126">
        <v>177.44</v>
      </c>
      <c r="P363" s="150"/>
      <c r="Q363" s="151"/>
      <c r="R363" s="148"/>
      <c r="S363" s="46">
        <v>445.8</v>
      </c>
      <c r="T363" s="112"/>
      <c r="U363" s="56" t="s">
        <v>953</v>
      </c>
      <c r="V363" s="105" t="s">
        <v>585</v>
      </c>
    </row>
    <row r="364" spans="1:22" s="1" customFormat="1" ht="17.25" x14ac:dyDescent="0.3">
      <c r="A364" s="39">
        <v>14121811</v>
      </c>
      <c r="B364" s="40" t="s">
        <v>363</v>
      </c>
      <c r="C364" s="41" t="s">
        <v>842</v>
      </c>
      <c r="D364" s="42" t="s">
        <v>3</v>
      </c>
      <c r="E364" s="43" t="s">
        <v>581</v>
      </c>
      <c r="F364" s="43" t="s">
        <v>582</v>
      </c>
      <c r="G364" s="44">
        <v>88</v>
      </c>
      <c r="H364" s="43" t="s">
        <v>585</v>
      </c>
      <c r="I364" s="45" t="s">
        <v>583</v>
      </c>
      <c r="J364" s="45" t="s">
        <v>561</v>
      </c>
      <c r="K364" s="126">
        <v>134.18</v>
      </c>
      <c r="L364" s="126">
        <v>134.18</v>
      </c>
      <c r="M364" s="126"/>
      <c r="N364" s="126">
        <v>0</v>
      </c>
      <c r="O364" s="126">
        <v>177.44</v>
      </c>
      <c r="Q364" s="134"/>
      <c r="R364" s="147"/>
      <c r="S364" s="46">
        <v>445.8</v>
      </c>
      <c r="T364" s="112"/>
      <c r="U364" s="56" t="s">
        <v>953</v>
      </c>
      <c r="V364" s="105" t="s">
        <v>585</v>
      </c>
    </row>
    <row r="365" spans="1:22" s="1" customFormat="1" ht="17.25" x14ac:dyDescent="0.3">
      <c r="A365" s="39">
        <v>14121821</v>
      </c>
      <c r="B365" s="40" t="s">
        <v>364</v>
      </c>
      <c r="C365" s="41" t="s">
        <v>784</v>
      </c>
      <c r="D365" s="42" t="s">
        <v>3</v>
      </c>
      <c r="E365" s="43" t="s">
        <v>581</v>
      </c>
      <c r="F365" s="43" t="s">
        <v>582</v>
      </c>
      <c r="G365" s="44">
        <v>92</v>
      </c>
      <c r="H365" s="43" t="s">
        <v>583</v>
      </c>
      <c r="I365" s="45" t="s">
        <v>583</v>
      </c>
      <c r="J365" s="45" t="s">
        <v>561</v>
      </c>
      <c r="K365" s="126">
        <v>134.18</v>
      </c>
      <c r="L365" s="126">
        <v>134.18</v>
      </c>
      <c r="M365" s="126"/>
      <c r="N365" s="126">
        <v>200</v>
      </c>
      <c r="O365" s="126">
        <v>177.44</v>
      </c>
      <c r="Q365" s="134"/>
      <c r="R365" s="147"/>
      <c r="S365" s="46">
        <v>645.79999999999995</v>
      </c>
      <c r="T365" s="112"/>
      <c r="U365" s="56" t="s">
        <v>953</v>
      </c>
      <c r="V365" s="105" t="s">
        <v>585</v>
      </c>
    </row>
    <row r="366" spans="1:22" s="18" customFormat="1" ht="17.25" x14ac:dyDescent="0.3">
      <c r="A366" s="39">
        <v>14121856</v>
      </c>
      <c r="B366" s="40" t="s">
        <v>365</v>
      </c>
      <c r="C366" s="41" t="s">
        <v>706</v>
      </c>
      <c r="D366" s="42" t="s">
        <v>3</v>
      </c>
      <c r="E366" s="43" t="s">
        <v>581</v>
      </c>
      <c r="F366" s="43" t="s">
        <v>582</v>
      </c>
      <c r="G366" s="44">
        <v>86</v>
      </c>
      <c r="H366" s="43" t="s">
        <v>585</v>
      </c>
      <c r="I366" s="45" t="s">
        <v>583</v>
      </c>
      <c r="J366" s="45" t="s">
        <v>561</v>
      </c>
      <c r="K366" s="126">
        <v>134.18</v>
      </c>
      <c r="L366" s="126">
        <v>134.18</v>
      </c>
      <c r="M366" s="126"/>
      <c r="N366" s="126">
        <v>0</v>
      </c>
      <c r="O366" s="126">
        <v>177.44</v>
      </c>
      <c r="P366" s="150"/>
      <c r="Q366" s="151"/>
      <c r="R366" s="147"/>
      <c r="S366" s="46">
        <v>445.8</v>
      </c>
      <c r="T366" s="112"/>
      <c r="U366" s="56" t="s">
        <v>953</v>
      </c>
      <c r="V366" s="105" t="s">
        <v>585</v>
      </c>
    </row>
    <row r="367" spans="1:22" s="1" customFormat="1" ht="17.25" x14ac:dyDescent="0.3">
      <c r="A367" s="39">
        <v>14121859</v>
      </c>
      <c r="B367" s="40" t="s">
        <v>366</v>
      </c>
      <c r="C367" s="41" t="s">
        <v>706</v>
      </c>
      <c r="D367" s="42" t="s">
        <v>3</v>
      </c>
      <c r="E367" s="43" t="s">
        <v>581</v>
      </c>
      <c r="F367" s="43" t="s">
        <v>582</v>
      </c>
      <c r="G367" s="44">
        <v>95</v>
      </c>
      <c r="H367" s="43" t="s">
        <v>583</v>
      </c>
      <c r="I367" s="45" t="s">
        <v>583</v>
      </c>
      <c r="J367" s="45" t="s">
        <v>561</v>
      </c>
      <c r="K367" s="126">
        <v>134.18</v>
      </c>
      <c r="L367" s="126">
        <v>134.18</v>
      </c>
      <c r="M367" s="126"/>
      <c r="N367" s="126">
        <v>200</v>
      </c>
      <c r="O367" s="126">
        <v>177.44</v>
      </c>
      <c r="Q367" s="134"/>
      <c r="R367" s="147"/>
      <c r="S367" s="46">
        <v>645.79999999999995</v>
      </c>
      <c r="T367" s="112"/>
      <c r="U367" s="56" t="s">
        <v>953</v>
      </c>
      <c r="V367" s="105" t="s">
        <v>585</v>
      </c>
    </row>
    <row r="368" spans="1:22" s="18" customFormat="1" ht="17.25" x14ac:dyDescent="0.3">
      <c r="A368" s="39">
        <v>14121860</v>
      </c>
      <c r="B368" s="40" t="s">
        <v>367</v>
      </c>
      <c r="C368" s="41" t="s">
        <v>706</v>
      </c>
      <c r="D368" s="42" t="s">
        <v>3</v>
      </c>
      <c r="E368" s="43" t="s">
        <v>581</v>
      </c>
      <c r="F368" s="43" t="s">
        <v>582</v>
      </c>
      <c r="G368" s="44">
        <v>91</v>
      </c>
      <c r="H368" s="43" t="s">
        <v>583</v>
      </c>
      <c r="I368" s="45" t="s">
        <v>1051</v>
      </c>
      <c r="J368" s="45" t="s">
        <v>561</v>
      </c>
      <c r="K368" s="126">
        <v>134.18</v>
      </c>
      <c r="L368" s="126">
        <v>134.18</v>
      </c>
      <c r="M368" s="126"/>
      <c r="N368" s="126">
        <v>0</v>
      </c>
      <c r="O368" s="126">
        <v>0</v>
      </c>
      <c r="P368" s="150"/>
      <c r="Q368" s="151"/>
      <c r="R368" s="147"/>
      <c r="S368" s="46">
        <v>268.36</v>
      </c>
      <c r="T368" s="112"/>
      <c r="U368" s="56" t="s">
        <v>953</v>
      </c>
      <c r="V368" s="105" t="s">
        <v>585</v>
      </c>
    </row>
    <row r="369" spans="1:22" s="18" customFormat="1" ht="17.25" x14ac:dyDescent="0.3">
      <c r="A369" s="39">
        <v>14121896</v>
      </c>
      <c r="B369" s="40" t="s">
        <v>369</v>
      </c>
      <c r="C369" s="41" t="s">
        <v>843</v>
      </c>
      <c r="D369" s="42" t="s">
        <v>3</v>
      </c>
      <c r="E369" s="43" t="s">
        <v>581</v>
      </c>
      <c r="F369" s="43" t="s">
        <v>582</v>
      </c>
      <c r="G369" s="44">
        <v>95</v>
      </c>
      <c r="H369" s="43" t="s">
        <v>583</v>
      </c>
      <c r="I369" s="45" t="s">
        <v>583</v>
      </c>
      <c r="J369" s="45" t="s">
        <v>561</v>
      </c>
      <c r="K369" s="126">
        <v>134.18</v>
      </c>
      <c r="L369" s="126">
        <v>134.18</v>
      </c>
      <c r="M369" s="126"/>
      <c r="N369" s="126">
        <v>200</v>
      </c>
      <c r="O369" s="126">
        <v>177.44</v>
      </c>
      <c r="P369" s="1"/>
      <c r="Q369" s="134"/>
      <c r="R369" s="148"/>
      <c r="S369" s="46">
        <v>645.79999999999995</v>
      </c>
      <c r="T369" s="112"/>
      <c r="U369" s="56" t="s">
        <v>953</v>
      </c>
      <c r="V369" s="105" t="s">
        <v>585</v>
      </c>
    </row>
    <row r="370" spans="1:22" s="1" customFormat="1" ht="17.25" x14ac:dyDescent="0.3">
      <c r="A370" s="39">
        <v>14121917</v>
      </c>
      <c r="B370" s="40" t="s">
        <v>370</v>
      </c>
      <c r="C370" s="41" t="s">
        <v>844</v>
      </c>
      <c r="D370" s="42" t="s">
        <v>3</v>
      </c>
      <c r="E370" s="43" t="s">
        <v>581</v>
      </c>
      <c r="F370" s="43" t="s">
        <v>582</v>
      </c>
      <c r="G370" s="44">
        <v>94</v>
      </c>
      <c r="H370" s="43" t="s">
        <v>583</v>
      </c>
      <c r="I370" s="45" t="s">
        <v>583</v>
      </c>
      <c r="J370" s="45" t="s">
        <v>561</v>
      </c>
      <c r="K370" s="126">
        <v>134.18</v>
      </c>
      <c r="L370" s="126">
        <v>134.18</v>
      </c>
      <c r="M370" s="126"/>
      <c r="N370" s="126">
        <v>200</v>
      </c>
      <c r="O370" s="126">
        <v>177.44</v>
      </c>
      <c r="Q370" s="134"/>
      <c r="R370" s="147"/>
      <c r="S370" s="46">
        <v>645.79999999999995</v>
      </c>
      <c r="T370" s="112"/>
      <c r="U370" s="56" t="s">
        <v>953</v>
      </c>
      <c r="V370" s="105" t="s">
        <v>585</v>
      </c>
    </row>
    <row r="371" spans="1:22" s="1" customFormat="1" ht="17.25" x14ac:dyDescent="0.3">
      <c r="A371" s="39">
        <v>14121964</v>
      </c>
      <c r="B371" s="40" t="s">
        <v>375</v>
      </c>
      <c r="C371" s="41" t="s">
        <v>845</v>
      </c>
      <c r="D371" s="42" t="s">
        <v>3</v>
      </c>
      <c r="E371" s="43" t="s">
        <v>581</v>
      </c>
      <c r="F371" s="43" t="s">
        <v>582</v>
      </c>
      <c r="G371" s="44">
        <v>95</v>
      </c>
      <c r="H371" s="43" t="s">
        <v>583</v>
      </c>
      <c r="I371" s="45" t="s">
        <v>583</v>
      </c>
      <c r="J371" s="45" t="s">
        <v>561</v>
      </c>
      <c r="K371" s="126">
        <v>134.18</v>
      </c>
      <c r="L371" s="126">
        <v>134.18</v>
      </c>
      <c r="M371" s="126"/>
      <c r="N371" s="126">
        <v>200</v>
      </c>
      <c r="O371" s="126">
        <v>177.44</v>
      </c>
      <c r="Q371" s="134"/>
      <c r="R371" s="147"/>
      <c r="S371" s="46">
        <v>645.79999999999995</v>
      </c>
      <c r="T371" s="112"/>
      <c r="U371" s="56" t="s">
        <v>953</v>
      </c>
      <c r="V371" s="105" t="s">
        <v>585</v>
      </c>
    </row>
    <row r="372" spans="1:22" s="1" customFormat="1" ht="17.25" x14ac:dyDescent="0.3">
      <c r="A372" s="39">
        <v>14121985</v>
      </c>
      <c r="B372" s="40" t="s">
        <v>376</v>
      </c>
      <c r="C372" s="41" t="s">
        <v>846</v>
      </c>
      <c r="D372" s="42" t="s">
        <v>3</v>
      </c>
      <c r="E372" s="43" t="s">
        <v>581</v>
      </c>
      <c r="F372" s="43" t="s">
        <v>582</v>
      </c>
      <c r="G372" s="44">
        <v>89</v>
      </c>
      <c r="H372" s="43" t="s">
        <v>585</v>
      </c>
      <c r="I372" s="45" t="s">
        <v>1051</v>
      </c>
      <c r="J372" s="45" t="s">
        <v>561</v>
      </c>
      <c r="K372" s="126">
        <v>134.18</v>
      </c>
      <c r="L372" s="126">
        <v>134.18</v>
      </c>
      <c r="M372" s="126"/>
      <c r="N372" s="126">
        <v>0</v>
      </c>
      <c r="O372" s="126">
        <v>0</v>
      </c>
      <c r="Q372" s="134"/>
      <c r="R372" s="148"/>
      <c r="S372" s="46">
        <v>268.36</v>
      </c>
      <c r="T372" s="112"/>
      <c r="U372" s="56" t="s">
        <v>953</v>
      </c>
      <c r="V372" s="105" t="s">
        <v>585</v>
      </c>
    </row>
    <row r="373" spans="1:22" s="1" customFormat="1" ht="17.25" x14ac:dyDescent="0.3">
      <c r="A373" s="39">
        <v>14122033</v>
      </c>
      <c r="B373" s="40" t="s">
        <v>378</v>
      </c>
      <c r="C373" s="41" t="s">
        <v>847</v>
      </c>
      <c r="D373" s="42" t="s">
        <v>3</v>
      </c>
      <c r="E373" s="43" t="s">
        <v>581</v>
      </c>
      <c r="F373" s="43" t="s">
        <v>582</v>
      </c>
      <c r="G373" s="44">
        <v>74</v>
      </c>
      <c r="H373" s="43" t="s">
        <v>585</v>
      </c>
      <c r="I373" s="45" t="s">
        <v>583</v>
      </c>
      <c r="J373" s="45" t="s">
        <v>561</v>
      </c>
      <c r="K373" s="126">
        <v>134.18</v>
      </c>
      <c r="L373" s="126">
        <v>134.18</v>
      </c>
      <c r="M373" s="126"/>
      <c r="N373" s="126">
        <v>0</v>
      </c>
      <c r="O373" s="126">
        <v>177.44</v>
      </c>
      <c r="Q373" s="134"/>
      <c r="R373" s="147"/>
      <c r="S373" s="46">
        <v>445.8</v>
      </c>
      <c r="T373" s="112"/>
      <c r="U373" s="56" t="s">
        <v>953</v>
      </c>
      <c r="V373" s="105" t="s">
        <v>585</v>
      </c>
    </row>
    <row r="374" spans="1:22" s="1" customFormat="1" ht="17.25" x14ac:dyDescent="0.3">
      <c r="A374" s="39">
        <v>14122034</v>
      </c>
      <c r="B374" s="40" t="s">
        <v>379</v>
      </c>
      <c r="C374" s="41" t="s">
        <v>847</v>
      </c>
      <c r="D374" s="42" t="s">
        <v>3</v>
      </c>
      <c r="E374" s="43" t="s">
        <v>581</v>
      </c>
      <c r="F374" s="43" t="s">
        <v>582</v>
      </c>
      <c r="G374" s="44">
        <v>95</v>
      </c>
      <c r="H374" s="43" t="s">
        <v>583</v>
      </c>
      <c r="I374" s="45" t="s">
        <v>583</v>
      </c>
      <c r="J374" s="45" t="s">
        <v>561</v>
      </c>
      <c r="K374" s="126">
        <v>134.18</v>
      </c>
      <c r="L374" s="126">
        <v>134.18</v>
      </c>
      <c r="M374" s="126"/>
      <c r="N374" s="126">
        <v>200</v>
      </c>
      <c r="O374" s="126">
        <v>177.44</v>
      </c>
      <c r="P374" s="150"/>
      <c r="Q374" s="151"/>
      <c r="R374" s="147"/>
      <c r="S374" s="46">
        <v>645.79999999999995</v>
      </c>
      <c r="T374" s="112"/>
      <c r="U374" s="56" t="s">
        <v>953</v>
      </c>
      <c r="V374" s="105" t="s">
        <v>585</v>
      </c>
    </row>
    <row r="375" spans="1:22" s="18" customFormat="1" ht="17.25" x14ac:dyDescent="0.3">
      <c r="A375" s="39">
        <v>14122035</v>
      </c>
      <c r="B375" s="48" t="s">
        <v>380</v>
      </c>
      <c r="C375" s="41" t="s">
        <v>847</v>
      </c>
      <c r="D375" s="42" t="s">
        <v>3</v>
      </c>
      <c r="E375" s="43" t="s">
        <v>581</v>
      </c>
      <c r="F375" s="43" t="s">
        <v>582</v>
      </c>
      <c r="G375" s="44">
        <v>69</v>
      </c>
      <c r="H375" s="43" t="s">
        <v>585</v>
      </c>
      <c r="I375" s="45" t="s">
        <v>1051</v>
      </c>
      <c r="J375" s="45" t="s">
        <v>561</v>
      </c>
      <c r="K375" s="126">
        <v>134.18</v>
      </c>
      <c r="L375" s="126">
        <v>134.18</v>
      </c>
      <c r="M375" s="126"/>
      <c r="N375" s="126">
        <v>0</v>
      </c>
      <c r="O375" s="126">
        <v>0</v>
      </c>
      <c r="P375" s="150"/>
      <c r="Q375" s="151"/>
      <c r="R375" s="147"/>
      <c r="S375" s="46">
        <v>268.36</v>
      </c>
      <c r="T375" s="112"/>
      <c r="U375" s="56" t="s">
        <v>953</v>
      </c>
      <c r="V375" s="105" t="s">
        <v>585</v>
      </c>
    </row>
    <row r="376" spans="1:22" s="1" customFormat="1" ht="17.25" x14ac:dyDescent="0.3">
      <c r="A376" s="39">
        <v>14122067</v>
      </c>
      <c r="B376" s="40" t="s">
        <v>381</v>
      </c>
      <c r="C376" s="41" t="s">
        <v>848</v>
      </c>
      <c r="D376" s="42" t="s">
        <v>3</v>
      </c>
      <c r="E376" s="43" t="s">
        <v>581</v>
      </c>
      <c r="F376" s="43" t="s">
        <v>582</v>
      </c>
      <c r="G376" s="44">
        <v>94</v>
      </c>
      <c r="H376" s="43" t="s">
        <v>583</v>
      </c>
      <c r="I376" s="45" t="s">
        <v>1051</v>
      </c>
      <c r="J376" s="45" t="s">
        <v>561</v>
      </c>
      <c r="K376" s="126">
        <v>134.18</v>
      </c>
      <c r="L376" s="126">
        <v>134.18</v>
      </c>
      <c r="M376" s="126"/>
      <c r="N376" s="126">
        <v>0</v>
      </c>
      <c r="O376" s="126">
        <v>0</v>
      </c>
      <c r="Q376" s="134"/>
      <c r="R376" s="147"/>
      <c r="S376" s="46">
        <v>268.36</v>
      </c>
      <c r="T376" s="112"/>
      <c r="U376" s="56" t="s">
        <v>953</v>
      </c>
      <c r="V376" s="105" t="s">
        <v>585</v>
      </c>
    </row>
    <row r="377" spans="1:22" s="1" customFormat="1" ht="17.25" x14ac:dyDescent="0.3">
      <c r="A377" s="39">
        <v>14122072</v>
      </c>
      <c r="B377" s="48" t="s">
        <v>382</v>
      </c>
      <c r="C377" s="41" t="s">
        <v>849</v>
      </c>
      <c r="D377" s="42" t="s">
        <v>3</v>
      </c>
      <c r="E377" s="43" t="s">
        <v>581</v>
      </c>
      <c r="F377" s="43" t="s">
        <v>582</v>
      </c>
      <c r="G377" s="44">
        <v>94</v>
      </c>
      <c r="H377" s="43" t="s">
        <v>583</v>
      </c>
      <c r="I377" s="45" t="s">
        <v>1051</v>
      </c>
      <c r="J377" s="45" t="s">
        <v>561</v>
      </c>
      <c r="K377" s="126">
        <v>134.18</v>
      </c>
      <c r="L377" s="126">
        <v>134.18</v>
      </c>
      <c r="M377" s="126"/>
      <c r="N377" s="126">
        <v>0</v>
      </c>
      <c r="O377" s="126">
        <v>0</v>
      </c>
      <c r="Q377" s="134"/>
      <c r="R377" s="148"/>
      <c r="S377" s="46">
        <v>268.36</v>
      </c>
      <c r="T377" s="112"/>
      <c r="U377" s="56" t="s">
        <v>953</v>
      </c>
      <c r="V377" s="105" t="s">
        <v>585</v>
      </c>
    </row>
    <row r="378" spans="1:22" s="1" customFormat="1" ht="17.25" x14ac:dyDescent="0.3">
      <c r="A378" s="39">
        <v>14122073</v>
      </c>
      <c r="B378" s="40" t="s">
        <v>383</v>
      </c>
      <c r="C378" s="41" t="s">
        <v>849</v>
      </c>
      <c r="D378" s="42" t="s">
        <v>3</v>
      </c>
      <c r="E378" s="43" t="s">
        <v>581</v>
      </c>
      <c r="F378" s="43" t="s">
        <v>582</v>
      </c>
      <c r="G378" s="44">
        <v>93</v>
      </c>
      <c r="H378" s="43" t="s">
        <v>583</v>
      </c>
      <c r="I378" s="45" t="s">
        <v>583</v>
      </c>
      <c r="J378" s="45" t="s">
        <v>587</v>
      </c>
      <c r="K378" s="126">
        <v>134.18</v>
      </c>
      <c r="L378" s="126">
        <v>134.18</v>
      </c>
      <c r="M378" s="126"/>
      <c r="N378" s="126">
        <v>200</v>
      </c>
      <c r="O378" s="126">
        <v>0</v>
      </c>
      <c r="P378" s="150"/>
      <c r="Q378" s="151"/>
      <c r="R378" s="147"/>
      <c r="S378" s="46">
        <v>468.36</v>
      </c>
      <c r="T378" s="112"/>
      <c r="U378" s="56" t="s">
        <v>953</v>
      </c>
      <c r="V378" s="105" t="s">
        <v>585</v>
      </c>
    </row>
    <row r="379" spans="1:22" s="1" customFormat="1" ht="17.25" x14ac:dyDescent="0.3">
      <c r="A379" s="39">
        <v>14122083</v>
      </c>
      <c r="B379" s="40" t="s">
        <v>385</v>
      </c>
      <c r="C379" s="41" t="s">
        <v>850</v>
      </c>
      <c r="D379" s="42" t="s">
        <v>3</v>
      </c>
      <c r="E379" s="43" t="s">
        <v>581</v>
      </c>
      <c r="F379" s="43" t="s">
        <v>582</v>
      </c>
      <c r="G379" s="44">
        <v>71</v>
      </c>
      <c r="H379" s="43" t="s">
        <v>585</v>
      </c>
      <c r="I379" s="45" t="s">
        <v>1051</v>
      </c>
      <c r="J379" s="45" t="s">
        <v>561</v>
      </c>
      <c r="K379" s="126">
        <v>134.18</v>
      </c>
      <c r="L379" s="126">
        <v>134.18</v>
      </c>
      <c r="M379" s="126"/>
      <c r="N379" s="126">
        <v>0</v>
      </c>
      <c r="O379" s="126">
        <v>0</v>
      </c>
      <c r="Q379" s="134"/>
      <c r="R379" s="147"/>
      <c r="S379" s="46">
        <v>268.36</v>
      </c>
      <c r="T379" s="112"/>
      <c r="U379" s="56" t="s">
        <v>953</v>
      </c>
      <c r="V379" s="105" t="s">
        <v>585</v>
      </c>
    </row>
    <row r="380" spans="1:22" s="1" customFormat="1" ht="17.25" x14ac:dyDescent="0.3">
      <c r="A380" s="39">
        <v>14122094</v>
      </c>
      <c r="B380" s="40" t="s">
        <v>386</v>
      </c>
      <c r="C380" s="41" t="s">
        <v>850</v>
      </c>
      <c r="D380" s="42" t="s">
        <v>3</v>
      </c>
      <c r="E380" s="43" t="s">
        <v>581</v>
      </c>
      <c r="F380" s="43" t="s">
        <v>582</v>
      </c>
      <c r="G380" s="44">
        <v>87</v>
      </c>
      <c r="H380" s="43" t="s">
        <v>585</v>
      </c>
      <c r="I380" s="45" t="s">
        <v>1051</v>
      </c>
      <c r="J380" s="45" t="s">
        <v>561</v>
      </c>
      <c r="K380" s="126">
        <v>134.18</v>
      </c>
      <c r="L380" s="126">
        <v>134.18</v>
      </c>
      <c r="M380" s="126"/>
      <c r="N380" s="126">
        <v>0</v>
      </c>
      <c r="O380" s="126">
        <v>0</v>
      </c>
      <c r="Q380" s="134"/>
      <c r="R380" s="147"/>
      <c r="S380" s="46">
        <v>268.36</v>
      </c>
      <c r="T380" s="112"/>
      <c r="U380" s="56" t="s">
        <v>953</v>
      </c>
      <c r="V380" s="105" t="s">
        <v>585</v>
      </c>
    </row>
    <row r="381" spans="1:22" s="1" customFormat="1" ht="17.25" x14ac:dyDescent="0.3">
      <c r="A381" s="39">
        <v>14122095</v>
      </c>
      <c r="B381" s="40" t="s">
        <v>387</v>
      </c>
      <c r="C381" s="41" t="s">
        <v>850</v>
      </c>
      <c r="D381" s="42" t="s">
        <v>3</v>
      </c>
      <c r="E381" s="43" t="s">
        <v>581</v>
      </c>
      <c r="F381" s="43" t="s">
        <v>582</v>
      </c>
      <c r="G381" s="44">
        <v>94</v>
      </c>
      <c r="H381" s="43" t="s">
        <v>583</v>
      </c>
      <c r="I381" s="45" t="s">
        <v>583</v>
      </c>
      <c r="J381" s="45" t="s">
        <v>561</v>
      </c>
      <c r="K381" s="126">
        <v>134.18</v>
      </c>
      <c r="L381" s="126">
        <v>134.18</v>
      </c>
      <c r="M381" s="126"/>
      <c r="N381" s="126">
        <v>200</v>
      </c>
      <c r="O381" s="126">
        <v>177.44</v>
      </c>
      <c r="Q381" s="134"/>
      <c r="R381" s="148"/>
      <c r="S381" s="46">
        <v>645.79999999999995</v>
      </c>
      <c r="T381" s="112"/>
      <c r="U381" s="56" t="s">
        <v>953</v>
      </c>
      <c r="V381" s="105" t="s">
        <v>585</v>
      </c>
    </row>
    <row r="382" spans="1:22" s="1" customFormat="1" ht="17.25" x14ac:dyDescent="0.3">
      <c r="A382" s="39">
        <v>14122096</v>
      </c>
      <c r="B382" s="40" t="s">
        <v>388</v>
      </c>
      <c r="C382" s="41" t="s">
        <v>850</v>
      </c>
      <c r="D382" s="42" t="s">
        <v>3</v>
      </c>
      <c r="E382" s="43" t="s">
        <v>581</v>
      </c>
      <c r="F382" s="43" t="s">
        <v>582</v>
      </c>
      <c r="G382" s="44">
        <v>92</v>
      </c>
      <c r="H382" s="43" t="s">
        <v>583</v>
      </c>
      <c r="I382" s="45" t="s">
        <v>583</v>
      </c>
      <c r="J382" s="45" t="s">
        <v>561</v>
      </c>
      <c r="K382" s="126">
        <v>134.18</v>
      </c>
      <c r="L382" s="126">
        <v>134.18</v>
      </c>
      <c r="M382" s="126"/>
      <c r="N382" s="126">
        <v>200</v>
      </c>
      <c r="O382" s="126">
        <v>177.44</v>
      </c>
      <c r="Q382" s="134"/>
      <c r="R382" s="147"/>
      <c r="S382" s="46">
        <v>645.79999999999995</v>
      </c>
      <c r="T382" s="112"/>
      <c r="U382" s="56" t="s">
        <v>953</v>
      </c>
      <c r="V382" s="105" t="s">
        <v>585</v>
      </c>
    </row>
    <row r="383" spans="1:22" s="1" customFormat="1" ht="17.25" x14ac:dyDescent="0.3">
      <c r="A383" s="39">
        <v>14122103</v>
      </c>
      <c r="B383" s="40" t="s">
        <v>389</v>
      </c>
      <c r="C383" s="41" t="s">
        <v>850</v>
      </c>
      <c r="D383" s="42" t="s">
        <v>3</v>
      </c>
      <c r="E383" s="43" t="s">
        <v>581</v>
      </c>
      <c r="F383" s="43" t="s">
        <v>740</v>
      </c>
      <c r="G383" s="44">
        <v>93</v>
      </c>
      <c r="H383" s="43" t="s">
        <v>583</v>
      </c>
      <c r="I383" s="45" t="s">
        <v>1051</v>
      </c>
      <c r="J383" s="45" t="s">
        <v>561</v>
      </c>
      <c r="K383" s="126">
        <v>134.18</v>
      </c>
      <c r="L383" s="126">
        <v>0</v>
      </c>
      <c r="M383" s="126"/>
      <c r="N383" s="126">
        <v>0</v>
      </c>
      <c r="O383" s="126">
        <v>0</v>
      </c>
      <c r="P383" s="150"/>
      <c r="Q383" s="151"/>
      <c r="R383" s="147"/>
      <c r="S383" s="46">
        <v>134.18</v>
      </c>
      <c r="T383" s="112"/>
      <c r="U383" s="56" t="s">
        <v>953</v>
      </c>
      <c r="V383" s="105" t="s">
        <v>585</v>
      </c>
    </row>
    <row r="384" spans="1:22" s="1" customFormat="1" ht="17.25" x14ac:dyDescent="0.3">
      <c r="A384" s="40">
        <v>14122113</v>
      </c>
      <c r="B384" s="40" t="s">
        <v>390</v>
      </c>
      <c r="C384" s="41" t="s">
        <v>851</v>
      </c>
      <c r="D384" s="42" t="s">
        <v>3</v>
      </c>
      <c r="E384" s="43" t="s">
        <v>581</v>
      </c>
      <c r="F384" s="43" t="s">
        <v>582</v>
      </c>
      <c r="G384" s="44">
        <v>92</v>
      </c>
      <c r="H384" s="43" t="s">
        <v>583</v>
      </c>
      <c r="I384" s="45" t="s">
        <v>1051</v>
      </c>
      <c r="J384" s="45" t="s">
        <v>561</v>
      </c>
      <c r="K384" s="126">
        <v>134.18</v>
      </c>
      <c r="L384" s="126">
        <v>134.18</v>
      </c>
      <c r="M384" s="126"/>
      <c r="N384" s="126">
        <v>0</v>
      </c>
      <c r="O384" s="126">
        <v>0</v>
      </c>
      <c r="Q384" s="134"/>
      <c r="R384" s="132"/>
      <c r="S384" s="46">
        <v>268.36</v>
      </c>
      <c r="T384" s="112"/>
      <c r="U384" s="56" t="s">
        <v>953</v>
      </c>
      <c r="V384" s="105" t="s">
        <v>585</v>
      </c>
    </row>
    <row r="385" spans="1:22" s="1" customFormat="1" ht="17.25" x14ac:dyDescent="0.3">
      <c r="A385" s="39">
        <v>14122133</v>
      </c>
      <c r="B385" s="40" t="s">
        <v>391</v>
      </c>
      <c r="C385" s="41" t="s">
        <v>852</v>
      </c>
      <c r="D385" s="42" t="s">
        <v>3</v>
      </c>
      <c r="E385" s="43" t="s">
        <v>581</v>
      </c>
      <c r="F385" s="43" t="s">
        <v>740</v>
      </c>
      <c r="G385" s="44">
        <v>94</v>
      </c>
      <c r="H385" s="43" t="s">
        <v>583</v>
      </c>
      <c r="I385" s="45" t="s">
        <v>583</v>
      </c>
      <c r="J385" s="45" t="s">
        <v>561</v>
      </c>
      <c r="K385" s="126">
        <v>134.18</v>
      </c>
      <c r="L385" s="126">
        <v>0</v>
      </c>
      <c r="M385" s="126"/>
      <c r="N385" s="126">
        <v>200</v>
      </c>
      <c r="O385" s="126">
        <v>177.44</v>
      </c>
      <c r="P385" s="150"/>
      <c r="Q385" s="151"/>
      <c r="R385" s="147"/>
      <c r="S385" s="46">
        <v>511.62</v>
      </c>
      <c r="T385" s="112"/>
      <c r="U385" s="56" t="s">
        <v>953</v>
      </c>
      <c r="V385" s="105" t="s">
        <v>2034</v>
      </c>
    </row>
    <row r="386" spans="1:22" s="1" customFormat="1" ht="17.25" x14ac:dyDescent="0.3">
      <c r="A386" s="39">
        <v>14122136</v>
      </c>
      <c r="B386" s="40" t="s">
        <v>392</v>
      </c>
      <c r="C386" s="41" t="s">
        <v>852</v>
      </c>
      <c r="D386" s="42" t="s">
        <v>3</v>
      </c>
      <c r="E386" s="43" t="s">
        <v>581</v>
      </c>
      <c r="F386" s="43" t="s">
        <v>582</v>
      </c>
      <c r="G386" s="44">
        <v>91</v>
      </c>
      <c r="H386" s="43" t="s">
        <v>583</v>
      </c>
      <c r="I386" s="45" t="s">
        <v>583</v>
      </c>
      <c r="J386" s="45" t="s">
        <v>561</v>
      </c>
      <c r="K386" s="126">
        <v>134.18</v>
      </c>
      <c r="L386" s="126">
        <v>134.18</v>
      </c>
      <c r="M386" s="126"/>
      <c r="N386" s="126">
        <v>200</v>
      </c>
      <c r="O386" s="126">
        <v>177.44</v>
      </c>
      <c r="Q386" s="134"/>
      <c r="R386" s="147"/>
      <c r="S386" s="46">
        <v>645.79999999999995</v>
      </c>
      <c r="T386" s="112"/>
      <c r="U386" s="56" t="s">
        <v>953</v>
      </c>
      <c r="V386" s="105" t="s">
        <v>585</v>
      </c>
    </row>
    <row r="387" spans="1:22" s="1" customFormat="1" ht="17.25" x14ac:dyDescent="0.3">
      <c r="A387" s="39">
        <v>14122137</v>
      </c>
      <c r="B387" s="40" t="s">
        <v>393</v>
      </c>
      <c r="C387" s="41" t="s">
        <v>852</v>
      </c>
      <c r="D387" s="42" t="s">
        <v>3</v>
      </c>
      <c r="E387" s="43" t="s">
        <v>581</v>
      </c>
      <c r="F387" s="43" t="s">
        <v>582</v>
      </c>
      <c r="G387" s="44">
        <v>92</v>
      </c>
      <c r="H387" s="43" t="s">
        <v>583</v>
      </c>
      <c r="I387" s="45" t="s">
        <v>1051</v>
      </c>
      <c r="J387" s="45" t="s">
        <v>561</v>
      </c>
      <c r="K387" s="126">
        <v>134.18</v>
      </c>
      <c r="L387" s="126">
        <v>134.18</v>
      </c>
      <c r="M387" s="126"/>
      <c r="N387" s="126">
        <v>0</v>
      </c>
      <c r="O387" s="126">
        <v>0</v>
      </c>
      <c r="Q387" s="134"/>
      <c r="R387" s="148"/>
      <c r="S387" s="46">
        <v>268.36</v>
      </c>
      <c r="T387" s="112"/>
      <c r="U387" s="56" t="s">
        <v>953</v>
      </c>
      <c r="V387" s="105" t="s">
        <v>585</v>
      </c>
    </row>
    <row r="388" spans="1:22" s="1" customFormat="1" ht="17.25" x14ac:dyDescent="0.3">
      <c r="A388" s="39">
        <v>14122148</v>
      </c>
      <c r="B388" s="40" t="s">
        <v>394</v>
      </c>
      <c r="C388" s="41" t="s">
        <v>853</v>
      </c>
      <c r="D388" s="42" t="s">
        <v>3</v>
      </c>
      <c r="E388" s="43" t="s">
        <v>581</v>
      </c>
      <c r="F388" s="43" t="s">
        <v>582</v>
      </c>
      <c r="G388" s="44">
        <v>93</v>
      </c>
      <c r="H388" s="43" t="s">
        <v>583</v>
      </c>
      <c r="I388" s="45" t="s">
        <v>583</v>
      </c>
      <c r="J388" s="45" t="s">
        <v>561</v>
      </c>
      <c r="K388" s="126">
        <v>134.18</v>
      </c>
      <c r="L388" s="126">
        <v>134.18</v>
      </c>
      <c r="M388" s="126"/>
      <c r="N388" s="126">
        <v>200</v>
      </c>
      <c r="O388" s="126">
        <v>177.44</v>
      </c>
      <c r="Q388" s="134"/>
      <c r="R388" s="147"/>
      <c r="S388" s="46">
        <v>645.79999999999995</v>
      </c>
      <c r="T388" s="112"/>
      <c r="U388" s="56" t="s">
        <v>953</v>
      </c>
      <c r="V388" s="105" t="s">
        <v>585</v>
      </c>
    </row>
    <row r="389" spans="1:22" s="1" customFormat="1" ht="17.25" x14ac:dyDescent="0.3">
      <c r="A389" s="39">
        <v>14122149</v>
      </c>
      <c r="B389" s="40" t="s">
        <v>395</v>
      </c>
      <c r="C389" s="41" t="s">
        <v>853</v>
      </c>
      <c r="D389" s="42" t="s">
        <v>3</v>
      </c>
      <c r="E389" s="43" t="s">
        <v>581</v>
      </c>
      <c r="F389" s="43" t="s">
        <v>582</v>
      </c>
      <c r="G389" s="44">
        <v>88</v>
      </c>
      <c r="H389" s="43" t="s">
        <v>585</v>
      </c>
      <c r="I389" s="45" t="s">
        <v>1051</v>
      </c>
      <c r="J389" s="45" t="s">
        <v>561</v>
      </c>
      <c r="K389" s="126">
        <v>134.18</v>
      </c>
      <c r="L389" s="126">
        <v>134.18</v>
      </c>
      <c r="M389" s="126"/>
      <c r="N389" s="126">
        <v>0</v>
      </c>
      <c r="O389" s="126">
        <v>0</v>
      </c>
      <c r="Q389" s="134"/>
      <c r="R389" s="148"/>
      <c r="S389" s="46">
        <v>268.36</v>
      </c>
      <c r="T389" s="112"/>
      <c r="U389" s="56" t="s">
        <v>953</v>
      </c>
      <c r="V389" s="105" t="s">
        <v>585</v>
      </c>
    </row>
    <row r="390" spans="1:22" s="1" customFormat="1" ht="17.25" x14ac:dyDescent="0.3">
      <c r="A390" s="39">
        <v>14122158</v>
      </c>
      <c r="B390" s="40" t="s">
        <v>396</v>
      </c>
      <c r="C390" s="41" t="s">
        <v>854</v>
      </c>
      <c r="D390" s="42" t="s">
        <v>3</v>
      </c>
      <c r="E390" s="43" t="s">
        <v>581</v>
      </c>
      <c r="F390" s="43" t="s">
        <v>582</v>
      </c>
      <c r="G390" s="44">
        <v>94</v>
      </c>
      <c r="H390" s="43" t="s">
        <v>583</v>
      </c>
      <c r="I390" s="45" t="s">
        <v>583</v>
      </c>
      <c r="J390" s="45" t="s">
        <v>561</v>
      </c>
      <c r="K390" s="126">
        <v>134.18</v>
      </c>
      <c r="L390" s="126">
        <v>134.18</v>
      </c>
      <c r="M390" s="126"/>
      <c r="N390" s="126">
        <v>200</v>
      </c>
      <c r="O390" s="126">
        <v>177.44</v>
      </c>
      <c r="Q390" s="134"/>
      <c r="R390" s="132"/>
      <c r="S390" s="46">
        <v>645.79999999999995</v>
      </c>
      <c r="T390" s="112"/>
      <c r="U390" s="56" t="s">
        <v>953</v>
      </c>
      <c r="V390" s="105" t="s">
        <v>585</v>
      </c>
    </row>
    <row r="391" spans="1:22" s="1" customFormat="1" ht="17.25" x14ac:dyDescent="0.3">
      <c r="A391" s="39">
        <v>14122191</v>
      </c>
      <c r="B391" s="40" t="s">
        <v>400</v>
      </c>
      <c r="C391" s="41" t="s">
        <v>855</v>
      </c>
      <c r="D391" s="42" t="s">
        <v>3</v>
      </c>
      <c r="E391" s="43" t="s">
        <v>581</v>
      </c>
      <c r="F391" s="43" t="s">
        <v>582</v>
      </c>
      <c r="G391" s="44">
        <v>72</v>
      </c>
      <c r="H391" s="43" t="s">
        <v>585</v>
      </c>
      <c r="I391" s="45" t="s">
        <v>583</v>
      </c>
      <c r="J391" s="45" t="s">
        <v>587</v>
      </c>
      <c r="K391" s="126">
        <v>134.18</v>
      </c>
      <c r="L391" s="126">
        <v>134.18</v>
      </c>
      <c r="M391" s="126"/>
      <c r="N391" s="126">
        <v>0</v>
      </c>
      <c r="O391" s="126">
        <v>0</v>
      </c>
      <c r="Q391" s="134"/>
      <c r="R391" s="147"/>
      <c r="S391" s="46">
        <v>268.36</v>
      </c>
      <c r="T391" s="112"/>
      <c r="U391" s="56" t="s">
        <v>953</v>
      </c>
      <c r="V391" s="105" t="s">
        <v>585</v>
      </c>
    </row>
    <row r="392" spans="1:22" s="1" customFormat="1" ht="17.25" x14ac:dyDescent="0.3">
      <c r="A392" s="39">
        <v>14122194</v>
      </c>
      <c r="B392" s="40" t="s">
        <v>401</v>
      </c>
      <c r="C392" s="41" t="s">
        <v>855</v>
      </c>
      <c r="D392" s="42" t="s">
        <v>3</v>
      </c>
      <c r="E392" s="43" t="s">
        <v>581</v>
      </c>
      <c r="F392" s="43" t="s">
        <v>582</v>
      </c>
      <c r="G392" s="44">
        <v>95</v>
      </c>
      <c r="H392" s="43" t="s">
        <v>583</v>
      </c>
      <c r="I392" s="45" t="s">
        <v>1051</v>
      </c>
      <c r="J392" s="45" t="s">
        <v>561</v>
      </c>
      <c r="K392" s="126">
        <v>134.18</v>
      </c>
      <c r="L392" s="126">
        <v>134.18</v>
      </c>
      <c r="M392" s="126"/>
      <c r="N392" s="126">
        <v>0</v>
      </c>
      <c r="O392" s="126">
        <v>0</v>
      </c>
      <c r="Q392" s="134"/>
      <c r="R392" s="147"/>
      <c r="S392" s="46">
        <v>268.36</v>
      </c>
      <c r="T392" s="112"/>
      <c r="U392" s="56" t="s">
        <v>953</v>
      </c>
      <c r="V392" s="105" t="s">
        <v>585</v>
      </c>
    </row>
    <row r="393" spans="1:22" s="1" customFormat="1" ht="17.25" x14ac:dyDescent="0.3">
      <c r="A393" s="40">
        <v>14122221</v>
      </c>
      <c r="B393" s="40" t="s">
        <v>402</v>
      </c>
      <c r="C393" s="41" t="s">
        <v>856</v>
      </c>
      <c r="D393" s="42" t="s">
        <v>3</v>
      </c>
      <c r="E393" s="43" t="s">
        <v>581</v>
      </c>
      <c r="F393" s="43" t="s">
        <v>582</v>
      </c>
      <c r="G393" s="44">
        <v>93</v>
      </c>
      <c r="H393" s="43" t="s">
        <v>583</v>
      </c>
      <c r="I393" s="45" t="s">
        <v>1051</v>
      </c>
      <c r="J393" s="45" t="s">
        <v>561</v>
      </c>
      <c r="K393" s="126">
        <v>134.18</v>
      </c>
      <c r="L393" s="126">
        <v>134.18</v>
      </c>
      <c r="M393" s="126"/>
      <c r="N393" s="126">
        <v>0</v>
      </c>
      <c r="O393" s="126">
        <v>0</v>
      </c>
      <c r="Q393" s="134"/>
      <c r="R393" s="147"/>
      <c r="S393" s="46">
        <v>268.36</v>
      </c>
      <c r="T393" s="112"/>
      <c r="U393" s="56" t="s">
        <v>953</v>
      </c>
      <c r="V393" s="105" t="s">
        <v>585</v>
      </c>
    </row>
    <row r="394" spans="1:22" s="1" customFormat="1" ht="17.25" x14ac:dyDescent="0.3">
      <c r="A394" s="39">
        <v>14122230</v>
      </c>
      <c r="B394" s="40" t="s">
        <v>403</v>
      </c>
      <c r="C394" s="41" t="s">
        <v>717</v>
      </c>
      <c r="D394" s="42" t="s">
        <v>3</v>
      </c>
      <c r="E394" s="43" t="s">
        <v>581</v>
      </c>
      <c r="F394" s="43" t="s">
        <v>582</v>
      </c>
      <c r="G394" s="44">
        <v>95</v>
      </c>
      <c r="H394" s="43" t="s">
        <v>583</v>
      </c>
      <c r="I394" s="45" t="s">
        <v>583</v>
      </c>
      <c r="J394" s="45" t="s">
        <v>561</v>
      </c>
      <c r="K394" s="126">
        <v>134.18</v>
      </c>
      <c r="L394" s="126">
        <v>134.18</v>
      </c>
      <c r="M394" s="126"/>
      <c r="N394" s="126">
        <v>200</v>
      </c>
      <c r="O394" s="126">
        <v>177.44</v>
      </c>
      <c r="Q394" s="134"/>
      <c r="R394" s="147"/>
      <c r="S394" s="46">
        <v>645.79999999999995</v>
      </c>
      <c r="T394" s="112"/>
      <c r="U394" s="56" t="s">
        <v>953</v>
      </c>
      <c r="V394" s="105" t="s">
        <v>585</v>
      </c>
    </row>
    <row r="395" spans="1:22" s="1" customFormat="1" ht="17.25" x14ac:dyDescent="0.3">
      <c r="A395" s="39">
        <v>14122263</v>
      </c>
      <c r="B395" s="40" t="s">
        <v>407</v>
      </c>
      <c r="C395" s="41" t="s">
        <v>857</v>
      </c>
      <c r="D395" s="42" t="s">
        <v>3</v>
      </c>
      <c r="E395" s="43" t="s">
        <v>581</v>
      </c>
      <c r="F395" s="43" t="s">
        <v>582</v>
      </c>
      <c r="G395" s="44">
        <v>94</v>
      </c>
      <c r="H395" s="43" t="s">
        <v>583</v>
      </c>
      <c r="I395" s="45" t="s">
        <v>1051</v>
      </c>
      <c r="J395" s="45" t="s">
        <v>561</v>
      </c>
      <c r="K395" s="126">
        <v>134.18</v>
      </c>
      <c r="L395" s="126">
        <v>134.18</v>
      </c>
      <c r="M395" s="126"/>
      <c r="N395" s="126">
        <v>0</v>
      </c>
      <c r="O395" s="126">
        <v>0</v>
      </c>
      <c r="Q395" s="134"/>
      <c r="R395" s="147"/>
      <c r="S395" s="46">
        <v>268.36</v>
      </c>
      <c r="T395" s="112"/>
      <c r="U395" s="56" t="s">
        <v>953</v>
      </c>
      <c r="V395" s="105" t="s">
        <v>585</v>
      </c>
    </row>
    <row r="396" spans="1:22" s="1" customFormat="1" ht="17.25" x14ac:dyDescent="0.3">
      <c r="A396" s="40">
        <v>14122291</v>
      </c>
      <c r="B396" s="40" t="s">
        <v>408</v>
      </c>
      <c r="C396" s="41" t="s">
        <v>770</v>
      </c>
      <c r="D396" s="42" t="s">
        <v>3</v>
      </c>
      <c r="E396" s="43" t="s">
        <v>581</v>
      </c>
      <c r="F396" s="43" t="s">
        <v>582</v>
      </c>
      <c r="G396" s="44">
        <v>93</v>
      </c>
      <c r="H396" s="43" t="s">
        <v>583</v>
      </c>
      <c r="I396" s="45" t="s">
        <v>1051</v>
      </c>
      <c r="J396" s="45" t="s">
        <v>561</v>
      </c>
      <c r="K396" s="126">
        <v>134.18</v>
      </c>
      <c r="L396" s="126">
        <v>134.18</v>
      </c>
      <c r="M396" s="126"/>
      <c r="N396" s="126">
        <v>0</v>
      </c>
      <c r="O396" s="126">
        <v>0</v>
      </c>
      <c r="Q396" s="134"/>
      <c r="R396" s="147"/>
      <c r="S396" s="46">
        <v>268.36</v>
      </c>
      <c r="T396" s="112"/>
      <c r="U396" s="56" t="s">
        <v>953</v>
      </c>
      <c r="V396" s="105" t="s">
        <v>585</v>
      </c>
    </row>
    <row r="397" spans="1:22" s="1" customFormat="1" ht="17.25" x14ac:dyDescent="0.3">
      <c r="A397" s="39">
        <v>14122293</v>
      </c>
      <c r="B397" s="40" t="s">
        <v>409</v>
      </c>
      <c r="C397" s="41" t="s">
        <v>770</v>
      </c>
      <c r="D397" s="42" t="s">
        <v>3</v>
      </c>
      <c r="E397" s="43" t="s">
        <v>581</v>
      </c>
      <c r="F397" s="43" t="s">
        <v>582</v>
      </c>
      <c r="G397" s="44">
        <v>5</v>
      </c>
      <c r="H397" s="43" t="s">
        <v>585</v>
      </c>
      <c r="I397" s="45" t="s">
        <v>1051</v>
      </c>
      <c r="J397" s="45" t="s">
        <v>561</v>
      </c>
      <c r="K397" s="126">
        <v>134.18</v>
      </c>
      <c r="L397" s="126">
        <v>134.18</v>
      </c>
      <c r="M397" s="126"/>
      <c r="N397" s="126">
        <v>0</v>
      </c>
      <c r="O397" s="126">
        <v>0</v>
      </c>
      <c r="Q397" s="134"/>
      <c r="R397" s="147"/>
      <c r="S397" s="46">
        <v>268.36</v>
      </c>
      <c r="T397" s="112"/>
      <c r="U397" s="56" t="s">
        <v>953</v>
      </c>
      <c r="V397" s="105" t="s">
        <v>585</v>
      </c>
    </row>
    <row r="398" spans="1:22" s="1" customFormat="1" ht="17.25" x14ac:dyDescent="0.3">
      <c r="A398" s="39">
        <v>14122294</v>
      </c>
      <c r="B398" s="40" t="s">
        <v>410</v>
      </c>
      <c r="C398" s="41" t="s">
        <v>770</v>
      </c>
      <c r="D398" s="42" t="s">
        <v>3</v>
      </c>
      <c r="E398" s="43" t="s">
        <v>581</v>
      </c>
      <c r="F398" s="43" t="s">
        <v>582</v>
      </c>
      <c r="G398" s="44">
        <v>93</v>
      </c>
      <c r="H398" s="43" t="s">
        <v>583</v>
      </c>
      <c r="I398" s="45" t="s">
        <v>1051</v>
      </c>
      <c r="J398" s="45" t="s">
        <v>561</v>
      </c>
      <c r="K398" s="126">
        <v>134.18</v>
      </c>
      <c r="L398" s="126">
        <v>134.18</v>
      </c>
      <c r="M398" s="126"/>
      <c r="N398" s="126">
        <v>0</v>
      </c>
      <c r="O398" s="126">
        <v>0</v>
      </c>
      <c r="Q398" s="134"/>
      <c r="R398" s="147"/>
      <c r="S398" s="46">
        <v>268.36</v>
      </c>
      <c r="T398" s="112"/>
      <c r="U398" s="56" t="s">
        <v>953</v>
      </c>
      <c r="V398" s="105" t="s">
        <v>585</v>
      </c>
    </row>
    <row r="399" spans="1:22" s="1" customFormat="1" ht="17.25" x14ac:dyDescent="0.3">
      <c r="A399" s="39">
        <v>14122320</v>
      </c>
      <c r="B399" s="40" t="s">
        <v>411</v>
      </c>
      <c r="C399" s="41" t="s">
        <v>858</v>
      </c>
      <c r="D399" s="42" t="s">
        <v>3</v>
      </c>
      <c r="E399" s="43" t="s">
        <v>581</v>
      </c>
      <c r="F399" s="43" t="s">
        <v>582</v>
      </c>
      <c r="G399" s="44">
        <v>94</v>
      </c>
      <c r="H399" s="43" t="s">
        <v>583</v>
      </c>
      <c r="I399" s="45" t="s">
        <v>1051</v>
      </c>
      <c r="J399" s="45" t="s">
        <v>561</v>
      </c>
      <c r="K399" s="126">
        <v>134.18</v>
      </c>
      <c r="L399" s="126">
        <v>134.18</v>
      </c>
      <c r="M399" s="126"/>
      <c r="N399" s="126">
        <v>0</v>
      </c>
      <c r="O399" s="126">
        <v>0</v>
      </c>
      <c r="P399" s="150"/>
      <c r="Q399" s="151"/>
      <c r="R399" s="147"/>
      <c r="S399" s="46">
        <v>268.36</v>
      </c>
      <c r="T399" s="112"/>
      <c r="U399" s="56" t="s">
        <v>953</v>
      </c>
      <c r="V399" s="105" t="s">
        <v>585</v>
      </c>
    </row>
    <row r="400" spans="1:22" s="1" customFormat="1" ht="17.25" x14ac:dyDescent="0.3">
      <c r="A400" s="39">
        <v>14122329</v>
      </c>
      <c r="B400" s="40" t="s">
        <v>412</v>
      </c>
      <c r="C400" s="41" t="s">
        <v>859</v>
      </c>
      <c r="D400" s="42" t="s">
        <v>3</v>
      </c>
      <c r="E400" s="43" t="s">
        <v>2035</v>
      </c>
      <c r="F400" s="43" t="s">
        <v>582</v>
      </c>
      <c r="G400" s="44">
        <v>94</v>
      </c>
      <c r="H400" s="43" t="s">
        <v>583</v>
      </c>
      <c r="I400" s="45" t="s">
        <v>1051</v>
      </c>
      <c r="J400" s="45" t="s">
        <v>561</v>
      </c>
      <c r="K400" s="126">
        <v>0</v>
      </c>
      <c r="L400" s="126">
        <v>134.18</v>
      </c>
      <c r="M400" s="126"/>
      <c r="N400" s="126">
        <v>0</v>
      </c>
      <c r="O400" s="126">
        <v>0</v>
      </c>
      <c r="P400" s="150"/>
      <c r="Q400" s="151"/>
      <c r="R400" s="147"/>
      <c r="S400" s="46">
        <v>134.18</v>
      </c>
      <c r="T400" s="112"/>
      <c r="U400" s="56" t="s">
        <v>953</v>
      </c>
      <c r="V400" s="105" t="s">
        <v>585</v>
      </c>
    </row>
    <row r="401" spans="1:24" s="1" customFormat="1" ht="17.25" x14ac:dyDescent="0.3">
      <c r="A401" s="39">
        <v>14122330</v>
      </c>
      <c r="B401" s="40" t="s">
        <v>413</v>
      </c>
      <c r="C401" s="41" t="s">
        <v>860</v>
      </c>
      <c r="D401" s="42" t="s">
        <v>3</v>
      </c>
      <c r="E401" s="43" t="s">
        <v>581</v>
      </c>
      <c r="F401" s="43" t="s">
        <v>582</v>
      </c>
      <c r="G401" s="44">
        <v>92</v>
      </c>
      <c r="H401" s="43" t="s">
        <v>583</v>
      </c>
      <c r="I401" s="45" t="s">
        <v>583</v>
      </c>
      <c r="J401" s="45" t="s">
        <v>561</v>
      </c>
      <c r="K401" s="126">
        <v>134.18</v>
      </c>
      <c r="L401" s="126">
        <v>134.18</v>
      </c>
      <c r="M401" s="126"/>
      <c r="N401" s="126">
        <v>200</v>
      </c>
      <c r="O401" s="126">
        <v>177.44</v>
      </c>
      <c r="Q401" s="134"/>
      <c r="R401" s="147"/>
      <c r="S401" s="46">
        <v>645.79999999999995</v>
      </c>
      <c r="T401" s="112"/>
      <c r="U401" s="56" t="s">
        <v>953</v>
      </c>
      <c r="V401" s="105" t="s">
        <v>585</v>
      </c>
    </row>
    <row r="402" spans="1:24" s="1" customFormat="1" ht="17.25" x14ac:dyDescent="0.3">
      <c r="A402" s="39">
        <v>14122331</v>
      </c>
      <c r="B402" s="40" t="s">
        <v>414</v>
      </c>
      <c r="C402" s="41" t="s">
        <v>860</v>
      </c>
      <c r="D402" s="42" t="s">
        <v>3</v>
      </c>
      <c r="E402" s="43" t="s">
        <v>581</v>
      </c>
      <c r="F402" s="43" t="s">
        <v>582</v>
      </c>
      <c r="G402" s="44">
        <v>94</v>
      </c>
      <c r="H402" s="43" t="s">
        <v>583</v>
      </c>
      <c r="I402" s="45" t="s">
        <v>583</v>
      </c>
      <c r="J402" s="45" t="s">
        <v>561</v>
      </c>
      <c r="K402" s="126">
        <v>134.18</v>
      </c>
      <c r="L402" s="126">
        <v>134.18</v>
      </c>
      <c r="M402" s="126"/>
      <c r="N402" s="126">
        <v>200</v>
      </c>
      <c r="O402" s="126">
        <v>177.44</v>
      </c>
      <c r="Q402" s="134"/>
      <c r="R402" s="148"/>
      <c r="S402" s="46">
        <v>645.79999999999995</v>
      </c>
      <c r="T402" s="112"/>
      <c r="U402" s="56" t="s">
        <v>953</v>
      </c>
      <c r="V402" s="105" t="s">
        <v>585</v>
      </c>
    </row>
    <row r="403" spans="1:24" s="1" customFormat="1" ht="17.25" x14ac:dyDescent="0.3">
      <c r="A403" s="39">
        <v>14122353</v>
      </c>
      <c r="B403" s="40" t="s">
        <v>415</v>
      </c>
      <c r="C403" s="41" t="s">
        <v>861</v>
      </c>
      <c r="D403" s="42" t="s">
        <v>3</v>
      </c>
      <c r="E403" s="43" t="s">
        <v>581</v>
      </c>
      <c r="F403" s="43" t="s">
        <v>582</v>
      </c>
      <c r="G403" s="44" t="s">
        <v>1609</v>
      </c>
      <c r="H403" s="43" t="s">
        <v>585</v>
      </c>
      <c r="I403" s="45" t="s">
        <v>583</v>
      </c>
      <c r="J403" s="45" t="s">
        <v>587</v>
      </c>
      <c r="K403" s="126">
        <v>0</v>
      </c>
      <c r="L403" s="126">
        <v>0</v>
      </c>
      <c r="M403" s="126"/>
      <c r="N403" s="126">
        <v>0</v>
      </c>
      <c r="O403" s="126">
        <v>0</v>
      </c>
      <c r="Q403" s="134"/>
      <c r="R403" s="147"/>
      <c r="S403" s="46">
        <v>0</v>
      </c>
      <c r="T403" s="112"/>
      <c r="U403" s="56" t="s">
        <v>585</v>
      </c>
      <c r="V403" s="105" t="s">
        <v>585</v>
      </c>
      <c r="X403" s="127"/>
    </row>
    <row r="404" spans="1:24" s="1" customFormat="1" ht="17.25" x14ac:dyDescent="0.3">
      <c r="A404" s="39">
        <v>14122355</v>
      </c>
      <c r="B404" s="40" t="s">
        <v>417</v>
      </c>
      <c r="C404" s="41" t="s">
        <v>861</v>
      </c>
      <c r="D404" s="42" t="s">
        <v>3</v>
      </c>
      <c r="E404" s="43" t="s">
        <v>581</v>
      </c>
      <c r="F404" s="43" t="s">
        <v>582</v>
      </c>
      <c r="G404" s="44">
        <v>92</v>
      </c>
      <c r="H404" s="43" t="s">
        <v>583</v>
      </c>
      <c r="I404" s="45" t="s">
        <v>1051</v>
      </c>
      <c r="J404" s="45" t="s">
        <v>561</v>
      </c>
      <c r="K404" s="126">
        <v>134.18</v>
      </c>
      <c r="L404" s="126">
        <v>134.18</v>
      </c>
      <c r="M404" s="126"/>
      <c r="N404" s="126">
        <v>0</v>
      </c>
      <c r="O404" s="126">
        <v>0</v>
      </c>
      <c r="P404" s="150"/>
      <c r="Q404" s="151"/>
      <c r="R404" s="147"/>
      <c r="S404" s="46">
        <v>268.36</v>
      </c>
      <c r="T404" s="112"/>
      <c r="U404" s="56" t="s">
        <v>953</v>
      </c>
      <c r="V404" s="105" t="s">
        <v>585</v>
      </c>
    </row>
    <row r="405" spans="1:24" s="1" customFormat="1" ht="17.25" x14ac:dyDescent="0.3">
      <c r="A405" s="39">
        <v>14122377</v>
      </c>
      <c r="B405" s="40" t="s">
        <v>418</v>
      </c>
      <c r="C405" s="41" t="s">
        <v>861</v>
      </c>
      <c r="D405" s="42" t="s">
        <v>3</v>
      </c>
      <c r="E405" s="43" t="s">
        <v>581</v>
      </c>
      <c r="F405" s="43" t="s">
        <v>582</v>
      </c>
      <c r="G405" s="44">
        <v>89</v>
      </c>
      <c r="H405" s="43" t="s">
        <v>585</v>
      </c>
      <c r="I405" s="45" t="s">
        <v>583</v>
      </c>
      <c r="J405" s="45" t="s">
        <v>587</v>
      </c>
      <c r="K405" s="126">
        <v>0</v>
      </c>
      <c r="L405" s="126">
        <v>0</v>
      </c>
      <c r="M405" s="126"/>
      <c r="N405" s="126">
        <v>0</v>
      </c>
      <c r="O405" s="126">
        <v>0</v>
      </c>
      <c r="P405" s="150"/>
      <c r="Q405" s="151"/>
      <c r="R405" s="147"/>
      <c r="S405" s="46">
        <v>0</v>
      </c>
      <c r="T405" s="112"/>
      <c r="U405" s="56" t="s">
        <v>585</v>
      </c>
      <c r="V405" s="105" t="s">
        <v>585</v>
      </c>
      <c r="X405" s="127"/>
    </row>
    <row r="406" spans="1:24" s="1" customFormat="1" ht="17.25" x14ac:dyDescent="0.3">
      <c r="A406" s="39">
        <v>14122394</v>
      </c>
      <c r="B406" s="48" t="s">
        <v>419</v>
      </c>
      <c r="C406" s="41" t="s">
        <v>862</v>
      </c>
      <c r="D406" s="42" t="s">
        <v>3</v>
      </c>
      <c r="E406" s="43" t="s">
        <v>581</v>
      </c>
      <c r="F406" s="43" t="s">
        <v>582</v>
      </c>
      <c r="G406" s="44">
        <v>94</v>
      </c>
      <c r="H406" s="43" t="s">
        <v>583</v>
      </c>
      <c r="I406" s="45" t="s">
        <v>1051</v>
      </c>
      <c r="J406" s="45" t="s">
        <v>561</v>
      </c>
      <c r="K406" s="126">
        <v>134.18</v>
      </c>
      <c r="L406" s="126">
        <v>134.18</v>
      </c>
      <c r="M406" s="126"/>
      <c r="N406" s="126">
        <v>0</v>
      </c>
      <c r="O406" s="126">
        <v>0</v>
      </c>
      <c r="P406" s="150"/>
      <c r="Q406" s="151"/>
      <c r="R406" s="147"/>
      <c r="S406" s="46">
        <v>268.36</v>
      </c>
      <c r="T406" s="112"/>
      <c r="U406" s="56" t="s">
        <v>953</v>
      </c>
      <c r="V406" s="105" t="s">
        <v>585</v>
      </c>
    </row>
    <row r="407" spans="1:24" s="1" customFormat="1" ht="17.25" x14ac:dyDescent="0.3">
      <c r="A407" s="39">
        <v>14122416</v>
      </c>
      <c r="B407" s="40" t="s">
        <v>420</v>
      </c>
      <c r="C407" s="41" t="s">
        <v>863</v>
      </c>
      <c r="D407" s="42" t="s">
        <v>3</v>
      </c>
      <c r="E407" s="43" t="s">
        <v>581</v>
      </c>
      <c r="F407" s="43" t="s">
        <v>582</v>
      </c>
      <c r="G407" s="44">
        <v>92</v>
      </c>
      <c r="H407" s="43" t="s">
        <v>583</v>
      </c>
      <c r="I407" s="45" t="s">
        <v>583</v>
      </c>
      <c r="J407" s="45" t="s">
        <v>561</v>
      </c>
      <c r="K407" s="126">
        <v>134.18</v>
      </c>
      <c r="L407" s="126">
        <v>134.18</v>
      </c>
      <c r="M407" s="126"/>
      <c r="N407" s="126">
        <v>200</v>
      </c>
      <c r="O407" s="126">
        <v>177.44</v>
      </c>
      <c r="Q407" s="134"/>
      <c r="R407" s="147"/>
      <c r="S407" s="46">
        <v>645.79999999999995</v>
      </c>
      <c r="T407" s="112"/>
      <c r="U407" s="56" t="s">
        <v>953</v>
      </c>
      <c r="V407" s="105" t="s">
        <v>585</v>
      </c>
    </row>
    <row r="408" spans="1:24" s="1" customFormat="1" ht="17.25" x14ac:dyDescent="0.3">
      <c r="A408" s="39">
        <v>14122417</v>
      </c>
      <c r="B408" s="40" t="s">
        <v>421</v>
      </c>
      <c r="C408" s="41" t="s">
        <v>863</v>
      </c>
      <c r="D408" s="42" t="s">
        <v>3</v>
      </c>
      <c r="E408" s="43" t="s">
        <v>581</v>
      </c>
      <c r="F408" s="43" t="s">
        <v>582</v>
      </c>
      <c r="G408" s="44">
        <v>93</v>
      </c>
      <c r="H408" s="43" t="s">
        <v>583</v>
      </c>
      <c r="I408" s="45" t="s">
        <v>583</v>
      </c>
      <c r="J408" s="45" t="s">
        <v>561</v>
      </c>
      <c r="K408" s="126">
        <v>134.18</v>
      </c>
      <c r="L408" s="126">
        <v>134.18</v>
      </c>
      <c r="M408" s="126"/>
      <c r="N408" s="126">
        <v>200</v>
      </c>
      <c r="O408" s="126">
        <v>177.44</v>
      </c>
      <c r="P408" s="150"/>
      <c r="Q408" s="151"/>
      <c r="R408" s="147"/>
      <c r="S408" s="46">
        <v>645.79999999999995</v>
      </c>
      <c r="T408" s="112"/>
      <c r="U408" s="56" t="s">
        <v>953</v>
      </c>
      <c r="V408" s="105" t="s">
        <v>585</v>
      </c>
    </row>
    <row r="409" spans="1:24" s="1" customFormat="1" ht="17.25" x14ac:dyDescent="0.3">
      <c r="A409" s="39">
        <v>14122419</v>
      </c>
      <c r="B409" s="40" t="s">
        <v>422</v>
      </c>
      <c r="C409" s="41" t="s">
        <v>863</v>
      </c>
      <c r="D409" s="42" t="s">
        <v>3</v>
      </c>
      <c r="E409" s="43" t="s">
        <v>581</v>
      </c>
      <c r="F409" s="43" t="s">
        <v>582</v>
      </c>
      <c r="G409" s="44">
        <v>92</v>
      </c>
      <c r="H409" s="43" t="s">
        <v>583</v>
      </c>
      <c r="I409" s="45" t="s">
        <v>1051</v>
      </c>
      <c r="J409" s="45" t="s">
        <v>561</v>
      </c>
      <c r="K409" s="126">
        <v>134.18</v>
      </c>
      <c r="L409" s="126">
        <v>134.18</v>
      </c>
      <c r="M409" s="126"/>
      <c r="N409" s="126">
        <v>0</v>
      </c>
      <c r="O409" s="126">
        <v>0</v>
      </c>
      <c r="P409" s="150"/>
      <c r="Q409" s="151"/>
      <c r="R409" s="147"/>
      <c r="S409" s="46">
        <v>268.36</v>
      </c>
      <c r="T409" s="112"/>
      <c r="U409" s="56" t="s">
        <v>953</v>
      </c>
      <c r="V409" s="105" t="s">
        <v>925</v>
      </c>
    </row>
    <row r="410" spans="1:24" s="1" customFormat="1" ht="17.25" x14ac:dyDescent="0.3">
      <c r="A410" s="39">
        <v>14122428</v>
      </c>
      <c r="B410" s="40" t="s">
        <v>423</v>
      </c>
      <c r="C410" s="41" t="s">
        <v>864</v>
      </c>
      <c r="D410" s="42" t="s">
        <v>3</v>
      </c>
      <c r="E410" s="43" t="s">
        <v>581</v>
      </c>
      <c r="F410" s="43" t="s">
        <v>582</v>
      </c>
      <c r="G410" s="44" t="s">
        <v>1609</v>
      </c>
      <c r="H410" s="43" t="s">
        <v>585</v>
      </c>
      <c r="I410" s="45" t="s">
        <v>583</v>
      </c>
      <c r="J410" s="45" t="s">
        <v>587</v>
      </c>
      <c r="K410" s="126">
        <v>0</v>
      </c>
      <c r="L410" s="126">
        <v>0</v>
      </c>
      <c r="M410" s="126"/>
      <c r="N410" s="126">
        <v>0</v>
      </c>
      <c r="O410" s="126">
        <v>0</v>
      </c>
      <c r="P410" s="150"/>
      <c r="Q410" s="151"/>
      <c r="R410" s="147"/>
      <c r="S410" s="46">
        <v>0</v>
      </c>
      <c r="T410" s="112"/>
      <c r="U410" s="56" t="s">
        <v>585</v>
      </c>
      <c r="V410" s="105" t="s">
        <v>585</v>
      </c>
      <c r="X410" s="127"/>
    </row>
    <row r="411" spans="1:24" s="1" customFormat="1" ht="17.25" x14ac:dyDescent="0.3">
      <c r="A411" s="39">
        <v>14122429</v>
      </c>
      <c r="B411" s="40" t="s">
        <v>424</v>
      </c>
      <c r="C411" s="41" t="s">
        <v>864</v>
      </c>
      <c r="D411" s="42" t="s">
        <v>3</v>
      </c>
      <c r="E411" s="43" t="s">
        <v>581</v>
      </c>
      <c r="F411" s="43" t="s">
        <v>582</v>
      </c>
      <c r="G411" s="44">
        <v>84</v>
      </c>
      <c r="H411" s="43" t="s">
        <v>585</v>
      </c>
      <c r="I411" s="45" t="s">
        <v>583</v>
      </c>
      <c r="J411" s="45" t="s">
        <v>561</v>
      </c>
      <c r="K411" s="126">
        <v>134.18</v>
      </c>
      <c r="L411" s="126">
        <v>134.18</v>
      </c>
      <c r="M411" s="126"/>
      <c r="N411" s="126">
        <v>0</v>
      </c>
      <c r="O411" s="126">
        <v>177.44</v>
      </c>
      <c r="Q411" s="134"/>
      <c r="R411" s="147"/>
      <c r="S411" s="46">
        <v>445.8</v>
      </c>
      <c r="T411" s="112"/>
      <c r="U411" s="56" t="s">
        <v>953</v>
      </c>
      <c r="V411" s="105" t="s">
        <v>585</v>
      </c>
    </row>
    <row r="412" spans="1:24" s="1" customFormat="1" ht="17.25" x14ac:dyDescent="0.3">
      <c r="A412" s="39">
        <v>14122431</v>
      </c>
      <c r="B412" s="40" t="s">
        <v>425</v>
      </c>
      <c r="C412" s="41" t="s">
        <v>864</v>
      </c>
      <c r="D412" s="42" t="s">
        <v>3</v>
      </c>
      <c r="E412" s="43" t="s">
        <v>581</v>
      </c>
      <c r="F412" s="43" t="s">
        <v>582</v>
      </c>
      <c r="G412" s="44">
        <v>95</v>
      </c>
      <c r="H412" s="43" t="s">
        <v>583</v>
      </c>
      <c r="I412" s="45" t="s">
        <v>583</v>
      </c>
      <c r="J412" s="45" t="s">
        <v>561</v>
      </c>
      <c r="K412" s="126">
        <v>134.18</v>
      </c>
      <c r="L412" s="126">
        <v>134.18</v>
      </c>
      <c r="M412" s="126"/>
      <c r="N412" s="126">
        <v>200</v>
      </c>
      <c r="O412" s="126">
        <v>177.44</v>
      </c>
      <c r="Q412" s="134"/>
      <c r="R412" s="147"/>
      <c r="S412" s="46">
        <v>645.79999999999995</v>
      </c>
      <c r="T412" s="112"/>
      <c r="U412" s="56" t="s">
        <v>953</v>
      </c>
      <c r="V412" s="105" t="s">
        <v>585</v>
      </c>
    </row>
    <row r="413" spans="1:24" s="1" customFormat="1" ht="17.25" x14ac:dyDescent="0.3">
      <c r="A413" s="39">
        <v>14122481</v>
      </c>
      <c r="B413" s="40" t="s">
        <v>426</v>
      </c>
      <c r="C413" s="41" t="s">
        <v>865</v>
      </c>
      <c r="D413" s="42" t="s">
        <v>3</v>
      </c>
      <c r="E413" s="43" t="s">
        <v>581</v>
      </c>
      <c r="F413" s="43" t="s">
        <v>582</v>
      </c>
      <c r="G413" s="44">
        <v>93</v>
      </c>
      <c r="H413" s="43" t="s">
        <v>583</v>
      </c>
      <c r="I413" s="45" t="s">
        <v>1051</v>
      </c>
      <c r="J413" s="45" t="s">
        <v>561</v>
      </c>
      <c r="K413" s="126">
        <v>134.18</v>
      </c>
      <c r="L413" s="126">
        <v>134.18</v>
      </c>
      <c r="M413" s="126"/>
      <c r="N413" s="126">
        <v>0</v>
      </c>
      <c r="O413" s="126">
        <v>0</v>
      </c>
      <c r="P413" s="150"/>
      <c r="Q413" s="151"/>
      <c r="R413" s="147"/>
      <c r="S413" s="46">
        <v>268.36</v>
      </c>
      <c r="T413" s="112"/>
      <c r="U413" s="56" t="s">
        <v>953</v>
      </c>
      <c r="V413" s="105" t="s">
        <v>585</v>
      </c>
    </row>
    <row r="414" spans="1:24" s="1" customFormat="1" ht="17.25" x14ac:dyDescent="0.3">
      <c r="A414" s="39">
        <v>14122495</v>
      </c>
      <c r="B414" s="40" t="s">
        <v>429</v>
      </c>
      <c r="C414" s="41" t="s">
        <v>866</v>
      </c>
      <c r="D414" s="42" t="s">
        <v>3</v>
      </c>
      <c r="E414" s="43" t="s">
        <v>2035</v>
      </c>
      <c r="F414" s="43" t="s">
        <v>582</v>
      </c>
      <c r="G414" s="44">
        <v>69</v>
      </c>
      <c r="H414" s="43" t="s">
        <v>585</v>
      </c>
      <c r="I414" s="45" t="s">
        <v>1051</v>
      </c>
      <c r="J414" s="45" t="s">
        <v>587</v>
      </c>
      <c r="K414" s="126">
        <v>0</v>
      </c>
      <c r="L414" s="126">
        <v>134.18</v>
      </c>
      <c r="M414" s="126"/>
      <c r="N414" s="126">
        <v>0</v>
      </c>
      <c r="O414" s="126">
        <v>0</v>
      </c>
      <c r="Q414" s="134"/>
      <c r="R414" s="147"/>
      <c r="S414" s="46">
        <v>134.18</v>
      </c>
      <c r="T414" s="112"/>
      <c r="U414" s="56" t="s">
        <v>953</v>
      </c>
      <c r="V414" s="105" t="s">
        <v>2034</v>
      </c>
    </row>
    <row r="415" spans="1:24" s="1" customFormat="1" ht="17.25" x14ac:dyDescent="0.3">
      <c r="A415" s="39">
        <v>14122510</v>
      </c>
      <c r="B415" s="40" t="s">
        <v>430</v>
      </c>
      <c r="C415" s="41" t="s">
        <v>683</v>
      </c>
      <c r="D415" s="42" t="s">
        <v>3</v>
      </c>
      <c r="E415" s="43" t="s">
        <v>581</v>
      </c>
      <c r="F415" s="43" t="s">
        <v>582</v>
      </c>
      <c r="G415" s="44">
        <v>91</v>
      </c>
      <c r="H415" s="43" t="s">
        <v>583</v>
      </c>
      <c r="I415" s="45" t="s">
        <v>1051</v>
      </c>
      <c r="J415" s="45" t="s">
        <v>561</v>
      </c>
      <c r="K415" s="126">
        <v>134.18</v>
      </c>
      <c r="L415" s="126">
        <v>134.18</v>
      </c>
      <c r="M415" s="126"/>
      <c r="N415" s="126">
        <v>0</v>
      </c>
      <c r="O415" s="126">
        <v>0</v>
      </c>
      <c r="P415" s="150"/>
      <c r="Q415" s="151"/>
      <c r="R415" s="147"/>
      <c r="S415" s="46">
        <v>268.36</v>
      </c>
      <c r="T415" s="112"/>
      <c r="U415" s="56" t="s">
        <v>953</v>
      </c>
      <c r="V415" s="105" t="s">
        <v>925</v>
      </c>
    </row>
    <row r="416" spans="1:24" s="1" customFormat="1" ht="17.25" x14ac:dyDescent="0.3">
      <c r="A416" s="39">
        <v>14122543</v>
      </c>
      <c r="B416" s="40" t="s">
        <v>433</v>
      </c>
      <c r="C416" s="41" t="s">
        <v>867</v>
      </c>
      <c r="D416" s="42" t="s">
        <v>3</v>
      </c>
      <c r="E416" s="43" t="s">
        <v>581</v>
      </c>
      <c r="F416" s="43" t="s">
        <v>582</v>
      </c>
      <c r="G416" s="44">
        <v>92</v>
      </c>
      <c r="H416" s="43" t="s">
        <v>583</v>
      </c>
      <c r="I416" s="45" t="s">
        <v>583</v>
      </c>
      <c r="J416" s="45" t="s">
        <v>561</v>
      </c>
      <c r="K416" s="126">
        <v>134.18</v>
      </c>
      <c r="L416" s="126">
        <v>134.18</v>
      </c>
      <c r="M416" s="126"/>
      <c r="N416" s="126">
        <v>200</v>
      </c>
      <c r="O416" s="126">
        <v>177.44</v>
      </c>
      <c r="Q416" s="134"/>
      <c r="R416" s="147"/>
      <c r="S416" s="46">
        <v>645.79999999999995</v>
      </c>
      <c r="T416" s="112"/>
      <c r="U416" s="56" t="s">
        <v>953</v>
      </c>
      <c r="V416" s="105" t="s">
        <v>585</v>
      </c>
    </row>
    <row r="417" spans="1:24" s="1" customFormat="1" ht="17.25" x14ac:dyDescent="0.3">
      <c r="A417" s="39">
        <v>14122546</v>
      </c>
      <c r="B417" s="40" t="s">
        <v>434</v>
      </c>
      <c r="C417" s="41" t="s">
        <v>868</v>
      </c>
      <c r="D417" s="42" t="s">
        <v>3</v>
      </c>
      <c r="E417" s="43" t="s">
        <v>581</v>
      </c>
      <c r="F417" s="43" t="s">
        <v>582</v>
      </c>
      <c r="G417" s="44">
        <v>95</v>
      </c>
      <c r="H417" s="43" t="s">
        <v>583</v>
      </c>
      <c r="I417" s="45" t="s">
        <v>1051</v>
      </c>
      <c r="J417" s="45" t="s">
        <v>561</v>
      </c>
      <c r="K417" s="126">
        <v>134.18</v>
      </c>
      <c r="L417" s="126">
        <v>134.18</v>
      </c>
      <c r="M417" s="126"/>
      <c r="N417" s="126">
        <v>0</v>
      </c>
      <c r="O417" s="126">
        <v>0</v>
      </c>
      <c r="Q417" s="134"/>
      <c r="R417" s="147"/>
      <c r="S417" s="46">
        <v>268.36</v>
      </c>
      <c r="T417" s="112"/>
      <c r="U417" s="56" t="s">
        <v>953</v>
      </c>
      <c r="V417" s="105" t="s">
        <v>585</v>
      </c>
    </row>
    <row r="418" spans="1:24" s="1" customFormat="1" ht="17.25" x14ac:dyDescent="0.3">
      <c r="A418" s="39">
        <v>14122617</v>
      </c>
      <c r="B418" s="40" t="s">
        <v>435</v>
      </c>
      <c r="C418" s="41" t="s">
        <v>869</v>
      </c>
      <c r="D418" s="42" t="s">
        <v>3</v>
      </c>
      <c r="E418" s="43" t="s">
        <v>581</v>
      </c>
      <c r="F418" s="43" t="s">
        <v>582</v>
      </c>
      <c r="G418" s="44">
        <v>94</v>
      </c>
      <c r="H418" s="43" t="s">
        <v>583</v>
      </c>
      <c r="I418" s="45" t="s">
        <v>583</v>
      </c>
      <c r="J418" s="45" t="s">
        <v>561</v>
      </c>
      <c r="K418" s="126">
        <v>134.18</v>
      </c>
      <c r="L418" s="126">
        <v>134.18</v>
      </c>
      <c r="M418" s="126"/>
      <c r="N418" s="126">
        <v>200</v>
      </c>
      <c r="O418" s="126">
        <v>177.44</v>
      </c>
      <c r="P418" s="150"/>
      <c r="Q418" s="151"/>
      <c r="R418" s="147"/>
      <c r="S418" s="46">
        <v>645.79999999999995</v>
      </c>
      <c r="T418" s="112"/>
      <c r="U418" s="56" t="s">
        <v>953</v>
      </c>
      <c r="V418" s="105" t="s">
        <v>2034</v>
      </c>
    </row>
    <row r="419" spans="1:24" s="1" customFormat="1" ht="17.25" x14ac:dyDescent="0.3">
      <c r="A419" s="39">
        <v>14122618</v>
      </c>
      <c r="B419" s="40" t="s">
        <v>436</v>
      </c>
      <c r="C419" s="41" t="s">
        <v>869</v>
      </c>
      <c r="D419" s="42" t="s">
        <v>3</v>
      </c>
      <c r="E419" s="43" t="s">
        <v>581</v>
      </c>
      <c r="F419" s="43" t="s">
        <v>582</v>
      </c>
      <c r="G419" s="44">
        <v>94</v>
      </c>
      <c r="H419" s="43" t="s">
        <v>583</v>
      </c>
      <c r="I419" s="45" t="s">
        <v>1051</v>
      </c>
      <c r="J419" s="45" t="s">
        <v>561</v>
      </c>
      <c r="K419" s="126">
        <v>134.18</v>
      </c>
      <c r="L419" s="126">
        <v>134.18</v>
      </c>
      <c r="M419" s="126"/>
      <c r="N419" s="126">
        <v>0</v>
      </c>
      <c r="O419" s="126">
        <v>0</v>
      </c>
      <c r="Q419" s="134"/>
      <c r="R419" s="147"/>
      <c r="S419" s="46">
        <v>268.36</v>
      </c>
      <c r="T419" s="112"/>
      <c r="U419" s="56" t="s">
        <v>953</v>
      </c>
      <c r="V419" s="105" t="s">
        <v>585</v>
      </c>
    </row>
    <row r="420" spans="1:24" s="1" customFormat="1" ht="17.25" x14ac:dyDescent="0.3">
      <c r="A420" s="39">
        <v>14122681</v>
      </c>
      <c r="B420" s="40" t="s">
        <v>439</v>
      </c>
      <c r="C420" s="41" t="s">
        <v>870</v>
      </c>
      <c r="D420" s="42" t="s">
        <v>3</v>
      </c>
      <c r="E420" s="43" t="s">
        <v>581</v>
      </c>
      <c r="F420" s="43" t="s">
        <v>582</v>
      </c>
      <c r="G420" s="44">
        <v>91</v>
      </c>
      <c r="H420" s="43" t="s">
        <v>583</v>
      </c>
      <c r="I420" s="45" t="s">
        <v>583</v>
      </c>
      <c r="J420" s="45" t="s">
        <v>561</v>
      </c>
      <c r="K420" s="126">
        <v>134.18</v>
      </c>
      <c r="L420" s="126">
        <v>134.18</v>
      </c>
      <c r="M420" s="126"/>
      <c r="N420" s="126">
        <v>200</v>
      </c>
      <c r="O420" s="126">
        <v>177.44</v>
      </c>
      <c r="P420" s="150"/>
      <c r="Q420" s="151"/>
      <c r="R420" s="147"/>
      <c r="S420" s="46">
        <v>645.79999999999995</v>
      </c>
      <c r="T420" s="112"/>
      <c r="U420" s="56" t="s">
        <v>953</v>
      </c>
      <c r="V420" s="105" t="s">
        <v>2034</v>
      </c>
    </row>
    <row r="421" spans="1:24" s="1" customFormat="1" ht="17.25" x14ac:dyDescent="0.3">
      <c r="A421" s="39">
        <v>14122683</v>
      </c>
      <c r="B421" s="40" t="s">
        <v>441</v>
      </c>
      <c r="C421" s="41" t="s">
        <v>870</v>
      </c>
      <c r="D421" s="42" t="s">
        <v>3</v>
      </c>
      <c r="E421" s="43" t="s">
        <v>581</v>
      </c>
      <c r="F421" s="43" t="s">
        <v>582</v>
      </c>
      <c r="G421" s="44">
        <v>94</v>
      </c>
      <c r="H421" s="43" t="s">
        <v>583</v>
      </c>
      <c r="I421" s="45" t="s">
        <v>1051</v>
      </c>
      <c r="J421" s="45" t="s">
        <v>561</v>
      </c>
      <c r="K421" s="126">
        <v>134.18</v>
      </c>
      <c r="L421" s="126">
        <v>134.18</v>
      </c>
      <c r="M421" s="126"/>
      <c r="N421" s="126">
        <v>0</v>
      </c>
      <c r="O421" s="126">
        <v>0</v>
      </c>
      <c r="Q421" s="134"/>
      <c r="R421" s="147"/>
      <c r="S421" s="46">
        <v>268.36</v>
      </c>
      <c r="T421" s="112"/>
      <c r="U421" s="56" t="s">
        <v>953</v>
      </c>
      <c r="V421" s="105" t="s">
        <v>585</v>
      </c>
    </row>
    <row r="422" spans="1:24" s="1" customFormat="1" ht="17.25" x14ac:dyDescent="0.3">
      <c r="A422" s="39">
        <v>14122685</v>
      </c>
      <c r="B422" s="40" t="s">
        <v>442</v>
      </c>
      <c r="C422" s="41" t="s">
        <v>871</v>
      </c>
      <c r="D422" s="42" t="s">
        <v>3</v>
      </c>
      <c r="E422" s="43" t="s">
        <v>581</v>
      </c>
      <c r="F422" s="43" t="s">
        <v>582</v>
      </c>
      <c r="G422" s="44">
        <v>84</v>
      </c>
      <c r="H422" s="43" t="s">
        <v>585</v>
      </c>
      <c r="I422" s="45" t="s">
        <v>1051</v>
      </c>
      <c r="J422" s="45" t="s">
        <v>587</v>
      </c>
      <c r="K422" s="126">
        <v>134.18</v>
      </c>
      <c r="L422" s="126">
        <v>134.18</v>
      </c>
      <c r="M422" s="126"/>
      <c r="N422" s="126">
        <v>0</v>
      </c>
      <c r="O422" s="126">
        <v>0</v>
      </c>
      <c r="Q422" s="134"/>
      <c r="R422" s="147"/>
      <c r="S422" s="46">
        <v>268.36</v>
      </c>
      <c r="T422" s="112"/>
      <c r="U422" s="56" t="s">
        <v>953</v>
      </c>
      <c r="V422" s="105" t="s">
        <v>585</v>
      </c>
    </row>
    <row r="423" spans="1:24" s="1" customFormat="1" ht="17.25" x14ac:dyDescent="0.3">
      <c r="A423" s="39">
        <v>14122687</v>
      </c>
      <c r="B423" s="40" t="s">
        <v>443</v>
      </c>
      <c r="C423" s="41" t="s">
        <v>871</v>
      </c>
      <c r="D423" s="42" t="s">
        <v>3</v>
      </c>
      <c r="E423" s="43" t="s">
        <v>581</v>
      </c>
      <c r="F423" s="43" t="s">
        <v>582</v>
      </c>
      <c r="G423" s="44">
        <v>94</v>
      </c>
      <c r="H423" s="43" t="s">
        <v>583</v>
      </c>
      <c r="I423" s="45" t="s">
        <v>583</v>
      </c>
      <c r="J423" s="45" t="s">
        <v>561</v>
      </c>
      <c r="K423" s="126">
        <v>134.18</v>
      </c>
      <c r="L423" s="126">
        <v>134.18</v>
      </c>
      <c r="M423" s="126"/>
      <c r="N423" s="126">
        <v>200</v>
      </c>
      <c r="O423" s="126">
        <v>177.44</v>
      </c>
      <c r="Q423" s="134"/>
      <c r="R423" s="147"/>
      <c r="S423" s="46">
        <v>645.79999999999995</v>
      </c>
      <c r="T423" s="112"/>
      <c r="U423" s="56" t="s">
        <v>953</v>
      </c>
      <c r="V423" s="105" t="s">
        <v>585</v>
      </c>
    </row>
    <row r="424" spans="1:24" s="1" customFormat="1" ht="17.25" x14ac:dyDescent="0.3">
      <c r="A424" s="39">
        <v>14122706</v>
      </c>
      <c r="B424" s="40" t="s">
        <v>444</v>
      </c>
      <c r="C424" s="41" t="s">
        <v>872</v>
      </c>
      <c r="D424" s="42" t="s">
        <v>3</v>
      </c>
      <c r="E424" s="43" t="s">
        <v>581</v>
      </c>
      <c r="F424" s="43" t="s">
        <v>582</v>
      </c>
      <c r="G424" s="44">
        <v>86</v>
      </c>
      <c r="H424" s="43" t="s">
        <v>585</v>
      </c>
      <c r="I424" s="45" t="s">
        <v>1051</v>
      </c>
      <c r="J424" s="45" t="s">
        <v>587</v>
      </c>
      <c r="K424" s="126">
        <v>0</v>
      </c>
      <c r="L424" s="126">
        <v>0</v>
      </c>
      <c r="M424" s="126"/>
      <c r="N424" s="126">
        <v>0</v>
      </c>
      <c r="O424" s="126">
        <v>0</v>
      </c>
      <c r="Q424" s="134"/>
      <c r="R424" s="147"/>
      <c r="S424" s="46">
        <v>0</v>
      </c>
      <c r="T424" s="112"/>
      <c r="U424" s="56" t="s">
        <v>585</v>
      </c>
      <c r="V424" s="105" t="s">
        <v>585</v>
      </c>
      <c r="X424" s="127"/>
    </row>
    <row r="425" spans="1:24" s="1" customFormat="1" ht="17.25" x14ac:dyDescent="0.3">
      <c r="A425" s="39">
        <v>14122708</v>
      </c>
      <c r="B425" s="40" t="s">
        <v>445</v>
      </c>
      <c r="C425" s="41" t="s">
        <v>872</v>
      </c>
      <c r="D425" s="42" t="s">
        <v>3</v>
      </c>
      <c r="E425" s="43" t="s">
        <v>581</v>
      </c>
      <c r="F425" s="43" t="s">
        <v>582</v>
      </c>
      <c r="G425" s="44">
        <v>82</v>
      </c>
      <c r="H425" s="43" t="s">
        <v>585</v>
      </c>
      <c r="I425" s="45" t="s">
        <v>1051</v>
      </c>
      <c r="J425" s="45" t="s">
        <v>587</v>
      </c>
      <c r="K425" s="126">
        <v>134.18</v>
      </c>
      <c r="L425" s="126">
        <v>134.18</v>
      </c>
      <c r="M425" s="126"/>
      <c r="N425" s="126">
        <v>0</v>
      </c>
      <c r="O425" s="126">
        <v>0</v>
      </c>
      <c r="Q425" s="134"/>
      <c r="R425" s="147"/>
      <c r="S425" s="46">
        <v>268.36</v>
      </c>
      <c r="T425" s="112"/>
      <c r="U425" s="56" t="s">
        <v>953</v>
      </c>
      <c r="V425" s="105" t="s">
        <v>2034</v>
      </c>
    </row>
    <row r="426" spans="1:24" s="1" customFormat="1" ht="17.25" x14ac:dyDescent="0.3">
      <c r="A426" s="39">
        <v>14122709</v>
      </c>
      <c r="B426" s="40" t="s">
        <v>446</v>
      </c>
      <c r="C426" s="41" t="s">
        <v>872</v>
      </c>
      <c r="D426" s="42" t="s">
        <v>3</v>
      </c>
      <c r="E426" s="43" t="s">
        <v>581</v>
      </c>
      <c r="F426" s="43" t="s">
        <v>582</v>
      </c>
      <c r="G426" s="44">
        <v>93</v>
      </c>
      <c r="H426" s="43" t="s">
        <v>583</v>
      </c>
      <c r="I426" s="45" t="s">
        <v>1051</v>
      </c>
      <c r="J426" s="45" t="s">
        <v>561</v>
      </c>
      <c r="K426" s="126">
        <v>134.18</v>
      </c>
      <c r="L426" s="126">
        <v>134.18</v>
      </c>
      <c r="M426" s="126"/>
      <c r="N426" s="126">
        <v>0</v>
      </c>
      <c r="O426" s="126">
        <v>0</v>
      </c>
      <c r="Q426" s="134"/>
      <c r="R426" s="147"/>
      <c r="S426" s="46">
        <v>268.36</v>
      </c>
      <c r="T426" s="112"/>
      <c r="U426" s="56" t="s">
        <v>953</v>
      </c>
      <c r="V426" s="105" t="s">
        <v>585</v>
      </c>
    </row>
    <row r="427" spans="1:24" s="1" customFormat="1" ht="17.25" x14ac:dyDescent="0.3">
      <c r="A427" s="39">
        <v>14122758</v>
      </c>
      <c r="B427" s="40" t="s">
        <v>447</v>
      </c>
      <c r="C427" s="41" t="s">
        <v>777</v>
      </c>
      <c r="D427" s="42" t="s">
        <v>3</v>
      </c>
      <c r="E427" s="43" t="s">
        <v>581</v>
      </c>
      <c r="F427" s="43" t="s">
        <v>582</v>
      </c>
      <c r="G427" s="44">
        <v>93</v>
      </c>
      <c r="H427" s="43" t="s">
        <v>583</v>
      </c>
      <c r="I427" s="45" t="s">
        <v>583</v>
      </c>
      <c r="J427" s="45" t="s">
        <v>561</v>
      </c>
      <c r="K427" s="126">
        <v>134.18</v>
      </c>
      <c r="L427" s="126">
        <v>134.18</v>
      </c>
      <c r="M427" s="126"/>
      <c r="N427" s="126">
        <v>200</v>
      </c>
      <c r="O427" s="126">
        <v>177.44</v>
      </c>
      <c r="Q427" s="134"/>
      <c r="R427" s="148"/>
      <c r="S427" s="46">
        <v>645.79999999999995</v>
      </c>
      <c r="T427" s="112"/>
      <c r="U427" s="56" t="s">
        <v>953</v>
      </c>
      <c r="V427" s="105" t="s">
        <v>585</v>
      </c>
    </row>
    <row r="428" spans="1:24" s="1" customFormat="1" ht="17.25" x14ac:dyDescent="0.3">
      <c r="A428" s="108">
        <v>14122772</v>
      </c>
      <c r="B428" s="109" t="s">
        <v>448</v>
      </c>
      <c r="C428" s="110" t="s">
        <v>873</v>
      </c>
      <c r="D428" s="42" t="s">
        <v>3</v>
      </c>
      <c r="E428" s="43" t="s">
        <v>581</v>
      </c>
      <c r="F428" s="43" t="s">
        <v>582</v>
      </c>
      <c r="G428" s="44">
        <v>91</v>
      </c>
      <c r="H428" s="43" t="s">
        <v>583</v>
      </c>
      <c r="I428" s="45" t="s">
        <v>583</v>
      </c>
      <c r="J428" s="45" t="s">
        <v>561</v>
      </c>
      <c r="K428" s="126">
        <v>134.18</v>
      </c>
      <c r="L428" s="126">
        <v>134.18</v>
      </c>
      <c r="M428" s="126"/>
      <c r="N428" s="126">
        <v>200</v>
      </c>
      <c r="O428" s="126">
        <v>177.44</v>
      </c>
      <c r="Q428" s="134"/>
      <c r="R428" s="147"/>
      <c r="S428" s="46">
        <v>645.79999999999995</v>
      </c>
      <c r="T428" s="112"/>
      <c r="U428" s="56" t="s">
        <v>953</v>
      </c>
      <c r="V428" s="105" t="s">
        <v>585</v>
      </c>
    </row>
    <row r="429" spans="1:24" s="1" customFormat="1" ht="17.25" x14ac:dyDescent="0.3">
      <c r="A429" s="39">
        <v>14122773</v>
      </c>
      <c r="B429" s="40" t="s">
        <v>449</v>
      </c>
      <c r="C429" s="41" t="s">
        <v>873</v>
      </c>
      <c r="D429" s="42" t="s">
        <v>3</v>
      </c>
      <c r="E429" s="43" t="s">
        <v>581</v>
      </c>
      <c r="F429" s="43" t="s">
        <v>582</v>
      </c>
      <c r="G429" s="44">
        <v>94</v>
      </c>
      <c r="H429" s="43" t="s">
        <v>583</v>
      </c>
      <c r="I429" s="45" t="s">
        <v>583</v>
      </c>
      <c r="J429" s="45" t="s">
        <v>561</v>
      </c>
      <c r="K429" s="126">
        <v>134.18</v>
      </c>
      <c r="L429" s="126">
        <v>134.18</v>
      </c>
      <c r="M429" s="126"/>
      <c r="N429" s="126">
        <v>200</v>
      </c>
      <c r="O429" s="126">
        <v>177.44</v>
      </c>
      <c r="Q429" s="134"/>
      <c r="R429" s="132"/>
      <c r="S429" s="46">
        <v>645.79999999999995</v>
      </c>
      <c r="T429" s="112"/>
      <c r="U429" s="56" t="s">
        <v>953</v>
      </c>
      <c r="V429" s="105" t="s">
        <v>585</v>
      </c>
    </row>
    <row r="430" spans="1:24" s="1" customFormat="1" ht="17.25" x14ac:dyDescent="0.3">
      <c r="A430" s="39">
        <v>14122775</v>
      </c>
      <c r="B430" s="40" t="s">
        <v>450</v>
      </c>
      <c r="C430" s="41" t="s">
        <v>873</v>
      </c>
      <c r="D430" s="42" t="s">
        <v>3</v>
      </c>
      <c r="E430" s="43" t="s">
        <v>581</v>
      </c>
      <c r="F430" s="43" t="s">
        <v>582</v>
      </c>
      <c r="G430" s="44">
        <v>92</v>
      </c>
      <c r="H430" s="43" t="s">
        <v>583</v>
      </c>
      <c r="I430" s="45" t="s">
        <v>583</v>
      </c>
      <c r="J430" s="45" t="s">
        <v>561</v>
      </c>
      <c r="K430" s="126">
        <v>134.18</v>
      </c>
      <c r="L430" s="126">
        <v>134.18</v>
      </c>
      <c r="M430" s="126"/>
      <c r="N430" s="126">
        <v>200</v>
      </c>
      <c r="O430" s="126">
        <v>177.44</v>
      </c>
      <c r="P430" s="150"/>
      <c r="Q430" s="151"/>
      <c r="R430" s="147"/>
      <c r="S430" s="46">
        <v>645.79999999999995</v>
      </c>
      <c r="T430" s="112"/>
      <c r="U430" s="56" t="s">
        <v>953</v>
      </c>
      <c r="V430" s="105" t="s">
        <v>585</v>
      </c>
    </row>
    <row r="431" spans="1:24" s="1" customFormat="1" ht="17.25" x14ac:dyDescent="0.3">
      <c r="A431" s="39">
        <v>14122809</v>
      </c>
      <c r="B431" s="40" t="s">
        <v>451</v>
      </c>
      <c r="C431" s="41" t="s">
        <v>874</v>
      </c>
      <c r="D431" s="42" t="s">
        <v>3</v>
      </c>
      <c r="E431" s="43" t="s">
        <v>2035</v>
      </c>
      <c r="F431" s="43" t="s">
        <v>582</v>
      </c>
      <c r="G431" s="44">
        <v>90</v>
      </c>
      <c r="H431" s="43" t="s">
        <v>583</v>
      </c>
      <c r="I431" s="45" t="s">
        <v>1051</v>
      </c>
      <c r="J431" s="45" t="s">
        <v>561</v>
      </c>
      <c r="K431" s="126">
        <v>0</v>
      </c>
      <c r="L431" s="126">
        <v>134.18</v>
      </c>
      <c r="M431" s="126"/>
      <c r="N431" s="126">
        <v>0</v>
      </c>
      <c r="O431" s="126">
        <v>0</v>
      </c>
      <c r="Q431" s="134"/>
      <c r="R431" s="147"/>
      <c r="S431" s="46">
        <v>134.18</v>
      </c>
      <c r="T431" s="112"/>
      <c r="U431" s="56" t="s">
        <v>953</v>
      </c>
      <c r="V431" s="105" t="s">
        <v>585</v>
      </c>
    </row>
    <row r="432" spans="1:24" s="1" customFormat="1" ht="17.25" x14ac:dyDescent="0.3">
      <c r="A432" s="40">
        <v>14122831</v>
      </c>
      <c r="B432" s="40" t="s">
        <v>452</v>
      </c>
      <c r="C432" s="41" t="s">
        <v>875</v>
      </c>
      <c r="D432" s="42" t="s">
        <v>3</v>
      </c>
      <c r="E432" s="43" t="s">
        <v>581</v>
      </c>
      <c r="F432" s="43" t="s">
        <v>582</v>
      </c>
      <c r="G432" s="44">
        <v>84</v>
      </c>
      <c r="H432" s="43" t="s">
        <v>585</v>
      </c>
      <c r="I432" s="45" t="s">
        <v>583</v>
      </c>
      <c r="J432" s="45" t="s">
        <v>561</v>
      </c>
      <c r="K432" s="126">
        <v>134.18</v>
      </c>
      <c r="L432" s="126">
        <v>134.18</v>
      </c>
      <c r="M432" s="126"/>
      <c r="N432" s="126">
        <v>0</v>
      </c>
      <c r="O432" s="126">
        <v>177.44</v>
      </c>
      <c r="Q432" s="134"/>
      <c r="R432" s="132"/>
      <c r="S432" s="46">
        <v>445.8</v>
      </c>
      <c r="T432" s="112"/>
      <c r="U432" s="56" t="s">
        <v>953</v>
      </c>
      <c r="V432" s="105" t="s">
        <v>585</v>
      </c>
    </row>
    <row r="433" spans="1:22" s="1" customFormat="1" ht="17.25" x14ac:dyDescent="0.3">
      <c r="A433" s="39">
        <v>14122832</v>
      </c>
      <c r="B433" s="40" t="s">
        <v>453</v>
      </c>
      <c r="C433" s="41" t="s">
        <v>875</v>
      </c>
      <c r="D433" s="42" t="s">
        <v>3</v>
      </c>
      <c r="E433" s="43" t="s">
        <v>581</v>
      </c>
      <c r="F433" s="43" t="s">
        <v>582</v>
      </c>
      <c r="G433" s="44">
        <v>94</v>
      </c>
      <c r="H433" s="43" t="s">
        <v>583</v>
      </c>
      <c r="I433" s="45" t="s">
        <v>583</v>
      </c>
      <c r="J433" s="45" t="s">
        <v>561</v>
      </c>
      <c r="K433" s="126">
        <v>134.18</v>
      </c>
      <c r="L433" s="126">
        <v>134.18</v>
      </c>
      <c r="M433" s="126"/>
      <c r="N433" s="126">
        <v>200</v>
      </c>
      <c r="O433" s="126">
        <v>177.44</v>
      </c>
      <c r="Q433" s="134"/>
      <c r="R433" s="147"/>
      <c r="S433" s="46">
        <v>645.79999999999995</v>
      </c>
      <c r="T433" s="112"/>
      <c r="U433" s="56" t="s">
        <v>953</v>
      </c>
      <c r="V433" s="105" t="s">
        <v>585</v>
      </c>
    </row>
    <row r="434" spans="1:22" s="1" customFormat="1" ht="17.25" x14ac:dyDescent="0.3">
      <c r="A434" s="39">
        <v>14122852</v>
      </c>
      <c r="B434" s="40" t="s">
        <v>455</v>
      </c>
      <c r="C434" s="41" t="s">
        <v>744</v>
      </c>
      <c r="D434" s="42" t="s">
        <v>3</v>
      </c>
      <c r="E434" s="43" t="s">
        <v>581</v>
      </c>
      <c r="F434" s="43" t="s">
        <v>582</v>
      </c>
      <c r="G434" s="44">
        <v>94</v>
      </c>
      <c r="H434" s="43" t="s">
        <v>583</v>
      </c>
      <c r="I434" s="45" t="s">
        <v>583</v>
      </c>
      <c r="J434" s="45" t="s">
        <v>561</v>
      </c>
      <c r="K434" s="126">
        <v>134.18</v>
      </c>
      <c r="L434" s="126">
        <v>134.18</v>
      </c>
      <c r="M434" s="126"/>
      <c r="N434" s="126">
        <v>200</v>
      </c>
      <c r="O434" s="126">
        <v>177.44</v>
      </c>
      <c r="Q434" s="134"/>
      <c r="R434" s="147"/>
      <c r="S434" s="46">
        <v>645.79999999999995</v>
      </c>
      <c r="T434" s="112"/>
      <c r="U434" s="56" t="s">
        <v>953</v>
      </c>
      <c r="V434" s="105" t="s">
        <v>585</v>
      </c>
    </row>
    <row r="435" spans="1:22" s="1" customFormat="1" ht="17.25" x14ac:dyDescent="0.3">
      <c r="A435" s="40">
        <v>14122854</v>
      </c>
      <c r="B435" s="40" t="s">
        <v>456</v>
      </c>
      <c r="C435" s="41" t="s">
        <v>744</v>
      </c>
      <c r="D435" s="42" t="s">
        <v>3</v>
      </c>
      <c r="E435" s="43" t="s">
        <v>581</v>
      </c>
      <c r="F435" s="43" t="s">
        <v>582</v>
      </c>
      <c r="G435" s="44">
        <v>95</v>
      </c>
      <c r="H435" s="43" t="s">
        <v>583</v>
      </c>
      <c r="I435" s="45" t="s">
        <v>583</v>
      </c>
      <c r="J435" s="45" t="s">
        <v>561</v>
      </c>
      <c r="K435" s="126">
        <v>134.18</v>
      </c>
      <c r="L435" s="126">
        <v>134.18</v>
      </c>
      <c r="M435" s="126"/>
      <c r="N435" s="126">
        <v>200</v>
      </c>
      <c r="O435" s="126">
        <v>177.44</v>
      </c>
      <c r="Q435" s="134"/>
      <c r="R435" s="132"/>
      <c r="S435" s="46">
        <v>645.79999999999995</v>
      </c>
      <c r="T435" s="112"/>
      <c r="U435" s="56" t="s">
        <v>953</v>
      </c>
      <c r="V435" s="105" t="s">
        <v>585</v>
      </c>
    </row>
    <row r="436" spans="1:22" s="1" customFormat="1" ht="17.25" x14ac:dyDescent="0.3">
      <c r="A436" s="39">
        <v>14122855</v>
      </c>
      <c r="B436" s="40" t="s">
        <v>457</v>
      </c>
      <c r="C436" s="41" t="s">
        <v>744</v>
      </c>
      <c r="D436" s="42" t="s">
        <v>3</v>
      </c>
      <c r="E436" s="43" t="s">
        <v>581</v>
      </c>
      <c r="F436" s="43" t="s">
        <v>582</v>
      </c>
      <c r="G436" s="44">
        <v>88</v>
      </c>
      <c r="H436" s="43" t="s">
        <v>585</v>
      </c>
      <c r="I436" s="45" t="s">
        <v>1051</v>
      </c>
      <c r="J436" s="45" t="s">
        <v>587</v>
      </c>
      <c r="K436" s="126">
        <v>134.18</v>
      </c>
      <c r="L436" s="126">
        <v>134.18</v>
      </c>
      <c r="M436" s="126"/>
      <c r="N436" s="126">
        <v>0</v>
      </c>
      <c r="O436" s="126">
        <v>0</v>
      </c>
      <c r="P436" s="150"/>
      <c r="Q436" s="151"/>
      <c r="R436" s="147"/>
      <c r="S436" s="46">
        <v>268.36</v>
      </c>
      <c r="T436" s="112"/>
      <c r="U436" s="56" t="s">
        <v>953</v>
      </c>
      <c r="V436" s="105" t="s">
        <v>585</v>
      </c>
    </row>
    <row r="437" spans="1:22" s="1" customFormat="1" ht="17.25" x14ac:dyDescent="0.3">
      <c r="A437" s="39">
        <v>14122856</v>
      </c>
      <c r="B437" s="40" t="s">
        <v>458</v>
      </c>
      <c r="C437" s="41" t="s">
        <v>744</v>
      </c>
      <c r="D437" s="42" t="s">
        <v>3</v>
      </c>
      <c r="E437" s="43" t="s">
        <v>581</v>
      </c>
      <c r="F437" s="43" t="s">
        <v>582</v>
      </c>
      <c r="G437" s="44">
        <v>95</v>
      </c>
      <c r="H437" s="43" t="s">
        <v>583</v>
      </c>
      <c r="I437" s="45" t="s">
        <v>583</v>
      </c>
      <c r="J437" s="45" t="s">
        <v>561</v>
      </c>
      <c r="K437" s="126">
        <v>134.18</v>
      </c>
      <c r="L437" s="126">
        <v>134.18</v>
      </c>
      <c r="M437" s="126"/>
      <c r="N437" s="126">
        <v>200</v>
      </c>
      <c r="O437" s="126">
        <v>177.44</v>
      </c>
      <c r="P437" s="150"/>
      <c r="Q437" s="151"/>
      <c r="R437" s="147"/>
      <c r="S437" s="46">
        <v>645.79999999999995</v>
      </c>
      <c r="T437" s="112"/>
      <c r="U437" s="56" t="s">
        <v>953</v>
      </c>
      <c r="V437" s="105" t="s">
        <v>585</v>
      </c>
    </row>
    <row r="438" spans="1:22" s="1" customFormat="1" ht="17.25" x14ac:dyDescent="0.3">
      <c r="A438" s="39">
        <v>14122871</v>
      </c>
      <c r="B438" s="40" t="s">
        <v>459</v>
      </c>
      <c r="C438" s="41" t="s">
        <v>744</v>
      </c>
      <c r="D438" s="42" t="s">
        <v>3</v>
      </c>
      <c r="E438" s="43" t="s">
        <v>581</v>
      </c>
      <c r="F438" s="43" t="s">
        <v>582</v>
      </c>
      <c r="G438" s="44">
        <v>92</v>
      </c>
      <c r="H438" s="43" t="s">
        <v>583</v>
      </c>
      <c r="I438" s="45" t="s">
        <v>1051</v>
      </c>
      <c r="J438" s="45" t="s">
        <v>561</v>
      </c>
      <c r="K438" s="126">
        <v>134.18</v>
      </c>
      <c r="L438" s="126">
        <v>134.18</v>
      </c>
      <c r="M438" s="126"/>
      <c r="N438" s="126">
        <v>0</v>
      </c>
      <c r="O438" s="126">
        <v>0</v>
      </c>
      <c r="Q438" s="134"/>
      <c r="R438" s="147"/>
      <c r="S438" s="46">
        <v>268.36</v>
      </c>
      <c r="T438" s="112"/>
      <c r="U438" s="56" t="s">
        <v>953</v>
      </c>
      <c r="V438" s="105" t="s">
        <v>585</v>
      </c>
    </row>
    <row r="439" spans="1:22" s="1" customFormat="1" ht="17.25" x14ac:dyDescent="0.3">
      <c r="A439" s="39">
        <v>14122873</v>
      </c>
      <c r="B439" s="40" t="s">
        <v>460</v>
      </c>
      <c r="C439" s="41" t="s">
        <v>744</v>
      </c>
      <c r="D439" s="42" t="s">
        <v>3</v>
      </c>
      <c r="E439" s="43" t="s">
        <v>581</v>
      </c>
      <c r="F439" s="43" t="s">
        <v>582</v>
      </c>
      <c r="G439" s="44">
        <v>94</v>
      </c>
      <c r="H439" s="43" t="s">
        <v>583</v>
      </c>
      <c r="I439" s="45" t="s">
        <v>1051</v>
      </c>
      <c r="J439" s="45" t="s">
        <v>561</v>
      </c>
      <c r="K439" s="126">
        <v>134.18</v>
      </c>
      <c r="L439" s="126">
        <v>134.18</v>
      </c>
      <c r="M439" s="126"/>
      <c r="N439" s="126">
        <v>0</v>
      </c>
      <c r="O439" s="126">
        <v>0</v>
      </c>
      <c r="P439" s="150"/>
      <c r="Q439" s="151"/>
      <c r="R439" s="147"/>
      <c r="S439" s="46">
        <v>268.36</v>
      </c>
      <c r="T439" s="112"/>
      <c r="U439" s="56" t="s">
        <v>953</v>
      </c>
      <c r="V439" s="105" t="s">
        <v>925</v>
      </c>
    </row>
    <row r="440" spans="1:22" s="1" customFormat="1" ht="17.25" x14ac:dyDescent="0.3">
      <c r="A440" s="39">
        <v>14122904</v>
      </c>
      <c r="B440" s="40" t="s">
        <v>464</v>
      </c>
      <c r="C440" s="41" t="s">
        <v>612</v>
      </c>
      <c r="D440" s="42" t="s">
        <v>3</v>
      </c>
      <c r="E440" s="43" t="s">
        <v>581</v>
      </c>
      <c r="F440" s="43" t="s">
        <v>582</v>
      </c>
      <c r="G440" s="44">
        <v>59</v>
      </c>
      <c r="H440" s="43" t="s">
        <v>585</v>
      </c>
      <c r="I440" s="45" t="s">
        <v>1051</v>
      </c>
      <c r="J440" s="45" t="s">
        <v>561</v>
      </c>
      <c r="K440" s="126">
        <v>134.18</v>
      </c>
      <c r="L440" s="126">
        <v>134.18</v>
      </c>
      <c r="M440" s="126"/>
      <c r="N440" s="126">
        <v>0</v>
      </c>
      <c r="O440" s="126">
        <v>0</v>
      </c>
      <c r="Q440" s="134"/>
      <c r="R440" s="147"/>
      <c r="S440" s="46">
        <v>268.36</v>
      </c>
      <c r="T440" s="112"/>
      <c r="U440" s="56" t="s">
        <v>953</v>
      </c>
      <c r="V440" s="105" t="s">
        <v>585</v>
      </c>
    </row>
    <row r="441" spans="1:22" s="1" customFormat="1" ht="17.25" x14ac:dyDescent="0.3">
      <c r="A441" s="39">
        <v>14122922</v>
      </c>
      <c r="B441" s="40" t="s">
        <v>465</v>
      </c>
      <c r="C441" s="41" t="s">
        <v>751</v>
      </c>
      <c r="D441" s="42" t="s">
        <v>3</v>
      </c>
      <c r="E441" s="43" t="s">
        <v>581</v>
      </c>
      <c r="F441" s="43" t="s">
        <v>582</v>
      </c>
      <c r="G441" s="44">
        <v>95</v>
      </c>
      <c r="H441" s="43" t="s">
        <v>583</v>
      </c>
      <c r="I441" s="45" t="s">
        <v>583</v>
      </c>
      <c r="J441" s="45" t="s">
        <v>561</v>
      </c>
      <c r="K441" s="126">
        <v>134.18</v>
      </c>
      <c r="L441" s="126">
        <v>134.18</v>
      </c>
      <c r="M441" s="126"/>
      <c r="N441" s="126">
        <v>200</v>
      </c>
      <c r="O441" s="126">
        <v>177.44</v>
      </c>
      <c r="P441" s="150"/>
      <c r="Q441" s="151"/>
      <c r="R441" s="147"/>
      <c r="S441" s="46">
        <v>645.79999999999995</v>
      </c>
      <c r="T441" s="112"/>
      <c r="U441" s="56" t="s">
        <v>953</v>
      </c>
      <c r="V441" s="105" t="s">
        <v>585</v>
      </c>
    </row>
    <row r="442" spans="1:22" s="1" customFormat="1" ht="17.25" x14ac:dyDescent="0.3">
      <c r="A442" s="39">
        <v>14122923</v>
      </c>
      <c r="B442" s="40" t="s">
        <v>466</v>
      </c>
      <c r="C442" s="41" t="s">
        <v>751</v>
      </c>
      <c r="D442" s="42" t="s">
        <v>3</v>
      </c>
      <c r="E442" s="43" t="s">
        <v>581</v>
      </c>
      <c r="F442" s="43" t="s">
        <v>582</v>
      </c>
      <c r="G442" s="44">
        <v>88</v>
      </c>
      <c r="H442" s="43" t="s">
        <v>585</v>
      </c>
      <c r="I442" s="45" t="s">
        <v>583</v>
      </c>
      <c r="J442" s="45" t="s">
        <v>561</v>
      </c>
      <c r="K442" s="126">
        <v>134.18</v>
      </c>
      <c r="L442" s="126">
        <v>134.18</v>
      </c>
      <c r="M442" s="126"/>
      <c r="N442" s="126">
        <v>0</v>
      </c>
      <c r="O442" s="126">
        <v>177.44</v>
      </c>
      <c r="Q442" s="134"/>
      <c r="R442" s="147"/>
      <c r="S442" s="46">
        <v>445.8</v>
      </c>
      <c r="T442" s="112"/>
      <c r="U442" s="56" t="s">
        <v>953</v>
      </c>
      <c r="V442" s="105" t="s">
        <v>2034</v>
      </c>
    </row>
    <row r="443" spans="1:22" s="1" customFormat="1" ht="17.25" x14ac:dyDescent="0.3">
      <c r="A443" s="39">
        <v>14122925</v>
      </c>
      <c r="B443" s="40" t="s">
        <v>467</v>
      </c>
      <c r="C443" s="41" t="s">
        <v>751</v>
      </c>
      <c r="D443" s="42" t="s">
        <v>3</v>
      </c>
      <c r="E443" s="43" t="s">
        <v>581</v>
      </c>
      <c r="F443" s="43" t="s">
        <v>582</v>
      </c>
      <c r="G443" s="44">
        <v>91</v>
      </c>
      <c r="H443" s="43" t="s">
        <v>583</v>
      </c>
      <c r="I443" s="45" t="s">
        <v>1051</v>
      </c>
      <c r="J443" s="45" t="s">
        <v>561</v>
      </c>
      <c r="K443" s="126">
        <v>134.18</v>
      </c>
      <c r="L443" s="126">
        <v>134.18</v>
      </c>
      <c r="M443" s="126"/>
      <c r="N443" s="126">
        <v>0</v>
      </c>
      <c r="O443" s="126">
        <v>0</v>
      </c>
      <c r="Q443" s="134"/>
      <c r="R443" s="147"/>
      <c r="S443" s="46">
        <v>268.36</v>
      </c>
      <c r="T443" s="112"/>
      <c r="U443" s="56" t="s">
        <v>953</v>
      </c>
      <c r="V443" s="105" t="s">
        <v>585</v>
      </c>
    </row>
    <row r="444" spans="1:22" s="1" customFormat="1" ht="17.25" x14ac:dyDescent="0.3">
      <c r="A444" s="39">
        <v>14122927</v>
      </c>
      <c r="B444" s="40" t="s">
        <v>468</v>
      </c>
      <c r="C444" s="41" t="s">
        <v>751</v>
      </c>
      <c r="D444" s="42" t="s">
        <v>3</v>
      </c>
      <c r="E444" s="43" t="s">
        <v>581</v>
      </c>
      <c r="F444" s="43" t="s">
        <v>582</v>
      </c>
      <c r="G444" s="44">
        <v>90</v>
      </c>
      <c r="H444" s="43" t="s">
        <v>583</v>
      </c>
      <c r="I444" s="45" t="s">
        <v>583</v>
      </c>
      <c r="J444" s="45" t="s">
        <v>561</v>
      </c>
      <c r="K444" s="126">
        <v>134.18</v>
      </c>
      <c r="L444" s="126">
        <v>134.18</v>
      </c>
      <c r="M444" s="126"/>
      <c r="N444" s="126">
        <v>200</v>
      </c>
      <c r="O444" s="126">
        <v>177.44</v>
      </c>
      <c r="P444" s="150"/>
      <c r="Q444" s="151"/>
      <c r="R444" s="147"/>
      <c r="S444" s="46">
        <v>645.79999999999995</v>
      </c>
      <c r="T444" s="112"/>
      <c r="U444" s="56" t="s">
        <v>953</v>
      </c>
      <c r="V444" s="105" t="s">
        <v>585</v>
      </c>
    </row>
    <row r="445" spans="1:22" s="18" customFormat="1" ht="17.25" x14ac:dyDescent="0.3">
      <c r="A445" s="39">
        <v>14122928</v>
      </c>
      <c r="B445" s="40" t="s">
        <v>469</v>
      </c>
      <c r="C445" s="41" t="s">
        <v>751</v>
      </c>
      <c r="D445" s="42" t="s">
        <v>3</v>
      </c>
      <c r="E445" s="43" t="s">
        <v>581</v>
      </c>
      <c r="F445" s="43" t="s">
        <v>582</v>
      </c>
      <c r="G445" s="44">
        <v>69</v>
      </c>
      <c r="H445" s="43" t="s">
        <v>585</v>
      </c>
      <c r="I445" s="45" t="s">
        <v>1051</v>
      </c>
      <c r="J445" s="45" t="s">
        <v>561</v>
      </c>
      <c r="K445" s="126">
        <v>134.18</v>
      </c>
      <c r="L445" s="126">
        <v>134.18</v>
      </c>
      <c r="M445" s="126"/>
      <c r="N445" s="126">
        <v>0</v>
      </c>
      <c r="O445" s="126">
        <v>0</v>
      </c>
      <c r="P445" s="150"/>
      <c r="Q445" s="151"/>
      <c r="R445" s="147"/>
      <c r="S445" s="46">
        <v>268.36</v>
      </c>
      <c r="T445" s="112"/>
      <c r="U445" s="56" t="s">
        <v>953</v>
      </c>
      <c r="V445" s="105" t="s">
        <v>585</v>
      </c>
    </row>
    <row r="446" spans="1:22" s="1" customFormat="1" ht="17.25" x14ac:dyDescent="0.3">
      <c r="A446" s="39">
        <v>14122929</v>
      </c>
      <c r="B446" s="40" t="s">
        <v>470</v>
      </c>
      <c r="C446" s="41" t="s">
        <v>751</v>
      </c>
      <c r="D446" s="42" t="s">
        <v>3</v>
      </c>
      <c r="E446" s="43" t="s">
        <v>581</v>
      </c>
      <c r="F446" s="43" t="s">
        <v>582</v>
      </c>
      <c r="G446" s="44">
        <v>89</v>
      </c>
      <c r="H446" s="43" t="s">
        <v>585</v>
      </c>
      <c r="I446" s="45" t="s">
        <v>583</v>
      </c>
      <c r="J446" s="45" t="s">
        <v>561</v>
      </c>
      <c r="K446" s="126">
        <v>134.18</v>
      </c>
      <c r="L446" s="126">
        <v>134.18</v>
      </c>
      <c r="M446" s="126"/>
      <c r="N446" s="126">
        <v>0</v>
      </c>
      <c r="O446" s="126">
        <v>177.44</v>
      </c>
      <c r="Q446" s="134"/>
      <c r="R446" s="147"/>
      <c r="S446" s="46">
        <v>445.8</v>
      </c>
      <c r="T446" s="112"/>
      <c r="U446" s="56" t="s">
        <v>953</v>
      </c>
      <c r="V446" s="105" t="s">
        <v>585</v>
      </c>
    </row>
    <row r="447" spans="1:22" s="1" customFormat="1" ht="17.25" x14ac:dyDescent="0.3">
      <c r="A447" s="39">
        <v>14122992</v>
      </c>
      <c r="B447" s="40" t="s">
        <v>472</v>
      </c>
      <c r="C447" s="41" t="s">
        <v>876</v>
      </c>
      <c r="D447" s="42" t="s">
        <v>3</v>
      </c>
      <c r="E447" s="43" t="s">
        <v>581</v>
      </c>
      <c r="F447" s="43" t="s">
        <v>582</v>
      </c>
      <c r="G447" s="44">
        <v>94</v>
      </c>
      <c r="H447" s="43" t="s">
        <v>583</v>
      </c>
      <c r="I447" s="45" t="s">
        <v>583</v>
      </c>
      <c r="J447" s="45" t="s">
        <v>561</v>
      </c>
      <c r="K447" s="126">
        <v>134.18</v>
      </c>
      <c r="L447" s="126">
        <v>134.18</v>
      </c>
      <c r="M447" s="126"/>
      <c r="N447" s="126">
        <v>200</v>
      </c>
      <c r="O447" s="126">
        <v>177.44</v>
      </c>
      <c r="P447" s="150"/>
      <c r="Q447" s="151"/>
      <c r="R447" s="148"/>
      <c r="S447" s="46">
        <v>645.79999999999995</v>
      </c>
      <c r="T447" s="112"/>
      <c r="U447" s="56" t="s">
        <v>953</v>
      </c>
      <c r="V447" s="105" t="s">
        <v>2034</v>
      </c>
    </row>
    <row r="448" spans="1:22" s="1" customFormat="1" ht="17.25" x14ac:dyDescent="0.3">
      <c r="A448" s="39">
        <v>14122993</v>
      </c>
      <c r="B448" s="48" t="s">
        <v>473</v>
      </c>
      <c r="C448" s="41" t="s">
        <v>876</v>
      </c>
      <c r="D448" s="42" t="s">
        <v>3</v>
      </c>
      <c r="E448" s="43" t="s">
        <v>581</v>
      </c>
      <c r="F448" s="43" t="s">
        <v>582</v>
      </c>
      <c r="G448" s="44">
        <v>86</v>
      </c>
      <c r="H448" s="43" t="s">
        <v>585</v>
      </c>
      <c r="I448" s="45" t="s">
        <v>583</v>
      </c>
      <c r="J448" s="45" t="s">
        <v>561</v>
      </c>
      <c r="K448" s="126">
        <v>134.18</v>
      </c>
      <c r="L448" s="126">
        <v>134.18</v>
      </c>
      <c r="M448" s="126"/>
      <c r="N448" s="126">
        <v>0</v>
      </c>
      <c r="O448" s="126">
        <v>177.44</v>
      </c>
      <c r="P448" s="150"/>
      <c r="Q448" s="151"/>
      <c r="R448" s="147"/>
      <c r="S448" s="46">
        <v>445.8</v>
      </c>
      <c r="T448" s="112"/>
      <c r="U448" s="56" t="s">
        <v>953</v>
      </c>
      <c r="V448" s="105" t="s">
        <v>585</v>
      </c>
    </row>
    <row r="449" spans="1:24" s="18" customFormat="1" ht="17.25" x14ac:dyDescent="0.3">
      <c r="A449" s="39">
        <v>14122994</v>
      </c>
      <c r="B449" s="40" t="s">
        <v>474</v>
      </c>
      <c r="C449" s="41" t="s">
        <v>876</v>
      </c>
      <c r="D449" s="42" t="s">
        <v>3</v>
      </c>
      <c r="E449" s="43" t="s">
        <v>581</v>
      </c>
      <c r="F449" s="43" t="s">
        <v>582</v>
      </c>
      <c r="G449" s="44">
        <v>75</v>
      </c>
      <c r="H449" s="43" t="s">
        <v>585</v>
      </c>
      <c r="I449" s="45" t="s">
        <v>583</v>
      </c>
      <c r="J449" s="45" t="s">
        <v>587</v>
      </c>
      <c r="K449" s="126">
        <v>0</v>
      </c>
      <c r="L449" s="126">
        <v>0</v>
      </c>
      <c r="M449" s="126"/>
      <c r="N449" s="126">
        <v>0</v>
      </c>
      <c r="O449" s="126">
        <v>0</v>
      </c>
      <c r="P449" s="150"/>
      <c r="Q449" s="151"/>
      <c r="R449" s="147"/>
      <c r="S449" s="46">
        <v>0</v>
      </c>
      <c r="T449" s="112"/>
      <c r="U449" s="56" t="s">
        <v>585</v>
      </c>
      <c r="V449" s="105" t="s">
        <v>585</v>
      </c>
      <c r="X449" s="127"/>
    </row>
    <row r="450" spans="1:24" s="1" customFormat="1" ht="17.25" x14ac:dyDescent="0.3">
      <c r="A450" s="39">
        <v>14123008</v>
      </c>
      <c r="B450" s="40" t="s">
        <v>476</v>
      </c>
      <c r="C450" s="41" t="s">
        <v>877</v>
      </c>
      <c r="D450" s="42" t="s">
        <v>3</v>
      </c>
      <c r="E450" s="43" t="s">
        <v>581</v>
      </c>
      <c r="F450" s="43" t="s">
        <v>582</v>
      </c>
      <c r="G450" s="44">
        <v>92</v>
      </c>
      <c r="H450" s="43" t="s">
        <v>583</v>
      </c>
      <c r="I450" s="45" t="s">
        <v>583</v>
      </c>
      <c r="J450" s="45" t="s">
        <v>561</v>
      </c>
      <c r="K450" s="126">
        <v>134.18</v>
      </c>
      <c r="L450" s="126">
        <v>134.18</v>
      </c>
      <c r="M450" s="126"/>
      <c r="N450" s="126">
        <v>200</v>
      </c>
      <c r="O450" s="126">
        <v>177.44</v>
      </c>
      <c r="Q450" s="134"/>
      <c r="R450" s="147"/>
      <c r="S450" s="46">
        <v>645.79999999999995</v>
      </c>
      <c r="T450" s="112"/>
      <c r="U450" s="56" t="s">
        <v>953</v>
      </c>
      <c r="V450" s="105" t="s">
        <v>585</v>
      </c>
    </row>
    <row r="451" spans="1:24" s="18" customFormat="1" ht="17.25" x14ac:dyDescent="0.3">
      <c r="A451" s="39">
        <v>14123010</v>
      </c>
      <c r="B451" s="40" t="s">
        <v>477</v>
      </c>
      <c r="C451" s="41" t="s">
        <v>680</v>
      </c>
      <c r="D451" s="42" t="s">
        <v>3</v>
      </c>
      <c r="E451" s="43" t="s">
        <v>581</v>
      </c>
      <c r="F451" s="43" t="s">
        <v>582</v>
      </c>
      <c r="G451" s="44">
        <v>63</v>
      </c>
      <c r="H451" s="43" t="s">
        <v>585</v>
      </c>
      <c r="I451" s="45" t="s">
        <v>583</v>
      </c>
      <c r="J451" s="45" t="s">
        <v>561</v>
      </c>
      <c r="K451" s="126">
        <v>134.18</v>
      </c>
      <c r="L451" s="126">
        <v>134.18</v>
      </c>
      <c r="M451" s="126"/>
      <c r="N451" s="126">
        <v>0</v>
      </c>
      <c r="O451" s="126">
        <v>177.44</v>
      </c>
      <c r="P451" s="1"/>
      <c r="Q451" s="134"/>
      <c r="R451" s="147"/>
      <c r="S451" s="46">
        <v>445.8</v>
      </c>
      <c r="T451" s="112"/>
      <c r="U451" s="56" t="s">
        <v>953</v>
      </c>
      <c r="V451" s="105" t="s">
        <v>585</v>
      </c>
    </row>
    <row r="452" spans="1:24" s="1" customFormat="1" ht="17.25" x14ac:dyDescent="0.3">
      <c r="A452" s="39">
        <v>14123063</v>
      </c>
      <c r="B452" s="48" t="s">
        <v>479</v>
      </c>
      <c r="C452" s="41" t="s">
        <v>651</v>
      </c>
      <c r="D452" s="42" t="s">
        <v>3</v>
      </c>
      <c r="E452" s="43" t="s">
        <v>581</v>
      </c>
      <c r="F452" s="43" t="s">
        <v>582</v>
      </c>
      <c r="G452" s="44">
        <v>73</v>
      </c>
      <c r="H452" s="43" t="s">
        <v>585</v>
      </c>
      <c r="I452" s="45" t="s">
        <v>1051</v>
      </c>
      <c r="J452" s="45" t="s">
        <v>561</v>
      </c>
      <c r="K452" s="126">
        <v>134.18</v>
      </c>
      <c r="L452" s="126">
        <v>134.18</v>
      </c>
      <c r="M452" s="126"/>
      <c r="N452" s="126">
        <v>0</v>
      </c>
      <c r="O452" s="126">
        <v>0</v>
      </c>
      <c r="Q452" s="134"/>
      <c r="R452" s="147"/>
      <c r="S452" s="46">
        <v>268.36</v>
      </c>
      <c r="T452" s="112"/>
      <c r="U452" s="56" t="s">
        <v>953</v>
      </c>
      <c r="V452" s="105" t="s">
        <v>585</v>
      </c>
    </row>
    <row r="453" spans="1:24" s="1" customFormat="1" ht="17.25" x14ac:dyDescent="0.3">
      <c r="A453" s="39">
        <v>14123066</v>
      </c>
      <c r="B453" s="40" t="s">
        <v>481</v>
      </c>
      <c r="C453" s="41" t="s">
        <v>651</v>
      </c>
      <c r="D453" s="42" t="s">
        <v>3</v>
      </c>
      <c r="E453" s="43" t="s">
        <v>581</v>
      </c>
      <c r="F453" s="43" t="s">
        <v>582</v>
      </c>
      <c r="G453" s="44">
        <v>89</v>
      </c>
      <c r="H453" s="43" t="s">
        <v>585</v>
      </c>
      <c r="I453" s="45" t="s">
        <v>583</v>
      </c>
      <c r="J453" s="45" t="s">
        <v>561</v>
      </c>
      <c r="K453" s="126">
        <v>134.18</v>
      </c>
      <c r="L453" s="126">
        <v>134.18</v>
      </c>
      <c r="M453" s="126"/>
      <c r="N453" s="126">
        <v>0</v>
      </c>
      <c r="O453" s="126">
        <v>177.44</v>
      </c>
      <c r="Q453" s="134"/>
      <c r="R453" s="147"/>
      <c r="S453" s="46">
        <v>445.8</v>
      </c>
      <c r="T453" s="112"/>
      <c r="U453" s="56" t="s">
        <v>953</v>
      </c>
      <c r="V453" s="105" t="s">
        <v>585</v>
      </c>
    </row>
    <row r="454" spans="1:24" s="1" customFormat="1" ht="17.25" x14ac:dyDescent="0.3">
      <c r="A454" s="39">
        <v>14123080</v>
      </c>
      <c r="B454" s="48" t="s">
        <v>482</v>
      </c>
      <c r="C454" s="41" t="s">
        <v>878</v>
      </c>
      <c r="D454" s="42" t="s">
        <v>3</v>
      </c>
      <c r="E454" s="43" t="s">
        <v>581</v>
      </c>
      <c r="F454" s="43" t="s">
        <v>582</v>
      </c>
      <c r="G454" s="44">
        <v>89</v>
      </c>
      <c r="H454" s="43" t="s">
        <v>585</v>
      </c>
      <c r="I454" s="45" t="s">
        <v>1051</v>
      </c>
      <c r="J454" s="45" t="s">
        <v>561</v>
      </c>
      <c r="K454" s="126">
        <v>134.18</v>
      </c>
      <c r="L454" s="126">
        <v>134.18</v>
      </c>
      <c r="M454" s="126"/>
      <c r="N454" s="126">
        <v>0</v>
      </c>
      <c r="O454" s="126">
        <v>0</v>
      </c>
      <c r="Q454" s="134"/>
      <c r="R454" s="147"/>
      <c r="S454" s="46">
        <v>268.36</v>
      </c>
      <c r="T454" s="112"/>
      <c r="U454" s="56" t="s">
        <v>953</v>
      </c>
      <c r="V454" s="105" t="s">
        <v>585</v>
      </c>
    </row>
    <row r="455" spans="1:24" s="1" customFormat="1" ht="17.25" x14ac:dyDescent="0.3">
      <c r="A455" s="39">
        <v>14123081</v>
      </c>
      <c r="B455" s="40" t="s">
        <v>483</v>
      </c>
      <c r="C455" s="41" t="s">
        <v>878</v>
      </c>
      <c r="D455" s="42" t="s">
        <v>3</v>
      </c>
      <c r="E455" s="43" t="s">
        <v>581</v>
      </c>
      <c r="F455" s="43" t="s">
        <v>582</v>
      </c>
      <c r="G455" s="44">
        <v>93</v>
      </c>
      <c r="H455" s="43" t="s">
        <v>583</v>
      </c>
      <c r="I455" s="45" t="s">
        <v>583</v>
      </c>
      <c r="J455" s="45" t="s">
        <v>587</v>
      </c>
      <c r="K455" s="126">
        <v>134.18</v>
      </c>
      <c r="L455" s="126">
        <v>134.18</v>
      </c>
      <c r="M455" s="126"/>
      <c r="N455" s="126">
        <v>200</v>
      </c>
      <c r="O455" s="126">
        <v>0</v>
      </c>
      <c r="Q455" s="134"/>
      <c r="R455" s="147"/>
      <c r="S455" s="46">
        <v>468.36</v>
      </c>
      <c r="T455" s="112"/>
      <c r="U455" s="56" t="s">
        <v>953</v>
      </c>
      <c r="V455" s="105" t="s">
        <v>585</v>
      </c>
    </row>
    <row r="456" spans="1:24" s="1" customFormat="1" ht="17.25" x14ac:dyDescent="0.3">
      <c r="A456" s="39">
        <v>14123082</v>
      </c>
      <c r="B456" s="40" t="s">
        <v>484</v>
      </c>
      <c r="C456" s="41" t="s">
        <v>878</v>
      </c>
      <c r="D456" s="42" t="s">
        <v>3</v>
      </c>
      <c r="E456" s="43" t="s">
        <v>581</v>
      </c>
      <c r="F456" s="43" t="s">
        <v>582</v>
      </c>
      <c r="G456" s="44">
        <v>74</v>
      </c>
      <c r="H456" s="43" t="s">
        <v>585</v>
      </c>
      <c r="I456" s="45" t="s">
        <v>583</v>
      </c>
      <c r="J456" s="45" t="s">
        <v>587</v>
      </c>
      <c r="K456" s="126">
        <v>134.18</v>
      </c>
      <c r="L456" s="126">
        <v>134.18</v>
      </c>
      <c r="M456" s="126"/>
      <c r="N456" s="126">
        <v>0</v>
      </c>
      <c r="O456" s="126">
        <v>0</v>
      </c>
      <c r="P456" s="150"/>
      <c r="Q456" s="151"/>
      <c r="R456" s="147"/>
      <c r="S456" s="46">
        <v>268.36</v>
      </c>
      <c r="T456" s="112"/>
      <c r="U456" s="56" t="s">
        <v>953</v>
      </c>
      <c r="V456" s="105" t="s">
        <v>585</v>
      </c>
    </row>
    <row r="457" spans="1:24" s="1" customFormat="1" ht="17.25" x14ac:dyDescent="0.3">
      <c r="A457" s="39">
        <v>14123083</v>
      </c>
      <c r="B457" s="48" t="s">
        <v>485</v>
      </c>
      <c r="C457" s="41" t="s">
        <v>878</v>
      </c>
      <c r="D457" s="42" t="s">
        <v>3</v>
      </c>
      <c r="E457" s="43" t="s">
        <v>581</v>
      </c>
      <c r="F457" s="43" t="s">
        <v>582</v>
      </c>
      <c r="G457" s="44">
        <v>93</v>
      </c>
      <c r="H457" s="43" t="s">
        <v>583</v>
      </c>
      <c r="I457" s="45" t="s">
        <v>1051</v>
      </c>
      <c r="J457" s="45" t="s">
        <v>561</v>
      </c>
      <c r="K457" s="126">
        <v>134.18</v>
      </c>
      <c r="L457" s="126">
        <v>134.18</v>
      </c>
      <c r="M457" s="126"/>
      <c r="N457" s="126">
        <v>0</v>
      </c>
      <c r="O457" s="126">
        <v>0</v>
      </c>
      <c r="Q457" s="134"/>
      <c r="R457" s="147"/>
      <c r="S457" s="46">
        <v>268.36</v>
      </c>
      <c r="T457" s="112"/>
      <c r="U457" s="56" t="s">
        <v>953</v>
      </c>
      <c r="V457" s="105" t="s">
        <v>585</v>
      </c>
    </row>
    <row r="458" spans="1:24" s="1" customFormat="1" ht="17.25" x14ac:dyDescent="0.3">
      <c r="A458" s="39">
        <v>14123107</v>
      </c>
      <c r="B458" s="40" t="s">
        <v>487</v>
      </c>
      <c r="C458" s="41" t="s">
        <v>879</v>
      </c>
      <c r="D458" s="42" t="s">
        <v>3</v>
      </c>
      <c r="E458" s="43" t="s">
        <v>581</v>
      </c>
      <c r="F458" s="43" t="s">
        <v>582</v>
      </c>
      <c r="G458" s="44">
        <v>47</v>
      </c>
      <c r="H458" s="43" t="s">
        <v>585</v>
      </c>
      <c r="I458" s="45" t="s">
        <v>1051</v>
      </c>
      <c r="J458" s="45" t="s">
        <v>561</v>
      </c>
      <c r="K458" s="126">
        <v>134.18</v>
      </c>
      <c r="L458" s="126">
        <v>134.18</v>
      </c>
      <c r="M458" s="126"/>
      <c r="N458" s="126">
        <v>0</v>
      </c>
      <c r="O458" s="126">
        <v>0</v>
      </c>
      <c r="Q458" s="134"/>
      <c r="R458" s="147"/>
      <c r="S458" s="46">
        <v>268.36</v>
      </c>
      <c r="T458" s="112"/>
      <c r="U458" s="56" t="s">
        <v>953</v>
      </c>
      <c r="V458" s="105" t="s">
        <v>585</v>
      </c>
    </row>
    <row r="459" spans="1:24" s="1" customFormat="1" ht="17.25" x14ac:dyDescent="0.3">
      <c r="A459" s="40">
        <v>14123133</v>
      </c>
      <c r="B459" s="48" t="s">
        <v>489</v>
      </c>
      <c r="C459" s="41" t="s">
        <v>880</v>
      </c>
      <c r="D459" s="42" t="s">
        <v>3</v>
      </c>
      <c r="E459" s="43" t="s">
        <v>581</v>
      </c>
      <c r="F459" s="43" t="s">
        <v>582</v>
      </c>
      <c r="G459" s="44" t="s">
        <v>1609</v>
      </c>
      <c r="H459" s="43" t="s">
        <v>585</v>
      </c>
      <c r="I459" s="45" t="s">
        <v>583</v>
      </c>
      <c r="J459" s="45" t="s">
        <v>587</v>
      </c>
      <c r="K459" s="126">
        <v>0</v>
      </c>
      <c r="L459" s="126">
        <v>0</v>
      </c>
      <c r="M459" s="126"/>
      <c r="N459" s="126">
        <v>0</v>
      </c>
      <c r="O459" s="126">
        <v>0</v>
      </c>
      <c r="Q459" s="134"/>
      <c r="R459" s="132"/>
      <c r="S459" s="46">
        <v>0</v>
      </c>
      <c r="T459" s="112"/>
      <c r="U459" s="56" t="s">
        <v>585</v>
      </c>
      <c r="V459" s="105" t="s">
        <v>585</v>
      </c>
      <c r="X459" s="127"/>
    </row>
    <row r="460" spans="1:24" s="1" customFormat="1" ht="17.25" x14ac:dyDescent="0.3">
      <c r="A460" s="39">
        <v>14123145</v>
      </c>
      <c r="B460" s="48" t="s">
        <v>490</v>
      </c>
      <c r="C460" s="41" t="s">
        <v>881</v>
      </c>
      <c r="D460" s="42" t="s">
        <v>3</v>
      </c>
      <c r="E460" s="43" t="s">
        <v>581</v>
      </c>
      <c r="F460" s="43" t="s">
        <v>582</v>
      </c>
      <c r="G460" s="44">
        <v>93</v>
      </c>
      <c r="H460" s="43" t="s">
        <v>583</v>
      </c>
      <c r="I460" s="45" t="s">
        <v>583</v>
      </c>
      <c r="J460" s="45" t="s">
        <v>561</v>
      </c>
      <c r="K460" s="126">
        <v>134.18</v>
      </c>
      <c r="L460" s="126">
        <v>134.18</v>
      </c>
      <c r="M460" s="126"/>
      <c r="N460" s="126">
        <v>200</v>
      </c>
      <c r="O460" s="126">
        <v>177.44</v>
      </c>
      <c r="P460" s="150"/>
      <c r="Q460" s="151"/>
      <c r="R460" s="147"/>
      <c r="S460" s="46">
        <v>645.79999999999995</v>
      </c>
      <c r="T460" s="112"/>
      <c r="U460" s="56" t="s">
        <v>953</v>
      </c>
      <c r="V460" s="105" t="s">
        <v>585</v>
      </c>
    </row>
    <row r="461" spans="1:24" s="1" customFormat="1" ht="17.25" x14ac:dyDescent="0.3">
      <c r="A461" s="39">
        <v>14123193</v>
      </c>
      <c r="B461" s="40" t="s">
        <v>492</v>
      </c>
      <c r="C461" s="41" t="s">
        <v>882</v>
      </c>
      <c r="D461" s="42" t="s">
        <v>3</v>
      </c>
      <c r="E461" s="43" t="s">
        <v>581</v>
      </c>
      <c r="F461" s="43" t="s">
        <v>582</v>
      </c>
      <c r="G461" s="44">
        <v>5</v>
      </c>
      <c r="H461" s="43" t="s">
        <v>585</v>
      </c>
      <c r="I461" s="45" t="s">
        <v>1051</v>
      </c>
      <c r="J461" s="45" t="s">
        <v>561</v>
      </c>
      <c r="K461" s="126">
        <v>134.18</v>
      </c>
      <c r="L461" s="126">
        <v>134.18</v>
      </c>
      <c r="M461" s="126"/>
      <c r="N461" s="126">
        <v>0</v>
      </c>
      <c r="O461" s="126">
        <v>0</v>
      </c>
      <c r="Q461" s="134"/>
      <c r="R461" s="148"/>
      <c r="S461" s="46">
        <v>268.36</v>
      </c>
      <c r="T461" s="112"/>
      <c r="U461" s="56" t="s">
        <v>953</v>
      </c>
      <c r="V461" s="105" t="s">
        <v>585</v>
      </c>
    </row>
    <row r="462" spans="1:24" s="1" customFormat="1" ht="17.25" x14ac:dyDescent="0.3">
      <c r="A462" s="40">
        <v>14123199</v>
      </c>
      <c r="B462" s="48" t="s">
        <v>493</v>
      </c>
      <c r="C462" s="41" t="s">
        <v>883</v>
      </c>
      <c r="D462" s="42" t="s">
        <v>3</v>
      </c>
      <c r="E462" s="43" t="s">
        <v>581</v>
      </c>
      <c r="F462" s="43" t="s">
        <v>582</v>
      </c>
      <c r="G462" s="44" t="s">
        <v>1609</v>
      </c>
      <c r="H462" s="43" t="s">
        <v>585</v>
      </c>
      <c r="I462" s="45" t="s">
        <v>583</v>
      </c>
      <c r="J462" s="45" t="s">
        <v>587</v>
      </c>
      <c r="K462" s="126">
        <v>0</v>
      </c>
      <c r="L462" s="126">
        <v>0</v>
      </c>
      <c r="M462" s="126"/>
      <c r="N462" s="126">
        <v>0</v>
      </c>
      <c r="O462" s="126">
        <v>0</v>
      </c>
      <c r="Q462" s="134"/>
      <c r="R462" s="132"/>
      <c r="S462" s="46">
        <v>0</v>
      </c>
      <c r="T462" s="112"/>
      <c r="U462" s="56" t="s">
        <v>585</v>
      </c>
      <c r="V462" s="105" t="s">
        <v>585</v>
      </c>
      <c r="X462" s="127"/>
    </row>
    <row r="463" spans="1:24" s="1" customFormat="1" ht="17.25" x14ac:dyDescent="0.3">
      <c r="A463" s="39">
        <v>14123228</v>
      </c>
      <c r="B463" s="48" t="s">
        <v>494</v>
      </c>
      <c r="C463" s="41" t="s">
        <v>884</v>
      </c>
      <c r="D463" s="42" t="s">
        <v>3</v>
      </c>
      <c r="E463" s="43" t="s">
        <v>581</v>
      </c>
      <c r="F463" s="43" t="s">
        <v>582</v>
      </c>
      <c r="G463" s="44">
        <v>94</v>
      </c>
      <c r="H463" s="43" t="s">
        <v>583</v>
      </c>
      <c r="I463" s="45" t="s">
        <v>583</v>
      </c>
      <c r="J463" s="45" t="s">
        <v>561</v>
      </c>
      <c r="K463" s="126">
        <v>134.18</v>
      </c>
      <c r="L463" s="126">
        <v>134.18</v>
      </c>
      <c r="M463" s="126"/>
      <c r="N463" s="126">
        <v>200</v>
      </c>
      <c r="O463" s="126">
        <v>177.44</v>
      </c>
      <c r="P463" s="150"/>
      <c r="Q463" s="151"/>
      <c r="R463" s="147"/>
      <c r="S463" s="46">
        <v>645.79999999999995</v>
      </c>
      <c r="T463" s="112"/>
      <c r="U463" s="56" t="s">
        <v>953</v>
      </c>
      <c r="V463" s="105" t="s">
        <v>585</v>
      </c>
    </row>
    <row r="464" spans="1:24" s="1" customFormat="1" ht="17.25" x14ac:dyDescent="0.3">
      <c r="A464" s="39">
        <v>14123238</v>
      </c>
      <c r="B464" s="48" t="s">
        <v>495</v>
      </c>
      <c r="C464" s="41" t="s">
        <v>885</v>
      </c>
      <c r="D464" s="42" t="s">
        <v>3</v>
      </c>
      <c r="E464" s="43" t="s">
        <v>581</v>
      </c>
      <c r="F464" s="43" t="s">
        <v>582</v>
      </c>
      <c r="G464" s="44">
        <v>94</v>
      </c>
      <c r="H464" s="43" t="s">
        <v>583</v>
      </c>
      <c r="I464" s="45" t="s">
        <v>1051</v>
      </c>
      <c r="J464" s="45" t="s">
        <v>561</v>
      </c>
      <c r="K464" s="126">
        <v>134.18</v>
      </c>
      <c r="L464" s="126">
        <v>134.18</v>
      </c>
      <c r="M464" s="126"/>
      <c r="N464" s="126">
        <v>0</v>
      </c>
      <c r="O464" s="126">
        <v>0</v>
      </c>
      <c r="Q464" s="134"/>
      <c r="R464" s="147"/>
      <c r="S464" s="46">
        <v>268.36</v>
      </c>
      <c r="T464" s="112"/>
      <c r="U464" s="56" t="s">
        <v>953</v>
      </c>
      <c r="V464" s="105" t="s">
        <v>925</v>
      </c>
    </row>
    <row r="465" spans="1:24" s="1" customFormat="1" ht="17.25" x14ac:dyDescent="0.3">
      <c r="A465" s="39">
        <v>14123246</v>
      </c>
      <c r="B465" s="48" t="s">
        <v>497</v>
      </c>
      <c r="C465" s="41" t="s">
        <v>886</v>
      </c>
      <c r="D465" s="42" t="s">
        <v>3</v>
      </c>
      <c r="E465" s="43" t="s">
        <v>581</v>
      </c>
      <c r="F465" s="43" t="s">
        <v>582</v>
      </c>
      <c r="G465" s="44">
        <v>91</v>
      </c>
      <c r="H465" s="43" t="s">
        <v>583</v>
      </c>
      <c r="I465" s="45" t="s">
        <v>1051</v>
      </c>
      <c r="J465" s="45" t="s">
        <v>561</v>
      </c>
      <c r="K465" s="126">
        <v>134.18</v>
      </c>
      <c r="L465" s="126">
        <v>134.18</v>
      </c>
      <c r="M465" s="126"/>
      <c r="N465" s="126">
        <v>0</v>
      </c>
      <c r="O465" s="126">
        <v>0</v>
      </c>
      <c r="P465" s="132"/>
      <c r="Q465" s="133"/>
      <c r="R465" s="147"/>
      <c r="S465" s="46">
        <v>268.36</v>
      </c>
      <c r="T465" s="112"/>
      <c r="U465" s="56" t="s">
        <v>953</v>
      </c>
      <c r="V465" s="105" t="s">
        <v>585</v>
      </c>
    </row>
    <row r="466" spans="1:24" s="1" customFormat="1" ht="17.25" x14ac:dyDescent="0.3">
      <c r="A466" s="39">
        <v>14123254</v>
      </c>
      <c r="B466" s="48" t="s">
        <v>499</v>
      </c>
      <c r="C466" s="41" t="s">
        <v>887</v>
      </c>
      <c r="D466" s="42" t="s">
        <v>3</v>
      </c>
      <c r="E466" s="43" t="s">
        <v>581</v>
      </c>
      <c r="F466" s="43" t="s">
        <v>582</v>
      </c>
      <c r="G466" s="44">
        <v>94</v>
      </c>
      <c r="H466" s="43" t="s">
        <v>583</v>
      </c>
      <c r="I466" s="45" t="s">
        <v>1051</v>
      </c>
      <c r="J466" s="45" t="s">
        <v>561</v>
      </c>
      <c r="K466" s="126">
        <v>134.18</v>
      </c>
      <c r="L466" s="126">
        <v>134.18</v>
      </c>
      <c r="M466" s="126"/>
      <c r="N466" s="126">
        <v>0</v>
      </c>
      <c r="O466" s="126">
        <v>0</v>
      </c>
      <c r="P466" s="132"/>
      <c r="Q466" s="133"/>
      <c r="R466" s="147"/>
      <c r="S466" s="46">
        <v>268.36</v>
      </c>
      <c r="T466" s="112"/>
      <c r="U466" s="56" t="s">
        <v>953</v>
      </c>
      <c r="V466" s="105" t="s">
        <v>585</v>
      </c>
    </row>
    <row r="467" spans="1:24" s="1" customFormat="1" ht="17.25" x14ac:dyDescent="0.3">
      <c r="A467" s="39">
        <v>14123273</v>
      </c>
      <c r="B467" s="40" t="s">
        <v>501</v>
      </c>
      <c r="C467" s="41" t="s">
        <v>888</v>
      </c>
      <c r="D467" s="42" t="s">
        <v>3</v>
      </c>
      <c r="E467" s="43" t="s">
        <v>581</v>
      </c>
      <c r="F467" s="43" t="s">
        <v>582</v>
      </c>
      <c r="G467" s="44">
        <v>89</v>
      </c>
      <c r="H467" s="43" t="s">
        <v>585</v>
      </c>
      <c r="I467" s="45" t="s">
        <v>1051</v>
      </c>
      <c r="J467" s="45" t="s">
        <v>561</v>
      </c>
      <c r="K467" s="126">
        <v>134.18</v>
      </c>
      <c r="L467" s="126">
        <v>134.18</v>
      </c>
      <c r="M467" s="126"/>
      <c r="N467" s="126">
        <v>0</v>
      </c>
      <c r="O467" s="126">
        <v>0</v>
      </c>
      <c r="P467" s="145"/>
      <c r="Q467" s="146"/>
      <c r="R467" s="147"/>
      <c r="S467" s="46">
        <v>268.36</v>
      </c>
      <c r="T467" s="112"/>
      <c r="U467" s="56" t="s">
        <v>953</v>
      </c>
      <c r="V467" s="105" t="s">
        <v>585</v>
      </c>
    </row>
    <row r="468" spans="1:24" s="1" customFormat="1" ht="17.25" x14ac:dyDescent="0.3">
      <c r="A468" s="39">
        <v>14123275</v>
      </c>
      <c r="B468" s="48" t="s">
        <v>503</v>
      </c>
      <c r="C468" s="41" t="s">
        <v>888</v>
      </c>
      <c r="D468" s="42" t="s">
        <v>3</v>
      </c>
      <c r="E468" s="43" t="s">
        <v>581</v>
      </c>
      <c r="F468" s="43" t="s">
        <v>582</v>
      </c>
      <c r="G468" s="44">
        <v>88</v>
      </c>
      <c r="H468" s="43" t="s">
        <v>585</v>
      </c>
      <c r="I468" s="45" t="s">
        <v>583</v>
      </c>
      <c r="J468" s="45" t="s">
        <v>587</v>
      </c>
      <c r="K468" s="126">
        <v>0</v>
      </c>
      <c r="L468" s="126">
        <v>0</v>
      </c>
      <c r="M468" s="126"/>
      <c r="N468" s="126">
        <v>0</v>
      </c>
      <c r="O468" s="126">
        <v>0</v>
      </c>
      <c r="P468" s="145"/>
      <c r="Q468" s="146"/>
      <c r="R468" s="147"/>
      <c r="S468" s="46">
        <v>0</v>
      </c>
      <c r="T468" s="112"/>
      <c r="U468" s="56" t="s">
        <v>585</v>
      </c>
      <c r="V468" s="105" t="s">
        <v>585</v>
      </c>
      <c r="X468" s="127"/>
    </row>
    <row r="469" spans="1:24" s="1" customFormat="1" ht="17.25" x14ac:dyDescent="0.3">
      <c r="A469" s="39">
        <v>14123277</v>
      </c>
      <c r="B469" s="48" t="s">
        <v>505</v>
      </c>
      <c r="C469" s="41" t="s">
        <v>888</v>
      </c>
      <c r="D469" s="42" t="s">
        <v>3</v>
      </c>
      <c r="E469" s="43" t="s">
        <v>581</v>
      </c>
      <c r="F469" s="43" t="s">
        <v>582</v>
      </c>
      <c r="G469" s="44">
        <v>81</v>
      </c>
      <c r="H469" s="43" t="s">
        <v>585</v>
      </c>
      <c r="I469" s="45" t="s">
        <v>583</v>
      </c>
      <c r="J469" s="45" t="s">
        <v>561</v>
      </c>
      <c r="K469" s="126">
        <v>134.18</v>
      </c>
      <c r="L469" s="126">
        <v>134.18</v>
      </c>
      <c r="M469" s="126"/>
      <c r="N469" s="126">
        <v>0</v>
      </c>
      <c r="O469" s="126">
        <v>177.44</v>
      </c>
      <c r="P469" s="152"/>
      <c r="Q469" s="153"/>
      <c r="R469" s="148"/>
      <c r="S469" s="46">
        <v>445.8</v>
      </c>
      <c r="T469" s="112"/>
      <c r="U469" s="56" t="s">
        <v>953</v>
      </c>
      <c r="V469" s="105" t="s">
        <v>585</v>
      </c>
    </row>
    <row r="470" spans="1:24" s="1" customFormat="1" ht="17.25" x14ac:dyDescent="0.3">
      <c r="A470" s="39">
        <v>14123312</v>
      </c>
      <c r="B470" s="48" t="s">
        <v>507</v>
      </c>
      <c r="C470" s="41" t="s">
        <v>889</v>
      </c>
      <c r="D470" s="42" t="s">
        <v>3</v>
      </c>
      <c r="E470" s="43" t="s">
        <v>581</v>
      </c>
      <c r="F470" s="43" t="s">
        <v>582</v>
      </c>
      <c r="G470" s="44">
        <v>91</v>
      </c>
      <c r="H470" s="43" t="s">
        <v>583</v>
      </c>
      <c r="I470" s="45" t="s">
        <v>1051</v>
      </c>
      <c r="J470" s="45" t="s">
        <v>561</v>
      </c>
      <c r="K470" s="126">
        <v>134.18</v>
      </c>
      <c r="L470" s="126">
        <v>134.18</v>
      </c>
      <c r="M470" s="126"/>
      <c r="N470" s="126">
        <v>0</v>
      </c>
      <c r="O470" s="126">
        <v>0</v>
      </c>
      <c r="P470" s="145"/>
      <c r="Q470" s="146"/>
      <c r="R470" s="147"/>
      <c r="S470" s="46">
        <v>268.36</v>
      </c>
      <c r="T470" s="112"/>
      <c r="U470" s="56" t="s">
        <v>953</v>
      </c>
      <c r="V470" s="105" t="s">
        <v>585</v>
      </c>
    </row>
    <row r="471" spans="1:24" s="1" customFormat="1" ht="17.25" x14ac:dyDescent="0.3">
      <c r="A471" s="39">
        <v>14123331</v>
      </c>
      <c r="B471" s="48" t="s">
        <v>511</v>
      </c>
      <c r="C471" s="41" t="s">
        <v>890</v>
      </c>
      <c r="D471" s="42" t="s">
        <v>3</v>
      </c>
      <c r="E471" s="43" t="s">
        <v>581</v>
      </c>
      <c r="F471" s="43" t="s">
        <v>582</v>
      </c>
      <c r="G471" s="44">
        <v>93</v>
      </c>
      <c r="H471" s="43" t="s">
        <v>583</v>
      </c>
      <c r="I471" s="45" t="s">
        <v>583</v>
      </c>
      <c r="J471" s="45" t="s">
        <v>561</v>
      </c>
      <c r="K471" s="126">
        <v>134.18</v>
      </c>
      <c r="L471" s="126">
        <v>134.18</v>
      </c>
      <c r="M471" s="126"/>
      <c r="N471" s="126">
        <v>200</v>
      </c>
      <c r="O471" s="126">
        <v>177.44</v>
      </c>
      <c r="P471" s="132"/>
      <c r="Q471" s="133"/>
      <c r="R471" s="147"/>
      <c r="S471" s="46">
        <v>645.79999999999995</v>
      </c>
      <c r="T471" s="112"/>
      <c r="U471" s="56" t="s">
        <v>953</v>
      </c>
      <c r="V471" s="105" t="s">
        <v>925</v>
      </c>
    </row>
    <row r="472" spans="1:24" s="1" customFormat="1" ht="17.25" x14ac:dyDescent="0.3">
      <c r="A472" s="39">
        <v>14123332</v>
      </c>
      <c r="B472" s="48" t="s">
        <v>512</v>
      </c>
      <c r="C472" s="41" t="s">
        <v>811</v>
      </c>
      <c r="D472" s="42" t="s">
        <v>3</v>
      </c>
      <c r="E472" s="43" t="s">
        <v>581</v>
      </c>
      <c r="F472" s="43" t="s">
        <v>582</v>
      </c>
      <c r="G472" s="44">
        <v>51</v>
      </c>
      <c r="H472" s="43" t="s">
        <v>585</v>
      </c>
      <c r="I472" s="45" t="s">
        <v>583</v>
      </c>
      <c r="J472" s="45" t="s">
        <v>587</v>
      </c>
      <c r="K472" s="126">
        <v>134.18</v>
      </c>
      <c r="L472" s="126">
        <v>134.18</v>
      </c>
      <c r="M472" s="126"/>
      <c r="N472" s="126">
        <v>0</v>
      </c>
      <c r="O472" s="126">
        <v>0</v>
      </c>
      <c r="P472" s="132"/>
      <c r="Q472" s="133"/>
      <c r="R472" s="147"/>
      <c r="S472" s="46">
        <v>268.36</v>
      </c>
      <c r="T472" s="112"/>
      <c r="U472" s="56" t="s">
        <v>953</v>
      </c>
      <c r="V472" s="105" t="s">
        <v>585</v>
      </c>
    </row>
    <row r="473" spans="1:24" s="1" customFormat="1" ht="17.25" x14ac:dyDescent="0.3">
      <c r="A473" s="40">
        <v>14123334</v>
      </c>
      <c r="B473" s="48" t="s">
        <v>513</v>
      </c>
      <c r="C473" s="41" t="s">
        <v>811</v>
      </c>
      <c r="D473" s="42" t="s">
        <v>3</v>
      </c>
      <c r="E473" s="43" t="s">
        <v>581</v>
      </c>
      <c r="F473" s="43" t="s">
        <v>582</v>
      </c>
      <c r="G473" s="44">
        <v>94</v>
      </c>
      <c r="H473" s="43" t="s">
        <v>583</v>
      </c>
      <c r="I473" s="45" t="s">
        <v>583</v>
      </c>
      <c r="J473" s="45" t="s">
        <v>561</v>
      </c>
      <c r="K473" s="126">
        <v>134.18</v>
      </c>
      <c r="L473" s="126">
        <v>134.18</v>
      </c>
      <c r="M473" s="126"/>
      <c r="N473" s="126">
        <v>200</v>
      </c>
      <c r="O473" s="126">
        <v>177.44</v>
      </c>
      <c r="P473" s="132"/>
      <c r="Q473" s="133"/>
      <c r="R473" s="132"/>
      <c r="S473" s="46">
        <v>645.79999999999995</v>
      </c>
      <c r="T473" s="112"/>
      <c r="U473" s="56" t="s">
        <v>953</v>
      </c>
      <c r="V473" s="105" t="s">
        <v>585</v>
      </c>
    </row>
    <row r="474" spans="1:24" s="1" customFormat="1" ht="17.25" x14ac:dyDescent="0.3">
      <c r="A474" s="40">
        <v>14123336</v>
      </c>
      <c r="B474" s="48" t="s">
        <v>514</v>
      </c>
      <c r="C474" s="41" t="s">
        <v>811</v>
      </c>
      <c r="D474" s="42" t="s">
        <v>3</v>
      </c>
      <c r="E474" s="43" t="s">
        <v>581</v>
      </c>
      <c r="F474" s="43" t="s">
        <v>582</v>
      </c>
      <c r="G474" s="44">
        <v>92</v>
      </c>
      <c r="H474" s="43" t="s">
        <v>583</v>
      </c>
      <c r="I474" s="45" t="s">
        <v>1051</v>
      </c>
      <c r="J474" s="45" t="s">
        <v>587</v>
      </c>
      <c r="K474" s="126">
        <v>134.18</v>
      </c>
      <c r="L474" s="126">
        <v>134.18</v>
      </c>
      <c r="M474" s="126"/>
      <c r="N474" s="126">
        <v>0</v>
      </c>
      <c r="O474" s="126">
        <v>0</v>
      </c>
      <c r="P474" s="132"/>
      <c r="Q474" s="133"/>
      <c r="R474" s="132"/>
      <c r="S474" s="46">
        <v>268.36</v>
      </c>
      <c r="T474" s="112"/>
      <c r="U474" s="56" t="s">
        <v>953</v>
      </c>
      <c r="V474" s="105" t="s">
        <v>585</v>
      </c>
    </row>
    <row r="475" spans="1:24" s="1" customFormat="1" ht="17.25" x14ac:dyDescent="0.3">
      <c r="A475" s="40">
        <v>14123375</v>
      </c>
      <c r="B475" s="48" t="s">
        <v>515</v>
      </c>
      <c r="C475" s="41" t="s">
        <v>891</v>
      </c>
      <c r="D475" s="42" t="s">
        <v>3</v>
      </c>
      <c r="E475" s="43" t="s">
        <v>581</v>
      </c>
      <c r="F475" s="43" t="s">
        <v>582</v>
      </c>
      <c r="G475" s="44">
        <v>90</v>
      </c>
      <c r="H475" s="43" t="s">
        <v>583</v>
      </c>
      <c r="I475" s="45" t="s">
        <v>1051</v>
      </c>
      <c r="J475" s="45" t="s">
        <v>561</v>
      </c>
      <c r="K475" s="126">
        <v>134.18</v>
      </c>
      <c r="L475" s="126">
        <v>134.18</v>
      </c>
      <c r="M475" s="126"/>
      <c r="N475" s="126">
        <v>0</v>
      </c>
      <c r="O475" s="126">
        <v>0</v>
      </c>
      <c r="P475" s="132"/>
      <c r="Q475" s="133"/>
      <c r="R475" s="132"/>
      <c r="S475" s="46">
        <v>268.36</v>
      </c>
      <c r="T475" s="112"/>
      <c r="U475" s="56" t="s">
        <v>953</v>
      </c>
      <c r="V475" s="105" t="s">
        <v>925</v>
      </c>
    </row>
    <row r="476" spans="1:24" s="1" customFormat="1" ht="17.25" x14ac:dyDescent="0.3">
      <c r="A476" s="39">
        <v>14123377</v>
      </c>
      <c r="B476" s="48" t="s">
        <v>516</v>
      </c>
      <c r="C476" s="41" t="s">
        <v>891</v>
      </c>
      <c r="D476" s="42" t="s">
        <v>3</v>
      </c>
      <c r="E476" s="43" t="s">
        <v>581</v>
      </c>
      <c r="F476" s="43" t="s">
        <v>582</v>
      </c>
      <c r="G476" s="44">
        <v>93</v>
      </c>
      <c r="H476" s="43" t="s">
        <v>583</v>
      </c>
      <c r="I476" s="45" t="s">
        <v>583</v>
      </c>
      <c r="J476" s="45" t="s">
        <v>561</v>
      </c>
      <c r="K476" s="126">
        <v>134.18</v>
      </c>
      <c r="L476" s="126">
        <v>134.18</v>
      </c>
      <c r="M476" s="126"/>
      <c r="N476" s="126">
        <v>200</v>
      </c>
      <c r="O476" s="126">
        <v>177.44</v>
      </c>
      <c r="P476" s="132"/>
      <c r="Q476" s="133"/>
      <c r="R476" s="147"/>
      <c r="S476" s="46">
        <v>645.79999999999995</v>
      </c>
      <c r="T476" s="112"/>
      <c r="U476" s="56" t="s">
        <v>953</v>
      </c>
      <c r="V476" s="105" t="s">
        <v>585</v>
      </c>
    </row>
    <row r="477" spans="1:24" s="18" customFormat="1" ht="17.25" x14ac:dyDescent="0.3">
      <c r="A477" s="40">
        <v>14123445</v>
      </c>
      <c r="B477" s="48" t="s">
        <v>518</v>
      </c>
      <c r="C477" s="41" t="s">
        <v>892</v>
      </c>
      <c r="D477" s="42" t="s">
        <v>3</v>
      </c>
      <c r="E477" s="43" t="s">
        <v>581</v>
      </c>
      <c r="F477" s="43" t="s">
        <v>582</v>
      </c>
      <c r="G477" s="44">
        <v>91</v>
      </c>
      <c r="H477" s="43" t="s">
        <v>583</v>
      </c>
      <c r="I477" s="45" t="s">
        <v>583</v>
      </c>
      <c r="J477" s="45" t="s">
        <v>561</v>
      </c>
      <c r="K477" s="126">
        <v>134.18</v>
      </c>
      <c r="L477" s="126">
        <v>134.18</v>
      </c>
      <c r="M477" s="126"/>
      <c r="N477" s="126">
        <v>200</v>
      </c>
      <c r="O477" s="126">
        <v>177.44</v>
      </c>
      <c r="P477" s="132"/>
      <c r="Q477" s="133"/>
      <c r="R477" s="132"/>
      <c r="S477" s="46">
        <v>645.79999999999995</v>
      </c>
      <c r="T477" s="112"/>
      <c r="U477" s="56" t="s">
        <v>953</v>
      </c>
      <c r="V477" s="105" t="s">
        <v>585</v>
      </c>
    </row>
    <row r="478" spans="1:24" s="1" customFormat="1" ht="17.25" x14ac:dyDescent="0.3">
      <c r="A478" s="40">
        <v>14123447</v>
      </c>
      <c r="B478" s="48" t="s">
        <v>520</v>
      </c>
      <c r="C478" s="41" t="s">
        <v>892</v>
      </c>
      <c r="D478" s="42" t="s">
        <v>3</v>
      </c>
      <c r="E478" s="43" t="s">
        <v>581</v>
      </c>
      <c r="F478" s="43" t="s">
        <v>582</v>
      </c>
      <c r="G478" s="44">
        <v>94</v>
      </c>
      <c r="H478" s="43" t="s">
        <v>583</v>
      </c>
      <c r="I478" s="45" t="s">
        <v>583</v>
      </c>
      <c r="J478" s="45" t="s">
        <v>561</v>
      </c>
      <c r="K478" s="126">
        <v>134.18</v>
      </c>
      <c r="L478" s="126">
        <v>134.18</v>
      </c>
      <c r="M478" s="126"/>
      <c r="N478" s="126">
        <v>200</v>
      </c>
      <c r="O478" s="126">
        <v>177.44</v>
      </c>
      <c r="P478" s="132"/>
      <c r="Q478" s="133"/>
      <c r="R478" s="132"/>
      <c r="S478" s="46">
        <v>645.79999999999995</v>
      </c>
      <c r="T478" s="112"/>
      <c r="U478" s="56" t="s">
        <v>953</v>
      </c>
      <c r="V478" s="105" t="s">
        <v>585</v>
      </c>
    </row>
    <row r="479" spans="1:24" s="1" customFormat="1" ht="17.25" x14ac:dyDescent="0.3">
      <c r="A479" s="39">
        <v>14123460</v>
      </c>
      <c r="B479" s="48" t="s">
        <v>522</v>
      </c>
      <c r="C479" s="41" t="s">
        <v>893</v>
      </c>
      <c r="D479" s="42" t="s">
        <v>3</v>
      </c>
      <c r="E479" s="43" t="s">
        <v>581</v>
      </c>
      <c r="F479" s="43" t="s">
        <v>582</v>
      </c>
      <c r="G479" s="44">
        <v>94</v>
      </c>
      <c r="H479" s="43" t="s">
        <v>583</v>
      </c>
      <c r="I479" s="45" t="s">
        <v>1051</v>
      </c>
      <c r="J479" s="45" t="s">
        <v>561</v>
      </c>
      <c r="K479" s="126">
        <v>134.18</v>
      </c>
      <c r="L479" s="126">
        <v>134.18</v>
      </c>
      <c r="M479" s="126"/>
      <c r="N479" s="126">
        <v>0</v>
      </c>
      <c r="O479" s="126">
        <v>0</v>
      </c>
      <c r="P479" s="132"/>
      <c r="Q479" s="133"/>
      <c r="R479" s="147"/>
      <c r="S479" s="46">
        <v>268.36</v>
      </c>
      <c r="T479" s="112"/>
      <c r="U479" s="56" t="s">
        <v>953</v>
      </c>
      <c r="V479" s="105" t="s">
        <v>585</v>
      </c>
    </row>
    <row r="480" spans="1:24" s="1" customFormat="1" ht="17.25" x14ac:dyDescent="0.3">
      <c r="A480" s="40">
        <v>14123461</v>
      </c>
      <c r="B480" s="48" t="s">
        <v>523</v>
      </c>
      <c r="C480" s="41" t="s">
        <v>893</v>
      </c>
      <c r="D480" s="42" t="s">
        <v>3</v>
      </c>
      <c r="E480" s="43" t="s">
        <v>581</v>
      </c>
      <c r="F480" s="43" t="s">
        <v>582</v>
      </c>
      <c r="G480" s="44">
        <v>94</v>
      </c>
      <c r="H480" s="43" t="s">
        <v>583</v>
      </c>
      <c r="I480" s="45" t="s">
        <v>583</v>
      </c>
      <c r="J480" s="45" t="s">
        <v>561</v>
      </c>
      <c r="K480" s="126">
        <v>134.18</v>
      </c>
      <c r="L480" s="126">
        <v>134.18</v>
      </c>
      <c r="M480" s="126"/>
      <c r="N480" s="126">
        <v>200</v>
      </c>
      <c r="O480" s="126">
        <v>177.44</v>
      </c>
      <c r="P480" s="132"/>
      <c r="Q480" s="133"/>
      <c r="R480" s="132"/>
      <c r="S480" s="46">
        <v>645.79999999999995</v>
      </c>
      <c r="T480" s="112"/>
      <c r="U480" s="56" t="s">
        <v>953</v>
      </c>
      <c r="V480" s="105" t="s">
        <v>585</v>
      </c>
    </row>
    <row r="481" spans="1:22" s="1" customFormat="1" ht="17.25" x14ac:dyDescent="0.3">
      <c r="A481" s="39">
        <v>14123471</v>
      </c>
      <c r="B481" s="48" t="s">
        <v>525</v>
      </c>
      <c r="C481" s="41" t="s">
        <v>894</v>
      </c>
      <c r="D481" s="42" t="s">
        <v>3</v>
      </c>
      <c r="E481" s="43" t="s">
        <v>581</v>
      </c>
      <c r="F481" s="43" t="s">
        <v>582</v>
      </c>
      <c r="G481" s="44">
        <v>93</v>
      </c>
      <c r="H481" s="43" t="s">
        <v>583</v>
      </c>
      <c r="I481" s="45" t="s">
        <v>583</v>
      </c>
      <c r="J481" s="45" t="s">
        <v>561</v>
      </c>
      <c r="K481" s="126">
        <v>134.18</v>
      </c>
      <c r="L481" s="126">
        <v>134.18</v>
      </c>
      <c r="M481" s="126"/>
      <c r="N481" s="126">
        <v>200</v>
      </c>
      <c r="O481" s="126">
        <v>177.44</v>
      </c>
      <c r="P481" s="132"/>
      <c r="Q481" s="133"/>
      <c r="R481" s="147"/>
      <c r="S481" s="46">
        <v>645.79999999999995</v>
      </c>
      <c r="T481" s="112"/>
      <c r="U481" s="56" t="s">
        <v>953</v>
      </c>
      <c r="V481" s="105" t="s">
        <v>585</v>
      </c>
    </row>
    <row r="482" spans="1:22" s="1" customFormat="1" ht="17.25" x14ac:dyDescent="0.3">
      <c r="A482" s="40">
        <v>14123473</v>
      </c>
      <c r="B482" s="40" t="s">
        <v>526</v>
      </c>
      <c r="C482" s="41" t="s">
        <v>894</v>
      </c>
      <c r="D482" s="42" t="s">
        <v>3</v>
      </c>
      <c r="E482" s="43" t="s">
        <v>581</v>
      </c>
      <c r="F482" s="43" t="s">
        <v>582</v>
      </c>
      <c r="G482" s="44">
        <v>94</v>
      </c>
      <c r="H482" s="43" t="s">
        <v>583</v>
      </c>
      <c r="I482" s="45" t="s">
        <v>1051</v>
      </c>
      <c r="J482" s="45" t="s">
        <v>561</v>
      </c>
      <c r="K482" s="126">
        <v>134.18</v>
      </c>
      <c r="L482" s="126">
        <v>134.18</v>
      </c>
      <c r="M482" s="126"/>
      <c r="N482" s="126">
        <v>0</v>
      </c>
      <c r="O482" s="126">
        <v>0</v>
      </c>
      <c r="P482" s="132"/>
      <c r="Q482" s="133"/>
      <c r="R482" s="132"/>
      <c r="S482" s="46">
        <v>268.36</v>
      </c>
      <c r="T482" s="112"/>
      <c r="U482" s="56" t="s">
        <v>953</v>
      </c>
      <c r="V482" s="105" t="s">
        <v>585</v>
      </c>
    </row>
    <row r="483" spans="1:22" s="1" customFormat="1" ht="17.25" x14ac:dyDescent="0.3">
      <c r="A483" s="40">
        <v>14123488</v>
      </c>
      <c r="B483" s="48" t="s">
        <v>527</v>
      </c>
      <c r="C483" s="41" t="s">
        <v>895</v>
      </c>
      <c r="D483" s="42" t="s">
        <v>3</v>
      </c>
      <c r="E483" s="43" t="s">
        <v>581</v>
      </c>
      <c r="F483" s="43" t="s">
        <v>582</v>
      </c>
      <c r="G483" s="44">
        <v>88</v>
      </c>
      <c r="H483" s="43" t="s">
        <v>585</v>
      </c>
      <c r="I483" s="45" t="s">
        <v>1051</v>
      </c>
      <c r="J483" s="45" t="s">
        <v>561</v>
      </c>
      <c r="K483" s="126">
        <v>134.18</v>
      </c>
      <c r="L483" s="126">
        <v>134.18</v>
      </c>
      <c r="M483" s="126"/>
      <c r="N483" s="126">
        <v>0</v>
      </c>
      <c r="O483" s="126">
        <v>0</v>
      </c>
      <c r="P483" s="132"/>
      <c r="Q483" s="133"/>
      <c r="R483" s="147"/>
      <c r="S483" s="46">
        <v>268.36</v>
      </c>
      <c r="T483" s="112"/>
      <c r="U483" s="56" t="s">
        <v>953</v>
      </c>
      <c r="V483" s="105" t="s">
        <v>585</v>
      </c>
    </row>
    <row r="484" spans="1:22" s="1" customFormat="1" ht="17.25" x14ac:dyDescent="0.3">
      <c r="A484" s="39">
        <v>14123489</v>
      </c>
      <c r="B484" s="48" t="s">
        <v>528</v>
      </c>
      <c r="C484" s="41" t="s">
        <v>895</v>
      </c>
      <c r="D484" s="42" t="s">
        <v>3</v>
      </c>
      <c r="E484" s="43" t="s">
        <v>581</v>
      </c>
      <c r="F484" s="43" t="s">
        <v>582</v>
      </c>
      <c r="G484" s="44">
        <v>95</v>
      </c>
      <c r="H484" s="43" t="s">
        <v>583</v>
      </c>
      <c r="I484" s="45" t="s">
        <v>583</v>
      </c>
      <c r="J484" s="45" t="s">
        <v>561</v>
      </c>
      <c r="K484" s="126">
        <v>134.18</v>
      </c>
      <c r="L484" s="126">
        <v>134.18</v>
      </c>
      <c r="M484" s="126"/>
      <c r="N484" s="126">
        <v>200</v>
      </c>
      <c r="O484" s="126">
        <v>177.44</v>
      </c>
      <c r="P484" s="132"/>
      <c r="Q484" s="133"/>
      <c r="R484" s="147"/>
      <c r="S484" s="46">
        <v>645.79999999999995</v>
      </c>
      <c r="T484" s="112"/>
      <c r="U484" s="56" t="s">
        <v>953</v>
      </c>
      <c r="V484" s="105" t="s">
        <v>585</v>
      </c>
    </row>
    <row r="485" spans="1:22" s="1" customFormat="1" ht="17.25" x14ac:dyDescent="0.3">
      <c r="A485" s="40">
        <v>14123514</v>
      </c>
      <c r="B485" s="48" t="s">
        <v>533</v>
      </c>
      <c r="C485" s="41" t="s">
        <v>896</v>
      </c>
      <c r="D485" s="42" t="s">
        <v>3</v>
      </c>
      <c r="E485" s="43" t="s">
        <v>581</v>
      </c>
      <c r="F485" s="43" t="s">
        <v>582</v>
      </c>
      <c r="G485" s="44">
        <v>95</v>
      </c>
      <c r="H485" s="43" t="s">
        <v>583</v>
      </c>
      <c r="I485" s="45" t="s">
        <v>583</v>
      </c>
      <c r="J485" s="45" t="s">
        <v>561</v>
      </c>
      <c r="K485" s="126">
        <v>134.18</v>
      </c>
      <c r="L485" s="126">
        <v>134.18</v>
      </c>
      <c r="M485" s="126"/>
      <c r="N485" s="126">
        <v>200</v>
      </c>
      <c r="O485" s="126">
        <v>177.44</v>
      </c>
      <c r="P485" s="152"/>
      <c r="Q485" s="153"/>
      <c r="R485" s="132"/>
      <c r="S485" s="46">
        <v>645.79999999999995</v>
      </c>
      <c r="T485" s="112"/>
      <c r="U485" s="56" t="s">
        <v>953</v>
      </c>
      <c r="V485" s="105" t="s">
        <v>585</v>
      </c>
    </row>
    <row r="486" spans="1:22" s="1" customFormat="1" ht="17.25" x14ac:dyDescent="0.3">
      <c r="A486" s="39">
        <v>14123516</v>
      </c>
      <c r="B486" s="48" t="s">
        <v>534</v>
      </c>
      <c r="C486" s="41" t="s">
        <v>896</v>
      </c>
      <c r="D486" s="42" t="s">
        <v>3</v>
      </c>
      <c r="E486" s="43" t="s">
        <v>581</v>
      </c>
      <c r="F486" s="43" t="s">
        <v>582</v>
      </c>
      <c r="G486" s="44">
        <v>94</v>
      </c>
      <c r="H486" s="43" t="s">
        <v>583</v>
      </c>
      <c r="I486" s="45" t="s">
        <v>583</v>
      </c>
      <c r="J486" s="45" t="s">
        <v>561</v>
      </c>
      <c r="K486" s="126">
        <v>134.18</v>
      </c>
      <c r="L486" s="126">
        <v>134.18</v>
      </c>
      <c r="M486" s="126"/>
      <c r="N486" s="126">
        <v>200</v>
      </c>
      <c r="O486" s="126">
        <v>177.44</v>
      </c>
      <c r="P486" s="132"/>
      <c r="Q486" s="133"/>
      <c r="R486" s="148"/>
      <c r="S486" s="46">
        <v>645.79999999999995</v>
      </c>
      <c r="T486" s="112"/>
      <c r="U486" s="56" t="s">
        <v>953</v>
      </c>
      <c r="V486" s="105" t="s">
        <v>585</v>
      </c>
    </row>
    <row r="487" spans="1:22" s="1" customFormat="1" ht="17.25" x14ac:dyDescent="0.3">
      <c r="A487" s="39">
        <v>14123519</v>
      </c>
      <c r="B487" s="48" t="s">
        <v>535</v>
      </c>
      <c r="C487" s="41" t="s">
        <v>897</v>
      </c>
      <c r="D487" s="42" t="s">
        <v>3</v>
      </c>
      <c r="E487" s="43" t="s">
        <v>581</v>
      </c>
      <c r="F487" s="43" t="s">
        <v>582</v>
      </c>
      <c r="G487" s="44">
        <v>90</v>
      </c>
      <c r="H487" s="43" t="s">
        <v>583</v>
      </c>
      <c r="I487" s="45" t="s">
        <v>583</v>
      </c>
      <c r="J487" s="45" t="s">
        <v>561</v>
      </c>
      <c r="K487" s="126">
        <v>134.18</v>
      </c>
      <c r="L487" s="126">
        <v>134.18</v>
      </c>
      <c r="M487" s="126"/>
      <c r="N487" s="126">
        <v>200</v>
      </c>
      <c r="O487" s="126">
        <v>177.44</v>
      </c>
      <c r="P487" s="145"/>
      <c r="Q487" s="146"/>
      <c r="R487" s="147"/>
      <c r="S487" s="46">
        <v>645.79999999999995</v>
      </c>
      <c r="T487" s="112"/>
      <c r="U487" s="56" t="s">
        <v>953</v>
      </c>
      <c r="V487" s="105" t="s">
        <v>585</v>
      </c>
    </row>
    <row r="488" spans="1:22" s="1" customFormat="1" ht="17.25" x14ac:dyDescent="0.3">
      <c r="A488" s="39">
        <v>14123522</v>
      </c>
      <c r="B488" s="48" t="s">
        <v>536</v>
      </c>
      <c r="C488" s="41" t="s">
        <v>897</v>
      </c>
      <c r="D488" s="42" t="s">
        <v>3</v>
      </c>
      <c r="E488" s="43" t="s">
        <v>581</v>
      </c>
      <c r="F488" s="43" t="s">
        <v>582</v>
      </c>
      <c r="G488" s="44">
        <v>94</v>
      </c>
      <c r="H488" s="43" t="s">
        <v>583</v>
      </c>
      <c r="I488" s="45" t="s">
        <v>583</v>
      </c>
      <c r="J488" s="45" t="s">
        <v>587</v>
      </c>
      <c r="K488" s="126">
        <v>134.18</v>
      </c>
      <c r="L488" s="126">
        <v>134.18</v>
      </c>
      <c r="M488" s="126"/>
      <c r="N488" s="126">
        <v>200</v>
      </c>
      <c r="O488" s="126">
        <v>0</v>
      </c>
      <c r="P488" s="132"/>
      <c r="Q488" s="133"/>
      <c r="R488" s="148"/>
      <c r="S488" s="46">
        <v>468.36</v>
      </c>
      <c r="T488" s="112"/>
      <c r="U488" s="56" t="s">
        <v>953</v>
      </c>
      <c r="V488" s="105" t="s">
        <v>585</v>
      </c>
    </row>
    <row r="489" spans="1:22" s="1" customFormat="1" ht="17.25" x14ac:dyDescent="0.3">
      <c r="A489" s="39">
        <v>14123523</v>
      </c>
      <c r="B489" s="40" t="s">
        <v>537</v>
      </c>
      <c r="C489" s="41" t="s">
        <v>897</v>
      </c>
      <c r="D489" s="42" t="s">
        <v>3</v>
      </c>
      <c r="E489" s="43" t="s">
        <v>581</v>
      </c>
      <c r="F489" s="43" t="s">
        <v>582</v>
      </c>
      <c r="G489" s="44">
        <v>93</v>
      </c>
      <c r="H489" s="43" t="s">
        <v>583</v>
      </c>
      <c r="I489" s="45" t="s">
        <v>583</v>
      </c>
      <c r="J489" s="45" t="s">
        <v>561</v>
      </c>
      <c r="K489" s="126">
        <v>134.18</v>
      </c>
      <c r="L489" s="126">
        <v>134.18</v>
      </c>
      <c r="M489" s="126"/>
      <c r="N489" s="126">
        <v>200</v>
      </c>
      <c r="O489" s="126">
        <v>177.44</v>
      </c>
      <c r="P489" s="154"/>
      <c r="Q489" s="155"/>
      <c r="R489" s="156"/>
      <c r="S489" s="46">
        <v>645.79999999999995</v>
      </c>
      <c r="T489" s="112"/>
      <c r="U489" s="56" t="s">
        <v>953</v>
      </c>
      <c r="V489" s="105" t="s">
        <v>2034</v>
      </c>
    </row>
    <row r="490" spans="1:22" s="18" customFormat="1" ht="17.25" x14ac:dyDescent="0.3">
      <c r="A490" s="39">
        <v>14123526</v>
      </c>
      <c r="B490" s="48" t="s">
        <v>538</v>
      </c>
      <c r="C490" s="41" t="s">
        <v>898</v>
      </c>
      <c r="D490" s="42" t="s">
        <v>3</v>
      </c>
      <c r="E490" s="43" t="s">
        <v>581</v>
      </c>
      <c r="F490" s="43" t="s">
        <v>582</v>
      </c>
      <c r="G490" s="44">
        <v>95</v>
      </c>
      <c r="H490" s="43" t="s">
        <v>583</v>
      </c>
      <c r="I490" s="45" t="s">
        <v>583</v>
      </c>
      <c r="J490" s="45" t="s">
        <v>561</v>
      </c>
      <c r="K490" s="126">
        <v>134.18</v>
      </c>
      <c r="L490" s="126">
        <v>134.18</v>
      </c>
      <c r="M490" s="126"/>
      <c r="N490" s="126">
        <v>200</v>
      </c>
      <c r="O490" s="126">
        <v>177.44</v>
      </c>
      <c r="P490" s="145"/>
      <c r="Q490" s="146"/>
      <c r="R490" s="147"/>
      <c r="S490" s="46">
        <v>645.79999999999995</v>
      </c>
      <c r="T490" s="112"/>
      <c r="U490" s="56" t="s">
        <v>953</v>
      </c>
      <c r="V490" s="105" t="s">
        <v>585</v>
      </c>
    </row>
    <row r="491" spans="1:22" s="1" customFormat="1" ht="17.25" x14ac:dyDescent="0.3">
      <c r="A491" s="39">
        <v>14123527</v>
      </c>
      <c r="B491" s="50" t="s">
        <v>539</v>
      </c>
      <c r="C491" s="41" t="s">
        <v>610</v>
      </c>
      <c r="D491" s="42" t="s">
        <v>3</v>
      </c>
      <c r="E491" s="43" t="s">
        <v>581</v>
      </c>
      <c r="F491" s="43" t="s">
        <v>582</v>
      </c>
      <c r="G491" s="44">
        <v>92</v>
      </c>
      <c r="H491" s="43" t="s">
        <v>583</v>
      </c>
      <c r="I491" s="45" t="s">
        <v>583</v>
      </c>
      <c r="J491" s="45" t="s">
        <v>587</v>
      </c>
      <c r="K491" s="126">
        <v>134.18</v>
      </c>
      <c r="L491" s="126">
        <v>134.18</v>
      </c>
      <c r="M491" s="126"/>
      <c r="N491" s="126">
        <v>200</v>
      </c>
      <c r="O491" s="126">
        <v>0</v>
      </c>
      <c r="P491" s="145"/>
      <c r="Q491" s="146"/>
      <c r="R491" s="147"/>
      <c r="S491" s="46">
        <v>468.36</v>
      </c>
      <c r="T491" s="112"/>
      <c r="U491" s="56" t="s">
        <v>953</v>
      </c>
      <c r="V491" s="105" t="s">
        <v>2034</v>
      </c>
    </row>
    <row r="492" spans="1:22" s="18" customFormat="1" ht="17.25" x14ac:dyDescent="0.3">
      <c r="A492" s="39">
        <v>14123528</v>
      </c>
      <c r="B492" s="48" t="s">
        <v>540</v>
      </c>
      <c r="C492" s="41" t="s">
        <v>610</v>
      </c>
      <c r="D492" s="42" t="s">
        <v>3</v>
      </c>
      <c r="E492" s="43" t="s">
        <v>581</v>
      </c>
      <c r="F492" s="43" t="s">
        <v>582</v>
      </c>
      <c r="G492" s="44">
        <v>87</v>
      </c>
      <c r="H492" s="43" t="s">
        <v>585</v>
      </c>
      <c r="I492" s="45" t="s">
        <v>583</v>
      </c>
      <c r="J492" s="45" t="s">
        <v>561</v>
      </c>
      <c r="K492" s="126">
        <v>134.18</v>
      </c>
      <c r="L492" s="126">
        <v>134.18</v>
      </c>
      <c r="M492" s="126"/>
      <c r="N492" s="126">
        <v>0</v>
      </c>
      <c r="O492" s="126">
        <v>177.44</v>
      </c>
      <c r="P492" s="132"/>
      <c r="Q492" s="133"/>
      <c r="R492" s="132"/>
      <c r="S492" s="46">
        <v>445.8</v>
      </c>
      <c r="T492" s="112"/>
      <c r="U492" s="56" t="s">
        <v>953</v>
      </c>
      <c r="V492" s="105" t="s">
        <v>585</v>
      </c>
    </row>
    <row r="493" spans="1:22" s="1" customFormat="1" ht="17.25" x14ac:dyDescent="0.3">
      <c r="A493" s="39">
        <v>14123530</v>
      </c>
      <c r="B493" s="48" t="s">
        <v>541</v>
      </c>
      <c r="C493" s="41" t="s">
        <v>610</v>
      </c>
      <c r="D493" s="42" t="s">
        <v>3</v>
      </c>
      <c r="E493" s="43" t="s">
        <v>581</v>
      </c>
      <c r="F493" s="43" t="s">
        <v>582</v>
      </c>
      <c r="G493" s="44">
        <v>93</v>
      </c>
      <c r="H493" s="43" t="s">
        <v>583</v>
      </c>
      <c r="I493" s="45" t="s">
        <v>1051</v>
      </c>
      <c r="J493" s="45" t="s">
        <v>561</v>
      </c>
      <c r="K493" s="126">
        <v>134.18</v>
      </c>
      <c r="L493" s="126">
        <v>134.18</v>
      </c>
      <c r="M493" s="126"/>
      <c r="N493" s="126">
        <v>0</v>
      </c>
      <c r="O493" s="126">
        <v>0</v>
      </c>
      <c r="P493" s="132"/>
      <c r="Q493" s="133"/>
      <c r="R493" s="147"/>
      <c r="S493" s="46">
        <v>268.36</v>
      </c>
      <c r="T493" s="112"/>
      <c r="U493" s="56" t="s">
        <v>953</v>
      </c>
      <c r="V493" s="105" t="s">
        <v>585</v>
      </c>
    </row>
    <row r="494" spans="1:22" s="1" customFormat="1" ht="17.25" x14ac:dyDescent="0.3">
      <c r="A494" s="39">
        <v>14123536</v>
      </c>
      <c r="B494" s="48" t="s">
        <v>542</v>
      </c>
      <c r="C494" s="41" t="s">
        <v>610</v>
      </c>
      <c r="D494" s="42" t="s">
        <v>3</v>
      </c>
      <c r="E494" s="43" t="s">
        <v>581</v>
      </c>
      <c r="F494" s="43" t="s">
        <v>582</v>
      </c>
      <c r="G494" s="44">
        <v>94</v>
      </c>
      <c r="H494" s="43" t="s">
        <v>583</v>
      </c>
      <c r="I494" s="45" t="s">
        <v>1051</v>
      </c>
      <c r="J494" s="45" t="s">
        <v>561</v>
      </c>
      <c r="K494" s="126">
        <v>134.18</v>
      </c>
      <c r="L494" s="126">
        <v>134.18</v>
      </c>
      <c r="M494" s="126"/>
      <c r="N494" s="126">
        <v>0</v>
      </c>
      <c r="O494" s="126">
        <v>0</v>
      </c>
      <c r="P494" s="132"/>
      <c r="Q494" s="133"/>
      <c r="R494" s="147"/>
      <c r="S494" s="46">
        <v>268.36</v>
      </c>
      <c r="T494" s="112"/>
      <c r="U494" s="56" t="s">
        <v>953</v>
      </c>
      <c r="V494" s="105" t="s">
        <v>585</v>
      </c>
    </row>
    <row r="495" spans="1:22" s="1" customFormat="1" ht="17.25" x14ac:dyDescent="0.3">
      <c r="A495" s="39">
        <v>14123541</v>
      </c>
      <c r="B495" s="48" t="s">
        <v>543</v>
      </c>
      <c r="C495" s="41" t="s">
        <v>610</v>
      </c>
      <c r="D495" s="42" t="s">
        <v>3</v>
      </c>
      <c r="E495" s="43" t="s">
        <v>581</v>
      </c>
      <c r="F495" s="43" t="s">
        <v>582</v>
      </c>
      <c r="G495" s="44">
        <v>94</v>
      </c>
      <c r="H495" s="43" t="s">
        <v>583</v>
      </c>
      <c r="I495" s="45" t="s">
        <v>1051</v>
      </c>
      <c r="J495" s="45" t="s">
        <v>561</v>
      </c>
      <c r="K495" s="126">
        <v>134.18</v>
      </c>
      <c r="L495" s="126">
        <v>134.18</v>
      </c>
      <c r="M495" s="126"/>
      <c r="N495" s="126">
        <v>0</v>
      </c>
      <c r="O495" s="126">
        <v>0</v>
      </c>
      <c r="P495" s="145"/>
      <c r="Q495" s="146"/>
      <c r="R495" s="147"/>
      <c r="S495" s="46">
        <v>268.36</v>
      </c>
      <c r="T495" s="112"/>
      <c r="U495" s="56" t="s">
        <v>953</v>
      </c>
      <c r="V495" s="105" t="s">
        <v>585</v>
      </c>
    </row>
    <row r="496" spans="1:22" s="1" customFormat="1" ht="17.25" x14ac:dyDescent="0.3">
      <c r="A496" s="39">
        <v>14123559</v>
      </c>
      <c r="B496" s="48" t="s">
        <v>545</v>
      </c>
      <c r="C496" s="41" t="s">
        <v>899</v>
      </c>
      <c r="D496" s="42" t="s">
        <v>3</v>
      </c>
      <c r="E496" s="43" t="s">
        <v>581</v>
      </c>
      <c r="F496" s="43" t="s">
        <v>582</v>
      </c>
      <c r="G496" s="44">
        <v>93</v>
      </c>
      <c r="H496" s="43" t="s">
        <v>583</v>
      </c>
      <c r="I496" s="45" t="s">
        <v>1051</v>
      </c>
      <c r="J496" s="45" t="s">
        <v>561</v>
      </c>
      <c r="K496" s="126">
        <v>134.18</v>
      </c>
      <c r="L496" s="126">
        <v>134.18</v>
      </c>
      <c r="M496" s="126"/>
      <c r="N496" s="126">
        <v>0</v>
      </c>
      <c r="O496" s="126">
        <v>0</v>
      </c>
      <c r="P496" s="132"/>
      <c r="Q496" s="133"/>
      <c r="R496" s="147"/>
      <c r="S496" s="46">
        <v>268.36</v>
      </c>
      <c r="T496" s="112"/>
      <c r="U496" s="56" t="s">
        <v>953</v>
      </c>
      <c r="V496" s="105" t="s">
        <v>585</v>
      </c>
    </row>
    <row r="497" spans="1:24" s="1" customFormat="1" ht="17.25" x14ac:dyDescent="0.3">
      <c r="A497" s="39">
        <v>14123562</v>
      </c>
      <c r="B497" s="48" t="s">
        <v>546</v>
      </c>
      <c r="C497" s="41" t="s">
        <v>899</v>
      </c>
      <c r="D497" s="42" t="s">
        <v>3</v>
      </c>
      <c r="E497" s="43" t="s">
        <v>581</v>
      </c>
      <c r="F497" s="43" t="s">
        <v>582</v>
      </c>
      <c r="G497" s="44">
        <v>95</v>
      </c>
      <c r="H497" s="43" t="s">
        <v>583</v>
      </c>
      <c r="I497" s="45" t="s">
        <v>583</v>
      </c>
      <c r="J497" s="45" t="s">
        <v>561</v>
      </c>
      <c r="K497" s="126">
        <v>134.18</v>
      </c>
      <c r="L497" s="126">
        <v>134.18</v>
      </c>
      <c r="M497" s="126"/>
      <c r="N497" s="126">
        <v>200</v>
      </c>
      <c r="O497" s="126">
        <v>177.44</v>
      </c>
      <c r="P497" s="145"/>
      <c r="Q497" s="146"/>
      <c r="R497" s="147"/>
      <c r="S497" s="46">
        <v>645.79999999999995</v>
      </c>
      <c r="T497" s="112"/>
      <c r="U497" s="56" t="s">
        <v>953</v>
      </c>
      <c r="V497" s="105" t="s">
        <v>585</v>
      </c>
    </row>
    <row r="498" spans="1:24" s="18" customFormat="1" ht="17.25" x14ac:dyDescent="0.3">
      <c r="A498" s="39">
        <v>14123568</v>
      </c>
      <c r="B498" s="48" t="s">
        <v>547</v>
      </c>
      <c r="C498" s="41" t="s">
        <v>900</v>
      </c>
      <c r="D498" s="42" t="s">
        <v>3</v>
      </c>
      <c r="E498" s="43" t="s">
        <v>581</v>
      </c>
      <c r="F498" s="43" t="s">
        <v>582</v>
      </c>
      <c r="G498" s="44">
        <v>94</v>
      </c>
      <c r="H498" s="43" t="s">
        <v>583</v>
      </c>
      <c r="I498" s="45" t="s">
        <v>1051</v>
      </c>
      <c r="J498" s="45" t="s">
        <v>561</v>
      </c>
      <c r="K498" s="126">
        <v>134.18</v>
      </c>
      <c r="L498" s="126">
        <v>134.18</v>
      </c>
      <c r="M498" s="126"/>
      <c r="N498" s="126">
        <v>0</v>
      </c>
      <c r="O498" s="126">
        <v>0</v>
      </c>
      <c r="P498" s="132"/>
      <c r="Q498" s="133"/>
      <c r="R498" s="147"/>
      <c r="S498" s="46">
        <v>268.36</v>
      </c>
      <c r="T498" s="112"/>
      <c r="U498" s="56" t="s">
        <v>953</v>
      </c>
      <c r="V498" s="105" t="s">
        <v>585</v>
      </c>
    </row>
    <row r="499" spans="1:24" s="18" customFormat="1" ht="17.25" x14ac:dyDescent="0.3">
      <c r="A499" s="39">
        <v>14123569</v>
      </c>
      <c r="B499" s="48" t="s">
        <v>548</v>
      </c>
      <c r="C499" s="41" t="s">
        <v>900</v>
      </c>
      <c r="D499" s="42" t="s">
        <v>3</v>
      </c>
      <c r="E499" s="43" t="s">
        <v>581</v>
      </c>
      <c r="F499" s="43" t="s">
        <v>582</v>
      </c>
      <c r="G499" s="44">
        <v>86</v>
      </c>
      <c r="H499" s="43" t="s">
        <v>585</v>
      </c>
      <c r="I499" s="45" t="s">
        <v>583</v>
      </c>
      <c r="J499" s="45" t="s">
        <v>587</v>
      </c>
      <c r="K499" s="126">
        <v>0</v>
      </c>
      <c r="L499" s="126">
        <v>0</v>
      </c>
      <c r="M499" s="126"/>
      <c r="N499" s="126">
        <v>0</v>
      </c>
      <c r="O499" s="126">
        <v>0</v>
      </c>
      <c r="P499" s="145"/>
      <c r="Q499" s="146"/>
      <c r="R499" s="147"/>
      <c r="S499" s="46">
        <v>0</v>
      </c>
      <c r="T499" s="112"/>
      <c r="U499" s="56" t="s">
        <v>585</v>
      </c>
      <c r="V499" s="105" t="s">
        <v>585</v>
      </c>
      <c r="X499" s="127"/>
    </row>
    <row r="500" spans="1:24" s="1" customFormat="1" ht="17.25" x14ac:dyDescent="0.3">
      <c r="A500" s="39">
        <v>14123570</v>
      </c>
      <c r="B500" s="48" t="s">
        <v>549</v>
      </c>
      <c r="C500" s="41" t="s">
        <v>900</v>
      </c>
      <c r="D500" s="42" t="s">
        <v>3</v>
      </c>
      <c r="E500" s="43" t="s">
        <v>581</v>
      </c>
      <c r="F500" s="43" t="s">
        <v>582</v>
      </c>
      <c r="G500" s="44">
        <v>91</v>
      </c>
      <c r="H500" s="43" t="s">
        <v>583</v>
      </c>
      <c r="I500" s="45" t="s">
        <v>1051</v>
      </c>
      <c r="J500" s="45" t="s">
        <v>561</v>
      </c>
      <c r="K500" s="126">
        <v>134.18</v>
      </c>
      <c r="L500" s="126">
        <v>134.18</v>
      </c>
      <c r="M500" s="126"/>
      <c r="N500" s="126">
        <v>0</v>
      </c>
      <c r="O500" s="126">
        <v>0</v>
      </c>
      <c r="P500" s="132"/>
      <c r="Q500" s="133"/>
      <c r="R500" s="147"/>
      <c r="S500" s="46">
        <v>268.36</v>
      </c>
      <c r="T500" s="112"/>
      <c r="U500" s="56" t="s">
        <v>953</v>
      </c>
      <c r="V500" s="105" t="s">
        <v>585</v>
      </c>
    </row>
    <row r="501" spans="1:24" s="1" customFormat="1" ht="17.25" x14ac:dyDescent="0.3">
      <c r="A501" s="40">
        <v>14123572</v>
      </c>
      <c r="B501" s="48" t="s">
        <v>551</v>
      </c>
      <c r="C501" s="41" t="s">
        <v>901</v>
      </c>
      <c r="D501" s="42" t="s">
        <v>3</v>
      </c>
      <c r="E501" s="43" t="s">
        <v>581</v>
      </c>
      <c r="F501" s="43" t="s">
        <v>582</v>
      </c>
      <c r="G501" s="44">
        <v>72</v>
      </c>
      <c r="H501" s="43" t="s">
        <v>585</v>
      </c>
      <c r="I501" s="45" t="s">
        <v>1051</v>
      </c>
      <c r="J501" s="45" t="s">
        <v>561</v>
      </c>
      <c r="K501" s="126">
        <v>134.18</v>
      </c>
      <c r="L501" s="126">
        <v>134.18</v>
      </c>
      <c r="M501" s="126"/>
      <c r="N501" s="126">
        <v>0</v>
      </c>
      <c r="O501" s="126">
        <v>0</v>
      </c>
      <c r="P501" s="132"/>
      <c r="Q501" s="133"/>
      <c r="R501" s="132"/>
      <c r="S501" s="46">
        <v>268.36</v>
      </c>
      <c r="T501" s="112"/>
      <c r="U501" s="56" t="s">
        <v>953</v>
      </c>
      <c r="V501" s="105" t="s">
        <v>585</v>
      </c>
    </row>
    <row r="502" spans="1:24" s="1" customFormat="1" ht="17.25" x14ac:dyDescent="0.3">
      <c r="A502" s="39">
        <v>14123573</v>
      </c>
      <c r="B502" s="48" t="s">
        <v>552</v>
      </c>
      <c r="C502" s="41" t="s">
        <v>901</v>
      </c>
      <c r="D502" s="42" t="s">
        <v>3</v>
      </c>
      <c r="E502" s="43" t="s">
        <v>581</v>
      </c>
      <c r="F502" s="43" t="s">
        <v>582</v>
      </c>
      <c r="G502" s="44">
        <v>76</v>
      </c>
      <c r="H502" s="43" t="s">
        <v>585</v>
      </c>
      <c r="I502" s="45" t="s">
        <v>1051</v>
      </c>
      <c r="J502" s="45" t="s">
        <v>561</v>
      </c>
      <c r="K502" s="126">
        <v>134.18</v>
      </c>
      <c r="L502" s="126">
        <v>134.18</v>
      </c>
      <c r="M502" s="126"/>
      <c r="N502" s="126">
        <v>0</v>
      </c>
      <c r="O502" s="126">
        <v>0</v>
      </c>
      <c r="P502" s="132"/>
      <c r="Q502" s="133"/>
      <c r="R502" s="147"/>
      <c r="S502" s="46">
        <v>268.36</v>
      </c>
      <c r="T502" s="112"/>
      <c r="U502" s="56" t="s">
        <v>953</v>
      </c>
      <c r="V502" s="105" t="s">
        <v>585</v>
      </c>
    </row>
    <row r="503" spans="1:24" s="1" customFormat="1" ht="17.25" x14ac:dyDescent="0.3">
      <c r="A503" s="39">
        <v>14123591</v>
      </c>
      <c r="B503" s="48" t="s">
        <v>554</v>
      </c>
      <c r="C503" s="41" t="s">
        <v>603</v>
      </c>
      <c r="D503" s="42" t="s">
        <v>3</v>
      </c>
      <c r="E503" s="43" t="s">
        <v>581</v>
      </c>
      <c r="F503" s="43" t="s">
        <v>740</v>
      </c>
      <c r="G503" s="44">
        <v>94</v>
      </c>
      <c r="H503" s="43" t="s">
        <v>583</v>
      </c>
      <c r="I503" s="45" t="s">
        <v>1051</v>
      </c>
      <c r="J503" s="45" t="s">
        <v>561</v>
      </c>
      <c r="K503" s="126">
        <v>134.18</v>
      </c>
      <c r="L503" s="126">
        <v>0</v>
      </c>
      <c r="M503" s="126"/>
      <c r="N503" s="126">
        <v>0</v>
      </c>
      <c r="O503" s="126">
        <v>0</v>
      </c>
      <c r="P503" s="132"/>
      <c r="Q503" s="133"/>
      <c r="R503" s="147"/>
      <c r="S503" s="46">
        <v>134.18</v>
      </c>
      <c r="T503" s="112"/>
      <c r="U503" s="56" t="s">
        <v>953</v>
      </c>
      <c r="V503" s="105" t="s">
        <v>585</v>
      </c>
    </row>
    <row r="504" spans="1:24" s="1" customFormat="1" ht="17.25" x14ac:dyDescent="0.3">
      <c r="A504" s="39">
        <v>14123599</v>
      </c>
      <c r="B504" s="48" t="s">
        <v>555</v>
      </c>
      <c r="C504" s="41" t="s">
        <v>603</v>
      </c>
      <c r="D504" s="42" t="s">
        <v>3</v>
      </c>
      <c r="E504" s="43" t="s">
        <v>581</v>
      </c>
      <c r="F504" s="43" t="s">
        <v>582</v>
      </c>
      <c r="G504" s="44">
        <v>87</v>
      </c>
      <c r="H504" s="43" t="s">
        <v>585</v>
      </c>
      <c r="I504" s="45" t="s">
        <v>583</v>
      </c>
      <c r="J504" s="45" t="s">
        <v>561</v>
      </c>
      <c r="K504" s="126">
        <v>134.18</v>
      </c>
      <c r="L504" s="126">
        <v>134.18</v>
      </c>
      <c r="M504" s="126"/>
      <c r="N504" s="126">
        <v>0</v>
      </c>
      <c r="O504" s="126">
        <v>177.44</v>
      </c>
      <c r="P504" s="145"/>
      <c r="Q504" s="146"/>
      <c r="R504" s="147"/>
      <c r="S504" s="46">
        <v>445.8</v>
      </c>
      <c r="T504" s="112"/>
      <c r="U504" s="56" t="s">
        <v>953</v>
      </c>
      <c r="V504" s="105" t="s">
        <v>585</v>
      </c>
    </row>
    <row r="505" spans="1:24" s="1" customFormat="1" ht="17.25" x14ac:dyDescent="0.3">
      <c r="A505" s="39">
        <v>14123634</v>
      </c>
      <c r="B505" s="48" t="s">
        <v>902</v>
      </c>
      <c r="C505" s="41" t="s">
        <v>903</v>
      </c>
      <c r="D505" s="42" t="s">
        <v>3</v>
      </c>
      <c r="E505" s="43" t="s">
        <v>2035</v>
      </c>
      <c r="F505" s="43" t="s">
        <v>582</v>
      </c>
      <c r="G505" s="44">
        <v>93</v>
      </c>
      <c r="H505" s="43" t="s">
        <v>583</v>
      </c>
      <c r="I505" s="45" t="s">
        <v>1051</v>
      </c>
      <c r="J505" s="45" t="s">
        <v>561</v>
      </c>
      <c r="K505" s="126">
        <v>0</v>
      </c>
      <c r="L505" s="126">
        <v>134.18</v>
      </c>
      <c r="M505" s="126"/>
      <c r="N505" s="126">
        <v>0</v>
      </c>
      <c r="O505" s="126">
        <v>0</v>
      </c>
      <c r="P505" s="145"/>
      <c r="Q505" s="146"/>
      <c r="R505" s="147"/>
      <c r="S505" s="46">
        <v>134.18</v>
      </c>
      <c r="T505" s="112"/>
      <c r="U505" s="56" t="s">
        <v>953</v>
      </c>
      <c r="V505" s="105" t="s">
        <v>585</v>
      </c>
    </row>
    <row r="506" spans="1:24" s="1" customFormat="1" ht="17.25" x14ac:dyDescent="0.3">
      <c r="A506" s="39">
        <v>14123635</v>
      </c>
      <c r="B506" s="48" t="s">
        <v>904</v>
      </c>
      <c r="C506" s="41" t="s">
        <v>903</v>
      </c>
      <c r="D506" s="42" t="s">
        <v>3</v>
      </c>
      <c r="E506" s="43" t="s">
        <v>581</v>
      </c>
      <c r="F506" s="43" t="s">
        <v>582</v>
      </c>
      <c r="G506" s="44">
        <v>94</v>
      </c>
      <c r="H506" s="43" t="s">
        <v>583</v>
      </c>
      <c r="I506" s="45" t="s">
        <v>1051</v>
      </c>
      <c r="J506" s="45" t="s">
        <v>561</v>
      </c>
      <c r="K506" s="126">
        <v>134.18</v>
      </c>
      <c r="L506" s="126">
        <v>134.18</v>
      </c>
      <c r="M506" s="126"/>
      <c r="N506" s="126">
        <v>0</v>
      </c>
      <c r="O506" s="126">
        <v>0</v>
      </c>
      <c r="P506" s="145"/>
      <c r="Q506" s="146"/>
      <c r="R506" s="147"/>
      <c r="S506" s="46">
        <v>268.36</v>
      </c>
      <c r="T506" s="112"/>
      <c r="U506" s="56" t="s">
        <v>953</v>
      </c>
      <c r="V506" s="105" t="s">
        <v>585</v>
      </c>
    </row>
    <row r="507" spans="1:24" s="1" customFormat="1" ht="17.25" x14ac:dyDescent="0.3">
      <c r="A507" s="39">
        <v>14123640</v>
      </c>
      <c r="B507" s="40" t="s">
        <v>905</v>
      </c>
      <c r="C507" s="41" t="s">
        <v>903</v>
      </c>
      <c r="D507" s="42" t="s">
        <v>3</v>
      </c>
      <c r="E507" s="43" t="s">
        <v>581</v>
      </c>
      <c r="F507" s="43" t="s">
        <v>582</v>
      </c>
      <c r="G507" s="44">
        <v>95</v>
      </c>
      <c r="H507" s="43" t="s">
        <v>583</v>
      </c>
      <c r="I507" s="45" t="s">
        <v>583</v>
      </c>
      <c r="J507" s="45" t="s">
        <v>561</v>
      </c>
      <c r="K507" s="126">
        <v>134.18</v>
      </c>
      <c r="L507" s="126">
        <v>134.18</v>
      </c>
      <c r="M507" s="126"/>
      <c r="N507" s="126">
        <v>200</v>
      </c>
      <c r="O507" s="126">
        <v>177.44</v>
      </c>
      <c r="P507" s="132"/>
      <c r="Q507" s="133"/>
      <c r="R507" s="147"/>
      <c r="S507" s="46">
        <v>645.79999999999995</v>
      </c>
      <c r="T507" s="112"/>
      <c r="U507" s="56" t="s">
        <v>953</v>
      </c>
      <c r="V507" s="105" t="s">
        <v>585</v>
      </c>
    </row>
    <row r="508" spans="1:24" s="1" customFormat="1" ht="17.25" x14ac:dyDescent="0.3">
      <c r="A508" s="39">
        <v>14123642</v>
      </c>
      <c r="B508" s="48" t="s">
        <v>906</v>
      </c>
      <c r="C508" s="41" t="s">
        <v>903</v>
      </c>
      <c r="D508" s="42" t="s">
        <v>3</v>
      </c>
      <c r="E508" s="43" t="s">
        <v>581</v>
      </c>
      <c r="F508" s="43" t="s">
        <v>582</v>
      </c>
      <c r="G508" s="44">
        <v>93</v>
      </c>
      <c r="H508" s="43" t="s">
        <v>583</v>
      </c>
      <c r="I508" s="45" t="s">
        <v>583</v>
      </c>
      <c r="J508" s="45" t="s">
        <v>561</v>
      </c>
      <c r="K508" s="126">
        <v>134.18</v>
      </c>
      <c r="L508" s="126">
        <v>134.18</v>
      </c>
      <c r="M508" s="126"/>
      <c r="N508" s="126">
        <v>200</v>
      </c>
      <c r="O508" s="126">
        <v>177.44</v>
      </c>
      <c r="P508" s="132"/>
      <c r="Q508" s="133"/>
      <c r="R508" s="147"/>
      <c r="S508" s="46">
        <v>645.79999999999995</v>
      </c>
      <c r="T508" s="112"/>
      <c r="U508" s="56" t="s">
        <v>953</v>
      </c>
      <c r="V508" s="105" t="s">
        <v>585</v>
      </c>
    </row>
    <row r="509" spans="1:24" s="1" customFormat="1" ht="17.25" x14ac:dyDescent="0.3">
      <c r="A509" s="39">
        <v>14123649</v>
      </c>
      <c r="B509" s="48" t="s">
        <v>907</v>
      </c>
      <c r="C509" s="41" t="s">
        <v>908</v>
      </c>
      <c r="D509" s="42" t="s">
        <v>3</v>
      </c>
      <c r="E509" s="43" t="s">
        <v>581</v>
      </c>
      <c r="F509" s="43" t="s">
        <v>582</v>
      </c>
      <c r="G509" s="44">
        <v>16</v>
      </c>
      <c r="H509" s="43" t="s">
        <v>585</v>
      </c>
      <c r="I509" s="45" t="s">
        <v>1051</v>
      </c>
      <c r="J509" s="45" t="s">
        <v>561</v>
      </c>
      <c r="K509" s="126">
        <v>134.18</v>
      </c>
      <c r="L509" s="126">
        <v>134.18</v>
      </c>
      <c r="M509" s="126"/>
      <c r="N509" s="126">
        <v>0</v>
      </c>
      <c r="O509" s="126">
        <v>0</v>
      </c>
      <c r="P509" s="145"/>
      <c r="Q509" s="146"/>
      <c r="R509" s="147"/>
      <c r="S509" s="46">
        <v>268.36</v>
      </c>
      <c r="T509" s="112"/>
      <c r="U509" s="56" t="s">
        <v>953</v>
      </c>
      <c r="V509" s="105" t="s">
        <v>585</v>
      </c>
    </row>
    <row r="510" spans="1:24" s="1" customFormat="1" ht="17.25" x14ac:dyDescent="0.3">
      <c r="A510" s="39">
        <v>14123651</v>
      </c>
      <c r="B510" s="48" t="s">
        <v>909</v>
      </c>
      <c r="C510" s="41" t="s">
        <v>908</v>
      </c>
      <c r="D510" s="42" t="s">
        <v>3</v>
      </c>
      <c r="E510" s="43" t="s">
        <v>581</v>
      </c>
      <c r="F510" s="43" t="s">
        <v>582</v>
      </c>
      <c r="G510" s="44">
        <v>88</v>
      </c>
      <c r="H510" s="43" t="s">
        <v>585</v>
      </c>
      <c r="I510" s="45" t="s">
        <v>1051</v>
      </c>
      <c r="J510" s="45" t="s">
        <v>561</v>
      </c>
      <c r="K510" s="126">
        <v>134.18</v>
      </c>
      <c r="L510" s="126">
        <v>134.18</v>
      </c>
      <c r="M510" s="126"/>
      <c r="N510" s="126">
        <v>0</v>
      </c>
      <c r="O510" s="126">
        <v>0</v>
      </c>
      <c r="P510" s="145"/>
      <c r="Q510" s="146"/>
      <c r="R510" s="147"/>
      <c r="S510" s="46">
        <v>268.36</v>
      </c>
      <c r="T510" s="112"/>
      <c r="U510" s="56" t="s">
        <v>953</v>
      </c>
      <c r="V510" s="105" t="s">
        <v>585</v>
      </c>
    </row>
    <row r="511" spans="1:24" s="18" customFormat="1" ht="17.25" x14ac:dyDescent="0.3">
      <c r="A511" s="39">
        <v>14123652</v>
      </c>
      <c r="B511" s="48" t="s">
        <v>910</v>
      </c>
      <c r="C511" s="41" t="s">
        <v>908</v>
      </c>
      <c r="D511" s="42" t="s">
        <v>3</v>
      </c>
      <c r="E511" s="43" t="s">
        <v>581</v>
      </c>
      <c r="F511" s="43" t="s">
        <v>582</v>
      </c>
      <c r="G511" s="44">
        <v>94</v>
      </c>
      <c r="H511" s="43" t="s">
        <v>583</v>
      </c>
      <c r="I511" s="45" t="s">
        <v>1051</v>
      </c>
      <c r="J511" s="45" t="s">
        <v>561</v>
      </c>
      <c r="K511" s="126">
        <v>134.18</v>
      </c>
      <c r="L511" s="126">
        <v>134.18</v>
      </c>
      <c r="M511" s="126"/>
      <c r="N511" s="126">
        <v>0</v>
      </c>
      <c r="O511" s="126">
        <v>0</v>
      </c>
      <c r="P511" s="132"/>
      <c r="Q511" s="133"/>
      <c r="R511" s="147"/>
      <c r="S511" s="46">
        <v>268.36</v>
      </c>
      <c r="T511" s="112"/>
      <c r="U511" s="56" t="s">
        <v>953</v>
      </c>
      <c r="V511" s="105" t="s">
        <v>585</v>
      </c>
    </row>
    <row r="512" spans="1:24" s="1" customFormat="1" ht="17.25" x14ac:dyDescent="0.3">
      <c r="A512" s="39">
        <v>14123654</v>
      </c>
      <c r="B512" s="48" t="s">
        <v>938</v>
      </c>
      <c r="C512" s="41" t="s">
        <v>936</v>
      </c>
      <c r="D512" s="42" t="s">
        <v>3</v>
      </c>
      <c r="E512" s="43" t="s">
        <v>581</v>
      </c>
      <c r="F512" s="43" t="s">
        <v>582</v>
      </c>
      <c r="G512" s="44">
        <v>94</v>
      </c>
      <c r="H512" s="43" t="s">
        <v>583</v>
      </c>
      <c r="I512" s="45" t="s">
        <v>583</v>
      </c>
      <c r="J512" s="45" t="s">
        <v>561</v>
      </c>
      <c r="K512" s="126">
        <v>134.18</v>
      </c>
      <c r="L512" s="126">
        <v>134.18</v>
      </c>
      <c r="M512" s="126"/>
      <c r="N512" s="126">
        <v>200</v>
      </c>
      <c r="O512" s="126">
        <v>177.44</v>
      </c>
      <c r="P512" s="145"/>
      <c r="Q512" s="146"/>
      <c r="R512" s="147"/>
      <c r="S512" s="46">
        <v>645.79999999999995</v>
      </c>
      <c r="T512" s="112"/>
      <c r="U512" s="56" t="s">
        <v>953</v>
      </c>
      <c r="V512" s="105" t="s">
        <v>585</v>
      </c>
    </row>
    <row r="513" spans="1:24" s="1" customFormat="1" ht="17.25" x14ac:dyDescent="0.3">
      <c r="A513" s="39">
        <v>14123656</v>
      </c>
      <c r="B513" s="48" t="s">
        <v>940</v>
      </c>
      <c r="C513" s="41" t="s">
        <v>936</v>
      </c>
      <c r="D513" s="42" t="s">
        <v>3</v>
      </c>
      <c r="E513" s="43" t="s">
        <v>581</v>
      </c>
      <c r="F513" s="43" t="s">
        <v>582</v>
      </c>
      <c r="G513" s="44">
        <v>93</v>
      </c>
      <c r="H513" s="43" t="s">
        <v>583</v>
      </c>
      <c r="I513" s="45" t="s">
        <v>583</v>
      </c>
      <c r="J513" s="45" t="s">
        <v>561</v>
      </c>
      <c r="K513" s="126">
        <v>134.18</v>
      </c>
      <c r="L513" s="126">
        <v>134.18</v>
      </c>
      <c r="M513" s="126"/>
      <c r="N513" s="126">
        <v>200</v>
      </c>
      <c r="O513" s="126">
        <v>177.44</v>
      </c>
      <c r="P513" s="132"/>
      <c r="Q513" s="133"/>
      <c r="R513" s="147"/>
      <c r="S513" s="46">
        <v>645.79999999999995</v>
      </c>
      <c r="T513" s="112"/>
      <c r="U513" s="56" t="s">
        <v>953</v>
      </c>
      <c r="V513" s="105" t="s">
        <v>585</v>
      </c>
    </row>
    <row r="514" spans="1:24" s="1" customFormat="1" ht="17.25" x14ac:dyDescent="0.3">
      <c r="A514" s="40">
        <v>14123657</v>
      </c>
      <c r="B514" s="40" t="s">
        <v>941</v>
      </c>
      <c r="C514" s="41" t="s">
        <v>936</v>
      </c>
      <c r="D514" s="42" t="s">
        <v>3</v>
      </c>
      <c r="E514" s="43" t="s">
        <v>581</v>
      </c>
      <c r="F514" s="43" t="s">
        <v>582</v>
      </c>
      <c r="G514" s="44">
        <v>94</v>
      </c>
      <c r="H514" s="43" t="s">
        <v>583</v>
      </c>
      <c r="I514" s="45" t="s">
        <v>1051</v>
      </c>
      <c r="J514" s="45" t="s">
        <v>561</v>
      </c>
      <c r="K514" s="126">
        <v>134.18</v>
      </c>
      <c r="L514" s="126">
        <v>134.18</v>
      </c>
      <c r="M514" s="126"/>
      <c r="N514" s="126">
        <v>0</v>
      </c>
      <c r="O514" s="126">
        <v>0</v>
      </c>
      <c r="P514" s="132"/>
      <c r="Q514" s="133"/>
      <c r="R514" s="132"/>
      <c r="S514" s="46">
        <v>268.36</v>
      </c>
      <c r="T514" s="112"/>
      <c r="U514" s="56" t="s">
        <v>953</v>
      </c>
      <c r="V514" s="105" t="s">
        <v>585</v>
      </c>
    </row>
    <row r="515" spans="1:24" s="1" customFormat="1" ht="17.25" x14ac:dyDescent="0.3">
      <c r="A515" s="39">
        <v>14123696</v>
      </c>
      <c r="B515" s="48" t="s">
        <v>942</v>
      </c>
      <c r="C515" s="41" t="s">
        <v>943</v>
      </c>
      <c r="D515" s="42" t="s">
        <v>3</v>
      </c>
      <c r="E515" s="43" t="s">
        <v>581</v>
      </c>
      <c r="F515" s="43" t="s">
        <v>582</v>
      </c>
      <c r="G515" s="44">
        <v>87</v>
      </c>
      <c r="H515" s="43" t="s">
        <v>585</v>
      </c>
      <c r="I515" s="45" t="s">
        <v>583</v>
      </c>
      <c r="J515" s="45" t="s">
        <v>561</v>
      </c>
      <c r="K515" s="126">
        <v>134.18</v>
      </c>
      <c r="L515" s="126">
        <v>134.18</v>
      </c>
      <c r="M515" s="126"/>
      <c r="N515" s="126">
        <v>0</v>
      </c>
      <c r="O515" s="126">
        <v>177.44</v>
      </c>
      <c r="P515" s="145"/>
      <c r="Q515" s="146"/>
      <c r="R515" s="147"/>
      <c r="S515" s="46">
        <v>445.8</v>
      </c>
      <c r="T515" s="112"/>
      <c r="U515" s="56" t="s">
        <v>953</v>
      </c>
      <c r="V515" s="105" t="s">
        <v>925</v>
      </c>
    </row>
    <row r="516" spans="1:24" s="1" customFormat="1" ht="17.25" x14ac:dyDescent="0.3">
      <c r="A516" s="39">
        <v>14123702</v>
      </c>
      <c r="B516" s="48" t="s">
        <v>944</v>
      </c>
      <c r="C516" s="41" t="s">
        <v>945</v>
      </c>
      <c r="D516" s="42" t="s">
        <v>3</v>
      </c>
      <c r="E516" s="43" t="s">
        <v>581</v>
      </c>
      <c r="F516" s="43" t="s">
        <v>582</v>
      </c>
      <c r="G516" s="44">
        <v>95</v>
      </c>
      <c r="H516" s="43" t="s">
        <v>583</v>
      </c>
      <c r="I516" s="45" t="s">
        <v>583</v>
      </c>
      <c r="J516" s="45" t="s">
        <v>561</v>
      </c>
      <c r="K516" s="126">
        <v>134.18</v>
      </c>
      <c r="L516" s="126">
        <v>134.18</v>
      </c>
      <c r="M516" s="126"/>
      <c r="N516" s="126">
        <v>200</v>
      </c>
      <c r="O516" s="126">
        <v>177.44</v>
      </c>
      <c r="P516" s="145"/>
      <c r="Q516" s="146"/>
      <c r="R516" s="147"/>
      <c r="S516" s="46">
        <v>645.79999999999995</v>
      </c>
      <c r="T516" s="112"/>
      <c r="U516" s="56" t="s">
        <v>953</v>
      </c>
      <c r="V516" s="105" t="s">
        <v>585</v>
      </c>
    </row>
    <row r="517" spans="1:24" s="1" customFormat="1" ht="17.25" x14ac:dyDescent="0.3">
      <c r="A517" s="39">
        <v>14123704</v>
      </c>
      <c r="B517" s="48" t="s">
        <v>946</v>
      </c>
      <c r="C517" s="41" t="s">
        <v>947</v>
      </c>
      <c r="D517" s="42" t="s">
        <v>3</v>
      </c>
      <c r="E517" s="43" t="s">
        <v>581</v>
      </c>
      <c r="F517" s="43" t="s">
        <v>582</v>
      </c>
      <c r="G517" s="44">
        <v>87</v>
      </c>
      <c r="H517" s="43" t="s">
        <v>585</v>
      </c>
      <c r="I517" s="45" t="s">
        <v>1051</v>
      </c>
      <c r="J517" s="45" t="s">
        <v>561</v>
      </c>
      <c r="K517" s="126">
        <v>134.18</v>
      </c>
      <c r="L517" s="126">
        <v>134.18</v>
      </c>
      <c r="M517" s="126"/>
      <c r="N517" s="126">
        <v>0</v>
      </c>
      <c r="O517" s="126">
        <v>0</v>
      </c>
      <c r="P517" s="132"/>
      <c r="Q517" s="133"/>
      <c r="R517" s="147"/>
      <c r="S517" s="46">
        <v>268.36</v>
      </c>
      <c r="T517" s="112"/>
      <c r="U517" s="56" t="s">
        <v>953</v>
      </c>
      <c r="V517" s="105" t="s">
        <v>925</v>
      </c>
    </row>
    <row r="518" spans="1:24" s="1" customFormat="1" ht="17.25" x14ac:dyDescent="0.3">
      <c r="A518" s="39">
        <v>14123708</v>
      </c>
      <c r="B518" s="48" t="s">
        <v>949</v>
      </c>
      <c r="C518" s="41" t="s">
        <v>948</v>
      </c>
      <c r="D518" s="42" t="s">
        <v>3</v>
      </c>
      <c r="E518" s="43" t="s">
        <v>581</v>
      </c>
      <c r="F518" s="43" t="s">
        <v>582</v>
      </c>
      <c r="G518" s="44">
        <v>93</v>
      </c>
      <c r="H518" s="43" t="s">
        <v>583</v>
      </c>
      <c r="I518" s="45" t="s">
        <v>583</v>
      </c>
      <c r="J518" s="45" t="s">
        <v>561</v>
      </c>
      <c r="K518" s="126">
        <v>134.18</v>
      </c>
      <c r="L518" s="126">
        <v>134.18</v>
      </c>
      <c r="M518" s="126"/>
      <c r="N518" s="126">
        <v>200</v>
      </c>
      <c r="O518" s="126">
        <v>177.44</v>
      </c>
      <c r="P518" s="132"/>
      <c r="Q518" s="133"/>
      <c r="R518" s="147"/>
      <c r="S518" s="46">
        <v>645.79999999999995</v>
      </c>
      <c r="T518" s="112"/>
      <c r="U518" s="56" t="s">
        <v>953</v>
      </c>
      <c r="V518" s="105" t="s">
        <v>925</v>
      </c>
    </row>
    <row r="519" spans="1:24" s="1" customFormat="1" ht="17.25" x14ac:dyDescent="0.3">
      <c r="A519" s="39">
        <v>14123719</v>
      </c>
      <c r="B519" s="48" t="s">
        <v>955</v>
      </c>
      <c r="C519" s="41" t="s">
        <v>956</v>
      </c>
      <c r="D519" s="42" t="s">
        <v>3</v>
      </c>
      <c r="E519" s="43" t="s">
        <v>581</v>
      </c>
      <c r="F519" s="43" t="s">
        <v>582</v>
      </c>
      <c r="G519" s="44">
        <v>93</v>
      </c>
      <c r="H519" s="43" t="s">
        <v>583</v>
      </c>
      <c r="I519" s="45" t="s">
        <v>583</v>
      </c>
      <c r="J519" s="45" t="s">
        <v>587</v>
      </c>
      <c r="K519" s="126">
        <v>0</v>
      </c>
      <c r="L519" s="126">
        <v>0</v>
      </c>
      <c r="M519" s="126"/>
      <c r="N519" s="126">
        <v>0</v>
      </c>
      <c r="O519" s="126">
        <v>0</v>
      </c>
      <c r="P519" s="132"/>
      <c r="Q519" s="133"/>
      <c r="R519" s="147"/>
      <c r="S519" s="46">
        <v>0</v>
      </c>
      <c r="T519" s="112"/>
      <c r="U519" s="56" t="s">
        <v>585</v>
      </c>
      <c r="V519" s="105" t="s">
        <v>585</v>
      </c>
      <c r="X519" s="127"/>
    </row>
    <row r="520" spans="1:24" s="1" customFormat="1" ht="17.25" x14ac:dyDescent="0.3">
      <c r="A520" s="39">
        <v>14123720</v>
      </c>
      <c r="B520" s="48" t="s">
        <v>957</v>
      </c>
      <c r="C520" s="41" t="s">
        <v>956</v>
      </c>
      <c r="D520" s="42" t="s">
        <v>3</v>
      </c>
      <c r="E520" s="43" t="s">
        <v>581</v>
      </c>
      <c r="F520" s="43" t="s">
        <v>582</v>
      </c>
      <c r="G520" s="44">
        <v>94</v>
      </c>
      <c r="H520" s="43" t="s">
        <v>583</v>
      </c>
      <c r="I520" s="45" t="s">
        <v>1051</v>
      </c>
      <c r="J520" s="45" t="s">
        <v>561</v>
      </c>
      <c r="K520" s="126">
        <v>134.18</v>
      </c>
      <c r="L520" s="126">
        <v>134.18</v>
      </c>
      <c r="M520" s="126"/>
      <c r="N520" s="126">
        <v>0</v>
      </c>
      <c r="O520" s="126">
        <v>0</v>
      </c>
      <c r="P520" s="132"/>
      <c r="Q520" s="133"/>
      <c r="R520" s="147"/>
      <c r="S520" s="46">
        <v>268.36</v>
      </c>
      <c r="T520" s="112"/>
      <c r="U520" s="56" t="s">
        <v>953</v>
      </c>
      <c r="V520" s="105" t="s">
        <v>585</v>
      </c>
    </row>
    <row r="521" spans="1:24" s="1" customFormat="1" ht="17.25" x14ac:dyDescent="0.3">
      <c r="A521" s="40">
        <v>14123725</v>
      </c>
      <c r="B521" s="48" t="s">
        <v>958</v>
      </c>
      <c r="C521" s="41" t="s">
        <v>956</v>
      </c>
      <c r="D521" s="42" t="s">
        <v>3</v>
      </c>
      <c r="E521" s="43" t="s">
        <v>581</v>
      </c>
      <c r="F521" s="43" t="s">
        <v>582</v>
      </c>
      <c r="G521" s="44">
        <v>94</v>
      </c>
      <c r="H521" s="43" t="s">
        <v>583</v>
      </c>
      <c r="I521" s="45" t="s">
        <v>1051</v>
      </c>
      <c r="J521" s="45" t="s">
        <v>561</v>
      </c>
      <c r="K521" s="126">
        <v>134.18</v>
      </c>
      <c r="L521" s="126">
        <v>134.18</v>
      </c>
      <c r="M521" s="126"/>
      <c r="N521" s="126">
        <v>0</v>
      </c>
      <c r="O521" s="126">
        <v>0</v>
      </c>
      <c r="P521" s="132"/>
      <c r="Q521" s="133"/>
      <c r="R521" s="132"/>
      <c r="S521" s="46">
        <v>268.36</v>
      </c>
      <c r="T521" s="112"/>
      <c r="U521" s="56" t="s">
        <v>953</v>
      </c>
      <c r="V521" s="105" t="s">
        <v>585</v>
      </c>
    </row>
    <row r="522" spans="1:24" s="1" customFormat="1" ht="17.25" x14ac:dyDescent="0.3">
      <c r="A522" s="39">
        <v>14123754</v>
      </c>
      <c r="B522" s="48" t="s">
        <v>959</v>
      </c>
      <c r="C522" s="41" t="s">
        <v>960</v>
      </c>
      <c r="D522" s="42" t="s">
        <v>3</v>
      </c>
      <c r="E522" s="43" t="s">
        <v>581</v>
      </c>
      <c r="F522" s="43" t="s">
        <v>582</v>
      </c>
      <c r="G522" s="44">
        <v>91</v>
      </c>
      <c r="H522" s="43" t="s">
        <v>583</v>
      </c>
      <c r="I522" s="45" t="s">
        <v>583</v>
      </c>
      <c r="J522" s="45" t="s">
        <v>587</v>
      </c>
      <c r="K522" s="126">
        <v>134.18</v>
      </c>
      <c r="L522" s="126">
        <v>134.18</v>
      </c>
      <c r="M522" s="126"/>
      <c r="N522" s="126">
        <v>200</v>
      </c>
      <c r="O522" s="126">
        <v>0</v>
      </c>
      <c r="P522" s="145"/>
      <c r="Q522" s="146"/>
      <c r="R522" s="147"/>
      <c r="S522" s="46">
        <v>468.36</v>
      </c>
      <c r="T522" s="112"/>
      <c r="U522" s="56" t="s">
        <v>953</v>
      </c>
      <c r="V522" s="105" t="s">
        <v>2034</v>
      </c>
    </row>
    <row r="523" spans="1:24" s="1" customFormat="1" ht="17.25" x14ac:dyDescent="0.3">
      <c r="A523" s="39">
        <v>14123770</v>
      </c>
      <c r="B523" s="48" t="s">
        <v>961</v>
      </c>
      <c r="C523" s="41" t="s">
        <v>954</v>
      </c>
      <c r="D523" s="42" t="s">
        <v>3</v>
      </c>
      <c r="E523" s="43" t="s">
        <v>581</v>
      </c>
      <c r="F523" s="43" t="s">
        <v>582</v>
      </c>
      <c r="G523" s="44">
        <v>94</v>
      </c>
      <c r="H523" s="43" t="s">
        <v>583</v>
      </c>
      <c r="I523" s="45" t="s">
        <v>1051</v>
      </c>
      <c r="J523" s="45" t="s">
        <v>561</v>
      </c>
      <c r="K523" s="126">
        <v>134.18</v>
      </c>
      <c r="L523" s="126">
        <v>134.18</v>
      </c>
      <c r="M523" s="126"/>
      <c r="N523" s="126">
        <v>0</v>
      </c>
      <c r="O523" s="126">
        <v>0</v>
      </c>
      <c r="P523" s="145"/>
      <c r="Q523" s="146"/>
      <c r="R523" s="147"/>
      <c r="S523" s="46">
        <v>268.36</v>
      </c>
      <c r="T523" s="112"/>
      <c r="U523" s="56" t="s">
        <v>953</v>
      </c>
      <c r="V523" s="105" t="s">
        <v>585</v>
      </c>
    </row>
    <row r="524" spans="1:24" s="1" customFormat="1" ht="17.25" x14ac:dyDescent="0.3">
      <c r="A524" s="39">
        <v>14123771</v>
      </c>
      <c r="B524" s="48" t="s">
        <v>962</v>
      </c>
      <c r="C524" s="41" t="s">
        <v>954</v>
      </c>
      <c r="D524" s="42" t="s">
        <v>3</v>
      </c>
      <c r="E524" s="43" t="s">
        <v>581</v>
      </c>
      <c r="F524" s="43" t="s">
        <v>582</v>
      </c>
      <c r="G524" s="44">
        <v>93</v>
      </c>
      <c r="H524" s="43" t="s">
        <v>583</v>
      </c>
      <c r="I524" s="45" t="s">
        <v>583</v>
      </c>
      <c r="J524" s="45" t="s">
        <v>561</v>
      </c>
      <c r="K524" s="126">
        <v>134.18</v>
      </c>
      <c r="L524" s="126">
        <v>134.18</v>
      </c>
      <c r="M524" s="126"/>
      <c r="N524" s="126">
        <v>200</v>
      </c>
      <c r="O524" s="126">
        <v>177.44</v>
      </c>
      <c r="P524" s="132"/>
      <c r="Q524" s="133"/>
      <c r="R524" s="147"/>
      <c r="S524" s="46">
        <v>645.79999999999995</v>
      </c>
      <c r="T524" s="112"/>
      <c r="U524" s="56" t="s">
        <v>953</v>
      </c>
      <c r="V524" s="105" t="s">
        <v>585</v>
      </c>
    </row>
    <row r="525" spans="1:24" s="1" customFormat="1" ht="17.25" x14ac:dyDescent="0.3">
      <c r="A525" s="39">
        <v>14123789</v>
      </c>
      <c r="B525" s="48" t="s">
        <v>965</v>
      </c>
      <c r="C525" s="41" t="s">
        <v>964</v>
      </c>
      <c r="D525" s="42" t="s">
        <v>3</v>
      </c>
      <c r="E525" s="43" t="s">
        <v>581</v>
      </c>
      <c r="F525" s="43" t="s">
        <v>582</v>
      </c>
      <c r="G525" s="44">
        <v>94</v>
      </c>
      <c r="H525" s="43" t="s">
        <v>583</v>
      </c>
      <c r="I525" s="45" t="s">
        <v>1051</v>
      </c>
      <c r="J525" s="45" t="s">
        <v>561</v>
      </c>
      <c r="K525" s="126">
        <v>134.18</v>
      </c>
      <c r="L525" s="126">
        <v>134.18</v>
      </c>
      <c r="M525" s="126"/>
      <c r="N525" s="126">
        <v>0</v>
      </c>
      <c r="O525" s="126">
        <v>0</v>
      </c>
      <c r="P525" s="132"/>
      <c r="Q525" s="133"/>
      <c r="R525" s="147"/>
      <c r="S525" s="46">
        <v>268.36</v>
      </c>
      <c r="T525" s="112"/>
      <c r="U525" s="56" t="s">
        <v>953</v>
      </c>
      <c r="V525" s="105" t="s">
        <v>585</v>
      </c>
    </row>
    <row r="526" spans="1:24" s="1" customFormat="1" ht="17.25" x14ac:dyDescent="0.3">
      <c r="A526" s="40">
        <v>14123808</v>
      </c>
      <c r="B526" s="48" t="s">
        <v>966</v>
      </c>
      <c r="C526" s="41" t="s">
        <v>967</v>
      </c>
      <c r="D526" s="42" t="s">
        <v>3</v>
      </c>
      <c r="E526" s="43" t="s">
        <v>581</v>
      </c>
      <c r="F526" s="43" t="s">
        <v>582</v>
      </c>
      <c r="G526" s="44">
        <v>95</v>
      </c>
      <c r="H526" s="43" t="s">
        <v>583</v>
      </c>
      <c r="I526" s="45" t="s">
        <v>1051</v>
      </c>
      <c r="J526" s="45" t="s">
        <v>561</v>
      </c>
      <c r="K526" s="126">
        <v>134.18</v>
      </c>
      <c r="L526" s="126">
        <v>134.18</v>
      </c>
      <c r="M526" s="126"/>
      <c r="N526" s="126">
        <v>0</v>
      </c>
      <c r="O526" s="126">
        <v>0</v>
      </c>
      <c r="P526" s="132"/>
      <c r="Q526" s="133"/>
      <c r="R526" s="132"/>
      <c r="S526" s="46">
        <v>268.36</v>
      </c>
      <c r="T526" s="112"/>
      <c r="U526" s="56" t="s">
        <v>953</v>
      </c>
      <c r="V526" s="105" t="s">
        <v>585</v>
      </c>
    </row>
    <row r="527" spans="1:24" s="1" customFormat="1" ht="17.25" x14ac:dyDescent="0.3">
      <c r="A527" s="39">
        <v>14123819</v>
      </c>
      <c r="B527" s="48" t="s">
        <v>968</v>
      </c>
      <c r="C527" s="41" t="s">
        <v>969</v>
      </c>
      <c r="D527" s="42" t="s">
        <v>3</v>
      </c>
      <c r="E527" s="43" t="s">
        <v>581</v>
      </c>
      <c r="F527" s="43" t="s">
        <v>582</v>
      </c>
      <c r="G527" s="44">
        <v>95</v>
      </c>
      <c r="H527" s="43" t="s">
        <v>583</v>
      </c>
      <c r="I527" s="45" t="s">
        <v>1051</v>
      </c>
      <c r="J527" s="45" t="s">
        <v>561</v>
      </c>
      <c r="K527" s="126">
        <v>134.18</v>
      </c>
      <c r="L527" s="126">
        <v>134.18</v>
      </c>
      <c r="M527" s="126"/>
      <c r="N527" s="126">
        <v>0</v>
      </c>
      <c r="O527" s="126">
        <v>0</v>
      </c>
      <c r="P527" s="132"/>
      <c r="Q527" s="133"/>
      <c r="R527" s="147"/>
      <c r="S527" s="46">
        <v>268.36</v>
      </c>
      <c r="T527" s="112"/>
      <c r="U527" s="56" t="s">
        <v>953</v>
      </c>
      <c r="V527" s="105" t="s">
        <v>585</v>
      </c>
    </row>
    <row r="528" spans="1:24" s="1" customFormat="1" ht="17.25" x14ac:dyDescent="0.3">
      <c r="A528" s="40">
        <v>14123843</v>
      </c>
      <c r="B528" s="48" t="s">
        <v>971</v>
      </c>
      <c r="C528" s="41" t="s">
        <v>972</v>
      </c>
      <c r="D528" s="42" t="s">
        <v>3</v>
      </c>
      <c r="E528" s="43" t="s">
        <v>581</v>
      </c>
      <c r="F528" s="43" t="s">
        <v>582</v>
      </c>
      <c r="G528" s="44">
        <v>94</v>
      </c>
      <c r="H528" s="43" t="s">
        <v>583</v>
      </c>
      <c r="I528" s="45" t="s">
        <v>583</v>
      </c>
      <c r="J528" s="45" t="s">
        <v>587</v>
      </c>
      <c r="K528" s="126">
        <v>0</v>
      </c>
      <c r="L528" s="126">
        <v>0</v>
      </c>
      <c r="M528" s="126"/>
      <c r="N528" s="126">
        <v>0</v>
      </c>
      <c r="O528" s="126">
        <v>0</v>
      </c>
      <c r="P528" s="132"/>
      <c r="Q528" s="133"/>
      <c r="R528" s="147"/>
      <c r="S528" s="46">
        <v>0</v>
      </c>
      <c r="T528" s="112"/>
      <c r="U528" s="56" t="s">
        <v>585</v>
      </c>
      <c r="V528" s="105" t="s">
        <v>585</v>
      </c>
      <c r="X528" s="127"/>
    </row>
    <row r="529" spans="1:24" s="1" customFormat="1" ht="17.25" x14ac:dyDescent="0.3">
      <c r="A529" s="39">
        <v>14123845</v>
      </c>
      <c r="B529" s="48" t="s">
        <v>974</v>
      </c>
      <c r="C529" s="41" t="s">
        <v>972</v>
      </c>
      <c r="D529" s="42" t="s">
        <v>3</v>
      </c>
      <c r="E529" s="43" t="s">
        <v>581</v>
      </c>
      <c r="F529" s="43" t="s">
        <v>582</v>
      </c>
      <c r="G529" s="44">
        <v>91</v>
      </c>
      <c r="H529" s="43" t="s">
        <v>583</v>
      </c>
      <c r="I529" s="45" t="s">
        <v>583</v>
      </c>
      <c r="J529" s="45" t="s">
        <v>561</v>
      </c>
      <c r="K529" s="126">
        <v>134.18</v>
      </c>
      <c r="L529" s="126">
        <v>134.18</v>
      </c>
      <c r="M529" s="126"/>
      <c r="N529" s="126">
        <v>200</v>
      </c>
      <c r="O529" s="126">
        <v>177.44</v>
      </c>
      <c r="P529" s="132"/>
      <c r="Q529" s="133"/>
      <c r="R529" s="147"/>
      <c r="S529" s="46">
        <v>645.79999999999995</v>
      </c>
      <c r="T529" s="112"/>
      <c r="U529" s="56" t="s">
        <v>953</v>
      </c>
      <c r="V529" s="105" t="s">
        <v>585</v>
      </c>
    </row>
    <row r="530" spans="1:24" s="1" customFormat="1" ht="17.25" x14ac:dyDescent="0.3">
      <c r="A530" s="39">
        <v>14123846</v>
      </c>
      <c r="B530" s="48" t="s">
        <v>975</v>
      </c>
      <c r="C530" s="41" t="s">
        <v>972</v>
      </c>
      <c r="D530" s="42" t="s">
        <v>3</v>
      </c>
      <c r="E530" s="43" t="s">
        <v>581</v>
      </c>
      <c r="F530" s="43" t="s">
        <v>582</v>
      </c>
      <c r="G530" s="44">
        <v>95</v>
      </c>
      <c r="H530" s="43" t="s">
        <v>583</v>
      </c>
      <c r="I530" s="45" t="s">
        <v>583</v>
      </c>
      <c r="J530" s="45" t="s">
        <v>561</v>
      </c>
      <c r="K530" s="126">
        <v>134.18</v>
      </c>
      <c r="L530" s="126">
        <v>134.18</v>
      </c>
      <c r="M530" s="126"/>
      <c r="N530" s="126">
        <v>200</v>
      </c>
      <c r="O530" s="126">
        <v>177.44</v>
      </c>
      <c r="P530" s="145"/>
      <c r="Q530" s="146"/>
      <c r="R530" s="147"/>
      <c r="S530" s="46">
        <v>645.79999999999995</v>
      </c>
      <c r="T530" s="112"/>
      <c r="U530" s="56" t="s">
        <v>953</v>
      </c>
      <c r="V530" s="105" t="s">
        <v>585</v>
      </c>
    </row>
    <row r="531" spans="1:24" s="1" customFormat="1" ht="17.25" x14ac:dyDescent="0.3">
      <c r="A531" s="39">
        <v>14123855</v>
      </c>
      <c r="B531" s="40" t="s">
        <v>976</v>
      </c>
      <c r="C531" s="41" t="s">
        <v>972</v>
      </c>
      <c r="D531" s="42" t="s">
        <v>3</v>
      </c>
      <c r="E531" s="43" t="s">
        <v>581</v>
      </c>
      <c r="F531" s="43" t="s">
        <v>582</v>
      </c>
      <c r="G531" s="44">
        <v>95</v>
      </c>
      <c r="H531" s="43" t="s">
        <v>583</v>
      </c>
      <c r="I531" s="45" t="s">
        <v>1051</v>
      </c>
      <c r="J531" s="45" t="s">
        <v>561</v>
      </c>
      <c r="K531" s="126">
        <v>134.18</v>
      </c>
      <c r="L531" s="126">
        <v>134.18</v>
      </c>
      <c r="M531" s="126"/>
      <c r="N531" s="126">
        <v>0</v>
      </c>
      <c r="O531" s="126">
        <v>0</v>
      </c>
      <c r="P531" s="145"/>
      <c r="Q531" s="146"/>
      <c r="R531" s="147"/>
      <c r="S531" s="46">
        <v>268.36</v>
      </c>
      <c r="T531" s="112"/>
      <c r="U531" s="56" t="s">
        <v>953</v>
      </c>
      <c r="V531" s="105" t="s">
        <v>585</v>
      </c>
    </row>
    <row r="532" spans="1:24" s="1" customFormat="1" ht="17.25" x14ac:dyDescent="0.3">
      <c r="A532" s="39">
        <v>14123884</v>
      </c>
      <c r="B532" s="40" t="s">
        <v>977</v>
      </c>
      <c r="C532" s="41" t="s">
        <v>978</v>
      </c>
      <c r="D532" s="42" t="s">
        <v>3</v>
      </c>
      <c r="E532" s="43" t="s">
        <v>581</v>
      </c>
      <c r="F532" s="43" t="s">
        <v>582</v>
      </c>
      <c r="G532" s="44">
        <v>94</v>
      </c>
      <c r="H532" s="43" t="s">
        <v>583</v>
      </c>
      <c r="I532" s="45" t="s">
        <v>583</v>
      </c>
      <c r="J532" s="45" t="s">
        <v>561</v>
      </c>
      <c r="K532" s="126">
        <v>134.18</v>
      </c>
      <c r="L532" s="126">
        <v>134.18</v>
      </c>
      <c r="M532" s="126"/>
      <c r="N532" s="126">
        <v>200</v>
      </c>
      <c r="O532" s="126">
        <v>177.44</v>
      </c>
      <c r="P532" s="132"/>
      <c r="Q532" s="133"/>
      <c r="R532" s="132"/>
      <c r="S532" s="46">
        <v>645.79999999999995</v>
      </c>
      <c r="T532" s="112"/>
      <c r="U532" s="56" t="s">
        <v>953</v>
      </c>
      <c r="V532" s="105" t="s">
        <v>585</v>
      </c>
    </row>
    <row r="533" spans="1:24" s="1" customFormat="1" ht="17.25" x14ac:dyDescent="0.3">
      <c r="A533" s="39">
        <v>14123885</v>
      </c>
      <c r="B533" s="48" t="s">
        <v>979</v>
      </c>
      <c r="C533" s="41" t="s">
        <v>978</v>
      </c>
      <c r="D533" s="42" t="s">
        <v>3</v>
      </c>
      <c r="E533" s="43" t="s">
        <v>2035</v>
      </c>
      <c r="F533" s="43" t="s">
        <v>582</v>
      </c>
      <c r="G533" s="44">
        <v>95</v>
      </c>
      <c r="H533" s="43" t="s">
        <v>583</v>
      </c>
      <c r="I533" s="45" t="s">
        <v>1051</v>
      </c>
      <c r="J533" s="45" t="s">
        <v>561</v>
      </c>
      <c r="K533" s="126">
        <v>0</v>
      </c>
      <c r="L533" s="126">
        <v>134.18</v>
      </c>
      <c r="M533" s="126"/>
      <c r="N533" s="126">
        <v>0</v>
      </c>
      <c r="O533" s="126">
        <v>0</v>
      </c>
      <c r="P533" s="145"/>
      <c r="Q533" s="146"/>
      <c r="R533" s="148"/>
      <c r="S533" s="46">
        <v>134.18</v>
      </c>
      <c r="T533" s="112"/>
      <c r="U533" s="56" t="s">
        <v>953</v>
      </c>
      <c r="V533" s="105" t="s">
        <v>585</v>
      </c>
    </row>
    <row r="534" spans="1:24" s="1" customFormat="1" ht="17.25" x14ac:dyDescent="0.3">
      <c r="A534" s="39">
        <v>14123893</v>
      </c>
      <c r="B534" s="40" t="s">
        <v>980</v>
      </c>
      <c r="C534" s="41" t="s">
        <v>981</v>
      </c>
      <c r="D534" s="42" t="s">
        <v>3</v>
      </c>
      <c r="E534" s="43" t="s">
        <v>581</v>
      </c>
      <c r="F534" s="43" t="s">
        <v>582</v>
      </c>
      <c r="G534" s="44">
        <v>94</v>
      </c>
      <c r="H534" s="43" t="s">
        <v>583</v>
      </c>
      <c r="I534" s="45" t="s">
        <v>583</v>
      </c>
      <c r="J534" s="45" t="s">
        <v>561</v>
      </c>
      <c r="K534" s="126">
        <v>134.18</v>
      </c>
      <c r="L534" s="126">
        <v>134.18</v>
      </c>
      <c r="M534" s="126"/>
      <c r="N534" s="126">
        <v>200</v>
      </c>
      <c r="O534" s="126">
        <v>177.44</v>
      </c>
      <c r="P534" s="145"/>
      <c r="Q534" s="146"/>
      <c r="R534" s="147"/>
      <c r="S534" s="46">
        <v>645.79999999999995</v>
      </c>
      <c r="T534" s="112"/>
      <c r="U534" s="56" t="s">
        <v>953</v>
      </c>
      <c r="V534" s="105" t="s">
        <v>585</v>
      </c>
    </row>
    <row r="535" spans="1:24" s="1" customFormat="1" ht="17.25" x14ac:dyDescent="0.3">
      <c r="A535" s="39">
        <v>14123894</v>
      </c>
      <c r="B535" s="48" t="s">
        <v>982</v>
      </c>
      <c r="C535" s="41" t="s">
        <v>981</v>
      </c>
      <c r="D535" s="42" t="s">
        <v>3</v>
      </c>
      <c r="E535" s="43" t="s">
        <v>581</v>
      </c>
      <c r="F535" s="43" t="s">
        <v>582</v>
      </c>
      <c r="G535" s="44">
        <v>86</v>
      </c>
      <c r="H535" s="43" t="s">
        <v>585</v>
      </c>
      <c r="I535" s="45" t="s">
        <v>1051</v>
      </c>
      <c r="J535" s="45" t="s">
        <v>587</v>
      </c>
      <c r="K535" s="126">
        <v>134.18</v>
      </c>
      <c r="L535" s="126">
        <v>134.18</v>
      </c>
      <c r="M535" s="126"/>
      <c r="N535" s="126">
        <v>0</v>
      </c>
      <c r="O535" s="126">
        <v>0</v>
      </c>
      <c r="P535" s="132"/>
      <c r="Q535" s="133"/>
      <c r="R535" s="147"/>
      <c r="S535" s="46">
        <v>268.36</v>
      </c>
      <c r="T535" s="112"/>
      <c r="U535" s="56" t="s">
        <v>953</v>
      </c>
      <c r="V535" s="105" t="s">
        <v>585</v>
      </c>
    </row>
    <row r="536" spans="1:24" s="1" customFormat="1" ht="17.25" x14ac:dyDescent="0.3">
      <c r="A536" s="39">
        <v>14123918</v>
      </c>
      <c r="B536" s="48" t="s">
        <v>989</v>
      </c>
      <c r="C536" s="41" t="s">
        <v>988</v>
      </c>
      <c r="D536" s="42" t="s">
        <v>3</v>
      </c>
      <c r="E536" s="43" t="s">
        <v>581</v>
      </c>
      <c r="F536" s="43" t="s">
        <v>582</v>
      </c>
      <c r="G536" s="44">
        <v>93</v>
      </c>
      <c r="H536" s="43" t="s">
        <v>583</v>
      </c>
      <c r="I536" s="45" t="s">
        <v>1051</v>
      </c>
      <c r="J536" s="45" t="s">
        <v>587</v>
      </c>
      <c r="K536" s="126">
        <v>134.18</v>
      </c>
      <c r="L536" s="126">
        <v>134.18</v>
      </c>
      <c r="M536" s="126"/>
      <c r="N536" s="126">
        <v>0</v>
      </c>
      <c r="O536" s="126">
        <v>0</v>
      </c>
      <c r="P536" s="132"/>
      <c r="Q536" s="133"/>
      <c r="R536" s="148"/>
      <c r="S536" s="46">
        <v>268.36</v>
      </c>
      <c r="T536" s="112"/>
      <c r="U536" s="56" t="s">
        <v>953</v>
      </c>
      <c r="V536" s="105" t="s">
        <v>925</v>
      </c>
    </row>
    <row r="537" spans="1:24" s="1" customFormat="1" ht="17.25" x14ac:dyDescent="0.3">
      <c r="A537" s="39">
        <v>14123919</v>
      </c>
      <c r="B537" s="48" t="s">
        <v>990</v>
      </c>
      <c r="C537" s="41" t="s">
        <v>988</v>
      </c>
      <c r="D537" s="42" t="s">
        <v>3</v>
      </c>
      <c r="E537" s="43" t="s">
        <v>581</v>
      </c>
      <c r="F537" s="43" t="s">
        <v>582</v>
      </c>
      <c r="G537" s="44">
        <v>93</v>
      </c>
      <c r="H537" s="43" t="s">
        <v>583</v>
      </c>
      <c r="I537" s="45" t="s">
        <v>1051</v>
      </c>
      <c r="J537" s="45" t="s">
        <v>561</v>
      </c>
      <c r="K537" s="126">
        <v>134.18</v>
      </c>
      <c r="L537" s="126">
        <v>134.18</v>
      </c>
      <c r="M537" s="126"/>
      <c r="N537" s="126">
        <v>0</v>
      </c>
      <c r="O537" s="126">
        <v>0</v>
      </c>
      <c r="P537" s="145"/>
      <c r="Q537" s="146"/>
      <c r="R537" s="147"/>
      <c r="S537" s="46">
        <v>268.36</v>
      </c>
      <c r="T537" s="112"/>
      <c r="U537" s="56" t="s">
        <v>953</v>
      </c>
      <c r="V537" s="105" t="s">
        <v>585</v>
      </c>
    </row>
    <row r="538" spans="1:24" s="1" customFormat="1" ht="17.25" x14ac:dyDescent="0.3">
      <c r="A538" s="39">
        <v>14123925</v>
      </c>
      <c r="B538" s="48" t="s">
        <v>992</v>
      </c>
      <c r="C538" s="41" t="s">
        <v>986</v>
      </c>
      <c r="D538" s="42" t="s">
        <v>3</v>
      </c>
      <c r="E538" s="43" t="s">
        <v>581</v>
      </c>
      <c r="F538" s="43" t="s">
        <v>582</v>
      </c>
      <c r="G538" s="44">
        <v>89</v>
      </c>
      <c r="H538" s="43" t="s">
        <v>585</v>
      </c>
      <c r="I538" s="45" t="s">
        <v>1051</v>
      </c>
      <c r="J538" s="45" t="s">
        <v>561</v>
      </c>
      <c r="K538" s="126">
        <v>134.18</v>
      </c>
      <c r="L538" s="126">
        <v>134.18</v>
      </c>
      <c r="M538" s="126"/>
      <c r="N538" s="126">
        <v>0</v>
      </c>
      <c r="O538" s="126">
        <v>0</v>
      </c>
      <c r="P538" s="132"/>
      <c r="Q538" s="133"/>
      <c r="R538" s="148"/>
      <c r="S538" s="46">
        <v>268.36</v>
      </c>
      <c r="T538" s="112"/>
      <c r="U538" s="56" t="s">
        <v>953</v>
      </c>
      <c r="V538" s="105" t="s">
        <v>585</v>
      </c>
    </row>
    <row r="539" spans="1:24" s="1" customFormat="1" ht="17.25" x14ac:dyDescent="0.3">
      <c r="A539" s="40">
        <v>14123926</v>
      </c>
      <c r="B539" s="48" t="s">
        <v>993</v>
      </c>
      <c r="C539" s="41" t="s">
        <v>986</v>
      </c>
      <c r="D539" s="42" t="s">
        <v>3</v>
      </c>
      <c r="E539" s="43" t="s">
        <v>581</v>
      </c>
      <c r="F539" s="43" t="s">
        <v>582</v>
      </c>
      <c r="G539" s="44">
        <v>88</v>
      </c>
      <c r="H539" s="43" t="s">
        <v>585</v>
      </c>
      <c r="I539" s="45" t="s">
        <v>1051</v>
      </c>
      <c r="J539" s="45" t="s">
        <v>561</v>
      </c>
      <c r="K539" s="126">
        <v>134.18</v>
      </c>
      <c r="L539" s="126">
        <v>134.18</v>
      </c>
      <c r="M539" s="126"/>
      <c r="N539" s="126">
        <v>0</v>
      </c>
      <c r="O539" s="126">
        <v>0</v>
      </c>
      <c r="P539" s="132"/>
      <c r="Q539" s="133"/>
      <c r="R539" s="132"/>
      <c r="S539" s="46">
        <v>268.36</v>
      </c>
      <c r="T539" s="112"/>
      <c r="U539" s="56" t="s">
        <v>953</v>
      </c>
      <c r="V539" s="105" t="s">
        <v>585</v>
      </c>
    </row>
    <row r="540" spans="1:24" s="1" customFormat="1" ht="17.25" x14ac:dyDescent="0.3">
      <c r="A540" s="39">
        <v>14123950</v>
      </c>
      <c r="B540" s="48" t="s">
        <v>995</v>
      </c>
      <c r="C540" s="41" t="s">
        <v>986</v>
      </c>
      <c r="D540" s="42" t="s">
        <v>3</v>
      </c>
      <c r="E540" s="43" t="s">
        <v>581</v>
      </c>
      <c r="F540" s="43" t="s">
        <v>582</v>
      </c>
      <c r="G540" s="44">
        <v>90</v>
      </c>
      <c r="H540" s="43" t="s">
        <v>583</v>
      </c>
      <c r="I540" s="45" t="s">
        <v>1051</v>
      </c>
      <c r="J540" s="45" t="s">
        <v>561</v>
      </c>
      <c r="K540" s="126">
        <v>134.18</v>
      </c>
      <c r="L540" s="126">
        <v>134.18</v>
      </c>
      <c r="M540" s="126"/>
      <c r="N540" s="126">
        <v>0</v>
      </c>
      <c r="O540" s="126">
        <v>0</v>
      </c>
      <c r="P540" s="132"/>
      <c r="Q540" s="133"/>
      <c r="R540" s="147"/>
      <c r="S540" s="46">
        <v>268.36</v>
      </c>
      <c r="T540" s="112"/>
      <c r="U540" s="56" t="s">
        <v>953</v>
      </c>
      <c r="V540" s="105" t="s">
        <v>585</v>
      </c>
    </row>
    <row r="541" spans="1:24" s="1" customFormat="1" ht="17.25" x14ac:dyDescent="0.3">
      <c r="A541" s="39">
        <v>14123951</v>
      </c>
      <c r="B541" s="48" t="s">
        <v>996</v>
      </c>
      <c r="C541" s="41" t="s">
        <v>986</v>
      </c>
      <c r="D541" s="42" t="s">
        <v>3</v>
      </c>
      <c r="E541" s="43" t="s">
        <v>581</v>
      </c>
      <c r="F541" s="43" t="s">
        <v>582</v>
      </c>
      <c r="G541" s="44">
        <v>38</v>
      </c>
      <c r="H541" s="43" t="s">
        <v>585</v>
      </c>
      <c r="I541" s="45" t="s">
        <v>1051</v>
      </c>
      <c r="J541" s="45" t="s">
        <v>561</v>
      </c>
      <c r="K541" s="126">
        <v>134.18</v>
      </c>
      <c r="L541" s="126">
        <v>134.18</v>
      </c>
      <c r="M541" s="126"/>
      <c r="N541" s="126">
        <v>0</v>
      </c>
      <c r="O541" s="126">
        <v>0</v>
      </c>
      <c r="P541" s="145"/>
      <c r="Q541" s="146"/>
      <c r="R541" s="147"/>
      <c r="S541" s="46">
        <v>268.36</v>
      </c>
      <c r="T541" s="112"/>
      <c r="U541" s="56" t="s">
        <v>953</v>
      </c>
      <c r="V541" s="105" t="s">
        <v>585</v>
      </c>
      <c r="X541" s="127"/>
    </row>
    <row r="542" spans="1:24" s="1" customFormat="1" ht="17.25" x14ac:dyDescent="0.3">
      <c r="A542" s="40">
        <v>14123971</v>
      </c>
      <c r="B542" s="48" t="s">
        <v>997</v>
      </c>
      <c r="C542" s="41" t="s">
        <v>998</v>
      </c>
      <c r="D542" s="42" t="s">
        <v>3</v>
      </c>
      <c r="E542" s="43" t="s">
        <v>581</v>
      </c>
      <c r="F542" s="43" t="s">
        <v>582</v>
      </c>
      <c r="G542" s="44">
        <v>94</v>
      </c>
      <c r="H542" s="43" t="s">
        <v>583</v>
      </c>
      <c r="I542" s="45" t="s">
        <v>1051</v>
      </c>
      <c r="J542" s="45" t="s">
        <v>561</v>
      </c>
      <c r="K542" s="126">
        <v>134.18</v>
      </c>
      <c r="L542" s="126">
        <v>134.18</v>
      </c>
      <c r="M542" s="126"/>
      <c r="N542" s="126">
        <v>0</v>
      </c>
      <c r="O542" s="126">
        <v>0</v>
      </c>
      <c r="P542" s="132"/>
      <c r="Q542" s="133"/>
      <c r="R542" s="132"/>
      <c r="S542" s="46">
        <v>268.36</v>
      </c>
      <c r="T542" s="112"/>
      <c r="U542" s="56" t="s">
        <v>953</v>
      </c>
      <c r="V542" s="105" t="s">
        <v>585</v>
      </c>
    </row>
    <row r="543" spans="1:24" s="1" customFormat="1" ht="17.25" x14ac:dyDescent="0.3">
      <c r="A543" s="39">
        <v>14123985</v>
      </c>
      <c r="B543" s="48" t="s">
        <v>999</v>
      </c>
      <c r="C543" s="41" t="s">
        <v>998</v>
      </c>
      <c r="D543" s="42" t="s">
        <v>3</v>
      </c>
      <c r="E543" s="43" t="s">
        <v>581</v>
      </c>
      <c r="F543" s="43" t="s">
        <v>582</v>
      </c>
      <c r="G543" s="44">
        <v>94</v>
      </c>
      <c r="H543" s="43" t="s">
        <v>583</v>
      </c>
      <c r="I543" s="45" t="s">
        <v>583</v>
      </c>
      <c r="J543" s="45" t="s">
        <v>561</v>
      </c>
      <c r="K543" s="126">
        <v>134.18</v>
      </c>
      <c r="L543" s="126">
        <v>134.18</v>
      </c>
      <c r="M543" s="126"/>
      <c r="N543" s="126">
        <v>200</v>
      </c>
      <c r="O543" s="126">
        <v>177.44</v>
      </c>
      <c r="P543" s="145"/>
      <c r="Q543" s="146"/>
      <c r="R543" s="147"/>
      <c r="S543" s="46">
        <v>645.79999999999995</v>
      </c>
      <c r="T543" s="112"/>
      <c r="U543" s="56" t="s">
        <v>953</v>
      </c>
      <c r="V543" s="105" t="s">
        <v>585</v>
      </c>
    </row>
    <row r="544" spans="1:24" s="1" customFormat="1" ht="17.25" x14ac:dyDescent="0.3">
      <c r="A544" s="40">
        <v>14123986</v>
      </c>
      <c r="B544" s="48" t="s">
        <v>1000</v>
      </c>
      <c r="C544" s="41" t="s">
        <v>998</v>
      </c>
      <c r="D544" s="42" t="s">
        <v>3</v>
      </c>
      <c r="E544" s="43" t="s">
        <v>581</v>
      </c>
      <c r="F544" s="43" t="s">
        <v>582</v>
      </c>
      <c r="G544" s="44">
        <v>93</v>
      </c>
      <c r="H544" s="43" t="s">
        <v>583</v>
      </c>
      <c r="I544" s="45" t="s">
        <v>583</v>
      </c>
      <c r="J544" s="45" t="s">
        <v>587</v>
      </c>
      <c r="K544" s="126">
        <v>0</v>
      </c>
      <c r="L544" s="126">
        <v>0</v>
      </c>
      <c r="M544" s="126"/>
      <c r="N544" s="126">
        <v>0</v>
      </c>
      <c r="O544" s="126">
        <v>0</v>
      </c>
      <c r="P544" s="132"/>
      <c r="Q544" s="133"/>
      <c r="R544" s="132"/>
      <c r="S544" s="46">
        <v>0</v>
      </c>
      <c r="T544" s="112"/>
      <c r="U544" s="56" t="s">
        <v>585</v>
      </c>
      <c r="V544" s="105" t="s">
        <v>585</v>
      </c>
      <c r="X544" s="127"/>
    </row>
    <row r="545" spans="1:24" s="1" customFormat="1" ht="17.25" x14ac:dyDescent="0.3">
      <c r="A545" s="39">
        <v>14123987</v>
      </c>
      <c r="B545" s="48" t="s">
        <v>1001</v>
      </c>
      <c r="C545" s="41" t="s">
        <v>998</v>
      </c>
      <c r="D545" s="42" t="s">
        <v>3</v>
      </c>
      <c r="E545" s="43" t="s">
        <v>581</v>
      </c>
      <c r="F545" s="43" t="s">
        <v>582</v>
      </c>
      <c r="G545" s="44">
        <v>95</v>
      </c>
      <c r="H545" s="43" t="s">
        <v>583</v>
      </c>
      <c r="I545" s="45" t="s">
        <v>583</v>
      </c>
      <c r="J545" s="45" t="s">
        <v>561</v>
      </c>
      <c r="K545" s="126">
        <v>134.18</v>
      </c>
      <c r="L545" s="126">
        <v>134.18</v>
      </c>
      <c r="M545" s="126"/>
      <c r="N545" s="126">
        <v>200</v>
      </c>
      <c r="O545" s="126">
        <v>177.44</v>
      </c>
      <c r="P545" s="132"/>
      <c r="Q545" s="133"/>
      <c r="R545" s="147"/>
      <c r="S545" s="46">
        <v>645.79999999999995</v>
      </c>
      <c r="T545" s="112"/>
      <c r="U545" s="56" t="s">
        <v>953</v>
      </c>
      <c r="V545" s="105" t="s">
        <v>585</v>
      </c>
    </row>
    <row r="546" spans="1:24" s="1" customFormat="1" ht="17.25" x14ac:dyDescent="0.3">
      <c r="A546" s="39">
        <v>14123988</v>
      </c>
      <c r="B546" s="40" t="s">
        <v>1002</v>
      </c>
      <c r="C546" s="41" t="s">
        <v>998</v>
      </c>
      <c r="D546" s="42" t="s">
        <v>3</v>
      </c>
      <c r="E546" s="43" t="s">
        <v>581</v>
      </c>
      <c r="F546" s="43" t="s">
        <v>582</v>
      </c>
      <c r="G546" s="44">
        <v>95</v>
      </c>
      <c r="H546" s="43" t="s">
        <v>583</v>
      </c>
      <c r="I546" s="45" t="s">
        <v>1051</v>
      </c>
      <c r="J546" s="45" t="s">
        <v>561</v>
      </c>
      <c r="K546" s="126">
        <v>134.18</v>
      </c>
      <c r="L546" s="126">
        <v>134.18</v>
      </c>
      <c r="M546" s="126"/>
      <c r="N546" s="126">
        <v>0</v>
      </c>
      <c r="O546" s="126">
        <v>0</v>
      </c>
      <c r="P546" s="132"/>
      <c r="Q546" s="133"/>
      <c r="R546" s="156"/>
      <c r="S546" s="46">
        <v>268.36</v>
      </c>
      <c r="T546" s="112"/>
      <c r="U546" s="56" t="s">
        <v>953</v>
      </c>
      <c r="V546" s="105" t="s">
        <v>585</v>
      </c>
    </row>
    <row r="547" spans="1:24" s="1" customFormat="1" ht="17.25" x14ac:dyDescent="0.3">
      <c r="A547" s="40">
        <v>14124002</v>
      </c>
      <c r="B547" s="48" t="s">
        <v>1003</v>
      </c>
      <c r="C547" s="41" t="s">
        <v>984</v>
      </c>
      <c r="D547" s="42" t="s">
        <v>3</v>
      </c>
      <c r="E547" s="43" t="s">
        <v>581</v>
      </c>
      <c r="F547" s="43" t="s">
        <v>582</v>
      </c>
      <c r="G547" s="44">
        <v>92</v>
      </c>
      <c r="H547" s="43" t="s">
        <v>583</v>
      </c>
      <c r="I547" s="45" t="s">
        <v>1051</v>
      </c>
      <c r="J547" s="45" t="s">
        <v>561</v>
      </c>
      <c r="K547" s="126">
        <v>134.18</v>
      </c>
      <c r="L547" s="126">
        <v>134.18</v>
      </c>
      <c r="M547" s="126"/>
      <c r="N547" s="126">
        <v>0</v>
      </c>
      <c r="O547" s="126">
        <v>0</v>
      </c>
      <c r="Q547" s="134"/>
      <c r="R547" s="152"/>
      <c r="S547" s="46">
        <v>268.36</v>
      </c>
      <c r="T547" s="112"/>
      <c r="U547" s="56" t="s">
        <v>953</v>
      </c>
      <c r="V547" s="105" t="s">
        <v>585</v>
      </c>
    </row>
    <row r="548" spans="1:24" s="1" customFormat="1" ht="17.25" x14ac:dyDescent="0.3">
      <c r="A548" s="40">
        <v>14124020</v>
      </c>
      <c r="B548" s="48" t="s">
        <v>1004</v>
      </c>
      <c r="C548" s="41" t="s">
        <v>1005</v>
      </c>
      <c r="D548" s="42" t="s">
        <v>3</v>
      </c>
      <c r="E548" s="43" t="s">
        <v>581</v>
      </c>
      <c r="F548" s="43" t="s">
        <v>582</v>
      </c>
      <c r="G548" s="44">
        <v>94</v>
      </c>
      <c r="H548" s="43" t="s">
        <v>583</v>
      </c>
      <c r="I548" s="45" t="s">
        <v>583</v>
      </c>
      <c r="J548" s="45" t="s">
        <v>561</v>
      </c>
      <c r="K548" s="126">
        <v>134.18</v>
      </c>
      <c r="L548" s="126">
        <v>134.18</v>
      </c>
      <c r="M548" s="126"/>
      <c r="N548" s="126">
        <v>200</v>
      </c>
      <c r="O548" s="126">
        <v>177.44</v>
      </c>
      <c r="Q548" s="134"/>
      <c r="R548" s="132"/>
      <c r="S548" s="46">
        <v>645.79999999999995</v>
      </c>
      <c r="T548" s="112"/>
      <c r="U548" s="56" t="s">
        <v>953</v>
      </c>
      <c r="V548" s="105" t="s">
        <v>585</v>
      </c>
    </row>
    <row r="549" spans="1:24" s="18" customFormat="1" ht="17.25" x14ac:dyDescent="0.3">
      <c r="A549" s="40">
        <v>14124028</v>
      </c>
      <c r="B549" s="48" t="s">
        <v>1006</v>
      </c>
      <c r="C549" s="41" t="s">
        <v>1007</v>
      </c>
      <c r="D549" s="42" t="s">
        <v>3</v>
      </c>
      <c r="E549" s="43" t="s">
        <v>581</v>
      </c>
      <c r="F549" s="43" t="s">
        <v>582</v>
      </c>
      <c r="G549" s="44">
        <v>70</v>
      </c>
      <c r="H549" s="43" t="s">
        <v>585</v>
      </c>
      <c r="I549" s="45" t="s">
        <v>583</v>
      </c>
      <c r="J549" s="45" t="s">
        <v>587</v>
      </c>
      <c r="K549" s="126">
        <v>0</v>
      </c>
      <c r="L549" s="126">
        <v>0</v>
      </c>
      <c r="M549" s="126"/>
      <c r="N549" s="126">
        <v>0</v>
      </c>
      <c r="O549" s="126">
        <v>0</v>
      </c>
      <c r="P549" s="1"/>
      <c r="Q549" s="134"/>
      <c r="R549" s="132"/>
      <c r="S549" s="46">
        <v>0</v>
      </c>
      <c r="T549" s="112"/>
      <c r="U549" s="56" t="s">
        <v>585</v>
      </c>
      <c r="V549" s="105" t="s">
        <v>585</v>
      </c>
      <c r="X549" s="127"/>
    </row>
    <row r="550" spans="1:24" s="1" customFormat="1" ht="17.25" x14ac:dyDescent="0.3">
      <c r="A550" s="40">
        <v>14124031</v>
      </c>
      <c r="B550" s="48" t="s">
        <v>1008</v>
      </c>
      <c r="C550" s="41" t="s">
        <v>1007</v>
      </c>
      <c r="D550" s="42" t="s">
        <v>3</v>
      </c>
      <c r="E550" s="43" t="s">
        <v>581</v>
      </c>
      <c r="F550" s="43" t="s">
        <v>582</v>
      </c>
      <c r="G550" s="44">
        <v>92</v>
      </c>
      <c r="H550" s="43" t="s">
        <v>583</v>
      </c>
      <c r="I550" s="45" t="s">
        <v>583</v>
      </c>
      <c r="J550" s="45" t="s">
        <v>561</v>
      </c>
      <c r="K550" s="126">
        <v>134.18</v>
      </c>
      <c r="L550" s="126">
        <v>134.18</v>
      </c>
      <c r="M550" s="126"/>
      <c r="N550" s="126">
        <v>200</v>
      </c>
      <c r="O550" s="126">
        <v>177.44</v>
      </c>
      <c r="Q550" s="134"/>
      <c r="R550" s="132"/>
      <c r="S550" s="46">
        <v>645.79999999999995</v>
      </c>
      <c r="T550" s="112"/>
      <c r="U550" s="56" t="s">
        <v>953</v>
      </c>
      <c r="V550" s="105" t="s">
        <v>585</v>
      </c>
    </row>
    <row r="551" spans="1:24" s="1" customFormat="1" ht="17.25" x14ac:dyDescent="0.3">
      <c r="A551" s="39">
        <v>14124041</v>
      </c>
      <c r="B551" s="48" t="s">
        <v>1009</v>
      </c>
      <c r="C551" s="41" t="s">
        <v>1010</v>
      </c>
      <c r="D551" s="42" t="s">
        <v>3</v>
      </c>
      <c r="E551" s="43" t="s">
        <v>581</v>
      </c>
      <c r="F551" s="43" t="s">
        <v>582</v>
      </c>
      <c r="G551" s="44">
        <v>90</v>
      </c>
      <c r="H551" s="43" t="s">
        <v>583</v>
      </c>
      <c r="I551" s="45" t="s">
        <v>1051</v>
      </c>
      <c r="J551" s="45" t="s">
        <v>587</v>
      </c>
      <c r="K551" s="126">
        <v>0</v>
      </c>
      <c r="L551" s="126">
        <v>0</v>
      </c>
      <c r="M551" s="126"/>
      <c r="N551" s="126">
        <v>0</v>
      </c>
      <c r="O551" s="126">
        <v>0</v>
      </c>
      <c r="Q551" s="134"/>
      <c r="R551" s="156"/>
      <c r="S551" s="46">
        <v>0</v>
      </c>
      <c r="T551" s="112"/>
      <c r="U551" s="56" t="s">
        <v>585</v>
      </c>
      <c r="V551" s="105" t="s">
        <v>585</v>
      </c>
      <c r="X551" s="127"/>
    </row>
    <row r="552" spans="1:24" s="1" customFormat="1" ht="17.25" x14ac:dyDescent="0.3">
      <c r="A552" s="39">
        <v>14124061</v>
      </c>
      <c r="B552" s="48" t="s">
        <v>1610</v>
      </c>
      <c r="C552" s="41" t="s">
        <v>1611</v>
      </c>
      <c r="D552" s="42" t="s">
        <v>3</v>
      </c>
      <c r="E552" s="43" t="s">
        <v>581</v>
      </c>
      <c r="F552" s="43" t="s">
        <v>582</v>
      </c>
      <c r="G552" s="44">
        <v>95</v>
      </c>
      <c r="H552" s="43" t="s">
        <v>583</v>
      </c>
      <c r="I552" s="45" t="s">
        <v>583</v>
      </c>
      <c r="J552" s="45" t="s">
        <v>561</v>
      </c>
      <c r="K552" s="126">
        <v>134.18</v>
      </c>
      <c r="L552" s="126">
        <v>134.18</v>
      </c>
      <c r="M552" s="126"/>
      <c r="N552" s="126">
        <v>200</v>
      </c>
      <c r="O552" s="126">
        <v>177.44</v>
      </c>
      <c r="P552" s="150"/>
      <c r="Q552" s="151"/>
      <c r="R552" s="147"/>
      <c r="S552" s="46">
        <v>645.79999999999995</v>
      </c>
      <c r="T552" s="112"/>
      <c r="U552" s="56" t="s">
        <v>953</v>
      </c>
      <c r="V552" s="105" t="s">
        <v>925</v>
      </c>
    </row>
    <row r="553" spans="1:24" s="1" customFormat="1" ht="17.25" x14ac:dyDescent="0.3">
      <c r="A553" s="39">
        <v>14124062</v>
      </c>
      <c r="B553" s="48" t="s">
        <v>1612</v>
      </c>
      <c r="C553" s="41" t="s">
        <v>1611</v>
      </c>
      <c r="D553" s="42" t="s">
        <v>3</v>
      </c>
      <c r="E553" s="43" t="s">
        <v>581</v>
      </c>
      <c r="F553" s="43" t="s">
        <v>582</v>
      </c>
      <c r="G553" s="44">
        <v>94</v>
      </c>
      <c r="H553" s="43" t="s">
        <v>583</v>
      </c>
      <c r="I553" s="45" t="s">
        <v>583</v>
      </c>
      <c r="J553" s="45" t="s">
        <v>561</v>
      </c>
      <c r="K553" s="126">
        <v>134.18</v>
      </c>
      <c r="L553" s="126">
        <v>134.18</v>
      </c>
      <c r="M553" s="126"/>
      <c r="N553" s="126">
        <v>200</v>
      </c>
      <c r="O553" s="126">
        <v>177.44</v>
      </c>
      <c r="P553" s="150"/>
      <c r="Q553" s="151"/>
      <c r="R553" s="147"/>
      <c r="S553" s="46">
        <v>645.79999999999995</v>
      </c>
      <c r="T553" s="112"/>
      <c r="U553" s="56" t="s">
        <v>953</v>
      </c>
      <c r="V553" s="105" t="s">
        <v>585</v>
      </c>
    </row>
    <row r="554" spans="1:24" s="1" customFormat="1" ht="17.25" x14ac:dyDescent="0.3">
      <c r="A554" s="39">
        <v>14124076</v>
      </c>
      <c r="B554" s="48" t="s">
        <v>1613</v>
      </c>
      <c r="C554" s="41" t="s">
        <v>1614</v>
      </c>
      <c r="D554" s="42" t="s">
        <v>3</v>
      </c>
      <c r="E554" s="43" t="s">
        <v>581</v>
      </c>
      <c r="F554" s="43" t="s">
        <v>582</v>
      </c>
      <c r="G554" s="44">
        <v>95</v>
      </c>
      <c r="H554" s="43" t="s">
        <v>583</v>
      </c>
      <c r="I554" s="45" t="s">
        <v>583</v>
      </c>
      <c r="J554" s="45" t="s">
        <v>561</v>
      </c>
      <c r="K554" s="126">
        <v>134.18</v>
      </c>
      <c r="L554" s="126">
        <v>134.18</v>
      </c>
      <c r="M554" s="126"/>
      <c r="N554" s="126">
        <v>200</v>
      </c>
      <c r="O554" s="126">
        <v>177.44</v>
      </c>
      <c r="P554" s="150"/>
      <c r="Q554" s="151"/>
      <c r="R554" s="147"/>
      <c r="S554" s="46">
        <v>645.79999999999995</v>
      </c>
      <c r="T554" s="112"/>
      <c r="U554" s="56" t="s">
        <v>953</v>
      </c>
      <c r="V554" s="105" t="s">
        <v>925</v>
      </c>
    </row>
    <row r="555" spans="1:24" s="18" customFormat="1" ht="17.25" x14ac:dyDescent="0.3">
      <c r="A555" s="39">
        <v>14124090</v>
      </c>
      <c r="B555" s="48" t="s">
        <v>1615</v>
      </c>
      <c r="C555" s="41" t="s">
        <v>1616</v>
      </c>
      <c r="D555" s="42" t="s">
        <v>3</v>
      </c>
      <c r="E555" s="43" t="s">
        <v>581</v>
      </c>
      <c r="F555" s="43" t="s">
        <v>582</v>
      </c>
      <c r="G555" s="44">
        <v>91</v>
      </c>
      <c r="H555" s="43" t="s">
        <v>583</v>
      </c>
      <c r="I555" s="45" t="s">
        <v>583</v>
      </c>
      <c r="J555" s="45" t="s">
        <v>587</v>
      </c>
      <c r="K555" s="126">
        <v>134.18</v>
      </c>
      <c r="L555" s="126">
        <v>134.18</v>
      </c>
      <c r="M555" s="126"/>
      <c r="N555" s="126">
        <v>200</v>
      </c>
      <c r="O555" s="126">
        <v>0</v>
      </c>
      <c r="P555" s="150"/>
      <c r="Q555" s="151"/>
      <c r="R555" s="147"/>
      <c r="S555" s="46">
        <v>468.36</v>
      </c>
      <c r="T555" s="112"/>
      <c r="U555" s="56" t="s">
        <v>953</v>
      </c>
      <c r="V555" s="105" t="s">
        <v>925</v>
      </c>
    </row>
    <row r="556" spans="1:24" s="1" customFormat="1" ht="17.25" x14ac:dyDescent="0.3">
      <c r="A556" s="39">
        <v>14124091</v>
      </c>
      <c r="B556" s="48" t="s">
        <v>1617</v>
      </c>
      <c r="C556" s="41" t="s">
        <v>1616</v>
      </c>
      <c r="D556" s="42" t="s">
        <v>3</v>
      </c>
      <c r="E556" s="43" t="s">
        <v>581</v>
      </c>
      <c r="F556" s="43" t="s">
        <v>582</v>
      </c>
      <c r="G556" s="44">
        <v>95</v>
      </c>
      <c r="H556" s="43" t="s">
        <v>583</v>
      </c>
      <c r="I556" s="45" t="s">
        <v>1051</v>
      </c>
      <c r="J556" s="45" t="s">
        <v>587</v>
      </c>
      <c r="K556" s="126">
        <v>134.18</v>
      </c>
      <c r="L556" s="126">
        <v>134.18</v>
      </c>
      <c r="M556" s="126"/>
      <c r="N556" s="126">
        <v>0</v>
      </c>
      <c r="O556" s="126">
        <v>0</v>
      </c>
      <c r="P556" s="150"/>
      <c r="Q556" s="151"/>
      <c r="R556" s="147"/>
      <c r="S556" s="46">
        <v>268.36</v>
      </c>
      <c r="T556" s="112"/>
      <c r="U556" s="56" t="s">
        <v>953</v>
      </c>
      <c r="V556" s="105" t="s">
        <v>585</v>
      </c>
    </row>
    <row r="557" spans="1:24" s="1" customFormat="1" ht="17.25" x14ac:dyDescent="0.3">
      <c r="A557" s="40">
        <v>14124104</v>
      </c>
      <c r="B557" s="48" t="s">
        <v>1618</v>
      </c>
      <c r="C557" s="41" t="s">
        <v>1619</v>
      </c>
      <c r="D557" s="42" t="s">
        <v>3</v>
      </c>
      <c r="E557" s="43" t="s">
        <v>581</v>
      </c>
      <c r="F557" s="43" t="s">
        <v>582</v>
      </c>
      <c r="G557" s="44">
        <v>95</v>
      </c>
      <c r="H557" s="43" t="s">
        <v>583</v>
      </c>
      <c r="I557" s="45" t="s">
        <v>1051</v>
      </c>
      <c r="J557" s="45" t="s">
        <v>561</v>
      </c>
      <c r="K557" s="126">
        <v>134.18</v>
      </c>
      <c r="L557" s="126">
        <v>134.18</v>
      </c>
      <c r="M557" s="126"/>
      <c r="N557" s="126">
        <v>0</v>
      </c>
      <c r="O557" s="126">
        <v>0</v>
      </c>
      <c r="Q557" s="134"/>
      <c r="R557" s="132"/>
      <c r="S557" s="46">
        <v>268.36</v>
      </c>
      <c r="T557" s="112"/>
      <c r="U557" s="56" t="s">
        <v>953</v>
      </c>
      <c r="V557" s="105" t="s">
        <v>585</v>
      </c>
    </row>
    <row r="558" spans="1:24" s="1" customFormat="1" ht="17.25" x14ac:dyDescent="0.3">
      <c r="A558" s="40">
        <v>14124105</v>
      </c>
      <c r="B558" s="40" t="s">
        <v>1620</v>
      </c>
      <c r="C558" s="41" t="s">
        <v>1619</v>
      </c>
      <c r="D558" s="42" t="s">
        <v>3</v>
      </c>
      <c r="E558" s="43" t="s">
        <v>581</v>
      </c>
      <c r="F558" s="43" t="s">
        <v>740</v>
      </c>
      <c r="G558" s="44">
        <v>95</v>
      </c>
      <c r="H558" s="43" t="s">
        <v>583</v>
      </c>
      <c r="I558" s="45" t="s">
        <v>1051</v>
      </c>
      <c r="J558" s="45" t="s">
        <v>587</v>
      </c>
      <c r="K558" s="126">
        <v>0</v>
      </c>
      <c r="L558" s="126">
        <v>0</v>
      </c>
      <c r="M558" s="126"/>
      <c r="N558" s="126">
        <v>0</v>
      </c>
      <c r="O558" s="126">
        <v>0</v>
      </c>
      <c r="Q558" s="134"/>
      <c r="R558" s="147"/>
      <c r="S558" s="46">
        <v>0</v>
      </c>
      <c r="T558" s="112"/>
      <c r="U558" s="56" t="s">
        <v>585</v>
      </c>
      <c r="V558" s="105" t="s">
        <v>585</v>
      </c>
      <c r="X558" s="127"/>
    </row>
    <row r="559" spans="1:24" s="1" customFormat="1" ht="17.25" x14ac:dyDescent="0.3">
      <c r="A559" s="40">
        <v>14124106</v>
      </c>
      <c r="B559" s="40" t="s">
        <v>1621</v>
      </c>
      <c r="C559" s="41" t="s">
        <v>1619</v>
      </c>
      <c r="D559" s="42" t="s">
        <v>3</v>
      </c>
      <c r="E559" s="43" t="s">
        <v>581</v>
      </c>
      <c r="F559" s="43" t="s">
        <v>582</v>
      </c>
      <c r="G559" s="44">
        <v>95</v>
      </c>
      <c r="H559" s="43" t="s">
        <v>583</v>
      </c>
      <c r="I559" s="45" t="s">
        <v>583</v>
      </c>
      <c r="J559" s="45" t="s">
        <v>561</v>
      </c>
      <c r="K559" s="126">
        <v>134.18</v>
      </c>
      <c r="L559" s="126">
        <v>134.18</v>
      </c>
      <c r="M559" s="126"/>
      <c r="N559" s="126">
        <v>200</v>
      </c>
      <c r="O559" s="126">
        <v>177.44</v>
      </c>
      <c r="Q559" s="134"/>
      <c r="R559" s="132"/>
      <c r="S559" s="46">
        <v>645.79999999999995</v>
      </c>
      <c r="T559" s="112"/>
      <c r="U559" s="56" t="s">
        <v>953</v>
      </c>
      <c r="V559" s="105" t="s">
        <v>925</v>
      </c>
    </row>
    <row r="560" spans="1:24" s="18" customFormat="1" ht="17.25" x14ac:dyDescent="0.3">
      <c r="A560" s="39">
        <v>14124111</v>
      </c>
      <c r="B560" s="48" t="s">
        <v>1622</v>
      </c>
      <c r="C560" s="41" t="s">
        <v>1623</v>
      </c>
      <c r="D560" s="42" t="s">
        <v>3</v>
      </c>
      <c r="E560" s="43" t="s">
        <v>581</v>
      </c>
      <c r="F560" s="43" t="s">
        <v>582</v>
      </c>
      <c r="G560" s="44">
        <v>92</v>
      </c>
      <c r="H560" s="43" t="s">
        <v>583</v>
      </c>
      <c r="I560" s="45" t="s">
        <v>583</v>
      </c>
      <c r="J560" s="45" t="s">
        <v>561</v>
      </c>
      <c r="K560" s="126">
        <v>134.18</v>
      </c>
      <c r="L560" s="126">
        <v>134.18</v>
      </c>
      <c r="M560" s="126"/>
      <c r="N560" s="126">
        <v>200</v>
      </c>
      <c r="O560" s="126">
        <v>177.44</v>
      </c>
      <c r="P560" s="150"/>
      <c r="Q560" s="151"/>
      <c r="R560" s="147"/>
      <c r="S560" s="46">
        <v>645.79999999999995</v>
      </c>
      <c r="T560" s="112"/>
      <c r="U560" s="56" t="s">
        <v>953</v>
      </c>
      <c r="V560" s="105" t="s">
        <v>585</v>
      </c>
    </row>
    <row r="561" spans="1:24" s="18" customFormat="1" ht="17.25" x14ac:dyDescent="0.3">
      <c r="A561" s="39">
        <v>14124113</v>
      </c>
      <c r="B561" s="48" t="s">
        <v>1624</v>
      </c>
      <c r="C561" s="41" t="s">
        <v>1625</v>
      </c>
      <c r="D561" s="42" t="s">
        <v>3</v>
      </c>
      <c r="E561" s="43" t="s">
        <v>581</v>
      </c>
      <c r="F561" s="43" t="s">
        <v>582</v>
      </c>
      <c r="G561" s="44">
        <v>95</v>
      </c>
      <c r="H561" s="43" t="s">
        <v>583</v>
      </c>
      <c r="I561" s="45" t="s">
        <v>1051</v>
      </c>
      <c r="J561" s="45" t="s">
        <v>587</v>
      </c>
      <c r="K561" s="126">
        <v>134.18</v>
      </c>
      <c r="L561" s="126">
        <v>134.18</v>
      </c>
      <c r="M561" s="126"/>
      <c r="N561" s="126">
        <v>0</v>
      </c>
      <c r="O561" s="126">
        <v>0</v>
      </c>
      <c r="P561" s="1"/>
      <c r="Q561" s="134"/>
      <c r="R561" s="147"/>
      <c r="S561" s="46">
        <v>268.36</v>
      </c>
      <c r="T561" s="112"/>
      <c r="U561" s="56" t="s">
        <v>953</v>
      </c>
      <c r="V561" s="105" t="s">
        <v>585</v>
      </c>
    </row>
    <row r="562" spans="1:24" s="1" customFormat="1" ht="17.25" x14ac:dyDescent="0.3">
      <c r="A562" s="39">
        <v>14124114</v>
      </c>
      <c r="B562" s="48" t="s">
        <v>1626</v>
      </c>
      <c r="C562" s="41" t="s">
        <v>1625</v>
      </c>
      <c r="D562" s="42" t="s">
        <v>3</v>
      </c>
      <c r="E562" s="43" t="s">
        <v>581</v>
      </c>
      <c r="F562" s="43" t="s">
        <v>582</v>
      </c>
      <c r="G562" s="44">
        <v>95</v>
      </c>
      <c r="H562" s="43" t="s">
        <v>583</v>
      </c>
      <c r="I562" s="45" t="s">
        <v>583</v>
      </c>
      <c r="J562" s="45" t="s">
        <v>561</v>
      </c>
      <c r="K562" s="126">
        <v>134.18</v>
      </c>
      <c r="L562" s="126">
        <v>134.18</v>
      </c>
      <c r="M562" s="126"/>
      <c r="N562" s="126">
        <v>200</v>
      </c>
      <c r="O562" s="126">
        <v>177.44</v>
      </c>
      <c r="Q562" s="134"/>
      <c r="R562" s="147"/>
      <c r="S562" s="46">
        <v>645.79999999999995</v>
      </c>
      <c r="T562" s="112"/>
      <c r="U562" s="56" t="s">
        <v>953</v>
      </c>
      <c r="V562" s="105" t="s">
        <v>585</v>
      </c>
    </row>
    <row r="563" spans="1:24" s="1" customFormat="1" ht="17.25" x14ac:dyDescent="0.3">
      <c r="A563" s="39">
        <v>14124131</v>
      </c>
      <c r="B563" s="48" t="s">
        <v>1891</v>
      </c>
      <c r="C563" s="41" t="s">
        <v>2575</v>
      </c>
      <c r="D563" s="42" t="s">
        <v>3</v>
      </c>
      <c r="E563" s="43" t="s">
        <v>581</v>
      </c>
      <c r="F563" s="43" t="s">
        <v>582</v>
      </c>
      <c r="G563" s="44">
        <v>95</v>
      </c>
      <c r="H563" s="43" t="s">
        <v>583</v>
      </c>
      <c r="I563" s="45" t="s">
        <v>1051</v>
      </c>
      <c r="J563" s="45" t="s">
        <v>587</v>
      </c>
      <c r="K563" s="126">
        <v>0</v>
      </c>
      <c r="L563" s="126">
        <v>0</v>
      </c>
      <c r="M563" s="126"/>
      <c r="N563" s="126">
        <v>0</v>
      </c>
      <c r="O563" s="126">
        <v>0</v>
      </c>
      <c r="P563" s="150"/>
      <c r="Q563" s="151"/>
      <c r="R563" s="147"/>
      <c r="S563" s="46">
        <v>0</v>
      </c>
      <c r="T563" s="112"/>
      <c r="U563" s="56" t="s">
        <v>585</v>
      </c>
      <c r="V563" s="105" t="s">
        <v>585</v>
      </c>
      <c r="X563" s="127"/>
    </row>
    <row r="564" spans="1:24" s="1" customFormat="1" ht="17.25" x14ac:dyDescent="0.3">
      <c r="A564" s="39">
        <v>14124143</v>
      </c>
      <c r="B564" s="48" t="s">
        <v>1889</v>
      </c>
      <c r="C564" s="41" t="s">
        <v>2575</v>
      </c>
      <c r="D564" s="42" t="s">
        <v>3</v>
      </c>
      <c r="E564" s="43" t="s">
        <v>581</v>
      </c>
      <c r="F564" s="43" t="s">
        <v>582</v>
      </c>
      <c r="G564" s="44">
        <v>91</v>
      </c>
      <c r="H564" s="43" t="s">
        <v>583</v>
      </c>
      <c r="I564" s="45" t="s">
        <v>1051</v>
      </c>
      <c r="J564" s="45" t="s">
        <v>587</v>
      </c>
      <c r="K564" s="126">
        <v>134.18</v>
      </c>
      <c r="L564" s="126">
        <v>134.18</v>
      </c>
      <c r="M564" s="126"/>
      <c r="N564" s="126">
        <v>0</v>
      </c>
      <c r="O564" s="126">
        <v>0</v>
      </c>
      <c r="P564" s="150"/>
      <c r="Q564" s="151"/>
      <c r="R564" s="156"/>
      <c r="S564" s="46">
        <v>268.36</v>
      </c>
      <c r="T564" s="112"/>
      <c r="U564" s="56" t="s">
        <v>953</v>
      </c>
      <c r="V564" s="105" t="s">
        <v>925</v>
      </c>
    </row>
    <row r="565" spans="1:24" s="1" customFormat="1" ht="17.25" x14ac:dyDescent="0.3">
      <c r="A565" s="39">
        <v>14124144</v>
      </c>
      <c r="B565" s="48" t="s">
        <v>2388</v>
      </c>
      <c r="C565" s="41" t="s">
        <v>2575</v>
      </c>
      <c r="D565" s="42" t="s">
        <v>3</v>
      </c>
      <c r="E565" s="43" t="s">
        <v>581</v>
      </c>
      <c r="F565" s="43" t="s">
        <v>582</v>
      </c>
      <c r="G565" s="44">
        <v>94</v>
      </c>
      <c r="H565" s="43" t="s">
        <v>583</v>
      </c>
      <c r="I565" s="45" t="s">
        <v>583</v>
      </c>
      <c r="J565" s="45" t="s">
        <v>587</v>
      </c>
      <c r="K565" s="126">
        <v>134.18</v>
      </c>
      <c r="L565" s="126">
        <v>134.18</v>
      </c>
      <c r="M565" s="126"/>
      <c r="N565" s="126">
        <v>200</v>
      </c>
      <c r="O565" s="126">
        <v>0</v>
      </c>
      <c r="P565" s="132"/>
      <c r="Q565" s="133"/>
      <c r="R565" s="148"/>
      <c r="S565" s="46">
        <v>468.36</v>
      </c>
      <c r="T565" s="112"/>
      <c r="U565" s="56" t="s">
        <v>953</v>
      </c>
      <c r="V565" s="105" t="s">
        <v>2034</v>
      </c>
    </row>
    <row r="566" spans="1:24" s="1" customFormat="1" ht="17.25" x14ac:dyDescent="0.3">
      <c r="A566" s="39">
        <v>14124146</v>
      </c>
      <c r="B566" s="48" t="s">
        <v>2003</v>
      </c>
      <c r="C566" s="41" t="s">
        <v>2575</v>
      </c>
      <c r="D566" s="42" t="s">
        <v>3</v>
      </c>
      <c r="E566" s="43" t="s">
        <v>581</v>
      </c>
      <c r="F566" s="43" t="s">
        <v>582</v>
      </c>
      <c r="G566" s="44">
        <v>84</v>
      </c>
      <c r="H566" s="43" t="s">
        <v>585</v>
      </c>
      <c r="I566" s="45" t="s">
        <v>1051</v>
      </c>
      <c r="J566" s="45" t="s">
        <v>561</v>
      </c>
      <c r="K566" s="126">
        <v>134.18</v>
      </c>
      <c r="L566" s="126">
        <v>134.18</v>
      </c>
      <c r="M566" s="126"/>
      <c r="N566" s="126">
        <v>0</v>
      </c>
      <c r="O566" s="126">
        <v>0</v>
      </c>
      <c r="P566" s="132"/>
      <c r="Q566" s="133"/>
      <c r="R566" s="147"/>
      <c r="S566" s="46">
        <v>268.36</v>
      </c>
      <c r="T566" s="112"/>
      <c r="U566" s="56" t="s">
        <v>953</v>
      </c>
      <c r="V566" s="105" t="s">
        <v>585</v>
      </c>
    </row>
    <row r="567" spans="1:24" s="1" customFormat="1" ht="17.25" x14ac:dyDescent="0.3">
      <c r="A567" s="39">
        <v>14124156</v>
      </c>
      <c r="B567" s="48" t="s">
        <v>1924</v>
      </c>
      <c r="C567" s="41" t="s">
        <v>2576</v>
      </c>
      <c r="D567" s="42" t="s">
        <v>3</v>
      </c>
      <c r="E567" s="43" t="s">
        <v>581</v>
      </c>
      <c r="F567" s="43" t="s">
        <v>582</v>
      </c>
      <c r="G567" s="44">
        <v>95</v>
      </c>
      <c r="H567" s="43" t="s">
        <v>583</v>
      </c>
      <c r="I567" s="45" t="s">
        <v>583</v>
      </c>
      <c r="J567" s="45" t="s">
        <v>561</v>
      </c>
      <c r="K567" s="126">
        <v>134.18</v>
      </c>
      <c r="L567" s="126">
        <v>134.18</v>
      </c>
      <c r="M567" s="126"/>
      <c r="N567" s="126">
        <v>200</v>
      </c>
      <c r="O567" s="126">
        <v>177.44</v>
      </c>
      <c r="P567" s="132"/>
      <c r="Q567" s="133"/>
      <c r="R567" s="148"/>
      <c r="S567" s="46">
        <v>645.79999999999995</v>
      </c>
      <c r="T567" s="112"/>
      <c r="U567" s="56" t="s">
        <v>953</v>
      </c>
      <c r="V567" s="105" t="s">
        <v>585</v>
      </c>
    </row>
    <row r="568" spans="1:24" s="18" customFormat="1" ht="17.25" x14ac:dyDescent="0.3">
      <c r="A568" s="39">
        <v>14124157</v>
      </c>
      <c r="B568" s="48" t="s">
        <v>1918</v>
      </c>
      <c r="C568" s="41" t="s">
        <v>2576</v>
      </c>
      <c r="D568" s="42" t="s">
        <v>3</v>
      </c>
      <c r="E568" s="43" t="s">
        <v>581</v>
      </c>
      <c r="F568" s="43" t="s">
        <v>582</v>
      </c>
      <c r="G568" s="44">
        <v>94</v>
      </c>
      <c r="H568" s="43" t="s">
        <v>583</v>
      </c>
      <c r="I568" s="45" t="s">
        <v>583</v>
      </c>
      <c r="J568" s="45" t="s">
        <v>561</v>
      </c>
      <c r="K568" s="126">
        <v>134.18</v>
      </c>
      <c r="L568" s="126">
        <v>134.18</v>
      </c>
      <c r="M568" s="126"/>
      <c r="N568" s="126">
        <v>200</v>
      </c>
      <c r="O568" s="126">
        <v>177.44</v>
      </c>
      <c r="P568" s="132"/>
      <c r="Q568" s="133"/>
      <c r="R568" s="147"/>
      <c r="S568" s="46">
        <v>645.79999999999995</v>
      </c>
      <c r="T568" s="112"/>
      <c r="U568" s="56" t="s">
        <v>953</v>
      </c>
      <c r="V568" s="105" t="s">
        <v>925</v>
      </c>
    </row>
    <row r="569" spans="1:24" s="1" customFormat="1" ht="17.25" x14ac:dyDescent="0.3">
      <c r="A569" s="40">
        <v>14124158</v>
      </c>
      <c r="B569" s="40" t="s">
        <v>1983</v>
      </c>
      <c r="C569" s="41" t="s">
        <v>2576</v>
      </c>
      <c r="D569" s="42" t="s">
        <v>3</v>
      </c>
      <c r="E569" s="43" t="s">
        <v>581</v>
      </c>
      <c r="F569" s="43" t="s">
        <v>582</v>
      </c>
      <c r="G569" s="44">
        <v>95</v>
      </c>
      <c r="H569" s="43" t="s">
        <v>583</v>
      </c>
      <c r="I569" s="45" t="s">
        <v>583</v>
      </c>
      <c r="J569" s="45" t="s">
        <v>587</v>
      </c>
      <c r="K569" s="126">
        <v>0</v>
      </c>
      <c r="L569" s="126">
        <v>0</v>
      </c>
      <c r="M569" s="126"/>
      <c r="N569" s="126">
        <v>0</v>
      </c>
      <c r="O569" s="126">
        <v>0</v>
      </c>
      <c r="P569" s="132"/>
      <c r="Q569" s="133"/>
      <c r="R569" s="132"/>
      <c r="S569" s="46">
        <v>0</v>
      </c>
      <c r="T569" s="112"/>
      <c r="U569" s="56" t="s">
        <v>585</v>
      </c>
      <c r="V569" s="105" t="s">
        <v>585</v>
      </c>
      <c r="X569" s="127"/>
    </row>
    <row r="570" spans="1:24" s="1" customFormat="1" ht="17.25" x14ac:dyDescent="0.3">
      <c r="A570" s="39">
        <v>14124159</v>
      </c>
      <c r="B570" s="48" t="s">
        <v>2389</v>
      </c>
      <c r="C570" s="41" t="s">
        <v>2576</v>
      </c>
      <c r="D570" s="42" t="s">
        <v>3</v>
      </c>
      <c r="E570" s="43" t="s">
        <v>581</v>
      </c>
      <c r="F570" s="43" t="s">
        <v>582</v>
      </c>
      <c r="G570" s="44">
        <v>89</v>
      </c>
      <c r="H570" s="43" t="s">
        <v>585</v>
      </c>
      <c r="I570" s="45" t="s">
        <v>1051</v>
      </c>
      <c r="J570" s="45" t="s">
        <v>561</v>
      </c>
      <c r="K570" s="126">
        <v>134.18</v>
      </c>
      <c r="L570" s="126">
        <v>134.18</v>
      </c>
      <c r="M570" s="126"/>
      <c r="N570" s="126">
        <v>0</v>
      </c>
      <c r="O570" s="126">
        <v>0</v>
      </c>
      <c r="P570" s="145"/>
      <c r="Q570" s="146"/>
      <c r="R570" s="148"/>
      <c r="S570" s="46">
        <v>268.36</v>
      </c>
      <c r="T570" s="112"/>
      <c r="U570" s="56" t="s">
        <v>953</v>
      </c>
      <c r="V570" s="105" t="s">
        <v>585</v>
      </c>
    </row>
    <row r="571" spans="1:24" s="1" customFormat="1" ht="17.25" x14ac:dyDescent="0.3">
      <c r="A571" s="40">
        <v>14124160</v>
      </c>
      <c r="B571" s="48" t="s">
        <v>1972</v>
      </c>
      <c r="C571" s="41" t="s">
        <v>2576</v>
      </c>
      <c r="D571" s="42" t="s">
        <v>3</v>
      </c>
      <c r="E571" s="43" t="s">
        <v>581</v>
      </c>
      <c r="F571" s="43" t="s">
        <v>582</v>
      </c>
      <c r="G571" s="44">
        <v>92</v>
      </c>
      <c r="H571" s="43" t="s">
        <v>583</v>
      </c>
      <c r="I571" s="45" t="s">
        <v>1051</v>
      </c>
      <c r="J571" s="45" t="s">
        <v>587</v>
      </c>
      <c r="K571" s="126">
        <v>134.18</v>
      </c>
      <c r="L571" s="126">
        <v>134.18</v>
      </c>
      <c r="M571" s="126"/>
      <c r="N571" s="126">
        <v>0</v>
      </c>
      <c r="O571" s="126">
        <v>0</v>
      </c>
      <c r="P571" s="132"/>
      <c r="Q571" s="133"/>
      <c r="R571" s="132"/>
      <c r="S571" s="46">
        <v>268.36</v>
      </c>
      <c r="T571" s="112"/>
      <c r="U571" s="56" t="s">
        <v>953</v>
      </c>
      <c r="V571" s="105" t="s">
        <v>925</v>
      </c>
    </row>
    <row r="572" spans="1:24" s="1" customFormat="1" ht="17.25" x14ac:dyDescent="0.3">
      <c r="A572" s="39">
        <v>14124161</v>
      </c>
      <c r="B572" s="40" t="s">
        <v>2031</v>
      </c>
      <c r="C572" s="41" t="s">
        <v>2576</v>
      </c>
      <c r="D572" s="42" t="s">
        <v>3</v>
      </c>
      <c r="E572" s="43" t="s">
        <v>581</v>
      </c>
      <c r="F572" s="43" t="s">
        <v>582</v>
      </c>
      <c r="G572" s="44">
        <v>93</v>
      </c>
      <c r="H572" s="43" t="s">
        <v>583</v>
      </c>
      <c r="I572" s="45" t="s">
        <v>1051</v>
      </c>
      <c r="J572" s="45" t="s">
        <v>561</v>
      </c>
      <c r="K572" s="126">
        <v>134.18</v>
      </c>
      <c r="L572" s="126">
        <v>134.18</v>
      </c>
      <c r="M572" s="126"/>
      <c r="N572" s="126">
        <v>0</v>
      </c>
      <c r="O572" s="126">
        <v>0</v>
      </c>
      <c r="P572" s="152"/>
      <c r="Q572" s="153"/>
      <c r="R572" s="156"/>
      <c r="S572" s="46">
        <v>268.36</v>
      </c>
      <c r="T572" s="112"/>
      <c r="U572" s="56" t="s">
        <v>953</v>
      </c>
      <c r="V572" s="105" t="s">
        <v>585</v>
      </c>
    </row>
    <row r="573" spans="1:24" s="1" customFormat="1" ht="17.25" x14ac:dyDescent="0.3">
      <c r="A573" s="39">
        <v>14124162</v>
      </c>
      <c r="B573" s="48" t="s">
        <v>1998</v>
      </c>
      <c r="C573" s="41" t="s">
        <v>2576</v>
      </c>
      <c r="D573" s="42" t="s">
        <v>3</v>
      </c>
      <c r="E573" s="43" t="s">
        <v>581</v>
      </c>
      <c r="F573" s="43" t="s">
        <v>582</v>
      </c>
      <c r="G573" s="44">
        <v>94</v>
      </c>
      <c r="H573" s="43" t="s">
        <v>583</v>
      </c>
      <c r="I573" s="45" t="s">
        <v>583</v>
      </c>
      <c r="J573" s="45" t="s">
        <v>561</v>
      </c>
      <c r="K573" s="126">
        <v>134.18</v>
      </c>
      <c r="L573" s="126">
        <v>134.18</v>
      </c>
      <c r="M573" s="126"/>
      <c r="N573" s="126">
        <v>200</v>
      </c>
      <c r="O573" s="126">
        <v>177.44</v>
      </c>
      <c r="P573" s="132"/>
      <c r="Q573" s="133"/>
      <c r="R573" s="147"/>
      <c r="S573" s="46">
        <v>645.79999999999995</v>
      </c>
      <c r="T573" s="112"/>
      <c r="U573" s="56" t="s">
        <v>953</v>
      </c>
      <c r="V573" s="105" t="s">
        <v>925</v>
      </c>
    </row>
    <row r="574" spans="1:24" s="1" customFormat="1" ht="17.25" x14ac:dyDescent="0.3">
      <c r="A574" s="39">
        <v>14124164</v>
      </c>
      <c r="B574" s="48" t="s">
        <v>1966</v>
      </c>
      <c r="C574" s="41" t="s">
        <v>2576</v>
      </c>
      <c r="D574" s="42" t="s">
        <v>3</v>
      </c>
      <c r="E574" s="43" t="s">
        <v>581</v>
      </c>
      <c r="F574" s="43" t="s">
        <v>582</v>
      </c>
      <c r="G574" s="44">
        <v>92</v>
      </c>
      <c r="H574" s="43" t="s">
        <v>583</v>
      </c>
      <c r="I574" s="45" t="s">
        <v>1051</v>
      </c>
      <c r="J574" s="45" t="s">
        <v>561</v>
      </c>
      <c r="K574" s="126">
        <v>134.18</v>
      </c>
      <c r="L574" s="126">
        <v>134.18</v>
      </c>
      <c r="M574" s="126"/>
      <c r="N574" s="126">
        <v>0</v>
      </c>
      <c r="O574" s="126">
        <v>0</v>
      </c>
      <c r="P574" s="145"/>
      <c r="Q574" s="146"/>
      <c r="R574" s="147"/>
      <c r="S574" s="46">
        <v>268.36</v>
      </c>
      <c r="T574" s="112"/>
      <c r="U574" s="56" t="s">
        <v>953</v>
      </c>
      <c r="V574" s="105" t="s">
        <v>585</v>
      </c>
    </row>
    <row r="575" spans="1:24" s="1" customFormat="1" ht="17.25" x14ac:dyDescent="0.3">
      <c r="A575" s="39">
        <v>14124165</v>
      </c>
      <c r="B575" s="48" t="s">
        <v>1923</v>
      </c>
      <c r="C575" s="41" t="s">
        <v>2576</v>
      </c>
      <c r="D575" s="42" t="s">
        <v>3</v>
      </c>
      <c r="E575" s="43" t="s">
        <v>581</v>
      </c>
      <c r="F575" s="43" t="s">
        <v>582</v>
      </c>
      <c r="G575" s="44">
        <v>94</v>
      </c>
      <c r="H575" s="43" t="s">
        <v>583</v>
      </c>
      <c r="I575" s="45" t="s">
        <v>583</v>
      </c>
      <c r="J575" s="45" t="s">
        <v>561</v>
      </c>
      <c r="K575" s="126">
        <v>134.18</v>
      </c>
      <c r="L575" s="126">
        <v>134.18</v>
      </c>
      <c r="M575" s="126"/>
      <c r="N575" s="126">
        <v>200</v>
      </c>
      <c r="O575" s="126">
        <v>177.44</v>
      </c>
      <c r="P575" s="132"/>
      <c r="Q575" s="133"/>
      <c r="R575" s="147"/>
      <c r="S575" s="46">
        <v>645.79999999999995</v>
      </c>
      <c r="T575" s="112"/>
      <c r="U575" s="56" t="s">
        <v>953</v>
      </c>
      <c r="V575" s="105" t="s">
        <v>925</v>
      </c>
    </row>
    <row r="576" spans="1:24" s="1" customFormat="1" ht="17.25" x14ac:dyDescent="0.3">
      <c r="A576" s="39">
        <v>14124166</v>
      </c>
      <c r="B576" s="48" t="s">
        <v>1963</v>
      </c>
      <c r="C576" s="41" t="s">
        <v>2576</v>
      </c>
      <c r="D576" s="42" t="s">
        <v>3</v>
      </c>
      <c r="E576" s="43" t="s">
        <v>581</v>
      </c>
      <c r="F576" s="43" t="s">
        <v>582</v>
      </c>
      <c r="G576" s="44">
        <v>95</v>
      </c>
      <c r="H576" s="43" t="s">
        <v>583</v>
      </c>
      <c r="I576" s="45" t="s">
        <v>583</v>
      </c>
      <c r="J576" s="45" t="s">
        <v>561</v>
      </c>
      <c r="K576" s="126">
        <v>134.18</v>
      </c>
      <c r="L576" s="126">
        <v>134.18</v>
      </c>
      <c r="M576" s="126"/>
      <c r="N576" s="126">
        <v>200</v>
      </c>
      <c r="O576" s="126">
        <v>177.44</v>
      </c>
      <c r="P576" s="132"/>
      <c r="Q576" s="133"/>
      <c r="R576" s="148"/>
      <c r="S576" s="46">
        <v>645.79999999999995</v>
      </c>
      <c r="T576" s="112"/>
      <c r="U576" s="56" t="s">
        <v>953</v>
      </c>
      <c r="V576" s="105" t="s">
        <v>585</v>
      </c>
    </row>
    <row r="577" spans="1:24" s="1" customFormat="1" ht="17.25" x14ac:dyDescent="0.3">
      <c r="A577" s="48">
        <v>14124185</v>
      </c>
      <c r="B577" s="40" t="s">
        <v>2018</v>
      </c>
      <c r="C577" s="41" t="s">
        <v>2577</v>
      </c>
      <c r="D577" s="42" t="s">
        <v>3</v>
      </c>
      <c r="E577" s="43" t="s">
        <v>581</v>
      </c>
      <c r="F577" s="43" t="s">
        <v>582</v>
      </c>
      <c r="G577" s="44">
        <v>95</v>
      </c>
      <c r="H577" s="43" t="s">
        <v>583</v>
      </c>
      <c r="I577" s="45" t="s">
        <v>1051</v>
      </c>
      <c r="J577" s="45" t="s">
        <v>561</v>
      </c>
      <c r="K577" s="126">
        <v>134.18</v>
      </c>
      <c r="L577" s="126">
        <v>134.18</v>
      </c>
      <c r="M577" s="126"/>
      <c r="N577" s="126">
        <v>0</v>
      </c>
      <c r="O577" s="126">
        <v>0</v>
      </c>
      <c r="P577" s="132"/>
      <c r="Q577" s="133"/>
      <c r="R577" s="132"/>
      <c r="S577" s="46">
        <v>268.36</v>
      </c>
      <c r="T577" s="112"/>
      <c r="U577" s="56" t="s">
        <v>953</v>
      </c>
      <c r="V577" s="105" t="s">
        <v>585</v>
      </c>
    </row>
    <row r="578" spans="1:24" s="18" customFormat="1" ht="17.25" x14ac:dyDescent="0.3">
      <c r="A578" s="48">
        <v>14124186</v>
      </c>
      <c r="B578" s="40" t="s">
        <v>2021</v>
      </c>
      <c r="C578" s="41" t="s">
        <v>2577</v>
      </c>
      <c r="D578" s="42" t="s">
        <v>3</v>
      </c>
      <c r="E578" s="43" t="s">
        <v>581</v>
      </c>
      <c r="F578" s="43" t="s">
        <v>582</v>
      </c>
      <c r="G578" s="44">
        <v>95</v>
      </c>
      <c r="H578" s="43" t="s">
        <v>583</v>
      </c>
      <c r="I578" s="45" t="s">
        <v>583</v>
      </c>
      <c r="J578" s="45" t="s">
        <v>561</v>
      </c>
      <c r="K578" s="126">
        <v>134.18</v>
      </c>
      <c r="L578" s="126">
        <v>134.18</v>
      </c>
      <c r="M578" s="126"/>
      <c r="N578" s="126">
        <v>200</v>
      </c>
      <c r="O578" s="126">
        <v>177.44</v>
      </c>
      <c r="P578" s="132"/>
      <c r="Q578" s="133"/>
      <c r="R578" s="132"/>
      <c r="S578" s="46">
        <v>645.79999999999995</v>
      </c>
      <c r="T578" s="112"/>
      <c r="U578" s="56" t="s">
        <v>953</v>
      </c>
      <c r="V578" s="105" t="s">
        <v>585</v>
      </c>
    </row>
    <row r="579" spans="1:24" s="18" customFormat="1" ht="17.25" x14ac:dyDescent="0.3">
      <c r="A579" s="40">
        <v>14124187</v>
      </c>
      <c r="B579" s="40" t="s">
        <v>2022</v>
      </c>
      <c r="C579" s="41" t="s">
        <v>2577</v>
      </c>
      <c r="D579" s="42" t="s">
        <v>3</v>
      </c>
      <c r="E579" s="43" t="s">
        <v>581</v>
      </c>
      <c r="F579" s="43" t="s">
        <v>582</v>
      </c>
      <c r="G579" s="44">
        <v>91</v>
      </c>
      <c r="H579" s="43" t="s">
        <v>583</v>
      </c>
      <c r="I579" s="45" t="s">
        <v>1051</v>
      </c>
      <c r="J579" s="45" t="s">
        <v>561</v>
      </c>
      <c r="K579" s="126">
        <v>134.18</v>
      </c>
      <c r="L579" s="126">
        <v>134.18</v>
      </c>
      <c r="M579" s="126"/>
      <c r="N579" s="126">
        <v>0</v>
      </c>
      <c r="O579" s="126">
        <v>0</v>
      </c>
      <c r="P579" s="132"/>
      <c r="Q579" s="133"/>
      <c r="R579" s="132"/>
      <c r="S579" s="46">
        <v>268.36</v>
      </c>
      <c r="T579" s="112"/>
      <c r="U579" s="56" t="s">
        <v>953</v>
      </c>
      <c r="V579" s="105" t="s">
        <v>585</v>
      </c>
    </row>
    <row r="580" spans="1:24" s="1" customFormat="1" ht="17.25" x14ac:dyDescent="0.3">
      <c r="A580" s="40">
        <v>14124188</v>
      </c>
      <c r="B580" s="48" t="s">
        <v>2016</v>
      </c>
      <c r="C580" s="41" t="s">
        <v>2577</v>
      </c>
      <c r="D580" s="42" t="s">
        <v>3</v>
      </c>
      <c r="E580" s="43" t="s">
        <v>581</v>
      </c>
      <c r="F580" s="43" t="s">
        <v>582</v>
      </c>
      <c r="G580" s="44">
        <v>91</v>
      </c>
      <c r="H580" s="43" t="s">
        <v>583</v>
      </c>
      <c r="I580" s="45" t="s">
        <v>1051</v>
      </c>
      <c r="J580" s="45" t="s">
        <v>561</v>
      </c>
      <c r="K580" s="126">
        <v>134.18</v>
      </c>
      <c r="L580" s="126">
        <v>134.18</v>
      </c>
      <c r="M580" s="126"/>
      <c r="N580" s="126">
        <v>0</v>
      </c>
      <c r="O580" s="126">
        <v>0</v>
      </c>
      <c r="P580" s="132"/>
      <c r="Q580" s="133"/>
      <c r="R580" s="132"/>
      <c r="S580" s="46">
        <v>268.36</v>
      </c>
      <c r="T580" s="112"/>
      <c r="U580" s="56" t="s">
        <v>953</v>
      </c>
      <c r="V580" s="105" t="s">
        <v>585</v>
      </c>
    </row>
    <row r="581" spans="1:24" s="1" customFormat="1" ht="17.25" x14ac:dyDescent="0.3">
      <c r="A581" s="40">
        <v>14124189</v>
      </c>
      <c r="B581" s="48" t="s">
        <v>2390</v>
      </c>
      <c r="C581" s="41" t="s">
        <v>2577</v>
      </c>
      <c r="D581" s="42" t="s">
        <v>3</v>
      </c>
      <c r="E581" s="43" t="s">
        <v>581</v>
      </c>
      <c r="F581" s="43" t="s">
        <v>582</v>
      </c>
      <c r="G581" s="44">
        <v>94</v>
      </c>
      <c r="H581" s="43" t="s">
        <v>583</v>
      </c>
      <c r="I581" s="45" t="s">
        <v>1051</v>
      </c>
      <c r="J581" s="45" t="s">
        <v>561</v>
      </c>
      <c r="K581" s="126">
        <v>134.18</v>
      </c>
      <c r="L581" s="126">
        <v>134.18</v>
      </c>
      <c r="M581" s="126"/>
      <c r="N581" s="126">
        <v>0</v>
      </c>
      <c r="O581" s="126">
        <v>0</v>
      </c>
      <c r="P581" s="132"/>
      <c r="Q581" s="133"/>
      <c r="R581" s="132"/>
      <c r="S581" s="46">
        <v>268.36</v>
      </c>
      <c r="T581" s="112"/>
      <c r="U581" s="56" t="s">
        <v>953</v>
      </c>
      <c r="V581" s="105" t="s">
        <v>585</v>
      </c>
    </row>
    <row r="582" spans="1:24" s="1" customFormat="1" ht="17.25" x14ac:dyDescent="0.3">
      <c r="A582" s="40">
        <v>14124190</v>
      </c>
      <c r="B582" s="40" t="s">
        <v>2027</v>
      </c>
      <c r="C582" s="41" t="s">
        <v>2577</v>
      </c>
      <c r="D582" s="42" t="s">
        <v>3</v>
      </c>
      <c r="E582" s="43" t="s">
        <v>581</v>
      </c>
      <c r="F582" s="43" t="s">
        <v>740</v>
      </c>
      <c r="G582" s="44">
        <v>88</v>
      </c>
      <c r="H582" s="43" t="s">
        <v>585</v>
      </c>
      <c r="I582" s="45" t="s">
        <v>1051</v>
      </c>
      <c r="J582" s="45" t="s">
        <v>561</v>
      </c>
      <c r="K582" s="126">
        <v>134.18</v>
      </c>
      <c r="L582" s="126">
        <v>0</v>
      </c>
      <c r="M582" s="126"/>
      <c r="N582" s="126">
        <v>0</v>
      </c>
      <c r="O582" s="126">
        <v>0</v>
      </c>
      <c r="P582" s="152"/>
      <c r="Q582" s="153"/>
      <c r="R582" s="152"/>
      <c r="S582" s="46">
        <v>134.18</v>
      </c>
      <c r="T582" s="112"/>
      <c r="U582" s="56" t="s">
        <v>953</v>
      </c>
      <c r="V582" s="105" t="s">
        <v>585</v>
      </c>
    </row>
    <row r="583" spans="1:24" ht="17.25" x14ac:dyDescent="0.3">
      <c r="A583" s="48">
        <v>14124206</v>
      </c>
      <c r="B583" s="48" t="s">
        <v>2391</v>
      </c>
      <c r="C583" s="41" t="s">
        <v>2578</v>
      </c>
      <c r="D583" s="42" t="s">
        <v>3</v>
      </c>
      <c r="E583" s="43" t="s">
        <v>581</v>
      </c>
      <c r="F583" s="43" t="s">
        <v>582</v>
      </c>
      <c r="G583" s="44">
        <v>91</v>
      </c>
      <c r="H583" s="43" t="s">
        <v>583</v>
      </c>
      <c r="I583" s="45" t="s">
        <v>583</v>
      </c>
      <c r="J583" s="45" t="s">
        <v>561</v>
      </c>
      <c r="K583" s="126">
        <v>134.18</v>
      </c>
      <c r="L583" s="126">
        <v>134.18</v>
      </c>
      <c r="M583" s="126"/>
      <c r="N583" s="126">
        <v>200</v>
      </c>
      <c r="O583" s="126">
        <v>177.44</v>
      </c>
      <c r="P583" s="132"/>
      <c r="Q583" s="133"/>
      <c r="R583" s="132"/>
      <c r="S583" s="46">
        <v>645.79999999999995</v>
      </c>
      <c r="T583" s="112"/>
      <c r="U583" s="56" t="s">
        <v>953</v>
      </c>
      <c r="V583" s="105" t="s">
        <v>585</v>
      </c>
    </row>
    <row r="584" spans="1:24" customFormat="1" ht="17.25" x14ac:dyDescent="0.3">
      <c r="A584" s="48">
        <v>14124240</v>
      </c>
      <c r="B584" s="48" t="s">
        <v>1877</v>
      </c>
      <c r="C584" s="41" t="s">
        <v>2574</v>
      </c>
      <c r="D584" s="42" t="s">
        <v>3</v>
      </c>
      <c r="E584" s="43" t="s">
        <v>581</v>
      </c>
      <c r="F584" s="43" t="s">
        <v>582</v>
      </c>
      <c r="G584" s="44">
        <v>94</v>
      </c>
      <c r="H584" s="43" t="s">
        <v>583</v>
      </c>
      <c r="I584" s="45" t="s">
        <v>1051</v>
      </c>
      <c r="J584" s="45" t="s">
        <v>587</v>
      </c>
      <c r="K584" s="126">
        <v>134.18</v>
      </c>
      <c r="L584" s="126">
        <v>134.18</v>
      </c>
      <c r="M584" s="126"/>
      <c r="N584" s="126">
        <v>0</v>
      </c>
      <c r="O584" s="126">
        <v>0</v>
      </c>
      <c r="P584" s="132"/>
      <c r="Q584" s="133"/>
      <c r="R584" s="132"/>
      <c r="S584" s="46">
        <v>268.36</v>
      </c>
      <c r="T584" s="112"/>
      <c r="U584" s="56" t="s">
        <v>953</v>
      </c>
      <c r="V584" s="105" t="s">
        <v>585</v>
      </c>
    </row>
    <row r="585" spans="1:24" ht="17.25" x14ac:dyDescent="0.3">
      <c r="A585" s="40">
        <v>14124243</v>
      </c>
      <c r="B585" s="48" t="s">
        <v>2392</v>
      </c>
      <c r="C585" s="41" t="s">
        <v>2579</v>
      </c>
      <c r="D585" s="42" t="s">
        <v>3</v>
      </c>
      <c r="E585" s="43" t="s">
        <v>581</v>
      </c>
      <c r="F585" s="43" t="s">
        <v>582</v>
      </c>
      <c r="G585" s="44">
        <v>93</v>
      </c>
      <c r="H585" s="43" t="s">
        <v>583</v>
      </c>
      <c r="I585" s="45" t="s">
        <v>583</v>
      </c>
      <c r="J585" s="45" t="s">
        <v>561</v>
      </c>
      <c r="K585" s="126">
        <v>134.18</v>
      </c>
      <c r="L585" s="126">
        <v>134.18</v>
      </c>
      <c r="M585" s="126"/>
      <c r="N585" s="126">
        <v>200</v>
      </c>
      <c r="O585" s="126">
        <v>177.44</v>
      </c>
      <c r="P585" s="132"/>
      <c r="Q585" s="133"/>
      <c r="R585" s="132"/>
      <c r="S585" s="46">
        <v>645.79999999999995</v>
      </c>
      <c r="T585" s="112"/>
      <c r="U585" s="56" t="s">
        <v>953</v>
      </c>
      <c r="V585" s="105" t="s">
        <v>585</v>
      </c>
    </row>
    <row r="586" spans="1:24" ht="17.25" x14ac:dyDescent="0.3">
      <c r="A586" s="40">
        <v>14124244</v>
      </c>
      <c r="B586" s="48" t="s">
        <v>2393</v>
      </c>
      <c r="C586" s="41" t="s">
        <v>2579</v>
      </c>
      <c r="D586" s="42" t="s">
        <v>3</v>
      </c>
      <c r="E586" s="43" t="s">
        <v>2035</v>
      </c>
      <c r="F586" s="43" t="s">
        <v>582</v>
      </c>
      <c r="G586" s="44">
        <v>95</v>
      </c>
      <c r="H586" s="43" t="s">
        <v>583</v>
      </c>
      <c r="I586" s="45" t="s">
        <v>583</v>
      </c>
      <c r="J586" s="45" t="s">
        <v>561</v>
      </c>
      <c r="K586" s="126">
        <v>0</v>
      </c>
      <c r="L586" s="126">
        <v>134.18</v>
      </c>
      <c r="M586" s="126"/>
      <c r="N586" s="126">
        <v>200</v>
      </c>
      <c r="O586" s="126">
        <v>177.44</v>
      </c>
      <c r="P586" s="132"/>
      <c r="Q586" s="133"/>
      <c r="R586" s="132"/>
      <c r="S586" s="46">
        <v>511.62</v>
      </c>
      <c r="T586" s="112"/>
      <c r="U586" s="56" t="s">
        <v>953</v>
      </c>
      <c r="V586" s="105" t="s">
        <v>585</v>
      </c>
    </row>
    <row r="587" spans="1:24" ht="17.25" x14ac:dyDescent="0.3">
      <c r="A587" s="40">
        <v>14124254</v>
      </c>
      <c r="B587" s="40" t="s">
        <v>2396</v>
      </c>
      <c r="C587" s="41" t="s">
        <v>2574</v>
      </c>
      <c r="D587" s="42" t="s">
        <v>3</v>
      </c>
      <c r="E587" s="43" t="s">
        <v>581</v>
      </c>
      <c r="F587" s="43" t="s">
        <v>582</v>
      </c>
      <c r="G587" s="44">
        <v>93</v>
      </c>
      <c r="H587" s="43" t="s">
        <v>583</v>
      </c>
      <c r="I587" s="45" t="s">
        <v>583</v>
      </c>
      <c r="J587" s="45" t="s">
        <v>561</v>
      </c>
      <c r="K587" s="126">
        <v>134.18</v>
      </c>
      <c r="L587" s="126">
        <v>134.18</v>
      </c>
      <c r="M587" s="126"/>
      <c r="N587" s="126">
        <v>200</v>
      </c>
      <c r="O587" s="126">
        <v>177.44</v>
      </c>
      <c r="P587" s="132"/>
      <c r="Q587" s="133"/>
      <c r="R587" s="132"/>
      <c r="S587" s="46">
        <v>645.79999999999995</v>
      </c>
      <c r="T587" s="112"/>
      <c r="U587" s="56" t="s">
        <v>953</v>
      </c>
      <c r="V587" s="105" t="s">
        <v>585</v>
      </c>
      <c r="X587" s="127"/>
    </row>
    <row r="588" spans="1:24" ht="17.25" x14ac:dyDescent="0.3">
      <c r="A588" s="48">
        <v>14124260</v>
      </c>
      <c r="B588" s="48" t="s">
        <v>2397</v>
      </c>
      <c r="C588" s="41" t="s">
        <v>2580</v>
      </c>
      <c r="D588" s="42" t="s">
        <v>3</v>
      </c>
      <c r="E588" s="43" t="s">
        <v>581</v>
      </c>
      <c r="F588" s="43" t="s">
        <v>582</v>
      </c>
      <c r="G588" s="44">
        <v>94</v>
      </c>
      <c r="H588" s="43" t="s">
        <v>583</v>
      </c>
      <c r="I588" s="45" t="s">
        <v>583</v>
      </c>
      <c r="J588" s="45" t="s">
        <v>561</v>
      </c>
      <c r="K588" s="126">
        <v>134.18</v>
      </c>
      <c r="L588" s="126">
        <v>134.18</v>
      </c>
      <c r="M588" s="126"/>
      <c r="N588" s="126">
        <v>200</v>
      </c>
      <c r="O588" s="126">
        <v>177.44</v>
      </c>
      <c r="P588" s="132"/>
      <c r="Q588" s="133"/>
      <c r="R588" s="132"/>
      <c r="S588" s="46">
        <v>645.79999999999995</v>
      </c>
      <c r="T588" s="112"/>
      <c r="U588" s="56" t="s">
        <v>953</v>
      </c>
      <c r="V588" s="105" t="s">
        <v>585</v>
      </c>
    </row>
    <row r="589" spans="1:24" ht="17.25" x14ac:dyDescent="0.3">
      <c r="A589" s="48">
        <v>14124261</v>
      </c>
      <c r="B589" s="48" t="s">
        <v>2398</v>
      </c>
      <c r="C589" s="41" t="s">
        <v>2580</v>
      </c>
      <c r="D589" s="42" t="s">
        <v>3</v>
      </c>
      <c r="E589" s="43" t="s">
        <v>581</v>
      </c>
      <c r="F589" s="43" t="s">
        <v>582</v>
      </c>
      <c r="G589" s="44">
        <v>94</v>
      </c>
      <c r="H589" s="43" t="s">
        <v>583</v>
      </c>
      <c r="I589" s="45" t="s">
        <v>1051</v>
      </c>
      <c r="J589" s="45" t="s">
        <v>561</v>
      </c>
      <c r="K589" s="126">
        <v>134.18</v>
      </c>
      <c r="L589" s="126">
        <v>134.18</v>
      </c>
      <c r="M589" s="126"/>
      <c r="N589" s="126">
        <v>0</v>
      </c>
      <c r="O589" s="126">
        <v>0</v>
      </c>
      <c r="P589" s="132"/>
      <c r="Q589" s="133"/>
      <c r="R589" s="132"/>
      <c r="S589" s="46">
        <v>268.36</v>
      </c>
      <c r="T589" s="112"/>
      <c r="U589" s="56" t="s">
        <v>953</v>
      </c>
      <c r="V589" s="105" t="s">
        <v>585</v>
      </c>
    </row>
    <row r="590" spans="1:24" ht="17.25" x14ac:dyDescent="0.3">
      <c r="A590" s="40">
        <v>14124263</v>
      </c>
      <c r="B590" s="48" t="s">
        <v>2400</v>
      </c>
      <c r="C590" s="41" t="s">
        <v>2580</v>
      </c>
      <c r="D590" s="42" t="s">
        <v>3</v>
      </c>
      <c r="E590" s="43" t="s">
        <v>581</v>
      </c>
      <c r="F590" s="43" t="s">
        <v>582</v>
      </c>
      <c r="G590" s="44">
        <v>93</v>
      </c>
      <c r="H590" s="43" t="s">
        <v>583</v>
      </c>
      <c r="I590" s="45" t="s">
        <v>1051</v>
      </c>
      <c r="J590" s="45" t="s">
        <v>561</v>
      </c>
      <c r="K590" s="126">
        <v>134.18</v>
      </c>
      <c r="L590" s="126">
        <v>134.18</v>
      </c>
      <c r="M590" s="126"/>
      <c r="N590" s="126">
        <v>0</v>
      </c>
      <c r="O590" s="126">
        <v>0</v>
      </c>
      <c r="P590" s="132"/>
      <c r="Q590" s="133"/>
      <c r="R590" s="132"/>
      <c r="S590" s="46">
        <v>268.36</v>
      </c>
      <c r="T590" s="112"/>
      <c r="U590" s="56" t="s">
        <v>953</v>
      </c>
      <c r="V590" s="105" t="s">
        <v>585</v>
      </c>
      <c r="X590" s="127"/>
    </row>
    <row r="591" spans="1:24" ht="17.25" x14ac:dyDescent="0.3">
      <c r="A591" s="40">
        <v>14124286</v>
      </c>
      <c r="B591" s="48" t="s">
        <v>2401</v>
      </c>
      <c r="C591" s="41" t="s">
        <v>2581</v>
      </c>
      <c r="D591" s="42" t="s">
        <v>3</v>
      </c>
      <c r="E591" s="43" t="s">
        <v>581</v>
      </c>
      <c r="F591" s="43" t="s">
        <v>582</v>
      </c>
      <c r="G591" s="44">
        <v>93</v>
      </c>
      <c r="H591" s="43" t="s">
        <v>583</v>
      </c>
      <c r="I591" s="45" t="s">
        <v>583</v>
      </c>
      <c r="J591" s="45" t="s">
        <v>561</v>
      </c>
      <c r="K591" s="126">
        <v>134.18</v>
      </c>
      <c r="L591" s="126">
        <v>134.18</v>
      </c>
      <c r="M591" s="126"/>
      <c r="N591" s="126">
        <v>200</v>
      </c>
      <c r="O591" s="126">
        <v>177.44</v>
      </c>
      <c r="P591" s="132"/>
      <c r="Q591" s="133"/>
      <c r="R591" s="132"/>
      <c r="S591" s="46">
        <v>645.79999999999995</v>
      </c>
      <c r="T591" s="112"/>
      <c r="U591" s="56" t="s">
        <v>953</v>
      </c>
      <c r="V591" s="105" t="s">
        <v>585</v>
      </c>
    </row>
    <row r="592" spans="1:24" ht="17.25" x14ac:dyDescent="0.3">
      <c r="A592" s="114">
        <v>14124287</v>
      </c>
      <c r="B592" s="114" t="s">
        <v>2402</v>
      </c>
      <c r="C592" s="115" t="s">
        <v>2581</v>
      </c>
      <c r="D592" s="42" t="s">
        <v>3</v>
      </c>
      <c r="E592" s="43" t="s">
        <v>581</v>
      </c>
      <c r="F592" s="43" t="s">
        <v>582</v>
      </c>
      <c r="G592" s="44">
        <v>95</v>
      </c>
      <c r="H592" s="43" t="s">
        <v>583</v>
      </c>
      <c r="I592" s="45" t="s">
        <v>583</v>
      </c>
      <c r="J592" s="45" t="s">
        <v>561</v>
      </c>
      <c r="K592" s="126">
        <v>134.18</v>
      </c>
      <c r="L592" s="126">
        <v>134.18</v>
      </c>
      <c r="M592" s="126"/>
      <c r="N592" s="126">
        <v>200</v>
      </c>
      <c r="O592" s="126">
        <v>177.44</v>
      </c>
      <c r="P592" s="132"/>
      <c r="Q592" s="133"/>
      <c r="R592" s="132"/>
      <c r="S592" s="46">
        <v>645.79999999999995</v>
      </c>
      <c r="T592" s="112"/>
      <c r="U592" s="56" t="s">
        <v>953</v>
      </c>
      <c r="V592" s="105" t="s">
        <v>585</v>
      </c>
      <c r="X592" s="127"/>
    </row>
    <row r="593" spans="1:24" ht="17.25" x14ac:dyDescent="0.3">
      <c r="A593" s="117">
        <v>14124303</v>
      </c>
      <c r="B593" s="117" t="s">
        <v>2403</v>
      </c>
      <c r="C593" s="115" t="s">
        <v>2581</v>
      </c>
      <c r="D593" s="42" t="s">
        <v>3</v>
      </c>
      <c r="E593" s="43" t="s">
        <v>581</v>
      </c>
      <c r="F593" s="43" t="s">
        <v>582</v>
      </c>
      <c r="G593" s="44">
        <v>95</v>
      </c>
      <c r="H593" s="43" t="s">
        <v>583</v>
      </c>
      <c r="I593" s="45" t="s">
        <v>583</v>
      </c>
      <c r="J593" s="45" t="s">
        <v>561</v>
      </c>
      <c r="K593" s="126">
        <v>134.18</v>
      </c>
      <c r="L593" s="126">
        <v>134.18</v>
      </c>
      <c r="M593" s="126"/>
      <c r="N593" s="126">
        <v>200</v>
      </c>
      <c r="O593" s="126">
        <v>177.44</v>
      </c>
      <c r="P593" s="132"/>
      <c r="Q593" s="133"/>
      <c r="R593" s="132"/>
      <c r="S593" s="46">
        <v>645.79999999999995</v>
      </c>
      <c r="T593" s="112"/>
      <c r="U593" s="56" t="s">
        <v>953</v>
      </c>
      <c r="V593" s="105" t="s">
        <v>585</v>
      </c>
      <c r="X593" s="127"/>
    </row>
    <row r="594" spans="1:24" ht="17.25" x14ac:dyDescent="0.3">
      <c r="A594" s="117">
        <v>14124320</v>
      </c>
      <c r="B594" s="117" t="s">
        <v>2404</v>
      </c>
      <c r="C594" s="115" t="s">
        <v>2582</v>
      </c>
      <c r="D594" s="42" t="s">
        <v>3</v>
      </c>
      <c r="E594" s="43" t="s">
        <v>581</v>
      </c>
      <c r="F594" s="43" t="s">
        <v>582</v>
      </c>
      <c r="G594" s="44">
        <v>95</v>
      </c>
      <c r="H594" s="43" t="s">
        <v>583</v>
      </c>
      <c r="I594" s="45" t="s">
        <v>583</v>
      </c>
      <c r="J594" s="45" t="s">
        <v>587</v>
      </c>
      <c r="K594" s="126">
        <v>134.18</v>
      </c>
      <c r="L594" s="126">
        <v>134.18</v>
      </c>
      <c r="M594" s="126"/>
      <c r="N594" s="126">
        <v>200</v>
      </c>
      <c r="O594" s="126">
        <v>0</v>
      </c>
      <c r="P594" s="132"/>
      <c r="Q594" s="133"/>
      <c r="R594" s="132"/>
      <c r="S594" s="46">
        <v>468.36</v>
      </c>
      <c r="T594" s="112"/>
      <c r="U594" s="56" t="s">
        <v>953</v>
      </c>
      <c r="V594" s="105" t="s">
        <v>585</v>
      </c>
    </row>
    <row r="595" spans="1:24" ht="17.25" x14ac:dyDescent="0.3">
      <c r="A595" s="117">
        <v>14124331</v>
      </c>
      <c r="B595" s="117" t="s">
        <v>2583</v>
      </c>
      <c r="C595" s="115" t="s">
        <v>2584</v>
      </c>
      <c r="D595" s="42" t="s">
        <v>3</v>
      </c>
      <c r="E595" s="43" t="s">
        <v>581</v>
      </c>
      <c r="F595" s="43" t="s">
        <v>582</v>
      </c>
      <c r="G595" s="44">
        <v>82</v>
      </c>
      <c r="H595" s="43" t="s">
        <v>585</v>
      </c>
      <c r="I595" s="45" t="s">
        <v>583</v>
      </c>
      <c r="J595" s="45" t="s">
        <v>587</v>
      </c>
      <c r="K595" s="126">
        <v>0</v>
      </c>
      <c r="L595" s="126">
        <v>0</v>
      </c>
      <c r="M595" s="126"/>
      <c r="N595" s="126">
        <v>0</v>
      </c>
      <c r="O595" s="126">
        <v>0</v>
      </c>
      <c r="P595" s="132"/>
      <c r="Q595" s="133"/>
      <c r="R595" s="132"/>
      <c r="S595" s="46">
        <v>0</v>
      </c>
      <c r="U595" s="56" t="s">
        <v>585</v>
      </c>
      <c r="V595" s="105" t="s">
        <v>585</v>
      </c>
      <c r="X595" s="127"/>
    </row>
    <row r="596" spans="1:24" ht="17.25" x14ac:dyDescent="0.3">
      <c r="A596" s="117">
        <v>14124334</v>
      </c>
      <c r="B596" s="117" t="s">
        <v>2538</v>
      </c>
      <c r="C596" s="115" t="s">
        <v>2585</v>
      </c>
      <c r="D596" s="42" t="s">
        <v>3</v>
      </c>
      <c r="E596" s="43" t="s">
        <v>581</v>
      </c>
      <c r="F596" s="43" t="s">
        <v>582</v>
      </c>
      <c r="G596" s="44">
        <v>92</v>
      </c>
      <c r="H596" s="43" t="s">
        <v>583</v>
      </c>
      <c r="I596" s="45" t="s">
        <v>583</v>
      </c>
      <c r="J596" s="45" t="s">
        <v>561</v>
      </c>
      <c r="K596" s="126">
        <v>134.18</v>
      </c>
      <c r="L596" s="126">
        <v>134.18</v>
      </c>
      <c r="M596" s="126"/>
      <c r="N596" s="126">
        <v>200</v>
      </c>
      <c r="O596" s="126">
        <v>177.44</v>
      </c>
      <c r="P596" s="132"/>
      <c r="Q596" s="133"/>
      <c r="R596" s="132"/>
      <c r="S596" s="46">
        <v>645.79999999999995</v>
      </c>
      <c r="U596" s="56" t="s">
        <v>953</v>
      </c>
      <c r="V596" s="105" t="s">
        <v>585</v>
      </c>
      <c r="X596" s="127"/>
    </row>
    <row r="597" spans="1:24" ht="17.25" x14ac:dyDescent="0.3">
      <c r="A597" s="117">
        <v>14124343</v>
      </c>
      <c r="B597" s="117" t="s">
        <v>2562</v>
      </c>
      <c r="C597" s="115" t="s">
        <v>2586</v>
      </c>
      <c r="D597" s="42" t="s">
        <v>3</v>
      </c>
      <c r="E597" s="43" t="s">
        <v>581</v>
      </c>
      <c r="F597" s="43" t="s">
        <v>582</v>
      </c>
      <c r="G597" s="44" t="s">
        <v>1609</v>
      </c>
      <c r="H597" s="43" t="s">
        <v>585</v>
      </c>
      <c r="I597" s="45" t="s">
        <v>583</v>
      </c>
      <c r="J597" s="45" t="s">
        <v>587</v>
      </c>
      <c r="K597" s="126">
        <v>0</v>
      </c>
      <c r="L597" s="126">
        <v>0</v>
      </c>
      <c r="M597" s="126"/>
      <c r="N597" s="126">
        <v>0</v>
      </c>
      <c r="O597" s="126">
        <v>0</v>
      </c>
      <c r="P597" s="132"/>
      <c r="Q597" s="133"/>
      <c r="R597" s="132"/>
      <c r="S597" s="46">
        <v>0</v>
      </c>
      <c r="U597" s="56" t="s">
        <v>585</v>
      </c>
      <c r="V597" s="105" t="s">
        <v>585</v>
      </c>
      <c r="X597" s="127"/>
    </row>
    <row r="598" spans="1:24" ht="17.25" x14ac:dyDescent="0.3">
      <c r="A598" s="117">
        <v>14124344</v>
      </c>
      <c r="B598" s="117" t="s">
        <v>2567</v>
      </c>
      <c r="C598" s="115" t="s">
        <v>2586</v>
      </c>
      <c r="D598" s="42" t="s">
        <v>3</v>
      </c>
      <c r="E598" s="43" t="s">
        <v>581</v>
      </c>
      <c r="F598" s="43" t="s">
        <v>582</v>
      </c>
      <c r="G598" s="44" t="s">
        <v>1609</v>
      </c>
      <c r="H598" s="43" t="s">
        <v>585</v>
      </c>
      <c r="I598" s="45" t="s">
        <v>583</v>
      </c>
      <c r="J598" s="45" t="s">
        <v>587</v>
      </c>
      <c r="K598" s="126">
        <v>0</v>
      </c>
      <c r="L598" s="126">
        <v>0</v>
      </c>
      <c r="M598" s="126"/>
      <c r="N598" s="126">
        <v>0</v>
      </c>
      <c r="O598" s="126">
        <v>0</v>
      </c>
      <c r="P598" s="132"/>
      <c r="Q598" s="133"/>
      <c r="R598" s="132"/>
      <c r="S598" s="46">
        <v>0</v>
      </c>
      <c r="U598" s="56" t="s">
        <v>585</v>
      </c>
      <c r="V598" s="105" t="s">
        <v>585</v>
      </c>
      <c r="X598" s="127"/>
    </row>
    <row r="599" spans="1:24" ht="17.25" x14ac:dyDescent="0.3">
      <c r="A599" s="117">
        <v>14124345</v>
      </c>
      <c r="B599" s="117" t="s">
        <v>2556</v>
      </c>
      <c r="C599" s="115" t="s">
        <v>2586</v>
      </c>
      <c r="D599" s="42" t="s">
        <v>3</v>
      </c>
      <c r="E599" s="43" t="s">
        <v>581</v>
      </c>
      <c r="F599" s="43" t="s">
        <v>582</v>
      </c>
      <c r="G599" s="44" t="s">
        <v>1609</v>
      </c>
      <c r="H599" s="43" t="s">
        <v>585</v>
      </c>
      <c r="I599" s="45" t="s">
        <v>583</v>
      </c>
      <c r="J599" s="45" t="s">
        <v>587</v>
      </c>
      <c r="K599" s="126">
        <v>0</v>
      </c>
      <c r="L599" s="126">
        <v>0</v>
      </c>
      <c r="M599" s="126"/>
      <c r="N599" s="126">
        <v>0</v>
      </c>
      <c r="O599" s="126">
        <v>0</v>
      </c>
      <c r="P599" s="132"/>
      <c r="Q599" s="133"/>
      <c r="R599" s="132"/>
      <c r="S599" s="46">
        <v>0</v>
      </c>
      <c r="U599" s="56" t="s">
        <v>585</v>
      </c>
      <c r="V599" s="105" t="s">
        <v>585</v>
      </c>
      <c r="X599" s="127"/>
    </row>
    <row r="600" spans="1:24" ht="17.25" x14ac:dyDescent="0.3">
      <c r="A600" s="117">
        <v>14124346</v>
      </c>
      <c r="B600" s="117" t="s">
        <v>2552</v>
      </c>
      <c r="C600" s="115" t="s">
        <v>2586</v>
      </c>
      <c r="D600" s="42" t="s">
        <v>3</v>
      </c>
      <c r="E600" s="43" t="s">
        <v>581</v>
      </c>
      <c r="F600" s="43" t="s">
        <v>582</v>
      </c>
      <c r="G600" s="44" t="s">
        <v>1609</v>
      </c>
      <c r="H600" s="43" t="s">
        <v>585</v>
      </c>
      <c r="I600" s="45" t="s">
        <v>583</v>
      </c>
      <c r="J600" s="45" t="s">
        <v>587</v>
      </c>
      <c r="K600" s="126">
        <v>0</v>
      </c>
      <c r="L600" s="126">
        <v>0</v>
      </c>
      <c r="M600" s="126"/>
      <c r="N600" s="126">
        <v>0</v>
      </c>
      <c r="O600" s="126">
        <v>0</v>
      </c>
      <c r="P600" s="132"/>
      <c r="Q600" s="133"/>
      <c r="R600" s="132"/>
      <c r="S600" s="46">
        <v>0</v>
      </c>
      <c r="U600" s="56" t="s">
        <v>585</v>
      </c>
      <c r="V600" s="105" t="s">
        <v>585</v>
      </c>
      <c r="X600" s="127"/>
    </row>
    <row r="601" spans="1:24" ht="17.25" x14ac:dyDescent="0.3">
      <c r="A601" s="117">
        <v>14124347</v>
      </c>
      <c r="B601" s="117" t="s">
        <v>2553</v>
      </c>
      <c r="C601" s="115" t="s">
        <v>2586</v>
      </c>
      <c r="D601" s="42" t="s">
        <v>3</v>
      </c>
      <c r="E601" s="43" t="s">
        <v>581</v>
      </c>
      <c r="F601" s="43" t="s">
        <v>582</v>
      </c>
      <c r="G601" s="44" t="s">
        <v>1609</v>
      </c>
      <c r="H601" s="43" t="s">
        <v>585</v>
      </c>
      <c r="I601" s="45" t="s">
        <v>583</v>
      </c>
      <c r="J601" s="45" t="s">
        <v>587</v>
      </c>
      <c r="K601" s="126">
        <v>0</v>
      </c>
      <c r="L601" s="126">
        <v>0</v>
      </c>
      <c r="M601" s="126"/>
      <c r="N601" s="126">
        <v>0</v>
      </c>
      <c r="O601" s="126">
        <v>0</v>
      </c>
      <c r="P601" s="132"/>
      <c r="Q601" s="133"/>
      <c r="R601" s="132"/>
      <c r="S601" s="46">
        <v>0</v>
      </c>
      <c r="U601" s="56" t="s">
        <v>585</v>
      </c>
      <c r="V601" s="105" t="s">
        <v>585</v>
      </c>
      <c r="X601" s="127"/>
    </row>
    <row r="602" spans="1:24" ht="17.25" x14ac:dyDescent="0.3">
      <c r="A602" s="117">
        <v>14124348</v>
      </c>
      <c r="B602" s="117" t="s">
        <v>2554</v>
      </c>
      <c r="C602" s="115" t="s">
        <v>2586</v>
      </c>
      <c r="D602" s="42" t="s">
        <v>3</v>
      </c>
      <c r="E602" s="43" t="s">
        <v>581</v>
      </c>
      <c r="F602" s="43" t="s">
        <v>582</v>
      </c>
      <c r="G602" s="44" t="s">
        <v>1609</v>
      </c>
      <c r="H602" s="43" t="s">
        <v>585</v>
      </c>
      <c r="I602" s="45" t="s">
        <v>583</v>
      </c>
      <c r="J602" s="45" t="s">
        <v>587</v>
      </c>
      <c r="K602" s="126">
        <v>0</v>
      </c>
      <c r="L602" s="126">
        <v>0</v>
      </c>
      <c r="M602" s="126"/>
      <c r="N602" s="126">
        <v>0</v>
      </c>
      <c r="O602" s="126">
        <v>0</v>
      </c>
      <c r="P602" s="132"/>
      <c r="Q602" s="133"/>
      <c r="R602" s="132"/>
      <c r="S602" s="46">
        <v>0</v>
      </c>
      <c r="U602" s="56" t="s">
        <v>585</v>
      </c>
      <c r="V602" s="105" t="s">
        <v>585</v>
      </c>
      <c r="X602" s="127"/>
    </row>
    <row r="603" spans="1:24" ht="17.25" x14ac:dyDescent="0.3">
      <c r="A603" s="157">
        <v>14124349</v>
      </c>
      <c r="B603" s="157" t="s">
        <v>2561</v>
      </c>
      <c r="C603" s="158" t="s">
        <v>2586</v>
      </c>
      <c r="D603" s="42" t="s">
        <v>3</v>
      </c>
      <c r="E603" s="43" t="s">
        <v>581</v>
      </c>
      <c r="F603" s="43" t="s">
        <v>582</v>
      </c>
      <c r="G603" s="44" t="s">
        <v>1609</v>
      </c>
      <c r="H603" s="43" t="s">
        <v>585</v>
      </c>
      <c r="I603" s="45" t="s">
        <v>583</v>
      </c>
      <c r="J603" s="45" t="s">
        <v>587</v>
      </c>
      <c r="K603" s="126">
        <v>0</v>
      </c>
      <c r="L603" s="126">
        <v>0</v>
      </c>
      <c r="M603" s="126"/>
      <c r="N603" s="126">
        <v>0</v>
      </c>
      <c r="O603" s="126">
        <v>0</v>
      </c>
      <c r="P603" s="152"/>
      <c r="Q603" s="153"/>
      <c r="R603" s="152"/>
      <c r="S603" s="46">
        <v>0</v>
      </c>
      <c r="U603" s="56" t="s">
        <v>585</v>
      </c>
      <c r="V603" s="105" t="s">
        <v>585</v>
      </c>
      <c r="X603" s="127"/>
    </row>
    <row r="604" spans="1:24" ht="17.25" x14ac:dyDescent="0.3">
      <c r="A604" s="117">
        <v>14124350</v>
      </c>
      <c r="B604" s="117" t="s">
        <v>2566</v>
      </c>
      <c r="C604" s="115" t="s">
        <v>2586</v>
      </c>
      <c r="D604" s="42" t="s">
        <v>3</v>
      </c>
      <c r="E604" s="43" t="s">
        <v>581</v>
      </c>
      <c r="F604" s="43" t="s">
        <v>582</v>
      </c>
      <c r="G604" s="44" t="s">
        <v>1609</v>
      </c>
      <c r="H604" s="43" t="s">
        <v>585</v>
      </c>
      <c r="I604" s="45" t="s">
        <v>583</v>
      </c>
      <c r="J604" s="45" t="s">
        <v>587</v>
      </c>
      <c r="K604" s="126">
        <v>0</v>
      </c>
      <c r="L604" s="126">
        <v>0</v>
      </c>
      <c r="M604" s="126"/>
      <c r="N604" s="126">
        <v>0</v>
      </c>
      <c r="O604" s="126">
        <v>0</v>
      </c>
      <c r="P604" s="132"/>
      <c r="Q604" s="133"/>
      <c r="R604" s="132"/>
      <c r="S604" s="46">
        <v>0</v>
      </c>
      <c r="U604" s="56" t="s">
        <v>585</v>
      </c>
      <c r="V604" s="105" t="s">
        <v>585</v>
      </c>
      <c r="X604" s="127"/>
    </row>
    <row r="605" spans="1:24" ht="17.25" x14ac:dyDescent="0.3">
      <c r="A605" s="129">
        <v>14124352</v>
      </c>
      <c r="B605" s="129" t="s">
        <v>2555</v>
      </c>
      <c r="C605" s="130" t="s">
        <v>2586</v>
      </c>
      <c r="D605" s="42" t="s">
        <v>3</v>
      </c>
      <c r="E605" s="43" t="s">
        <v>581</v>
      </c>
      <c r="F605" s="43" t="s">
        <v>582</v>
      </c>
      <c r="G605" s="44" t="s">
        <v>1609</v>
      </c>
      <c r="H605" s="43" t="s">
        <v>585</v>
      </c>
      <c r="I605" s="45" t="s">
        <v>583</v>
      </c>
      <c r="J605" s="45" t="s">
        <v>587</v>
      </c>
      <c r="K605" s="126">
        <v>134.18</v>
      </c>
      <c r="L605" s="126">
        <v>134.18</v>
      </c>
      <c r="M605" s="126"/>
      <c r="N605" s="126">
        <v>0</v>
      </c>
      <c r="O605" s="126">
        <v>0</v>
      </c>
      <c r="P605" s="132"/>
      <c r="Q605" s="133"/>
      <c r="R605" s="132"/>
      <c r="S605" s="46">
        <v>268.36</v>
      </c>
      <c r="U605" s="56" t="s">
        <v>953</v>
      </c>
      <c r="V605" s="105" t="s">
        <v>2034</v>
      </c>
    </row>
    <row r="606" spans="1:24" ht="17.25" x14ac:dyDescent="0.3">
      <c r="A606" s="129">
        <v>14124376</v>
      </c>
      <c r="B606" s="129" t="s">
        <v>2559</v>
      </c>
      <c r="C606" s="130" t="s">
        <v>2586</v>
      </c>
      <c r="D606" s="42" t="s">
        <v>3</v>
      </c>
      <c r="E606" s="43" t="s">
        <v>581</v>
      </c>
      <c r="F606" s="43" t="s">
        <v>582</v>
      </c>
      <c r="G606" s="44" t="s">
        <v>1609</v>
      </c>
      <c r="H606" s="43" t="s">
        <v>585</v>
      </c>
      <c r="I606" s="45" t="s">
        <v>583</v>
      </c>
      <c r="J606" s="45" t="s">
        <v>587</v>
      </c>
      <c r="K606" s="126">
        <v>134.18</v>
      </c>
      <c r="L606" s="126">
        <v>134.18</v>
      </c>
      <c r="M606" s="126"/>
      <c r="N606" s="126">
        <v>0</v>
      </c>
      <c r="O606" s="126">
        <v>0</v>
      </c>
      <c r="P606" s="132"/>
      <c r="Q606" s="133"/>
      <c r="R606" s="132"/>
      <c r="S606" s="46">
        <v>268.36</v>
      </c>
      <c r="U606" s="56" t="s">
        <v>953</v>
      </c>
      <c r="V606" s="105" t="s">
        <v>2034</v>
      </c>
    </row>
    <row r="607" spans="1:24" ht="17.25" x14ac:dyDescent="0.3">
      <c r="A607" s="129">
        <v>14124384</v>
      </c>
      <c r="B607" s="129" t="s">
        <v>2551</v>
      </c>
      <c r="C607" s="130" t="s">
        <v>2587</v>
      </c>
      <c r="D607" s="130" t="s">
        <v>3</v>
      </c>
      <c r="E607" s="43" t="s">
        <v>581</v>
      </c>
      <c r="F607" s="43" t="s">
        <v>582</v>
      </c>
      <c r="G607" s="44" t="s">
        <v>1609</v>
      </c>
      <c r="H607" s="43" t="s">
        <v>585</v>
      </c>
      <c r="I607" s="45" t="s">
        <v>583</v>
      </c>
      <c r="J607" s="45" t="s">
        <v>587</v>
      </c>
      <c r="K607" s="126">
        <v>0</v>
      </c>
      <c r="L607" s="126">
        <v>0</v>
      </c>
      <c r="M607" s="126"/>
      <c r="N607" s="126">
        <v>0</v>
      </c>
      <c r="O607" s="126">
        <v>0</v>
      </c>
      <c r="P607" s="132"/>
      <c r="Q607" s="133"/>
      <c r="R607" s="132"/>
      <c r="S607" s="46">
        <v>0</v>
      </c>
      <c r="U607" s="56" t="s">
        <v>585</v>
      </c>
      <c r="V607" s="105" t="s">
        <v>585</v>
      </c>
      <c r="X607" s="127"/>
    </row>
    <row r="608" spans="1:24" ht="17.25" x14ac:dyDescent="0.3">
      <c r="A608" s="129">
        <v>14124388</v>
      </c>
      <c r="B608" s="129" t="s">
        <v>2588</v>
      </c>
      <c r="C608" s="130" t="s">
        <v>2589</v>
      </c>
      <c r="D608" s="130" t="s">
        <v>3</v>
      </c>
      <c r="E608" s="43" t="s">
        <v>581</v>
      </c>
      <c r="F608" s="43" t="s">
        <v>582</v>
      </c>
      <c r="G608" s="44" t="s">
        <v>1609</v>
      </c>
      <c r="H608" s="43" t="s">
        <v>585</v>
      </c>
      <c r="I608" s="45" t="s">
        <v>583</v>
      </c>
      <c r="J608" s="45" t="s">
        <v>587</v>
      </c>
      <c r="K608" s="126">
        <v>0</v>
      </c>
      <c r="L608" s="126">
        <v>0</v>
      </c>
      <c r="M608" s="126"/>
      <c r="N608" s="126">
        <v>0</v>
      </c>
      <c r="O608" s="126">
        <v>0</v>
      </c>
      <c r="P608" s="132"/>
      <c r="Q608" s="133"/>
      <c r="R608" s="132"/>
      <c r="S608" s="46">
        <v>0</v>
      </c>
      <c r="U608" s="56" t="s">
        <v>585</v>
      </c>
      <c r="V608" s="105" t="s">
        <v>585</v>
      </c>
      <c r="X608" s="127"/>
    </row>
    <row r="609" spans="1:24" ht="17.25" x14ac:dyDescent="0.3">
      <c r="A609" s="129">
        <v>14124389</v>
      </c>
      <c r="B609" s="129" t="s">
        <v>2570</v>
      </c>
      <c r="C609" s="130" t="s">
        <v>2589</v>
      </c>
      <c r="D609" s="130" t="s">
        <v>3</v>
      </c>
      <c r="E609" s="43" t="s">
        <v>581</v>
      </c>
      <c r="F609" s="43" t="s">
        <v>582</v>
      </c>
      <c r="G609" s="44" t="s">
        <v>1609</v>
      </c>
      <c r="H609" s="43" t="s">
        <v>585</v>
      </c>
      <c r="I609" s="45" t="s">
        <v>583</v>
      </c>
      <c r="J609" s="45" t="s">
        <v>587</v>
      </c>
      <c r="K609" s="126">
        <v>0</v>
      </c>
      <c r="L609" s="126">
        <v>0</v>
      </c>
      <c r="M609" s="126"/>
      <c r="N609" s="126">
        <v>0</v>
      </c>
      <c r="O609" s="126">
        <v>0</v>
      </c>
      <c r="P609" s="132"/>
      <c r="Q609" s="133"/>
      <c r="R609" s="132"/>
      <c r="S609" s="46">
        <v>0</v>
      </c>
      <c r="U609" s="56" t="s">
        <v>585</v>
      </c>
      <c r="V609" s="105" t="s">
        <v>585</v>
      </c>
      <c r="X609" s="127"/>
    </row>
    <row r="610" spans="1:24" ht="17.25" x14ac:dyDescent="0.3">
      <c r="A610" s="129">
        <v>14124394</v>
      </c>
      <c r="B610" s="129" t="s">
        <v>2590</v>
      </c>
      <c r="C610" s="130" t="s">
        <v>2589</v>
      </c>
      <c r="D610" s="130" t="s">
        <v>3</v>
      </c>
      <c r="E610" s="43" t="s">
        <v>581</v>
      </c>
      <c r="F610" s="43" t="s">
        <v>582</v>
      </c>
      <c r="G610" s="44" t="s">
        <v>1609</v>
      </c>
      <c r="H610" s="43" t="s">
        <v>585</v>
      </c>
      <c r="I610" s="45" t="s">
        <v>583</v>
      </c>
      <c r="J610" s="45" t="s">
        <v>587</v>
      </c>
      <c r="K610" s="126">
        <v>0</v>
      </c>
      <c r="L610" s="126">
        <v>0</v>
      </c>
      <c r="M610" s="126"/>
      <c r="N610" s="126">
        <v>0</v>
      </c>
      <c r="O610" s="126">
        <v>0</v>
      </c>
      <c r="P610" s="132"/>
      <c r="Q610" s="133"/>
      <c r="R610" s="132"/>
      <c r="S610" s="46">
        <v>0</v>
      </c>
      <c r="U610" s="56" t="s">
        <v>585</v>
      </c>
      <c r="V610" s="105" t="s">
        <v>585</v>
      </c>
      <c r="X610" s="127"/>
    </row>
    <row r="611" spans="1:24" ht="17.25" x14ac:dyDescent="0.3">
      <c r="A611" s="129">
        <v>14124406</v>
      </c>
      <c r="B611" s="129" t="s">
        <v>2591</v>
      </c>
      <c r="C611" s="130" t="s">
        <v>2592</v>
      </c>
      <c r="D611" s="130" t="s">
        <v>3</v>
      </c>
      <c r="E611" s="43" t="s">
        <v>581</v>
      </c>
      <c r="F611" s="43" t="s">
        <v>582</v>
      </c>
      <c r="G611" s="44" t="s">
        <v>1609</v>
      </c>
      <c r="H611" s="43" t="s">
        <v>585</v>
      </c>
      <c r="I611" s="45" t="s">
        <v>583</v>
      </c>
      <c r="J611" s="45" t="s">
        <v>587</v>
      </c>
      <c r="K611" s="126">
        <v>0</v>
      </c>
      <c r="L611" s="126">
        <v>0</v>
      </c>
      <c r="M611" s="126"/>
      <c r="N611" s="126">
        <v>0</v>
      </c>
      <c r="O611" s="126">
        <v>0</v>
      </c>
      <c r="P611" s="132"/>
      <c r="Q611" s="133"/>
      <c r="R611" s="132"/>
      <c r="S611" s="46">
        <v>0</v>
      </c>
      <c r="U611" s="56" t="s">
        <v>585</v>
      </c>
      <c r="V611" s="105" t="s">
        <v>585</v>
      </c>
      <c r="X611" s="127"/>
    </row>
    <row r="612" spans="1:24" ht="17.25" x14ac:dyDescent="0.3">
      <c r="A612" s="129">
        <v>14124408</v>
      </c>
      <c r="B612" s="129" t="s">
        <v>2593</v>
      </c>
      <c r="C612" s="130" t="s">
        <v>2594</v>
      </c>
      <c r="D612" s="130" t="s">
        <v>3</v>
      </c>
      <c r="E612" s="43" t="s">
        <v>581</v>
      </c>
      <c r="F612" s="43" t="s">
        <v>582</v>
      </c>
      <c r="G612" s="44" t="s">
        <v>1609</v>
      </c>
      <c r="H612" s="43" t="s">
        <v>585</v>
      </c>
      <c r="I612" s="45" t="s">
        <v>583</v>
      </c>
      <c r="J612" s="45" t="s">
        <v>587</v>
      </c>
      <c r="K612" s="126">
        <v>0</v>
      </c>
      <c r="L612" s="126">
        <v>0</v>
      </c>
      <c r="M612" s="126"/>
      <c r="N612" s="126">
        <v>0</v>
      </c>
      <c r="O612" s="126">
        <v>0</v>
      </c>
      <c r="P612" s="132"/>
      <c r="Q612" s="133"/>
      <c r="R612" s="132"/>
      <c r="S612" s="46">
        <v>0</v>
      </c>
      <c r="U612" s="56" t="s">
        <v>585</v>
      </c>
      <c r="V612" s="105" t="s">
        <v>585</v>
      </c>
      <c r="X612" s="127"/>
    </row>
    <row r="613" spans="1:24" ht="17.25" x14ac:dyDescent="0.3">
      <c r="A613" s="129">
        <v>14124409</v>
      </c>
      <c r="B613" s="129" t="s">
        <v>2595</v>
      </c>
      <c r="C613" s="130" t="s">
        <v>2594</v>
      </c>
      <c r="D613" s="130" t="s">
        <v>3</v>
      </c>
      <c r="E613" s="43" t="s">
        <v>581</v>
      </c>
      <c r="F613" s="43" t="s">
        <v>582</v>
      </c>
      <c r="G613" s="44" t="s">
        <v>1609</v>
      </c>
      <c r="H613" s="43" t="s">
        <v>585</v>
      </c>
      <c r="I613" s="45" t="s">
        <v>583</v>
      </c>
      <c r="J613" s="45" t="s">
        <v>587</v>
      </c>
      <c r="K613" s="126">
        <v>0</v>
      </c>
      <c r="L613" s="126">
        <v>0</v>
      </c>
      <c r="M613" s="126"/>
      <c r="N613" s="126">
        <v>0</v>
      </c>
      <c r="O613" s="126">
        <v>0</v>
      </c>
      <c r="P613" s="132"/>
      <c r="Q613" s="133"/>
      <c r="R613" s="132"/>
      <c r="S613" s="46">
        <v>0</v>
      </c>
      <c r="U613" s="56" t="s">
        <v>585</v>
      </c>
      <c r="V613" s="105" t="s">
        <v>585</v>
      </c>
      <c r="X613" s="127"/>
    </row>
    <row r="614" spans="1:24" ht="17.25" x14ac:dyDescent="0.3">
      <c r="A614" s="129">
        <v>14124410</v>
      </c>
      <c r="B614" s="129" t="s">
        <v>2596</v>
      </c>
      <c r="C614" s="130" t="s">
        <v>2594</v>
      </c>
      <c r="D614" s="130" t="s">
        <v>3</v>
      </c>
      <c r="E614" s="43" t="s">
        <v>581</v>
      </c>
      <c r="F614" s="43" t="s">
        <v>582</v>
      </c>
      <c r="G614" s="44" t="s">
        <v>1609</v>
      </c>
      <c r="H614" s="43" t="s">
        <v>585</v>
      </c>
      <c r="I614" s="45" t="s">
        <v>583</v>
      </c>
      <c r="J614" s="45" t="s">
        <v>587</v>
      </c>
      <c r="K614" s="126">
        <v>0</v>
      </c>
      <c r="L614" s="126">
        <v>0</v>
      </c>
      <c r="M614" s="126"/>
      <c r="N614" s="126">
        <v>0</v>
      </c>
      <c r="O614" s="126">
        <v>0</v>
      </c>
      <c r="P614" s="132"/>
      <c r="Q614" s="133"/>
      <c r="R614" s="132"/>
      <c r="S614" s="46">
        <v>0</v>
      </c>
      <c r="U614" s="56" t="s">
        <v>585</v>
      </c>
      <c r="V614" s="105" t="s">
        <v>585</v>
      </c>
      <c r="X614" s="127"/>
    </row>
    <row r="615" spans="1:24" ht="17.25" x14ac:dyDescent="0.3">
      <c r="A615" s="129">
        <v>14124411</v>
      </c>
      <c r="B615" s="129" t="s">
        <v>2597</v>
      </c>
      <c r="C615" s="130" t="s">
        <v>2594</v>
      </c>
      <c r="D615" s="130" t="s">
        <v>3</v>
      </c>
      <c r="E615" s="43" t="s">
        <v>581</v>
      </c>
      <c r="F615" s="43" t="s">
        <v>582</v>
      </c>
      <c r="G615" s="44" t="s">
        <v>1609</v>
      </c>
      <c r="H615" s="43" t="s">
        <v>585</v>
      </c>
      <c r="I615" s="45" t="s">
        <v>583</v>
      </c>
      <c r="J615" s="45" t="s">
        <v>587</v>
      </c>
      <c r="K615" s="126">
        <v>0</v>
      </c>
      <c r="L615" s="126">
        <v>0</v>
      </c>
      <c r="M615" s="126"/>
      <c r="N615" s="126">
        <v>0</v>
      </c>
      <c r="O615" s="126">
        <v>0</v>
      </c>
      <c r="P615" s="132"/>
      <c r="Q615" s="133"/>
      <c r="R615" s="132"/>
      <c r="S615" s="46">
        <v>0</v>
      </c>
      <c r="U615" s="56" t="s">
        <v>585</v>
      </c>
      <c r="V615" s="105" t="s">
        <v>585</v>
      </c>
      <c r="X615" s="127"/>
    </row>
    <row r="616" spans="1:24" ht="17.25" x14ac:dyDescent="0.3">
      <c r="A616" s="129">
        <v>14124412</v>
      </c>
      <c r="B616" s="129" t="s">
        <v>2598</v>
      </c>
      <c r="C616" s="130" t="s">
        <v>2594</v>
      </c>
      <c r="D616" s="130" t="s">
        <v>3</v>
      </c>
      <c r="E616" s="43" t="s">
        <v>581</v>
      </c>
      <c r="F616" s="43" t="s">
        <v>582</v>
      </c>
      <c r="G616" s="44" t="s">
        <v>1609</v>
      </c>
      <c r="H616" s="43" t="s">
        <v>585</v>
      </c>
      <c r="I616" s="45" t="s">
        <v>583</v>
      </c>
      <c r="J616" s="45" t="s">
        <v>587</v>
      </c>
      <c r="K616" s="126">
        <v>0</v>
      </c>
      <c r="L616" s="126">
        <v>0</v>
      </c>
      <c r="M616" s="126"/>
      <c r="N616" s="126">
        <v>0</v>
      </c>
      <c r="O616" s="126">
        <v>0</v>
      </c>
      <c r="P616" s="132"/>
      <c r="Q616" s="133"/>
      <c r="R616" s="132"/>
      <c r="S616" s="46">
        <v>0</v>
      </c>
      <c r="U616" s="56" t="s">
        <v>585</v>
      </c>
      <c r="V616" s="105" t="s">
        <v>585</v>
      </c>
      <c r="X616" s="127"/>
    </row>
    <row r="617" spans="1:24" ht="17.25" x14ac:dyDescent="0.3">
      <c r="A617" s="129">
        <v>14124413</v>
      </c>
      <c r="B617" s="129" t="s">
        <v>2599</v>
      </c>
      <c r="C617" s="130" t="s">
        <v>2594</v>
      </c>
      <c r="D617" s="130" t="s">
        <v>3</v>
      </c>
      <c r="E617" s="43" t="s">
        <v>581</v>
      </c>
      <c r="F617" s="43" t="s">
        <v>582</v>
      </c>
      <c r="G617" s="44" t="s">
        <v>1609</v>
      </c>
      <c r="H617" s="43" t="s">
        <v>585</v>
      </c>
      <c r="I617" s="45" t="s">
        <v>583</v>
      </c>
      <c r="J617" s="45" t="s">
        <v>587</v>
      </c>
      <c r="K617" s="126">
        <v>0</v>
      </c>
      <c r="L617" s="126">
        <v>0</v>
      </c>
      <c r="M617" s="126"/>
      <c r="N617" s="126">
        <v>0</v>
      </c>
      <c r="O617" s="126">
        <v>0</v>
      </c>
      <c r="P617" s="132"/>
      <c r="Q617" s="133"/>
      <c r="R617" s="132"/>
      <c r="S617" s="46">
        <v>0</v>
      </c>
      <c r="U617" s="56" t="s">
        <v>585</v>
      </c>
      <c r="V617" s="105" t="s">
        <v>585</v>
      </c>
      <c r="X617" s="127"/>
    </row>
    <row r="618" spans="1:24" ht="17.25" x14ac:dyDescent="0.3">
      <c r="A618" s="129">
        <v>14101142</v>
      </c>
      <c r="B618" s="129" t="s">
        <v>911</v>
      </c>
      <c r="C618" s="130" t="s">
        <v>912</v>
      </c>
      <c r="D618" s="130" t="s">
        <v>970</v>
      </c>
      <c r="E618" s="43" t="s">
        <v>581</v>
      </c>
      <c r="F618" s="43" t="s">
        <v>582</v>
      </c>
      <c r="G618" s="44">
        <v>89</v>
      </c>
      <c r="H618" s="43" t="s">
        <v>585</v>
      </c>
      <c r="I618" s="45" t="s">
        <v>583</v>
      </c>
      <c r="J618" s="45" t="s">
        <v>561</v>
      </c>
      <c r="K618" s="126">
        <v>134.18</v>
      </c>
      <c r="L618" s="126">
        <v>134.18</v>
      </c>
      <c r="M618" s="126"/>
      <c r="N618" s="126">
        <v>0</v>
      </c>
      <c r="O618" s="126">
        <v>177.44</v>
      </c>
      <c r="P618" s="132"/>
      <c r="Q618" s="133"/>
      <c r="R618" s="132"/>
      <c r="S618" s="46">
        <v>445.8</v>
      </c>
      <c r="U618" s="56" t="s">
        <v>953</v>
      </c>
      <c r="V618" s="105" t="s">
        <v>585</v>
      </c>
    </row>
    <row r="619" spans="1:24" ht="17.25" x14ac:dyDescent="0.3">
      <c r="A619" s="129">
        <v>14101145</v>
      </c>
      <c r="B619" s="129" t="s">
        <v>913</v>
      </c>
      <c r="C619" s="130" t="s">
        <v>914</v>
      </c>
      <c r="D619" s="130" t="s">
        <v>970</v>
      </c>
      <c r="E619" s="43" t="s">
        <v>581</v>
      </c>
      <c r="F619" s="43" t="s">
        <v>582</v>
      </c>
      <c r="G619" s="44" t="s">
        <v>1609</v>
      </c>
      <c r="H619" s="43" t="s">
        <v>585</v>
      </c>
      <c r="I619" s="45" t="s">
        <v>583</v>
      </c>
      <c r="J619" s="45" t="s">
        <v>587</v>
      </c>
      <c r="K619" s="126">
        <v>0</v>
      </c>
      <c r="L619" s="126">
        <v>0</v>
      </c>
      <c r="M619" s="126"/>
      <c r="N619" s="126">
        <v>0</v>
      </c>
      <c r="O619" s="126">
        <v>0</v>
      </c>
      <c r="P619" s="132"/>
      <c r="Q619" s="133"/>
      <c r="R619" s="132"/>
      <c r="S619" s="46">
        <v>0</v>
      </c>
      <c r="U619" s="56" t="s">
        <v>585</v>
      </c>
      <c r="V619" s="105" t="s">
        <v>585</v>
      </c>
      <c r="X619" s="127"/>
    </row>
    <row r="620" spans="1:24" ht="17.25" x14ac:dyDescent="0.3">
      <c r="A620" s="129">
        <v>14103700</v>
      </c>
      <c r="B620" s="129" t="s">
        <v>915</v>
      </c>
      <c r="C620" s="130" t="s">
        <v>916</v>
      </c>
      <c r="D620" s="130" t="s">
        <v>970</v>
      </c>
      <c r="E620" s="43" t="s">
        <v>581</v>
      </c>
      <c r="F620" s="43" t="s">
        <v>582</v>
      </c>
      <c r="G620" s="44">
        <v>93</v>
      </c>
      <c r="H620" s="43" t="s">
        <v>583</v>
      </c>
      <c r="I620" s="45" t="s">
        <v>583</v>
      </c>
      <c r="J620" s="45" t="s">
        <v>561</v>
      </c>
      <c r="K620" s="126">
        <v>134.18</v>
      </c>
      <c r="L620" s="126">
        <v>134.18</v>
      </c>
      <c r="M620" s="126"/>
      <c r="N620" s="126">
        <v>200</v>
      </c>
      <c r="O620" s="126">
        <v>177.44</v>
      </c>
      <c r="P620" s="132"/>
      <c r="Q620" s="133"/>
      <c r="R620" s="132"/>
      <c r="S620" s="46">
        <v>645.79999999999995</v>
      </c>
      <c r="U620" s="56" t="s">
        <v>953</v>
      </c>
      <c r="V620" s="105" t="s">
        <v>585</v>
      </c>
    </row>
    <row r="621" spans="1:24" ht="17.25" x14ac:dyDescent="0.3">
      <c r="A621" s="129">
        <v>14109275</v>
      </c>
      <c r="B621" s="129" t="s">
        <v>917</v>
      </c>
      <c r="C621" s="130" t="s">
        <v>918</v>
      </c>
      <c r="D621" s="130" t="s">
        <v>970</v>
      </c>
      <c r="E621" s="43" t="s">
        <v>581</v>
      </c>
      <c r="F621" s="43" t="s">
        <v>582</v>
      </c>
      <c r="G621" s="44">
        <v>95</v>
      </c>
      <c r="H621" s="43" t="s">
        <v>583</v>
      </c>
      <c r="I621" s="45" t="s">
        <v>583</v>
      </c>
      <c r="J621" s="45" t="s">
        <v>561</v>
      </c>
      <c r="K621" s="126">
        <v>134.18</v>
      </c>
      <c r="L621" s="126">
        <v>134.18</v>
      </c>
      <c r="M621" s="126"/>
      <c r="N621" s="126">
        <v>200</v>
      </c>
      <c r="O621" s="126">
        <v>177.44</v>
      </c>
      <c r="P621" s="132"/>
      <c r="Q621" s="133"/>
      <c r="R621" s="132"/>
      <c r="S621" s="46">
        <v>645.79999999999995</v>
      </c>
      <c r="U621" s="56" t="s">
        <v>953</v>
      </c>
      <c r="V621" s="105" t="s">
        <v>585</v>
      </c>
    </row>
    <row r="622" spans="1:24" ht="17.25" x14ac:dyDescent="0.3">
      <c r="A622" s="129">
        <v>14109276</v>
      </c>
      <c r="B622" s="129" t="s">
        <v>919</v>
      </c>
      <c r="C622" s="130" t="s">
        <v>920</v>
      </c>
      <c r="D622" s="130" t="s">
        <v>970</v>
      </c>
      <c r="E622" s="43" t="s">
        <v>581</v>
      </c>
      <c r="F622" s="43" t="s">
        <v>582</v>
      </c>
      <c r="G622" s="44" t="s">
        <v>1609</v>
      </c>
      <c r="H622" s="43" t="s">
        <v>585</v>
      </c>
      <c r="I622" s="45" t="s">
        <v>583</v>
      </c>
      <c r="J622" s="45" t="s">
        <v>587</v>
      </c>
      <c r="K622" s="126">
        <v>0</v>
      </c>
      <c r="L622" s="126">
        <v>0</v>
      </c>
      <c r="M622" s="126"/>
      <c r="N622" s="126">
        <v>0</v>
      </c>
      <c r="O622" s="126">
        <v>0</v>
      </c>
      <c r="P622" s="132"/>
      <c r="Q622" s="133"/>
      <c r="R622" s="132"/>
      <c r="S622" s="46">
        <v>0</v>
      </c>
      <c r="U622" s="56" t="s">
        <v>585</v>
      </c>
      <c r="V622" s="105" t="s">
        <v>585</v>
      </c>
      <c r="X622" s="127"/>
    </row>
    <row r="623" spans="1:24" ht="16.5" x14ac:dyDescent="0.3">
      <c r="A623" s="129"/>
      <c r="B623" s="129"/>
      <c r="C623" s="130"/>
      <c r="D623" s="130"/>
      <c r="E623" s="131"/>
      <c r="F623" s="131"/>
      <c r="G623" s="131"/>
      <c r="H623" s="131"/>
      <c r="I623" s="45"/>
      <c r="J623" s="45"/>
      <c r="K623" s="126"/>
      <c r="L623" s="126"/>
      <c r="M623" s="126"/>
      <c r="N623" s="126"/>
      <c r="O623" s="126"/>
      <c r="P623" s="132"/>
      <c r="Q623" s="133"/>
      <c r="R623" s="132"/>
      <c r="S623" s="118"/>
    </row>
    <row r="624" spans="1:24" ht="16.5" x14ac:dyDescent="0.3">
      <c r="A624" s="129"/>
      <c r="B624" s="129"/>
      <c r="C624" s="130"/>
      <c r="D624" s="130"/>
      <c r="E624" s="131"/>
      <c r="F624" s="131"/>
      <c r="G624" s="131"/>
      <c r="H624" s="131"/>
      <c r="I624" s="45"/>
      <c r="J624" s="45"/>
      <c r="K624" s="126"/>
      <c r="L624" s="126"/>
      <c r="M624" s="126"/>
      <c r="N624" s="126"/>
      <c r="O624" s="126"/>
      <c r="P624" s="132"/>
      <c r="Q624" s="133"/>
      <c r="R624" s="132"/>
      <c r="S624" s="118"/>
    </row>
    <row r="625" spans="1:19" ht="16.5" x14ac:dyDescent="0.3">
      <c r="A625" s="129"/>
      <c r="B625" s="129"/>
      <c r="C625" s="130"/>
      <c r="D625" s="130"/>
      <c r="E625" s="131"/>
      <c r="F625" s="131"/>
      <c r="G625" s="131"/>
      <c r="H625" s="131"/>
      <c r="I625" s="45"/>
      <c r="J625" s="45"/>
      <c r="K625" s="126"/>
      <c r="L625" s="126"/>
      <c r="M625" s="126"/>
      <c r="N625" s="126"/>
      <c r="O625" s="126"/>
      <c r="P625" s="132"/>
      <c r="Q625" s="133"/>
      <c r="R625" s="132"/>
      <c r="S625" s="118"/>
    </row>
    <row r="626" spans="1:19" ht="16.5" x14ac:dyDescent="0.3">
      <c r="A626" s="129"/>
      <c r="B626" s="129"/>
      <c r="C626" s="130"/>
      <c r="D626" s="130"/>
      <c r="E626" s="131"/>
      <c r="F626" s="131"/>
      <c r="G626" s="131"/>
      <c r="H626" s="131"/>
      <c r="I626" s="45"/>
      <c r="J626" s="45"/>
      <c r="K626" s="126"/>
      <c r="L626" s="126"/>
      <c r="M626" s="126"/>
      <c r="N626" s="126"/>
      <c r="O626" s="126"/>
      <c r="P626" s="132"/>
      <c r="Q626" s="133"/>
      <c r="R626" s="132"/>
      <c r="S626" s="118"/>
    </row>
    <row r="627" spans="1:19" ht="16.5" x14ac:dyDescent="0.3">
      <c r="A627" s="129"/>
      <c r="B627" s="129"/>
      <c r="C627" s="130"/>
      <c r="D627" s="130"/>
      <c r="E627" s="131"/>
      <c r="F627" s="131"/>
      <c r="G627" s="131"/>
      <c r="H627" s="131"/>
      <c r="I627" s="45"/>
      <c r="J627" s="45"/>
      <c r="K627" s="126"/>
      <c r="L627" s="126"/>
      <c r="M627" s="126"/>
      <c r="N627" s="126"/>
      <c r="O627" s="126"/>
      <c r="P627" s="132"/>
      <c r="Q627" s="133"/>
      <c r="R627" s="132"/>
      <c r="S627" s="118"/>
    </row>
    <row r="628" spans="1:19" ht="16.5" x14ac:dyDescent="0.3">
      <c r="A628" s="129"/>
      <c r="B628" s="129"/>
      <c r="C628" s="130"/>
      <c r="D628" s="130"/>
      <c r="E628" s="131"/>
      <c r="F628" s="131"/>
      <c r="G628" s="131"/>
      <c r="H628" s="131"/>
      <c r="I628" s="45"/>
      <c r="J628" s="45"/>
      <c r="K628" s="126"/>
      <c r="L628" s="126"/>
      <c r="M628" s="126"/>
      <c r="N628" s="126"/>
      <c r="O628" s="126"/>
      <c r="P628" s="132"/>
      <c r="Q628" s="133"/>
      <c r="R628" s="132"/>
      <c r="S628" s="118"/>
    </row>
    <row r="629" spans="1:19" ht="16.5" x14ac:dyDescent="0.3">
      <c r="A629" s="129"/>
      <c r="B629" s="129"/>
      <c r="C629" s="130"/>
      <c r="D629" s="130"/>
      <c r="E629" s="131"/>
      <c r="F629" s="131"/>
      <c r="G629" s="131"/>
      <c r="H629" s="131"/>
      <c r="I629" s="45"/>
      <c r="J629" s="45"/>
      <c r="K629" s="126"/>
      <c r="L629" s="126"/>
      <c r="M629" s="126"/>
      <c r="N629" s="126"/>
      <c r="O629" s="126"/>
      <c r="P629" s="132"/>
      <c r="Q629" s="133"/>
      <c r="R629" s="132"/>
      <c r="S629" s="118"/>
    </row>
    <row r="630" spans="1:19" ht="16.5" x14ac:dyDescent="0.3">
      <c r="A630" s="129"/>
      <c r="B630" s="129"/>
      <c r="C630" s="130"/>
      <c r="D630" s="130"/>
      <c r="E630" s="131"/>
      <c r="F630" s="131"/>
      <c r="G630" s="131"/>
      <c r="H630" s="131"/>
      <c r="I630" s="45"/>
      <c r="J630" s="45"/>
      <c r="K630" s="126"/>
      <c r="L630" s="126"/>
      <c r="M630" s="126"/>
      <c r="N630" s="126"/>
      <c r="O630" s="126"/>
      <c r="P630" s="132"/>
      <c r="Q630" s="133"/>
      <c r="R630" s="132"/>
      <c r="S630" s="118"/>
    </row>
    <row r="631" spans="1:19" ht="16.5" x14ac:dyDescent="0.3">
      <c r="A631" s="129"/>
      <c r="B631" s="129"/>
      <c r="C631" s="130"/>
      <c r="D631" s="130"/>
      <c r="E631" s="131"/>
      <c r="F631" s="131"/>
      <c r="G631" s="131"/>
      <c r="H631" s="131"/>
      <c r="I631" s="45"/>
      <c r="J631" s="45"/>
      <c r="K631" s="126"/>
      <c r="L631" s="126"/>
      <c r="M631" s="126"/>
      <c r="N631" s="126"/>
      <c r="O631" s="126"/>
      <c r="P631" s="132"/>
      <c r="Q631" s="133"/>
      <c r="R631" s="132"/>
      <c r="S631" s="118"/>
    </row>
    <row r="632" spans="1:19" ht="16.5" x14ac:dyDescent="0.3">
      <c r="A632" s="129"/>
      <c r="B632" s="129"/>
      <c r="C632" s="130"/>
      <c r="D632" s="130"/>
      <c r="E632" s="131"/>
      <c r="F632" s="131"/>
      <c r="G632" s="131"/>
      <c r="H632" s="131"/>
      <c r="I632" s="45"/>
      <c r="J632" s="45"/>
      <c r="K632" s="126"/>
      <c r="L632" s="126"/>
      <c r="M632" s="126"/>
      <c r="N632" s="126"/>
      <c r="O632" s="126"/>
      <c r="P632" s="132"/>
      <c r="Q632" s="133"/>
      <c r="R632" s="132"/>
      <c r="S632" s="118"/>
    </row>
    <row r="633" spans="1:19" ht="16.5" x14ac:dyDescent="0.3">
      <c r="A633" s="129"/>
      <c r="B633" s="129"/>
      <c r="C633" s="130"/>
      <c r="D633" s="130"/>
      <c r="E633" s="131"/>
      <c r="F633" s="131"/>
      <c r="G633" s="131"/>
      <c r="H633" s="131"/>
      <c r="I633" s="45"/>
      <c r="J633" s="45"/>
      <c r="K633" s="126"/>
      <c r="L633" s="126"/>
      <c r="M633" s="126"/>
      <c r="N633" s="126"/>
      <c r="O633" s="126"/>
      <c r="P633" s="132"/>
      <c r="Q633" s="133"/>
      <c r="R633" s="132"/>
      <c r="S633" s="118"/>
    </row>
    <row r="634" spans="1:19" ht="16.5" x14ac:dyDescent="0.3">
      <c r="A634" s="129"/>
      <c r="B634" s="129"/>
      <c r="C634" s="130"/>
      <c r="D634" s="130"/>
      <c r="E634" s="131"/>
      <c r="F634" s="131"/>
      <c r="G634" s="131"/>
      <c r="H634" s="131"/>
      <c r="I634" s="45"/>
      <c r="J634" s="45"/>
      <c r="K634" s="126"/>
      <c r="L634" s="126"/>
      <c r="M634" s="126"/>
      <c r="N634" s="126"/>
      <c r="O634" s="126"/>
      <c r="P634" s="132"/>
      <c r="Q634" s="133"/>
      <c r="R634" s="132"/>
      <c r="S634" s="118"/>
    </row>
    <row r="635" spans="1:19" ht="16.5" x14ac:dyDescent="0.3">
      <c r="A635" s="129"/>
      <c r="B635" s="129"/>
      <c r="C635" s="130"/>
      <c r="D635" s="130"/>
      <c r="E635" s="131"/>
      <c r="F635" s="131"/>
      <c r="G635" s="131"/>
      <c r="H635" s="131"/>
      <c r="I635" s="45"/>
      <c r="J635" s="45"/>
      <c r="K635" s="126"/>
      <c r="L635" s="126"/>
      <c r="M635" s="126"/>
      <c r="N635" s="126"/>
      <c r="O635" s="126"/>
      <c r="P635" s="132"/>
      <c r="Q635" s="133"/>
      <c r="R635" s="132"/>
      <c r="S635" s="118"/>
    </row>
    <row r="636" spans="1:19" ht="16.5" x14ac:dyDescent="0.3">
      <c r="A636" s="129"/>
      <c r="B636" s="129"/>
      <c r="C636" s="130"/>
      <c r="D636" s="130"/>
      <c r="E636" s="131"/>
      <c r="F636" s="131"/>
      <c r="G636" s="131"/>
      <c r="H636" s="131"/>
      <c r="I636" s="45"/>
      <c r="J636" s="45"/>
      <c r="K636" s="126"/>
      <c r="L636" s="126"/>
      <c r="M636" s="126"/>
      <c r="N636" s="126"/>
      <c r="O636" s="126"/>
      <c r="P636" s="132"/>
      <c r="Q636" s="133"/>
      <c r="R636" s="132"/>
      <c r="S636" s="118"/>
    </row>
    <row r="637" spans="1:19" ht="16.5" x14ac:dyDescent="0.3">
      <c r="A637" s="129"/>
      <c r="B637" s="129"/>
      <c r="C637" s="130"/>
      <c r="D637" s="130"/>
      <c r="E637" s="131"/>
      <c r="F637" s="131"/>
      <c r="G637" s="131"/>
      <c r="H637" s="131"/>
      <c r="I637" s="45"/>
      <c r="J637" s="45"/>
      <c r="K637" s="126"/>
      <c r="L637" s="126"/>
      <c r="M637" s="126"/>
      <c r="N637" s="126"/>
      <c r="O637" s="126"/>
      <c r="P637" s="132"/>
      <c r="Q637" s="133"/>
      <c r="R637" s="132"/>
      <c r="S637" s="118"/>
    </row>
    <row r="638" spans="1:19" ht="16.5" x14ac:dyDescent="0.3">
      <c r="A638" s="129"/>
      <c r="B638" s="129"/>
      <c r="C638" s="130"/>
      <c r="D638" s="130"/>
      <c r="E638" s="131"/>
      <c r="F638" s="131"/>
      <c r="G638" s="131"/>
      <c r="H638" s="131"/>
      <c r="I638" s="45"/>
      <c r="J638" s="45"/>
      <c r="K638" s="126"/>
      <c r="L638" s="126"/>
      <c r="M638" s="126"/>
      <c r="N638" s="126"/>
      <c r="O638" s="126"/>
      <c r="P638" s="132"/>
      <c r="Q638" s="133"/>
      <c r="R638" s="132"/>
      <c r="S638" s="118"/>
    </row>
    <row r="639" spans="1:19" ht="16.5" x14ac:dyDescent="0.3">
      <c r="A639" s="129"/>
      <c r="B639" s="129"/>
      <c r="C639" s="130"/>
      <c r="D639" s="130"/>
      <c r="E639" s="131"/>
      <c r="F639" s="131"/>
      <c r="G639" s="131"/>
      <c r="H639" s="131"/>
      <c r="I639" s="45"/>
      <c r="J639" s="45"/>
      <c r="K639" s="126"/>
      <c r="L639" s="126"/>
      <c r="M639" s="126"/>
      <c r="N639" s="126"/>
      <c r="O639" s="126"/>
      <c r="P639" s="132"/>
      <c r="Q639" s="133"/>
      <c r="R639" s="132"/>
      <c r="S639" s="118"/>
    </row>
    <row r="640" spans="1:19" ht="16.5" x14ac:dyDescent="0.3">
      <c r="A640" s="129"/>
      <c r="B640" s="129"/>
      <c r="C640" s="130"/>
      <c r="D640" s="130"/>
      <c r="E640" s="131"/>
      <c r="F640" s="131"/>
      <c r="G640" s="131"/>
      <c r="H640" s="131"/>
      <c r="I640" s="45"/>
      <c r="J640" s="45"/>
      <c r="K640" s="126"/>
      <c r="L640" s="126"/>
      <c r="M640" s="126"/>
      <c r="N640" s="126"/>
      <c r="O640" s="126"/>
      <c r="P640" s="132"/>
      <c r="Q640" s="133"/>
      <c r="R640" s="132"/>
      <c r="S640" s="118"/>
    </row>
    <row r="641" spans="1:19" ht="16.5" x14ac:dyDescent="0.3">
      <c r="A641" s="129"/>
      <c r="B641" s="129"/>
      <c r="C641" s="130"/>
      <c r="D641" s="130"/>
      <c r="E641" s="131"/>
      <c r="F641" s="131"/>
      <c r="G641" s="131"/>
      <c r="H641" s="131"/>
      <c r="I641" s="45"/>
      <c r="J641" s="45"/>
      <c r="K641" s="126"/>
      <c r="L641" s="126"/>
      <c r="M641" s="126"/>
      <c r="N641" s="126"/>
      <c r="O641" s="126"/>
      <c r="P641" s="132"/>
      <c r="Q641" s="133"/>
      <c r="R641" s="132"/>
      <c r="S641" s="118"/>
    </row>
    <row r="642" spans="1:19" ht="16.5" x14ac:dyDescent="0.3">
      <c r="A642" s="129"/>
      <c r="B642" s="129"/>
      <c r="C642" s="130"/>
      <c r="D642" s="130"/>
      <c r="E642" s="131"/>
      <c r="F642" s="131"/>
      <c r="G642" s="131"/>
      <c r="H642" s="131"/>
      <c r="I642" s="45"/>
      <c r="J642" s="45"/>
      <c r="K642" s="126"/>
      <c r="L642" s="126"/>
      <c r="M642" s="126"/>
      <c r="N642" s="126"/>
      <c r="O642" s="126"/>
      <c r="P642" s="132"/>
      <c r="Q642" s="133"/>
      <c r="R642" s="132"/>
      <c r="S642" s="118"/>
    </row>
  </sheetData>
  <mergeCells count="3">
    <mergeCell ref="F1:I1"/>
    <mergeCell ref="A2:B2"/>
    <mergeCell ref="K5:N5"/>
  </mergeCells>
  <conditionalFormatting sqref="A1 A3:A5 A265:A1048576">
    <cfRule type="duplicateValues" dxfId="36" priority="25"/>
    <cfRule type="duplicateValues" dxfId="35" priority="26"/>
    <cfRule type="duplicateValues" dxfId="34" priority="27"/>
    <cfRule type="duplicateValues" dxfId="33" priority="28"/>
    <cfRule type="duplicateValues" dxfId="32" priority="29"/>
    <cfRule type="duplicateValues" dxfId="31" priority="30"/>
    <cfRule type="duplicateValues" dxfId="30" priority="31"/>
    <cfRule type="duplicateValues" dxfId="29" priority="32"/>
    <cfRule type="duplicateValues" dxfId="28" priority="33"/>
    <cfRule type="duplicateValues" dxfId="27" priority="34"/>
  </conditionalFormatting>
  <conditionalFormatting sqref="A7:A94">
    <cfRule type="duplicateValues" dxfId="26" priority="38"/>
  </conditionalFormatting>
  <conditionalFormatting sqref="A200:A256 A95:A113">
    <cfRule type="duplicateValues" dxfId="25" priority="23"/>
  </conditionalFormatting>
  <conditionalFormatting sqref="A265:A1048576">
    <cfRule type="duplicateValues" dxfId="24" priority="35"/>
    <cfRule type="duplicateValues" dxfId="23" priority="36"/>
    <cfRule type="duplicateValues" dxfId="22" priority="37"/>
  </conditionalFormatting>
  <conditionalFormatting sqref="A114:B191">
    <cfRule type="duplicateValues" dxfId="21" priority="24"/>
  </conditionalFormatting>
  <conditionalFormatting sqref="I7:J642">
    <cfRule type="cellIs" dxfId="20" priority="17" operator="equal">
      <formula>"DL"</formula>
    </cfRule>
    <cfRule type="cellIs" dxfId="19" priority="18" operator="equal">
      <formula>"D"</formula>
    </cfRule>
    <cfRule type="containsText" dxfId="18" priority="19" operator="containsText" text="VAC">
      <formula>NOT(ISERROR(SEARCH("VAC",I7)))</formula>
    </cfRule>
    <cfRule type="cellIs" priority="1" operator="equal">
      <formula>"AT"</formula>
    </cfRule>
    <cfRule type="cellIs" dxfId="17" priority="2" operator="equal">
      <formula>"VAC"</formula>
    </cfRule>
    <cfRule type="cellIs" dxfId="16" priority="3" operator="equal">
      <formula>"CS"</formula>
    </cfRule>
    <cfRule type="cellIs" dxfId="15" priority="4" operator="equal">
      <formula>"CAP"</formula>
    </cfRule>
    <cfRule type="cellIs" dxfId="14" priority="5" operator="equal">
      <formula>"A."</formula>
    </cfRule>
    <cfRule type="cellIs" dxfId="13" priority="6" operator="equal">
      <formula>"ASC"</formula>
    </cfRule>
    <cfRule type="cellIs" dxfId="12" priority="7" operator="equal">
      <formula>"PL"</formula>
    </cfRule>
    <cfRule type="cellIs" dxfId="11" priority="8" operator="equal">
      <formula>"AT"</formula>
    </cfRule>
    <cfRule type="cellIs" dxfId="10" priority="9" operator="equal">
      <formula>"LF"</formula>
    </cfRule>
    <cfRule type="cellIs" dxfId="9" priority="10" operator="equal">
      <formula>"FL"</formula>
    </cfRule>
    <cfRule type="cellIs" dxfId="8" priority="11" operator="equal">
      <formula>"RR"</formula>
    </cfRule>
    <cfRule type="cellIs" dxfId="7" priority="12" operator="equal">
      <formula>"IMSS"</formula>
    </cfRule>
    <cfRule type="cellIs" dxfId="6" priority="13" operator="equal">
      <formula>"PC"</formula>
    </cfRule>
    <cfRule type="cellIs" dxfId="5" priority="14" operator="equal">
      <formula>"B"</formula>
    </cfRule>
    <cfRule type="cellIs" dxfId="4" priority="15" operator="equal">
      <formula>"PS"</formula>
    </cfRule>
    <cfRule type="cellIs" dxfId="3" priority="16" operator="equal">
      <formula>"F"</formula>
    </cfRule>
    <cfRule type="containsBlanks" dxfId="2" priority="20">
      <formula>LEN(TRIM(I7))=0</formula>
    </cfRule>
  </conditionalFormatting>
  <conditionalFormatting sqref="Q105">
    <cfRule type="expression" dxfId="1" priority="22">
      <formula>$L105="SI"</formula>
    </cfRule>
  </conditionalFormatting>
  <conditionalFormatting sqref="Q141">
    <cfRule type="expression" dxfId="0" priority="21">
      <formula>$L141="SI"</formula>
    </cfRule>
  </conditionalFormatting>
  <dataValidations disablePrompts="1" count="2">
    <dataValidation type="whole" showInputMessage="1" showErrorMessage="1" sqref="A468:A471 A158" xr:uid="{9A309A76-7D48-4F71-99AE-D7059E0B1B97}">
      <formula1>14000000</formula1>
      <formula2>15000000</formula2>
    </dataValidation>
    <dataValidation type="decimal" allowBlank="1" showErrorMessage="1" sqref="A474" xr:uid="{4ADE3B0F-7DED-4556-BDD4-FB605ABFC5CF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PUNTUALIDAD</vt:lpstr>
      <vt:lpstr>ACUMULADO</vt:lpstr>
      <vt:lpstr>DMAS</vt:lpstr>
      <vt:lpstr>RENDIMIENTO</vt:lpstr>
      <vt:lpstr>CONSULTA</vt:lpstr>
      <vt:lpstr>BONOS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L.GARFIAS</dc:creator>
  <cp:lastModifiedBy>Ing. Pedro López</cp:lastModifiedBy>
  <dcterms:created xsi:type="dcterms:W3CDTF">2023-04-03T19:45:31Z</dcterms:created>
  <dcterms:modified xsi:type="dcterms:W3CDTF">2026-09-22T18:08:55Z</dcterms:modified>
</cp:coreProperties>
</file>